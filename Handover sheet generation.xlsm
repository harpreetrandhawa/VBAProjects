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Backup\Proc_Reports\Reports\"/>
    </mc:Choice>
  </mc:AlternateContent>
  <xr:revisionPtr revIDLastSave="0" documentId="13_ncr:1_{1E96C5D8-53D0-42F6-A0D2-0AEC32471A22}" xr6:coauthVersionLast="28" xr6:coauthVersionMax="28" xr10:uidLastSave="{00000000-0000-0000-0000-000000000000}"/>
  <bookViews>
    <workbookView xWindow="0" yWindow="0" windowWidth="20490" windowHeight="7620" firstSheet="1" activeTab="7" xr2:uid="{00000000-000D-0000-FFFF-FFFF00000000}"/>
  </bookViews>
  <sheets>
    <sheet name="Cash Req." sheetId="10" r:id="rId1"/>
    <sheet name="Data" sheetId="1" r:id="rId2"/>
    <sheet name="Pickups-QTY" sheetId="9" r:id="rId3"/>
    <sheet name="PO Format" sheetId="8" r:id="rId4"/>
    <sheet name="Seller_Details" sheetId="5" r:id="rId5"/>
    <sheet name="Pivot" sheetId="2" r:id="rId6"/>
    <sheet name="Pivot2" sheetId="3" r:id="rId7"/>
    <sheet name="Instructions" sheetId="6" r:id="rId8"/>
  </sheets>
  <functionGroups builtInGroupCount="19"/>
  <definedNames>
    <definedName name="_xlnm._FilterDatabase" localSheetId="1" hidden="1">Data!$A$1:$O$1</definedName>
    <definedName name="_xlnm._FilterDatabase" localSheetId="2" hidden="1">'Pickups-QTY'!$A$1:$H$6</definedName>
    <definedName name="_xlnm._FilterDatabase" localSheetId="3" hidden="1">'PO Format'!#REF!</definedName>
    <definedName name="_xlnm._FilterDatabase" localSheetId="4" hidden="1">Seller_Details!$A$1:$G$409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2">'Pickups-QTY'!$A$1:$H$54</definedName>
    <definedName name="_xlnm.Print_Area" localSheetId="3">'PO Format'!$A$1:$I$1757</definedName>
  </definedNames>
  <calcPr calcId="171027"/>
  <pivotCaches>
    <pivotCache cacheId="0" r:id="rId9"/>
    <pivotCache cacheId="1" r:id="rId10"/>
    <pivotCache cacheId="2" r:id="rId11"/>
  </pivotCaches>
</workbook>
</file>

<file path=xl/calcChain.xml><?xml version="1.0" encoding="utf-8"?>
<calcChain xmlns="http://schemas.openxmlformats.org/spreadsheetml/2006/main">
  <c r="H1735" i="8" l="1"/>
  <c r="B1736" i="8"/>
  <c r="H1721" i="8"/>
  <c r="B1722" i="8"/>
  <c r="H1707" i="8"/>
  <c r="B1708" i="8"/>
  <c r="H1693" i="8"/>
  <c r="B1694" i="8"/>
  <c r="H1679" i="8"/>
  <c r="B1680" i="8"/>
  <c r="H1664" i="8"/>
  <c r="B1665" i="8"/>
  <c r="H1650" i="8"/>
  <c r="B1651" i="8"/>
  <c r="H1622" i="8"/>
  <c r="B1623" i="8"/>
  <c r="H1608" i="8"/>
  <c r="B1609" i="8"/>
  <c r="H1592" i="8"/>
  <c r="B1593" i="8"/>
  <c r="H1577" i="8"/>
  <c r="B1578" i="8"/>
  <c r="H1562" i="8"/>
  <c r="B1563" i="8"/>
  <c r="H1487" i="8"/>
  <c r="B1488" i="8"/>
  <c r="H1472" i="8"/>
  <c r="B1473" i="8"/>
  <c r="H1450" i="8"/>
  <c r="B1451" i="8"/>
  <c r="H1436" i="8"/>
  <c r="B1437" i="8"/>
  <c r="H1315" i="8"/>
  <c r="B1316" i="8"/>
  <c r="H1294" i="8"/>
  <c r="B1295" i="8"/>
  <c r="H1280" i="8"/>
  <c r="B1281" i="8"/>
  <c r="H1266" i="8"/>
  <c r="B1267" i="8"/>
  <c r="H1237" i="8"/>
  <c r="B1238" i="8"/>
  <c r="H1215" i="8"/>
  <c r="B1216" i="8"/>
  <c r="H1200" i="8"/>
  <c r="B1201" i="8"/>
  <c r="H1184" i="8"/>
  <c r="B1185" i="8"/>
  <c r="H1168" i="8"/>
  <c r="B1169" i="8"/>
  <c r="H1154" i="8"/>
  <c r="B1155" i="8"/>
  <c r="H1123" i="8"/>
  <c r="B1124" i="8"/>
  <c r="H1096" i="8"/>
  <c r="B1097" i="8"/>
  <c r="H1080" i="8"/>
  <c r="B1081" i="8"/>
  <c r="H1054" i="8"/>
  <c r="B1055" i="8"/>
  <c r="H1028" i="8"/>
  <c r="B1029" i="8"/>
  <c r="H1014" i="8"/>
  <c r="B1015" i="8"/>
  <c r="H997" i="8"/>
  <c r="B998" i="8"/>
  <c r="H963" i="8"/>
  <c r="B964" i="8"/>
  <c r="H944" i="8"/>
  <c r="B945" i="8"/>
  <c r="H930" i="8"/>
  <c r="B931" i="8"/>
  <c r="H909" i="8"/>
  <c r="B910" i="8"/>
  <c r="H892" i="8"/>
  <c r="B893" i="8"/>
  <c r="H350" i="8"/>
  <c r="B351" i="8"/>
  <c r="H333" i="8"/>
  <c r="B334" i="8"/>
  <c r="H317" i="8"/>
  <c r="B318" i="8"/>
  <c r="H299" i="8"/>
  <c r="B300" i="8"/>
  <c r="H226" i="8"/>
  <c r="B227" i="8"/>
  <c r="H208" i="8"/>
  <c r="B209" i="8"/>
  <c r="H97" i="8"/>
  <c r="B98" i="8"/>
  <c r="H82" i="8"/>
  <c r="B83" i="8"/>
  <c r="H35" i="8"/>
  <c r="B36" i="8"/>
  <c r="H3" i="8"/>
  <c r="B4" i="8"/>
  <c r="U1126" i="3"/>
  <c r="T1126" i="3"/>
  <c r="S1126" i="3"/>
  <c r="R1126" i="3"/>
  <c r="Q1126" i="3"/>
  <c r="P1126" i="3"/>
  <c r="O1126" i="3"/>
  <c r="N1126" i="3"/>
  <c r="U1125" i="3"/>
  <c r="T1125" i="3"/>
  <c r="S1125" i="3"/>
  <c r="R1125" i="3"/>
  <c r="Q1125" i="3"/>
  <c r="P1125" i="3"/>
  <c r="O1125" i="3"/>
  <c r="N1125" i="3"/>
  <c r="U1124" i="3"/>
  <c r="T1124" i="3"/>
  <c r="S1124" i="3"/>
  <c r="R1124" i="3"/>
  <c r="Q1124" i="3"/>
  <c r="P1124" i="3"/>
  <c r="O1124" i="3"/>
  <c r="N1124" i="3"/>
  <c r="U1123" i="3"/>
  <c r="T1123" i="3"/>
  <c r="S1123" i="3"/>
  <c r="R1123" i="3"/>
  <c r="Q1123" i="3"/>
  <c r="P1123" i="3"/>
  <c r="O1123" i="3"/>
  <c r="N1123" i="3"/>
  <c r="U1122" i="3"/>
  <c r="T1122" i="3"/>
  <c r="S1122" i="3"/>
  <c r="R1122" i="3"/>
  <c r="Q1122" i="3"/>
  <c r="P1122" i="3"/>
  <c r="O1122" i="3"/>
  <c r="N1122" i="3"/>
  <c r="U1121" i="3"/>
  <c r="T1121" i="3"/>
  <c r="S1121" i="3"/>
  <c r="R1121" i="3"/>
  <c r="Q1121" i="3"/>
  <c r="P1121" i="3"/>
  <c r="O1121" i="3"/>
  <c r="U1120" i="3"/>
  <c r="T1120" i="3"/>
  <c r="S1120" i="3"/>
  <c r="R1120" i="3"/>
  <c r="Q1120" i="3"/>
  <c r="P1120" i="3"/>
  <c r="O1120" i="3"/>
  <c r="N1120" i="3"/>
  <c r="N1121" i="3" s="1"/>
  <c r="U1119" i="3"/>
  <c r="T1119" i="3"/>
  <c r="S1119" i="3"/>
  <c r="R1119" i="3"/>
  <c r="Q1119" i="3"/>
  <c r="P1119" i="3"/>
  <c r="O1119" i="3"/>
  <c r="N1119" i="3"/>
  <c r="U1118" i="3"/>
  <c r="T1118" i="3"/>
  <c r="S1118" i="3"/>
  <c r="R1118" i="3"/>
  <c r="Q1118" i="3"/>
  <c r="P1118" i="3"/>
  <c r="O1118" i="3"/>
  <c r="U1117" i="3"/>
  <c r="T1117" i="3"/>
  <c r="S1117" i="3"/>
  <c r="R1117" i="3"/>
  <c r="Q1117" i="3"/>
  <c r="P1117" i="3"/>
  <c r="O1117" i="3"/>
  <c r="U1116" i="3"/>
  <c r="T1116" i="3"/>
  <c r="S1116" i="3"/>
  <c r="R1116" i="3"/>
  <c r="Q1116" i="3"/>
  <c r="P1116" i="3"/>
  <c r="O1116" i="3"/>
  <c r="U1115" i="3"/>
  <c r="T1115" i="3"/>
  <c r="S1115" i="3"/>
  <c r="R1115" i="3"/>
  <c r="Q1115" i="3"/>
  <c r="O1115" i="3"/>
  <c r="U1114" i="3"/>
  <c r="T1114" i="3"/>
  <c r="S1114" i="3"/>
  <c r="R1114" i="3"/>
  <c r="Q1114" i="3"/>
  <c r="P1114" i="3"/>
  <c r="P1115" i="3" s="1"/>
  <c r="O1114" i="3"/>
  <c r="U1113" i="3"/>
  <c r="T1113" i="3"/>
  <c r="S1113" i="3"/>
  <c r="R1113" i="3"/>
  <c r="Q1113" i="3"/>
  <c r="P1113" i="3"/>
  <c r="O1113" i="3"/>
  <c r="U1112" i="3"/>
  <c r="T1112" i="3"/>
  <c r="S1112" i="3"/>
  <c r="R1112" i="3"/>
  <c r="Q1112" i="3"/>
  <c r="P1112" i="3"/>
  <c r="O1112" i="3"/>
  <c r="U1111" i="3"/>
  <c r="T1111" i="3"/>
  <c r="S1111" i="3"/>
  <c r="R1111" i="3"/>
  <c r="Q1111" i="3"/>
  <c r="P1111" i="3"/>
  <c r="O1111" i="3"/>
  <c r="U1110" i="3"/>
  <c r="T1110" i="3"/>
  <c r="S1110" i="3"/>
  <c r="R1110" i="3"/>
  <c r="Q1110" i="3"/>
  <c r="P1110" i="3"/>
  <c r="O1110" i="3"/>
  <c r="U1109" i="3"/>
  <c r="T1109" i="3"/>
  <c r="S1109" i="3"/>
  <c r="R1109" i="3"/>
  <c r="Q1109" i="3"/>
  <c r="P1109" i="3"/>
  <c r="O1109" i="3"/>
  <c r="U1108" i="3"/>
  <c r="T1108" i="3"/>
  <c r="S1108" i="3"/>
  <c r="R1108" i="3"/>
  <c r="Q1108" i="3"/>
  <c r="P1108" i="3"/>
  <c r="O1108" i="3"/>
  <c r="U1107" i="3"/>
  <c r="T1107" i="3"/>
  <c r="S1107" i="3"/>
  <c r="R1107" i="3"/>
  <c r="Q1107" i="3"/>
  <c r="O1107" i="3"/>
  <c r="U1106" i="3"/>
  <c r="T1106" i="3"/>
  <c r="S1106" i="3"/>
  <c r="R1106" i="3"/>
  <c r="Q1106" i="3"/>
  <c r="P1106" i="3"/>
  <c r="P1107" i="3" s="1"/>
  <c r="O1106" i="3"/>
  <c r="U1105" i="3"/>
  <c r="T1105" i="3"/>
  <c r="S1105" i="3"/>
  <c r="R1105" i="3"/>
  <c r="Q1105" i="3"/>
  <c r="U1104" i="3"/>
  <c r="T1104" i="3"/>
  <c r="S1104" i="3"/>
  <c r="R1104" i="3"/>
  <c r="Q1104" i="3"/>
  <c r="P1104" i="3"/>
  <c r="P1105" i="3" s="1"/>
  <c r="O1104" i="3"/>
  <c r="O1105" i="3" s="1"/>
  <c r="N1104" i="3"/>
  <c r="N1105" i="3" s="1"/>
  <c r="N1106" i="3" s="1"/>
  <c r="N1107" i="3" s="1"/>
  <c r="N1108" i="3" s="1"/>
  <c r="N1109" i="3" s="1"/>
  <c r="N1110" i="3" s="1"/>
  <c r="N1111" i="3" s="1"/>
  <c r="N1112" i="3" s="1"/>
  <c r="N1113" i="3" s="1"/>
  <c r="N1114" i="3" s="1"/>
  <c r="N1115" i="3" s="1"/>
  <c r="N1116" i="3" s="1"/>
  <c r="N1117" i="3" s="1"/>
  <c r="N1118" i="3" s="1"/>
  <c r="U1103" i="3"/>
  <c r="T1103" i="3"/>
  <c r="S1103" i="3"/>
  <c r="R1103" i="3"/>
  <c r="Q1103" i="3"/>
  <c r="P1103" i="3"/>
  <c r="O1103" i="3"/>
  <c r="N1103" i="3"/>
  <c r="U1102" i="3"/>
  <c r="T1102" i="3"/>
  <c r="S1102" i="3"/>
  <c r="R1102" i="3"/>
  <c r="Q1102" i="3"/>
  <c r="P1102" i="3"/>
  <c r="O1102" i="3"/>
  <c r="U1101" i="3"/>
  <c r="T1101" i="3"/>
  <c r="S1101" i="3"/>
  <c r="R1101" i="3"/>
  <c r="Q1101" i="3"/>
  <c r="P1101" i="3"/>
  <c r="O1101" i="3"/>
  <c r="U1100" i="3"/>
  <c r="T1100" i="3"/>
  <c r="S1100" i="3"/>
  <c r="R1100" i="3"/>
  <c r="Q1100" i="3"/>
  <c r="P1100" i="3"/>
  <c r="O1100" i="3"/>
  <c r="N1100" i="3"/>
  <c r="N1101" i="3" s="1"/>
  <c r="N1102" i="3" s="1"/>
  <c r="U1099" i="3"/>
  <c r="T1099" i="3"/>
  <c r="S1099" i="3"/>
  <c r="R1099" i="3"/>
  <c r="Q1099" i="3"/>
  <c r="P1099" i="3"/>
  <c r="O1099" i="3"/>
  <c r="U1098" i="3"/>
  <c r="T1098" i="3"/>
  <c r="S1098" i="3"/>
  <c r="R1098" i="3"/>
  <c r="Q1098" i="3"/>
  <c r="P1098" i="3"/>
  <c r="O1098" i="3"/>
  <c r="N1098" i="3"/>
  <c r="N1099" i="3" s="1"/>
  <c r="U1097" i="3"/>
  <c r="T1097" i="3"/>
  <c r="S1097" i="3"/>
  <c r="R1097" i="3"/>
  <c r="Q1097" i="3"/>
  <c r="P1097" i="3"/>
  <c r="O1097" i="3"/>
  <c r="U1096" i="3"/>
  <c r="T1096" i="3"/>
  <c r="S1096" i="3"/>
  <c r="R1096" i="3"/>
  <c r="Q1096" i="3"/>
  <c r="P1096" i="3"/>
  <c r="O1096" i="3"/>
  <c r="N1096" i="3"/>
  <c r="N1097" i="3" s="1"/>
  <c r="U1095" i="3"/>
  <c r="T1095" i="3"/>
  <c r="S1095" i="3"/>
  <c r="R1095" i="3"/>
  <c r="Q1095" i="3"/>
  <c r="P1095" i="3"/>
  <c r="O1095" i="3"/>
  <c r="U1094" i="3"/>
  <c r="T1094" i="3"/>
  <c r="S1094" i="3"/>
  <c r="R1094" i="3"/>
  <c r="Q1094" i="3"/>
  <c r="P1094" i="3"/>
  <c r="O1094" i="3"/>
  <c r="U1093" i="3"/>
  <c r="T1093" i="3"/>
  <c r="S1093" i="3"/>
  <c r="R1093" i="3"/>
  <c r="Q1093" i="3"/>
  <c r="P1093" i="3"/>
  <c r="O1093" i="3"/>
  <c r="U1092" i="3"/>
  <c r="T1092" i="3"/>
  <c r="S1092" i="3"/>
  <c r="R1092" i="3"/>
  <c r="Q1092" i="3"/>
  <c r="P1092" i="3"/>
  <c r="O1092" i="3"/>
  <c r="U1091" i="3"/>
  <c r="T1091" i="3"/>
  <c r="S1091" i="3"/>
  <c r="R1091" i="3"/>
  <c r="Q1091" i="3"/>
  <c r="P1091" i="3"/>
  <c r="O1091" i="3"/>
  <c r="U1090" i="3"/>
  <c r="T1090" i="3"/>
  <c r="S1090" i="3"/>
  <c r="R1090" i="3"/>
  <c r="Q1090" i="3"/>
  <c r="P1090" i="3"/>
  <c r="O1090" i="3"/>
  <c r="U1089" i="3"/>
  <c r="T1089" i="3"/>
  <c r="S1089" i="3"/>
  <c r="R1089" i="3"/>
  <c r="Q1089" i="3"/>
  <c r="P1089" i="3"/>
  <c r="O1089" i="3"/>
  <c r="U1088" i="3"/>
  <c r="T1088" i="3"/>
  <c r="S1088" i="3"/>
  <c r="O1088" i="3"/>
  <c r="U1087" i="3"/>
  <c r="T1087" i="3"/>
  <c r="S1087" i="3"/>
  <c r="R1087" i="3"/>
  <c r="R1088" i="3" s="1"/>
  <c r="Q1087" i="3"/>
  <c r="Q1088" i="3" s="1"/>
  <c r="P1087" i="3"/>
  <c r="P1088" i="3" s="1"/>
  <c r="O1087" i="3"/>
  <c r="U1086" i="3"/>
  <c r="T1086" i="3"/>
  <c r="S1086" i="3"/>
  <c r="R1086" i="3"/>
  <c r="Q1086" i="3"/>
  <c r="P1086" i="3"/>
  <c r="O1086" i="3"/>
  <c r="U1085" i="3"/>
  <c r="T1085" i="3"/>
  <c r="S1085" i="3"/>
  <c r="R1085" i="3"/>
  <c r="Q1085" i="3"/>
  <c r="P1085" i="3"/>
  <c r="O1085" i="3"/>
  <c r="U1084" i="3"/>
  <c r="T1084" i="3"/>
  <c r="S1084" i="3"/>
  <c r="R1084" i="3"/>
  <c r="Q1084" i="3"/>
  <c r="P1084" i="3"/>
  <c r="O1084" i="3"/>
  <c r="U1083" i="3"/>
  <c r="T1083" i="3"/>
  <c r="S1083" i="3"/>
  <c r="R1083" i="3"/>
  <c r="Q1083" i="3"/>
  <c r="P1083" i="3"/>
  <c r="O1083" i="3"/>
  <c r="U1082" i="3"/>
  <c r="T1082" i="3"/>
  <c r="S1082" i="3"/>
  <c r="P1082" i="3"/>
  <c r="O1082" i="3"/>
  <c r="U1081" i="3"/>
  <c r="T1081" i="3"/>
  <c r="S1081" i="3"/>
  <c r="R1081" i="3"/>
  <c r="R1082" i="3" s="1"/>
  <c r="Q1081" i="3"/>
  <c r="Q1082" i="3" s="1"/>
  <c r="P1081" i="3"/>
  <c r="O1081" i="3"/>
  <c r="U1080" i="3"/>
  <c r="T1080" i="3"/>
  <c r="S1080" i="3"/>
  <c r="R1080" i="3"/>
  <c r="Q1080" i="3"/>
  <c r="P1080" i="3"/>
  <c r="O1080" i="3"/>
  <c r="U1079" i="3"/>
  <c r="T1079" i="3"/>
  <c r="S1079" i="3"/>
  <c r="R1079" i="3"/>
  <c r="Q1079" i="3"/>
  <c r="P1079" i="3"/>
  <c r="O1079" i="3"/>
  <c r="U1078" i="3"/>
  <c r="T1078" i="3"/>
  <c r="S1078" i="3"/>
  <c r="R1078" i="3"/>
  <c r="Q1078" i="3"/>
  <c r="P1078" i="3"/>
  <c r="O1078" i="3"/>
  <c r="U1077" i="3"/>
  <c r="T1077" i="3"/>
  <c r="S1077" i="3"/>
  <c r="R1077" i="3"/>
  <c r="Q1077" i="3"/>
  <c r="P1077" i="3"/>
  <c r="O1077" i="3"/>
  <c r="U1076" i="3"/>
  <c r="T1076" i="3"/>
  <c r="S1076" i="3"/>
  <c r="R1076" i="3"/>
  <c r="Q1076" i="3"/>
  <c r="P1076" i="3"/>
  <c r="O1076" i="3"/>
  <c r="U1075" i="3"/>
  <c r="T1075" i="3"/>
  <c r="S1075" i="3"/>
  <c r="R1075" i="3"/>
  <c r="Q1075" i="3"/>
  <c r="O1075" i="3"/>
  <c r="U1074" i="3"/>
  <c r="T1074" i="3"/>
  <c r="S1074" i="3"/>
  <c r="O1074" i="3"/>
  <c r="U1073" i="3"/>
  <c r="T1073" i="3"/>
  <c r="S1073" i="3"/>
  <c r="R1073" i="3"/>
  <c r="R1074" i="3" s="1"/>
  <c r="Q1073" i="3"/>
  <c r="Q1074" i="3" s="1"/>
  <c r="P1073" i="3"/>
  <c r="P1074" i="3" s="1"/>
  <c r="P1075" i="3" s="1"/>
  <c r="O1073" i="3"/>
  <c r="U1072" i="3"/>
  <c r="T1072" i="3"/>
  <c r="S1072" i="3"/>
  <c r="O1072" i="3"/>
  <c r="U1071" i="3"/>
  <c r="T1071" i="3"/>
  <c r="S1071" i="3"/>
  <c r="R1071" i="3"/>
  <c r="R1072" i="3" s="1"/>
  <c r="Q1071" i="3"/>
  <c r="Q1072" i="3" s="1"/>
  <c r="P1071" i="3"/>
  <c r="P1072" i="3" s="1"/>
  <c r="O1071" i="3"/>
  <c r="U1070" i="3"/>
  <c r="T1070" i="3"/>
  <c r="S1070" i="3"/>
  <c r="R1070" i="3"/>
  <c r="Q1070" i="3"/>
  <c r="P1070" i="3"/>
  <c r="O1070" i="3"/>
  <c r="U1069" i="3"/>
  <c r="T1069" i="3"/>
  <c r="S1069" i="3"/>
  <c r="R1069" i="3"/>
  <c r="Q1069" i="3"/>
  <c r="P1069" i="3"/>
  <c r="O1069" i="3"/>
  <c r="U1068" i="3"/>
  <c r="T1068" i="3"/>
  <c r="S1068" i="3"/>
  <c r="R1068" i="3"/>
  <c r="Q1068" i="3"/>
  <c r="O1068" i="3"/>
  <c r="U1067" i="3"/>
  <c r="T1067" i="3"/>
  <c r="S1067" i="3"/>
  <c r="R1067" i="3"/>
  <c r="Q1067" i="3"/>
  <c r="O1067" i="3"/>
  <c r="U1066" i="3"/>
  <c r="T1066" i="3"/>
  <c r="S1066" i="3"/>
  <c r="R1066" i="3"/>
  <c r="Q1066" i="3"/>
  <c r="P1066" i="3"/>
  <c r="P1067" i="3" s="1"/>
  <c r="P1068" i="3" s="1"/>
  <c r="O1066" i="3"/>
  <c r="U1065" i="3"/>
  <c r="T1065" i="3"/>
  <c r="S1065" i="3"/>
  <c r="R1065" i="3"/>
  <c r="Q1065" i="3"/>
  <c r="P1065" i="3"/>
  <c r="O1065" i="3"/>
  <c r="U1064" i="3"/>
  <c r="T1064" i="3"/>
  <c r="S1064" i="3"/>
  <c r="Q1064" i="3"/>
  <c r="U1063" i="3"/>
  <c r="T1063" i="3"/>
  <c r="S1063" i="3"/>
  <c r="O1063" i="3"/>
  <c r="O1064" i="3" s="1"/>
  <c r="U1062" i="3"/>
  <c r="T1062" i="3"/>
  <c r="S1062" i="3"/>
  <c r="O1062" i="3"/>
  <c r="U1061" i="3"/>
  <c r="T1061" i="3"/>
  <c r="S1061" i="3"/>
  <c r="R1061" i="3"/>
  <c r="R1062" i="3" s="1"/>
  <c r="R1063" i="3" s="1"/>
  <c r="R1064" i="3" s="1"/>
  <c r="Q1061" i="3"/>
  <c r="Q1062" i="3" s="1"/>
  <c r="Q1063" i="3" s="1"/>
  <c r="P1061" i="3"/>
  <c r="P1062" i="3" s="1"/>
  <c r="P1063" i="3" s="1"/>
  <c r="P1064" i="3" s="1"/>
  <c r="O1061" i="3"/>
  <c r="U1060" i="3"/>
  <c r="T1060" i="3"/>
  <c r="S1060" i="3"/>
  <c r="R1060" i="3"/>
  <c r="Q1060" i="3"/>
  <c r="P1060" i="3"/>
  <c r="O1060" i="3"/>
  <c r="U1059" i="3"/>
  <c r="T1059" i="3"/>
  <c r="S1059" i="3"/>
  <c r="R1059" i="3"/>
  <c r="Q1059" i="3"/>
  <c r="P1059" i="3"/>
  <c r="O1059" i="3"/>
  <c r="U1058" i="3"/>
  <c r="T1058" i="3"/>
  <c r="S1058" i="3"/>
  <c r="P1058" i="3"/>
  <c r="O1058" i="3"/>
  <c r="U1057" i="3"/>
  <c r="T1057" i="3"/>
  <c r="S1057" i="3"/>
  <c r="P1057" i="3"/>
  <c r="O1057" i="3"/>
  <c r="U1056" i="3"/>
  <c r="T1056" i="3"/>
  <c r="S1056" i="3"/>
  <c r="R1056" i="3"/>
  <c r="R1057" i="3" s="1"/>
  <c r="R1058" i="3" s="1"/>
  <c r="Q1056" i="3"/>
  <c r="Q1057" i="3" s="1"/>
  <c r="Q1058" i="3" s="1"/>
  <c r="P1056" i="3"/>
  <c r="O1056" i="3"/>
  <c r="U1055" i="3"/>
  <c r="T1055" i="3"/>
  <c r="S1055" i="3"/>
  <c r="P1055" i="3"/>
  <c r="U1054" i="3"/>
  <c r="T1054" i="3"/>
  <c r="S1054" i="3"/>
  <c r="Q1054" i="3"/>
  <c r="Q1055" i="3" s="1"/>
  <c r="P1054" i="3"/>
  <c r="U1053" i="3"/>
  <c r="T1053" i="3"/>
  <c r="S1053" i="3"/>
  <c r="Q1053" i="3"/>
  <c r="P1053" i="3"/>
  <c r="O1053" i="3"/>
  <c r="O1054" i="3" s="1"/>
  <c r="O1055" i="3" s="1"/>
  <c r="U1052" i="3"/>
  <c r="T1052" i="3"/>
  <c r="S1052" i="3"/>
  <c r="R1052" i="3"/>
  <c r="R1053" i="3" s="1"/>
  <c r="R1054" i="3" s="1"/>
  <c r="R1055" i="3" s="1"/>
  <c r="Q1052" i="3"/>
  <c r="P1052" i="3"/>
  <c r="O1052" i="3"/>
  <c r="U1051" i="3"/>
  <c r="T1051" i="3"/>
  <c r="S1051" i="3"/>
  <c r="R1051" i="3"/>
  <c r="Q1051" i="3"/>
  <c r="P1051" i="3"/>
  <c r="O1051" i="3"/>
  <c r="U1050" i="3"/>
  <c r="T1050" i="3"/>
  <c r="S1050" i="3"/>
  <c r="U1049" i="3"/>
  <c r="T1049" i="3"/>
  <c r="S1049" i="3"/>
  <c r="Q1049" i="3"/>
  <c r="Q1050" i="3" s="1"/>
  <c r="U1048" i="3"/>
  <c r="T1048" i="3"/>
  <c r="S1048" i="3"/>
  <c r="R1048" i="3"/>
  <c r="R1049" i="3" s="1"/>
  <c r="R1050" i="3" s="1"/>
  <c r="Q1048" i="3"/>
  <c r="P1048" i="3"/>
  <c r="P1049" i="3" s="1"/>
  <c r="P1050" i="3" s="1"/>
  <c r="U1047" i="3"/>
  <c r="T1047" i="3"/>
  <c r="S1047" i="3"/>
  <c r="P1047" i="3"/>
  <c r="U1046" i="3"/>
  <c r="T1046" i="3"/>
  <c r="S1046" i="3"/>
  <c r="R1046" i="3"/>
  <c r="R1047" i="3" s="1"/>
  <c r="Q1046" i="3"/>
  <c r="Q1047" i="3" s="1"/>
  <c r="P1046" i="3"/>
  <c r="O1046" i="3"/>
  <c r="O1047" i="3" s="1"/>
  <c r="O1048" i="3" s="1"/>
  <c r="O1049" i="3" s="1"/>
  <c r="O1050" i="3" s="1"/>
  <c r="U1045" i="3"/>
  <c r="T1045" i="3"/>
  <c r="S1045" i="3"/>
  <c r="R1045" i="3"/>
  <c r="Q1045" i="3"/>
  <c r="U1044" i="3"/>
  <c r="T1044" i="3"/>
  <c r="S1044" i="3"/>
  <c r="R1044" i="3"/>
  <c r="Q1044" i="3"/>
  <c r="P1044" i="3"/>
  <c r="P1045" i="3" s="1"/>
  <c r="O1044" i="3"/>
  <c r="O1045" i="3" s="1"/>
  <c r="U1043" i="3"/>
  <c r="T1043" i="3"/>
  <c r="S1043" i="3"/>
  <c r="U1042" i="3"/>
  <c r="T1042" i="3"/>
  <c r="S1042" i="3"/>
  <c r="U1041" i="3"/>
  <c r="T1041" i="3"/>
  <c r="S1041" i="3"/>
  <c r="U1040" i="3"/>
  <c r="T1040" i="3"/>
  <c r="S1040" i="3"/>
  <c r="P1040" i="3"/>
  <c r="P1041" i="3" s="1"/>
  <c r="P1042" i="3" s="1"/>
  <c r="P1043" i="3" s="1"/>
  <c r="U1039" i="3"/>
  <c r="T1039" i="3"/>
  <c r="S1039" i="3"/>
  <c r="R1039" i="3"/>
  <c r="R1040" i="3" s="1"/>
  <c r="R1041" i="3" s="1"/>
  <c r="R1042" i="3" s="1"/>
  <c r="R1043" i="3" s="1"/>
  <c r="Q1039" i="3"/>
  <c r="Q1040" i="3" s="1"/>
  <c r="Q1041" i="3" s="1"/>
  <c r="Q1042" i="3" s="1"/>
  <c r="Q1043" i="3" s="1"/>
  <c r="P1039" i="3"/>
  <c r="O1039" i="3"/>
  <c r="O1040" i="3" s="1"/>
  <c r="O1041" i="3" s="1"/>
  <c r="O1042" i="3" s="1"/>
  <c r="O1043" i="3" s="1"/>
  <c r="U1038" i="3"/>
  <c r="T1038" i="3"/>
  <c r="S1038" i="3"/>
  <c r="U1037" i="3"/>
  <c r="T1037" i="3"/>
  <c r="S1037" i="3"/>
  <c r="U1036" i="3"/>
  <c r="T1036" i="3"/>
  <c r="S1036" i="3"/>
  <c r="U1035" i="3"/>
  <c r="T1035" i="3"/>
  <c r="S1035" i="3"/>
  <c r="P1035" i="3"/>
  <c r="P1036" i="3" s="1"/>
  <c r="P1037" i="3" s="1"/>
  <c r="P1038" i="3" s="1"/>
  <c r="U1034" i="3"/>
  <c r="T1034" i="3"/>
  <c r="S1034" i="3"/>
  <c r="R1034" i="3"/>
  <c r="R1035" i="3" s="1"/>
  <c r="R1036" i="3" s="1"/>
  <c r="R1037" i="3" s="1"/>
  <c r="R1038" i="3" s="1"/>
  <c r="Q1034" i="3"/>
  <c r="Q1035" i="3" s="1"/>
  <c r="Q1036" i="3" s="1"/>
  <c r="Q1037" i="3" s="1"/>
  <c r="Q1038" i="3" s="1"/>
  <c r="P1034" i="3"/>
  <c r="O1034" i="3"/>
  <c r="O1035" i="3" s="1"/>
  <c r="O1036" i="3" s="1"/>
  <c r="O1037" i="3" s="1"/>
  <c r="O1038" i="3" s="1"/>
  <c r="N1034" i="3"/>
  <c r="N1035" i="3" s="1"/>
  <c r="N1036" i="3" s="1"/>
  <c r="N1037" i="3" s="1"/>
  <c r="N1038" i="3" s="1"/>
  <c r="N1039" i="3" s="1"/>
  <c r="N1040" i="3" s="1"/>
  <c r="N1041" i="3" s="1"/>
  <c r="N1042" i="3" s="1"/>
  <c r="N1043" i="3" s="1"/>
  <c r="N1044" i="3" s="1"/>
  <c r="N1045" i="3" s="1"/>
  <c r="N1046" i="3" s="1"/>
  <c r="N1047" i="3" s="1"/>
  <c r="N1048" i="3" s="1"/>
  <c r="N1049" i="3" s="1"/>
  <c r="N1050" i="3" s="1"/>
  <c r="N1051" i="3" s="1"/>
  <c r="N1052" i="3" s="1"/>
  <c r="N1053" i="3" s="1"/>
  <c r="N1054" i="3" s="1"/>
  <c r="N1055" i="3" s="1"/>
  <c r="N1056" i="3" s="1"/>
  <c r="N1057" i="3" s="1"/>
  <c r="N1058" i="3" s="1"/>
  <c r="N1059" i="3" s="1"/>
  <c r="N1060" i="3" s="1"/>
  <c r="N1061" i="3" s="1"/>
  <c r="N1062" i="3" s="1"/>
  <c r="N1063" i="3" s="1"/>
  <c r="N1064" i="3" s="1"/>
  <c r="N1065" i="3" s="1"/>
  <c r="N1066" i="3" s="1"/>
  <c r="N1067" i="3" s="1"/>
  <c r="N1068" i="3" s="1"/>
  <c r="N1069" i="3" s="1"/>
  <c r="N1070" i="3" s="1"/>
  <c r="N1071" i="3" s="1"/>
  <c r="N1072" i="3" s="1"/>
  <c r="N1073" i="3" s="1"/>
  <c r="N1074" i="3" s="1"/>
  <c r="N1075" i="3" s="1"/>
  <c r="N1076" i="3" s="1"/>
  <c r="N1077" i="3" s="1"/>
  <c r="N1078" i="3" s="1"/>
  <c r="N1079" i="3" s="1"/>
  <c r="N1080" i="3" s="1"/>
  <c r="N1081" i="3" s="1"/>
  <c r="N1082" i="3" s="1"/>
  <c r="N1083" i="3" s="1"/>
  <c r="N1084" i="3" s="1"/>
  <c r="N1085" i="3" s="1"/>
  <c r="N1086" i="3" s="1"/>
  <c r="N1087" i="3" s="1"/>
  <c r="N1088" i="3" s="1"/>
  <c r="N1089" i="3" s="1"/>
  <c r="N1090" i="3" s="1"/>
  <c r="N1091" i="3" s="1"/>
  <c r="N1092" i="3" s="1"/>
  <c r="N1093" i="3" s="1"/>
  <c r="N1094" i="3" s="1"/>
  <c r="N1095" i="3" s="1"/>
  <c r="U1033" i="3"/>
  <c r="T1033" i="3"/>
  <c r="S1033" i="3"/>
  <c r="R1033" i="3"/>
  <c r="Q1033" i="3"/>
  <c r="P1033" i="3"/>
  <c r="O1033" i="3"/>
  <c r="U1032" i="3"/>
  <c r="T1032" i="3"/>
  <c r="S1032" i="3"/>
  <c r="R1032" i="3"/>
  <c r="Q1032" i="3"/>
  <c r="P1032" i="3"/>
  <c r="O1032" i="3"/>
  <c r="N1032" i="3"/>
  <c r="N1033" i="3" s="1"/>
  <c r="U1031" i="3"/>
  <c r="T1031" i="3"/>
  <c r="S1031" i="3"/>
  <c r="R1031" i="3"/>
  <c r="Q1031" i="3"/>
  <c r="P1031" i="3"/>
  <c r="O1031" i="3"/>
  <c r="U1030" i="3"/>
  <c r="T1030" i="3"/>
  <c r="S1030" i="3"/>
  <c r="Q1030" i="3"/>
  <c r="P1030" i="3"/>
  <c r="U1029" i="3"/>
  <c r="T1029" i="3"/>
  <c r="S1029" i="3"/>
  <c r="Q1029" i="3"/>
  <c r="P1029" i="3"/>
  <c r="O1029" i="3"/>
  <c r="O1030" i="3" s="1"/>
  <c r="U1028" i="3"/>
  <c r="T1028" i="3"/>
  <c r="S1028" i="3"/>
  <c r="R1028" i="3"/>
  <c r="R1029" i="3" s="1"/>
  <c r="R1030" i="3" s="1"/>
  <c r="Q1028" i="3"/>
  <c r="P1028" i="3"/>
  <c r="O1028" i="3"/>
  <c r="U1027" i="3"/>
  <c r="T1027" i="3"/>
  <c r="S1027" i="3"/>
  <c r="U1026" i="3"/>
  <c r="T1026" i="3"/>
  <c r="S1026" i="3"/>
  <c r="U1025" i="3"/>
  <c r="T1025" i="3"/>
  <c r="S1025" i="3"/>
  <c r="U1024" i="3"/>
  <c r="T1024" i="3"/>
  <c r="S1024" i="3"/>
  <c r="R1024" i="3"/>
  <c r="R1025" i="3" s="1"/>
  <c r="R1026" i="3" s="1"/>
  <c r="R1027" i="3" s="1"/>
  <c r="Q1024" i="3"/>
  <c r="Q1025" i="3" s="1"/>
  <c r="Q1026" i="3" s="1"/>
  <c r="Q1027" i="3" s="1"/>
  <c r="P1024" i="3"/>
  <c r="P1025" i="3" s="1"/>
  <c r="P1026" i="3" s="1"/>
  <c r="P1027" i="3" s="1"/>
  <c r="O1024" i="3"/>
  <c r="O1025" i="3" s="1"/>
  <c r="O1026" i="3" s="1"/>
  <c r="O1027" i="3" s="1"/>
  <c r="U1023" i="3"/>
  <c r="T1023" i="3"/>
  <c r="S1023" i="3"/>
  <c r="R1023" i="3"/>
  <c r="Q1023" i="3"/>
  <c r="P1023" i="3"/>
  <c r="O1023" i="3"/>
  <c r="N1023" i="3"/>
  <c r="N1024" i="3" s="1"/>
  <c r="N1025" i="3" s="1"/>
  <c r="N1026" i="3" s="1"/>
  <c r="N1027" i="3" s="1"/>
  <c r="N1028" i="3" s="1"/>
  <c r="N1029" i="3" s="1"/>
  <c r="N1030" i="3" s="1"/>
  <c r="N1031" i="3" s="1"/>
  <c r="U1022" i="3"/>
  <c r="T1022" i="3"/>
  <c r="S1022" i="3"/>
  <c r="R1022" i="3"/>
  <c r="Q1022" i="3"/>
  <c r="P1022" i="3"/>
  <c r="O1022" i="3"/>
  <c r="N1022" i="3"/>
  <c r="U1021" i="3"/>
  <c r="T1021" i="3"/>
  <c r="S1021" i="3"/>
  <c r="R1021" i="3"/>
  <c r="Q1021" i="3"/>
  <c r="P1021" i="3"/>
  <c r="O1021" i="3"/>
  <c r="U1020" i="3"/>
  <c r="T1020" i="3"/>
  <c r="S1020" i="3"/>
  <c r="R1020" i="3"/>
  <c r="Q1020" i="3"/>
  <c r="P1020" i="3"/>
  <c r="O1020" i="3"/>
  <c r="U1019" i="3"/>
  <c r="T1019" i="3"/>
  <c r="S1019" i="3"/>
  <c r="U1018" i="3"/>
  <c r="T1018" i="3"/>
  <c r="S1018" i="3"/>
  <c r="R1018" i="3"/>
  <c r="R1019" i="3" s="1"/>
  <c r="Q1018" i="3"/>
  <c r="Q1019" i="3" s="1"/>
  <c r="P1018" i="3"/>
  <c r="P1019" i="3" s="1"/>
  <c r="O1018" i="3"/>
  <c r="O1019" i="3" s="1"/>
  <c r="U1017" i="3"/>
  <c r="T1017" i="3"/>
  <c r="S1017" i="3"/>
  <c r="Q1017" i="3"/>
  <c r="U1016" i="3"/>
  <c r="T1016" i="3"/>
  <c r="S1016" i="3"/>
  <c r="R1016" i="3"/>
  <c r="R1017" i="3" s="1"/>
  <c r="Q1016" i="3"/>
  <c r="P1016" i="3"/>
  <c r="P1017" i="3" s="1"/>
  <c r="O1016" i="3"/>
  <c r="O1017" i="3" s="1"/>
  <c r="U1015" i="3"/>
  <c r="T1015" i="3"/>
  <c r="S1015" i="3"/>
  <c r="Q1015" i="3"/>
  <c r="U1014" i="3"/>
  <c r="T1014" i="3"/>
  <c r="S1014" i="3"/>
  <c r="R1014" i="3"/>
  <c r="R1015" i="3" s="1"/>
  <c r="Q1014" i="3"/>
  <c r="P1014" i="3"/>
  <c r="P1015" i="3" s="1"/>
  <c r="O1014" i="3"/>
  <c r="O1015" i="3" s="1"/>
  <c r="U1013" i="3"/>
  <c r="T1013" i="3"/>
  <c r="S1013" i="3"/>
  <c r="R1013" i="3"/>
  <c r="Q1013" i="3"/>
  <c r="P1013" i="3"/>
  <c r="O1013" i="3"/>
  <c r="U1012" i="3"/>
  <c r="T1012" i="3"/>
  <c r="S1012" i="3"/>
  <c r="R1012" i="3"/>
  <c r="Q1012" i="3"/>
  <c r="P1012" i="3"/>
  <c r="O1012" i="3"/>
  <c r="U1011" i="3"/>
  <c r="T1011" i="3"/>
  <c r="S1011" i="3"/>
  <c r="R1011" i="3"/>
  <c r="Q1011" i="3"/>
  <c r="U1010" i="3"/>
  <c r="T1010" i="3"/>
  <c r="S1010" i="3"/>
  <c r="R1010" i="3"/>
  <c r="Q1010" i="3"/>
  <c r="P1010" i="3"/>
  <c r="P1011" i="3" s="1"/>
  <c r="O1010" i="3"/>
  <c r="O1011" i="3" s="1"/>
  <c r="U1009" i="3"/>
  <c r="T1009" i="3"/>
  <c r="S1009" i="3"/>
  <c r="R1009" i="3"/>
  <c r="Q1009" i="3"/>
  <c r="U1008" i="3"/>
  <c r="T1008" i="3"/>
  <c r="S1008" i="3"/>
  <c r="R1008" i="3"/>
  <c r="Q1008" i="3"/>
  <c r="P1008" i="3"/>
  <c r="P1009" i="3" s="1"/>
  <c r="O1008" i="3"/>
  <c r="O1009" i="3" s="1"/>
  <c r="U1007" i="3"/>
  <c r="T1007" i="3"/>
  <c r="S1007" i="3"/>
  <c r="R1007" i="3"/>
  <c r="Q1007" i="3"/>
  <c r="P1007" i="3"/>
  <c r="O1007" i="3"/>
  <c r="U1006" i="3"/>
  <c r="T1006" i="3"/>
  <c r="S1006" i="3"/>
  <c r="Q1006" i="3"/>
  <c r="U1005" i="3"/>
  <c r="T1005" i="3"/>
  <c r="S1005" i="3"/>
  <c r="R1005" i="3"/>
  <c r="R1006" i="3" s="1"/>
  <c r="Q1005" i="3"/>
  <c r="P1005" i="3"/>
  <c r="P1006" i="3" s="1"/>
  <c r="O1005" i="3"/>
  <c r="O1006" i="3" s="1"/>
  <c r="U1004" i="3"/>
  <c r="T1004" i="3"/>
  <c r="S1004" i="3"/>
  <c r="U1003" i="3"/>
  <c r="T1003" i="3"/>
  <c r="S1003" i="3"/>
  <c r="R1003" i="3"/>
  <c r="R1004" i="3" s="1"/>
  <c r="Q1003" i="3"/>
  <c r="Q1004" i="3" s="1"/>
  <c r="P1003" i="3"/>
  <c r="P1004" i="3" s="1"/>
  <c r="O1003" i="3"/>
  <c r="O1004" i="3" s="1"/>
  <c r="U1002" i="3"/>
  <c r="T1002" i="3"/>
  <c r="S1002" i="3"/>
  <c r="Q1002" i="3"/>
  <c r="U1001" i="3"/>
  <c r="T1001" i="3"/>
  <c r="S1001" i="3"/>
  <c r="Q1001" i="3"/>
  <c r="U1000" i="3"/>
  <c r="T1000" i="3"/>
  <c r="S1000" i="3"/>
  <c r="R1000" i="3"/>
  <c r="R1001" i="3" s="1"/>
  <c r="R1002" i="3" s="1"/>
  <c r="Q1000" i="3"/>
  <c r="P1000" i="3"/>
  <c r="P1001" i="3" s="1"/>
  <c r="P1002" i="3" s="1"/>
  <c r="O1000" i="3"/>
  <c r="O1001" i="3" s="1"/>
  <c r="O1002" i="3" s="1"/>
  <c r="U999" i="3"/>
  <c r="T999" i="3"/>
  <c r="S999" i="3"/>
  <c r="U998" i="3"/>
  <c r="T998" i="3"/>
  <c r="S998" i="3"/>
  <c r="U997" i="3"/>
  <c r="T997" i="3"/>
  <c r="S997" i="3"/>
  <c r="R997" i="3"/>
  <c r="R998" i="3" s="1"/>
  <c r="R999" i="3" s="1"/>
  <c r="Q997" i="3"/>
  <c r="Q998" i="3" s="1"/>
  <c r="Q999" i="3" s="1"/>
  <c r="P997" i="3"/>
  <c r="P998" i="3" s="1"/>
  <c r="P999" i="3" s="1"/>
  <c r="O997" i="3"/>
  <c r="O998" i="3" s="1"/>
  <c r="O999" i="3" s="1"/>
  <c r="U996" i="3"/>
  <c r="T996" i="3"/>
  <c r="S996" i="3"/>
  <c r="R996" i="3"/>
  <c r="Q996" i="3"/>
  <c r="P996" i="3"/>
  <c r="O996" i="3"/>
  <c r="U995" i="3"/>
  <c r="T995" i="3"/>
  <c r="S995" i="3"/>
  <c r="U994" i="3"/>
  <c r="T994" i="3"/>
  <c r="S994" i="3"/>
  <c r="R994" i="3"/>
  <c r="R995" i="3" s="1"/>
  <c r="Q994" i="3"/>
  <c r="Q995" i="3" s="1"/>
  <c r="P994" i="3"/>
  <c r="P995" i="3" s="1"/>
  <c r="O994" i="3"/>
  <c r="O995" i="3" s="1"/>
  <c r="U993" i="3"/>
  <c r="T993" i="3"/>
  <c r="S993" i="3"/>
  <c r="Q993" i="3"/>
  <c r="U992" i="3"/>
  <c r="T992" i="3"/>
  <c r="S992" i="3"/>
  <c r="Q992" i="3"/>
  <c r="U991" i="3"/>
  <c r="T991" i="3"/>
  <c r="S991" i="3"/>
  <c r="R991" i="3"/>
  <c r="R992" i="3" s="1"/>
  <c r="R993" i="3" s="1"/>
  <c r="Q991" i="3"/>
  <c r="U990" i="3"/>
  <c r="T990" i="3"/>
  <c r="S990" i="3"/>
  <c r="R990" i="3"/>
  <c r="Q990" i="3"/>
  <c r="P990" i="3"/>
  <c r="P991" i="3" s="1"/>
  <c r="P992" i="3" s="1"/>
  <c r="P993" i="3" s="1"/>
  <c r="O990" i="3"/>
  <c r="O991" i="3" s="1"/>
  <c r="O992" i="3" s="1"/>
  <c r="O993" i="3" s="1"/>
  <c r="U989" i="3"/>
  <c r="T989" i="3"/>
  <c r="S989" i="3"/>
  <c r="R989" i="3"/>
  <c r="Q989" i="3"/>
  <c r="P989" i="3"/>
  <c r="O989" i="3"/>
  <c r="U988" i="3"/>
  <c r="T988" i="3"/>
  <c r="S988" i="3"/>
  <c r="R988" i="3"/>
  <c r="Q988" i="3"/>
  <c r="P988" i="3"/>
  <c r="O988" i="3"/>
  <c r="U987" i="3"/>
  <c r="T987" i="3"/>
  <c r="S987" i="3"/>
  <c r="R987" i="3"/>
  <c r="Q987" i="3"/>
  <c r="U986" i="3"/>
  <c r="T986" i="3"/>
  <c r="S986" i="3"/>
  <c r="Q986" i="3"/>
  <c r="U985" i="3"/>
  <c r="T985" i="3"/>
  <c r="S985" i="3"/>
  <c r="R985" i="3"/>
  <c r="R986" i="3" s="1"/>
  <c r="Q985" i="3"/>
  <c r="U984" i="3"/>
  <c r="T984" i="3"/>
  <c r="S984" i="3"/>
  <c r="R984" i="3"/>
  <c r="Q984" i="3"/>
  <c r="P984" i="3"/>
  <c r="P985" i="3" s="1"/>
  <c r="P986" i="3" s="1"/>
  <c r="P987" i="3" s="1"/>
  <c r="O984" i="3"/>
  <c r="O985" i="3" s="1"/>
  <c r="O986" i="3" s="1"/>
  <c r="O987" i="3" s="1"/>
  <c r="U983" i="3"/>
  <c r="T983" i="3"/>
  <c r="S983" i="3"/>
  <c r="R983" i="3"/>
  <c r="Q983" i="3"/>
  <c r="U982" i="3"/>
  <c r="T982" i="3"/>
  <c r="S982" i="3"/>
  <c r="R982" i="3"/>
  <c r="Q982" i="3"/>
  <c r="P982" i="3"/>
  <c r="P983" i="3" s="1"/>
  <c r="O982" i="3"/>
  <c r="O983" i="3" s="1"/>
  <c r="U981" i="3"/>
  <c r="T981" i="3"/>
  <c r="S981" i="3"/>
  <c r="R981" i="3"/>
  <c r="Q981" i="3"/>
  <c r="U980" i="3"/>
  <c r="T980" i="3"/>
  <c r="S980" i="3"/>
  <c r="U979" i="3"/>
  <c r="T979" i="3"/>
  <c r="S979" i="3"/>
  <c r="U978" i="3"/>
  <c r="T978" i="3"/>
  <c r="S978" i="3"/>
  <c r="R978" i="3"/>
  <c r="R979" i="3" s="1"/>
  <c r="R980" i="3" s="1"/>
  <c r="U977" i="3"/>
  <c r="T977" i="3"/>
  <c r="S977" i="3"/>
  <c r="R977" i="3"/>
  <c r="Q977" i="3"/>
  <c r="Q978" i="3" s="1"/>
  <c r="Q979" i="3" s="1"/>
  <c r="Q980" i="3" s="1"/>
  <c r="U976" i="3"/>
  <c r="T976" i="3"/>
  <c r="S976" i="3"/>
  <c r="R976" i="3"/>
  <c r="Q976" i="3"/>
  <c r="U975" i="3"/>
  <c r="T975" i="3"/>
  <c r="S975" i="3"/>
  <c r="R975" i="3"/>
  <c r="Q975" i="3"/>
  <c r="P975" i="3"/>
  <c r="P976" i="3" s="1"/>
  <c r="P977" i="3" s="1"/>
  <c r="P978" i="3" s="1"/>
  <c r="P979" i="3" s="1"/>
  <c r="P980" i="3" s="1"/>
  <c r="P981" i="3" s="1"/>
  <c r="O975" i="3"/>
  <c r="O976" i="3" s="1"/>
  <c r="O977" i="3" s="1"/>
  <c r="O978" i="3" s="1"/>
  <c r="O979" i="3" s="1"/>
  <c r="O980" i="3" s="1"/>
  <c r="O981" i="3" s="1"/>
  <c r="U974" i="3"/>
  <c r="T974" i="3"/>
  <c r="S974" i="3"/>
  <c r="R974" i="3"/>
  <c r="Q974" i="3"/>
  <c r="U973" i="3"/>
  <c r="T973" i="3"/>
  <c r="S973" i="3"/>
  <c r="R973" i="3"/>
  <c r="Q973" i="3"/>
  <c r="U972" i="3"/>
  <c r="T972" i="3"/>
  <c r="S972" i="3"/>
  <c r="R972" i="3"/>
  <c r="Q972" i="3"/>
  <c r="P972" i="3"/>
  <c r="P973" i="3" s="1"/>
  <c r="P974" i="3" s="1"/>
  <c r="O972" i="3"/>
  <c r="O973" i="3" s="1"/>
  <c r="O974" i="3" s="1"/>
  <c r="U971" i="3"/>
  <c r="T971" i="3"/>
  <c r="S971" i="3"/>
  <c r="R971" i="3"/>
  <c r="Q971" i="3"/>
  <c r="U970" i="3"/>
  <c r="T970" i="3"/>
  <c r="S970" i="3"/>
  <c r="R970" i="3"/>
  <c r="Q970" i="3"/>
  <c r="U969" i="3"/>
  <c r="T969" i="3"/>
  <c r="S969" i="3"/>
  <c r="R969" i="3"/>
  <c r="Q969" i="3"/>
  <c r="P969" i="3"/>
  <c r="P970" i="3" s="1"/>
  <c r="P971" i="3" s="1"/>
  <c r="O969" i="3"/>
  <c r="O970" i="3" s="1"/>
  <c r="O971" i="3" s="1"/>
  <c r="U968" i="3"/>
  <c r="T968" i="3"/>
  <c r="S968" i="3"/>
  <c r="R968" i="3"/>
  <c r="Q968" i="3"/>
  <c r="U967" i="3"/>
  <c r="T967" i="3"/>
  <c r="S967" i="3"/>
  <c r="R967" i="3"/>
  <c r="Q967" i="3"/>
  <c r="P967" i="3"/>
  <c r="P968" i="3" s="1"/>
  <c r="O967" i="3"/>
  <c r="O968" i="3" s="1"/>
  <c r="U966" i="3"/>
  <c r="T966" i="3"/>
  <c r="S966" i="3"/>
  <c r="R966" i="3"/>
  <c r="Q966" i="3"/>
  <c r="P966" i="3"/>
  <c r="O966" i="3"/>
  <c r="U965" i="3"/>
  <c r="T965" i="3"/>
  <c r="S965" i="3"/>
  <c r="R965" i="3"/>
  <c r="Q965" i="3"/>
  <c r="P965" i="3"/>
  <c r="O965" i="3"/>
  <c r="U964" i="3"/>
  <c r="T964" i="3"/>
  <c r="S964" i="3"/>
  <c r="R964" i="3"/>
  <c r="Q964" i="3"/>
  <c r="P964" i="3"/>
  <c r="O964" i="3"/>
  <c r="U963" i="3"/>
  <c r="T963" i="3"/>
  <c r="S963" i="3"/>
  <c r="U962" i="3"/>
  <c r="T962" i="3"/>
  <c r="S962" i="3"/>
  <c r="U961" i="3"/>
  <c r="T961" i="3"/>
  <c r="S961" i="3"/>
  <c r="Q961" i="3"/>
  <c r="Q962" i="3" s="1"/>
  <c r="Q963" i="3" s="1"/>
  <c r="U960" i="3"/>
  <c r="T960" i="3"/>
  <c r="S960" i="3"/>
  <c r="R960" i="3"/>
  <c r="R961" i="3" s="1"/>
  <c r="R962" i="3" s="1"/>
  <c r="R963" i="3" s="1"/>
  <c r="Q960" i="3"/>
  <c r="U959" i="3"/>
  <c r="T959" i="3"/>
  <c r="S959" i="3"/>
  <c r="R959" i="3"/>
  <c r="Q959" i="3"/>
  <c r="P959" i="3"/>
  <c r="P960" i="3" s="1"/>
  <c r="P961" i="3" s="1"/>
  <c r="P962" i="3" s="1"/>
  <c r="P963" i="3" s="1"/>
  <c r="O959" i="3"/>
  <c r="O960" i="3" s="1"/>
  <c r="O961" i="3" s="1"/>
  <c r="O962" i="3" s="1"/>
  <c r="O963" i="3" s="1"/>
  <c r="U958" i="3"/>
  <c r="T958" i="3"/>
  <c r="S958" i="3"/>
  <c r="R958" i="3"/>
  <c r="Q958" i="3"/>
  <c r="P958" i="3"/>
  <c r="O958" i="3"/>
  <c r="U957" i="3"/>
  <c r="T957" i="3"/>
  <c r="S957" i="3"/>
  <c r="R957" i="3"/>
  <c r="Q957" i="3"/>
  <c r="P957" i="3"/>
  <c r="O957" i="3"/>
  <c r="U956" i="3"/>
  <c r="T956" i="3"/>
  <c r="S956" i="3"/>
  <c r="R956" i="3"/>
  <c r="Q956" i="3"/>
  <c r="P956" i="3"/>
  <c r="O956" i="3"/>
  <c r="U955" i="3"/>
  <c r="T955" i="3"/>
  <c r="S955" i="3"/>
  <c r="R955" i="3"/>
  <c r="Q955" i="3"/>
  <c r="U954" i="3"/>
  <c r="T954" i="3"/>
  <c r="S954" i="3"/>
  <c r="R954" i="3"/>
  <c r="Q954" i="3"/>
  <c r="U953" i="3"/>
  <c r="T953" i="3"/>
  <c r="S953" i="3"/>
  <c r="Q953" i="3"/>
  <c r="U952" i="3"/>
  <c r="T952" i="3"/>
  <c r="S952" i="3"/>
  <c r="Q952" i="3"/>
  <c r="U951" i="3"/>
  <c r="T951" i="3"/>
  <c r="S951" i="3"/>
  <c r="R951" i="3"/>
  <c r="R952" i="3" s="1"/>
  <c r="R953" i="3" s="1"/>
  <c r="Q951" i="3"/>
  <c r="P951" i="3"/>
  <c r="P952" i="3" s="1"/>
  <c r="P953" i="3" s="1"/>
  <c r="P954" i="3" s="1"/>
  <c r="P955" i="3" s="1"/>
  <c r="O951" i="3"/>
  <c r="O952" i="3" s="1"/>
  <c r="O953" i="3" s="1"/>
  <c r="O954" i="3" s="1"/>
  <c r="O955" i="3" s="1"/>
  <c r="U950" i="3"/>
  <c r="T950" i="3"/>
  <c r="S950" i="3"/>
  <c r="Q950" i="3"/>
  <c r="U949" i="3"/>
  <c r="T949" i="3"/>
  <c r="S949" i="3"/>
  <c r="R949" i="3"/>
  <c r="R950" i="3" s="1"/>
  <c r="Q949" i="3"/>
  <c r="P949" i="3"/>
  <c r="P950" i="3" s="1"/>
  <c r="U948" i="3"/>
  <c r="T948" i="3"/>
  <c r="S948" i="3"/>
  <c r="R948" i="3"/>
  <c r="Q948" i="3"/>
  <c r="P948" i="3"/>
  <c r="O948" i="3"/>
  <c r="O949" i="3" s="1"/>
  <c r="O950" i="3" s="1"/>
  <c r="U947" i="3"/>
  <c r="T947" i="3"/>
  <c r="S947" i="3"/>
  <c r="R947" i="3"/>
  <c r="Q947" i="3"/>
  <c r="P947" i="3"/>
  <c r="U946" i="3"/>
  <c r="T946" i="3"/>
  <c r="S946" i="3"/>
  <c r="U945" i="3"/>
  <c r="T945" i="3"/>
  <c r="S945" i="3"/>
  <c r="P945" i="3"/>
  <c r="P946" i="3" s="1"/>
  <c r="U944" i="3"/>
  <c r="T944" i="3"/>
  <c r="S944" i="3"/>
  <c r="R944" i="3"/>
  <c r="R945" i="3" s="1"/>
  <c r="R946" i="3" s="1"/>
  <c r="Q944" i="3"/>
  <c r="Q945" i="3" s="1"/>
  <c r="Q946" i="3" s="1"/>
  <c r="P944" i="3"/>
  <c r="O944" i="3"/>
  <c r="O945" i="3" s="1"/>
  <c r="O946" i="3" s="1"/>
  <c r="O947" i="3" s="1"/>
  <c r="U943" i="3"/>
  <c r="T943" i="3"/>
  <c r="S943" i="3"/>
  <c r="R943" i="3"/>
  <c r="Q943" i="3"/>
  <c r="P943" i="3"/>
  <c r="O943" i="3"/>
  <c r="U942" i="3"/>
  <c r="T942" i="3"/>
  <c r="S942" i="3"/>
  <c r="R942" i="3"/>
  <c r="Q942" i="3"/>
  <c r="P942" i="3"/>
  <c r="O942" i="3"/>
  <c r="U941" i="3"/>
  <c r="T941" i="3"/>
  <c r="S941" i="3"/>
  <c r="R941" i="3"/>
  <c r="Q941" i="3"/>
  <c r="U940" i="3"/>
  <c r="T940" i="3"/>
  <c r="S940" i="3"/>
  <c r="U939" i="3"/>
  <c r="T939" i="3"/>
  <c r="S939" i="3"/>
  <c r="R939" i="3"/>
  <c r="R940" i="3" s="1"/>
  <c r="Q939" i="3"/>
  <c r="Q940" i="3" s="1"/>
  <c r="U938" i="3"/>
  <c r="T938" i="3"/>
  <c r="S938" i="3"/>
  <c r="P938" i="3"/>
  <c r="P939" i="3" s="1"/>
  <c r="P940" i="3" s="1"/>
  <c r="P941" i="3" s="1"/>
  <c r="U937" i="3"/>
  <c r="T937" i="3"/>
  <c r="S937" i="3"/>
  <c r="P937" i="3"/>
  <c r="U936" i="3"/>
  <c r="T936" i="3"/>
  <c r="S936" i="3"/>
  <c r="R936" i="3"/>
  <c r="R937" i="3" s="1"/>
  <c r="R938" i="3" s="1"/>
  <c r="Q936" i="3"/>
  <c r="Q937" i="3" s="1"/>
  <c r="Q938" i="3" s="1"/>
  <c r="P936" i="3"/>
  <c r="O936" i="3"/>
  <c r="O937" i="3" s="1"/>
  <c r="O938" i="3" s="1"/>
  <c r="O939" i="3" s="1"/>
  <c r="O940" i="3" s="1"/>
  <c r="O941" i="3" s="1"/>
  <c r="U935" i="3"/>
  <c r="T935" i="3"/>
  <c r="S935" i="3"/>
  <c r="P935" i="3"/>
  <c r="U934" i="3"/>
  <c r="T934" i="3"/>
  <c r="S934" i="3"/>
  <c r="R934" i="3"/>
  <c r="R935" i="3" s="1"/>
  <c r="Q934" i="3"/>
  <c r="Q935" i="3" s="1"/>
  <c r="P934" i="3"/>
  <c r="O934" i="3"/>
  <c r="O935" i="3" s="1"/>
  <c r="U933" i="3"/>
  <c r="T933" i="3"/>
  <c r="S933" i="3"/>
  <c r="R933" i="3"/>
  <c r="Q933" i="3"/>
  <c r="U932" i="3"/>
  <c r="T932" i="3"/>
  <c r="S932" i="3"/>
  <c r="R932" i="3"/>
  <c r="Q932" i="3"/>
  <c r="U931" i="3"/>
  <c r="T931" i="3"/>
  <c r="S931" i="3"/>
  <c r="R931" i="3"/>
  <c r="Q931" i="3"/>
  <c r="P931" i="3"/>
  <c r="P932" i="3" s="1"/>
  <c r="P933" i="3" s="1"/>
  <c r="O931" i="3"/>
  <c r="O932" i="3" s="1"/>
  <c r="O933" i="3" s="1"/>
  <c r="U930" i="3"/>
  <c r="T930" i="3"/>
  <c r="S930" i="3"/>
  <c r="R930" i="3"/>
  <c r="Q930" i="3"/>
  <c r="P930" i="3"/>
  <c r="O930" i="3"/>
  <c r="U929" i="3"/>
  <c r="T929" i="3"/>
  <c r="S929" i="3"/>
  <c r="U928" i="3"/>
  <c r="T928" i="3"/>
  <c r="S928" i="3"/>
  <c r="U927" i="3"/>
  <c r="T927" i="3"/>
  <c r="S927" i="3"/>
  <c r="R927" i="3"/>
  <c r="R928" i="3" s="1"/>
  <c r="R929" i="3" s="1"/>
  <c r="Q927" i="3"/>
  <c r="Q928" i="3" s="1"/>
  <c r="Q929" i="3" s="1"/>
  <c r="U926" i="3"/>
  <c r="T926" i="3"/>
  <c r="S926" i="3"/>
  <c r="U925" i="3"/>
  <c r="T925" i="3"/>
  <c r="S925" i="3"/>
  <c r="R925" i="3"/>
  <c r="R926" i="3" s="1"/>
  <c r="Q925" i="3"/>
  <c r="Q926" i="3" s="1"/>
  <c r="P925" i="3"/>
  <c r="P926" i="3" s="1"/>
  <c r="P927" i="3" s="1"/>
  <c r="P928" i="3" s="1"/>
  <c r="P929" i="3" s="1"/>
  <c r="O925" i="3"/>
  <c r="O926" i="3" s="1"/>
  <c r="O927" i="3" s="1"/>
  <c r="O928" i="3" s="1"/>
  <c r="O929" i="3" s="1"/>
  <c r="U924" i="3"/>
  <c r="T924" i="3"/>
  <c r="S924" i="3"/>
  <c r="U923" i="3"/>
  <c r="T923" i="3"/>
  <c r="S923" i="3"/>
  <c r="R923" i="3"/>
  <c r="R924" i="3" s="1"/>
  <c r="Q923" i="3"/>
  <c r="Q924" i="3" s="1"/>
  <c r="U922" i="3"/>
  <c r="T922" i="3"/>
  <c r="S922" i="3"/>
  <c r="R922" i="3"/>
  <c r="Q922" i="3"/>
  <c r="U921" i="3"/>
  <c r="T921" i="3"/>
  <c r="S921" i="3"/>
  <c r="U920" i="3"/>
  <c r="T920" i="3"/>
  <c r="S920" i="3"/>
  <c r="U919" i="3"/>
  <c r="T919" i="3"/>
  <c r="S919" i="3"/>
  <c r="U918" i="3"/>
  <c r="T918" i="3"/>
  <c r="S918" i="3"/>
  <c r="U917" i="3"/>
  <c r="T917" i="3"/>
  <c r="S917" i="3"/>
  <c r="R917" i="3"/>
  <c r="R918" i="3" s="1"/>
  <c r="R919" i="3" s="1"/>
  <c r="R920" i="3" s="1"/>
  <c r="R921" i="3" s="1"/>
  <c r="Q917" i="3"/>
  <c r="Q918" i="3" s="1"/>
  <c r="Q919" i="3" s="1"/>
  <c r="Q920" i="3" s="1"/>
  <c r="Q921" i="3" s="1"/>
  <c r="P917" i="3"/>
  <c r="P918" i="3" s="1"/>
  <c r="P919" i="3" s="1"/>
  <c r="P920" i="3" s="1"/>
  <c r="P921" i="3" s="1"/>
  <c r="P922" i="3" s="1"/>
  <c r="P923" i="3" s="1"/>
  <c r="P924" i="3" s="1"/>
  <c r="O917" i="3"/>
  <c r="O918" i="3" s="1"/>
  <c r="O919" i="3" s="1"/>
  <c r="O920" i="3" s="1"/>
  <c r="O921" i="3" s="1"/>
  <c r="O922" i="3" s="1"/>
  <c r="O923" i="3" s="1"/>
  <c r="O924" i="3" s="1"/>
  <c r="U916" i="3"/>
  <c r="T916" i="3"/>
  <c r="S916" i="3"/>
  <c r="R916" i="3"/>
  <c r="Q916" i="3"/>
  <c r="P916" i="3"/>
  <c r="O916" i="3"/>
  <c r="U915" i="3"/>
  <c r="T915" i="3"/>
  <c r="S915" i="3"/>
  <c r="P915" i="3"/>
  <c r="U914" i="3"/>
  <c r="T914" i="3"/>
  <c r="S914" i="3"/>
  <c r="R914" i="3"/>
  <c r="R915" i="3" s="1"/>
  <c r="Q914" i="3"/>
  <c r="Q915" i="3" s="1"/>
  <c r="P914" i="3"/>
  <c r="O914" i="3"/>
  <c r="O915" i="3" s="1"/>
  <c r="N914" i="3"/>
  <c r="N915" i="3" s="1"/>
  <c r="N916" i="3" s="1"/>
  <c r="N917" i="3" s="1"/>
  <c r="N918" i="3" s="1"/>
  <c r="N919" i="3" s="1"/>
  <c r="N920" i="3" s="1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N948" i="3" s="1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N1001" i="3" s="1"/>
  <c r="N1002" i="3" s="1"/>
  <c r="N1003" i="3" s="1"/>
  <c r="N1004" i="3" s="1"/>
  <c r="N1005" i="3" s="1"/>
  <c r="N1006" i="3" s="1"/>
  <c r="N1007" i="3" s="1"/>
  <c r="N1008" i="3" s="1"/>
  <c r="N1009" i="3" s="1"/>
  <c r="N1010" i="3" s="1"/>
  <c r="N1011" i="3" s="1"/>
  <c r="N1012" i="3" s="1"/>
  <c r="N1013" i="3" s="1"/>
  <c r="N1014" i="3" s="1"/>
  <c r="N1015" i="3" s="1"/>
  <c r="N1016" i="3" s="1"/>
  <c r="N1017" i="3" s="1"/>
  <c r="N1018" i="3" s="1"/>
  <c r="N1019" i="3" s="1"/>
  <c r="N1020" i="3" s="1"/>
  <c r="N1021" i="3" s="1"/>
  <c r="U913" i="3"/>
  <c r="T913" i="3"/>
  <c r="S913" i="3"/>
  <c r="R913" i="3"/>
  <c r="Q913" i="3"/>
  <c r="P913" i="3"/>
  <c r="O913" i="3"/>
  <c r="U912" i="3"/>
  <c r="T912" i="3"/>
  <c r="S912" i="3"/>
  <c r="R912" i="3"/>
  <c r="Q912" i="3"/>
  <c r="P912" i="3"/>
  <c r="O912" i="3"/>
  <c r="U911" i="3"/>
  <c r="T911" i="3"/>
  <c r="S911" i="3"/>
  <c r="U910" i="3"/>
  <c r="T910" i="3"/>
  <c r="S910" i="3"/>
  <c r="R910" i="3"/>
  <c r="R911" i="3" s="1"/>
  <c r="Q910" i="3"/>
  <c r="Q911" i="3" s="1"/>
  <c r="P910" i="3"/>
  <c r="P911" i="3" s="1"/>
  <c r="O910" i="3"/>
  <c r="O911" i="3" s="1"/>
  <c r="U909" i="3"/>
  <c r="T909" i="3"/>
  <c r="S909" i="3"/>
  <c r="U908" i="3"/>
  <c r="T908" i="3"/>
  <c r="S908" i="3"/>
  <c r="R908" i="3"/>
  <c r="R909" i="3" s="1"/>
  <c r="Q908" i="3"/>
  <c r="Q909" i="3" s="1"/>
  <c r="U907" i="3"/>
  <c r="T907" i="3"/>
  <c r="S907" i="3"/>
  <c r="R907" i="3"/>
  <c r="Q907" i="3"/>
  <c r="P907" i="3"/>
  <c r="P908" i="3" s="1"/>
  <c r="P909" i="3" s="1"/>
  <c r="O907" i="3"/>
  <c r="O908" i="3" s="1"/>
  <c r="O909" i="3" s="1"/>
  <c r="U906" i="3"/>
  <c r="T906" i="3"/>
  <c r="S906" i="3"/>
  <c r="R906" i="3"/>
  <c r="Q906" i="3"/>
  <c r="P906" i="3"/>
  <c r="O906" i="3"/>
  <c r="N906" i="3"/>
  <c r="N907" i="3" s="1"/>
  <c r="N908" i="3" s="1"/>
  <c r="N909" i="3" s="1"/>
  <c r="N910" i="3" s="1"/>
  <c r="N911" i="3" s="1"/>
  <c r="N912" i="3" s="1"/>
  <c r="N913" i="3" s="1"/>
  <c r="U905" i="3"/>
  <c r="T905" i="3"/>
  <c r="S905" i="3"/>
  <c r="R905" i="3"/>
  <c r="Q905" i="3"/>
  <c r="P905" i="3"/>
  <c r="O905" i="3"/>
  <c r="N905" i="3"/>
  <c r="U904" i="3"/>
  <c r="T904" i="3"/>
  <c r="S904" i="3"/>
  <c r="R904" i="3"/>
  <c r="Q904" i="3"/>
  <c r="P904" i="3"/>
  <c r="O904" i="3"/>
  <c r="N904" i="3"/>
  <c r="U903" i="3"/>
  <c r="T903" i="3"/>
  <c r="S903" i="3"/>
  <c r="R903" i="3"/>
  <c r="Q903" i="3"/>
  <c r="P903" i="3"/>
  <c r="O903" i="3"/>
  <c r="U902" i="3"/>
  <c r="T902" i="3"/>
  <c r="S902" i="3"/>
  <c r="R902" i="3"/>
  <c r="Q902" i="3"/>
  <c r="P902" i="3"/>
  <c r="O902" i="3"/>
  <c r="U901" i="3"/>
  <c r="T901" i="3"/>
  <c r="S901" i="3"/>
  <c r="R901" i="3"/>
  <c r="Q901" i="3"/>
  <c r="P901" i="3"/>
  <c r="O901" i="3"/>
  <c r="U900" i="3"/>
  <c r="T900" i="3"/>
  <c r="S900" i="3"/>
  <c r="R900" i="3"/>
  <c r="Q900" i="3"/>
  <c r="P900" i="3"/>
  <c r="U899" i="3"/>
  <c r="T899" i="3"/>
  <c r="S899" i="3"/>
  <c r="R899" i="3"/>
  <c r="Q899" i="3"/>
  <c r="P899" i="3"/>
  <c r="O899" i="3"/>
  <c r="O900" i="3" s="1"/>
  <c r="U898" i="3"/>
  <c r="T898" i="3"/>
  <c r="S898" i="3"/>
  <c r="R898" i="3"/>
  <c r="Q898" i="3"/>
  <c r="P898" i="3"/>
  <c r="O898" i="3"/>
  <c r="U897" i="3"/>
  <c r="T897" i="3"/>
  <c r="S897" i="3"/>
  <c r="U896" i="3"/>
  <c r="T896" i="3"/>
  <c r="S896" i="3"/>
  <c r="R896" i="3"/>
  <c r="R897" i="3" s="1"/>
  <c r="Q896" i="3"/>
  <c r="Q897" i="3" s="1"/>
  <c r="P896" i="3"/>
  <c r="P897" i="3" s="1"/>
  <c r="O896" i="3"/>
  <c r="O897" i="3" s="1"/>
  <c r="U895" i="3"/>
  <c r="T895" i="3"/>
  <c r="S895" i="3"/>
  <c r="R895" i="3"/>
  <c r="Q895" i="3"/>
  <c r="P895" i="3"/>
  <c r="O895" i="3"/>
  <c r="U894" i="3"/>
  <c r="T894" i="3"/>
  <c r="S894" i="3"/>
  <c r="U893" i="3"/>
  <c r="T893" i="3"/>
  <c r="S893" i="3"/>
  <c r="R893" i="3"/>
  <c r="R894" i="3" s="1"/>
  <c r="Q893" i="3"/>
  <c r="Q894" i="3" s="1"/>
  <c r="U892" i="3"/>
  <c r="T892" i="3"/>
  <c r="S892" i="3"/>
  <c r="U891" i="3"/>
  <c r="T891" i="3"/>
  <c r="S891" i="3"/>
  <c r="U890" i="3"/>
  <c r="T890" i="3"/>
  <c r="S890" i="3"/>
  <c r="U889" i="3"/>
  <c r="T889" i="3"/>
  <c r="S889" i="3"/>
  <c r="R889" i="3"/>
  <c r="R890" i="3" s="1"/>
  <c r="R891" i="3" s="1"/>
  <c r="R892" i="3" s="1"/>
  <c r="Q889" i="3"/>
  <c r="Q890" i="3" s="1"/>
  <c r="Q891" i="3" s="1"/>
  <c r="Q892" i="3" s="1"/>
  <c r="P889" i="3"/>
  <c r="P890" i="3" s="1"/>
  <c r="P891" i="3" s="1"/>
  <c r="P892" i="3" s="1"/>
  <c r="P893" i="3" s="1"/>
  <c r="P894" i="3" s="1"/>
  <c r="U888" i="3"/>
  <c r="T888" i="3"/>
  <c r="S888" i="3"/>
  <c r="R888" i="3"/>
  <c r="Q888" i="3"/>
  <c r="P888" i="3"/>
  <c r="O888" i="3"/>
  <c r="O889" i="3" s="1"/>
  <c r="O890" i="3" s="1"/>
  <c r="O891" i="3" s="1"/>
  <c r="O892" i="3" s="1"/>
  <c r="O893" i="3" s="1"/>
  <c r="O894" i="3" s="1"/>
  <c r="N888" i="3"/>
  <c r="N889" i="3" s="1"/>
  <c r="N890" i="3" s="1"/>
  <c r="N891" i="3" s="1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U887" i="3"/>
  <c r="T887" i="3"/>
  <c r="S887" i="3"/>
  <c r="R887" i="3"/>
  <c r="Q887" i="3"/>
  <c r="P887" i="3"/>
  <c r="O887" i="3"/>
  <c r="U886" i="3"/>
  <c r="T886" i="3"/>
  <c r="S886" i="3"/>
  <c r="P886" i="3"/>
  <c r="U885" i="3"/>
  <c r="T885" i="3"/>
  <c r="S885" i="3"/>
  <c r="R885" i="3"/>
  <c r="R886" i="3" s="1"/>
  <c r="Q885" i="3"/>
  <c r="Q886" i="3" s="1"/>
  <c r="P885" i="3"/>
  <c r="O885" i="3"/>
  <c r="O886" i="3" s="1"/>
  <c r="U884" i="3"/>
  <c r="T884" i="3"/>
  <c r="S884" i="3"/>
  <c r="R884" i="3"/>
  <c r="Q884" i="3"/>
  <c r="P884" i="3"/>
  <c r="O884" i="3"/>
  <c r="U883" i="3"/>
  <c r="T883" i="3"/>
  <c r="S883" i="3"/>
  <c r="U882" i="3"/>
  <c r="T882" i="3"/>
  <c r="S882" i="3"/>
  <c r="U881" i="3"/>
  <c r="T881" i="3"/>
  <c r="S881" i="3"/>
  <c r="R881" i="3"/>
  <c r="R882" i="3" s="1"/>
  <c r="R883" i="3" s="1"/>
  <c r="Q881" i="3"/>
  <c r="Q882" i="3" s="1"/>
  <c r="Q883" i="3" s="1"/>
  <c r="P881" i="3"/>
  <c r="P882" i="3" s="1"/>
  <c r="P883" i="3" s="1"/>
  <c r="O881" i="3"/>
  <c r="O882" i="3" s="1"/>
  <c r="O883" i="3" s="1"/>
  <c r="U880" i="3"/>
  <c r="T880" i="3"/>
  <c r="S880" i="3"/>
  <c r="R880" i="3"/>
  <c r="Q880" i="3"/>
  <c r="P880" i="3"/>
  <c r="O880" i="3"/>
  <c r="U879" i="3"/>
  <c r="T879" i="3"/>
  <c r="S879" i="3"/>
  <c r="R879" i="3"/>
  <c r="Q879" i="3"/>
  <c r="P879" i="3"/>
  <c r="O879" i="3"/>
  <c r="N879" i="3"/>
  <c r="N880" i="3" s="1"/>
  <c r="N881" i="3" s="1"/>
  <c r="N882" i="3" s="1"/>
  <c r="N883" i="3" s="1"/>
  <c r="N884" i="3" s="1"/>
  <c r="N885" i="3" s="1"/>
  <c r="N886" i="3" s="1"/>
  <c r="N887" i="3" s="1"/>
  <c r="U878" i="3"/>
  <c r="T878" i="3"/>
  <c r="S878" i="3"/>
  <c r="R878" i="3"/>
  <c r="Q878" i="3"/>
  <c r="U877" i="3"/>
  <c r="T877" i="3"/>
  <c r="S877" i="3"/>
  <c r="R877" i="3"/>
  <c r="Q877" i="3"/>
  <c r="P877" i="3"/>
  <c r="P878" i="3" s="1"/>
  <c r="O877" i="3"/>
  <c r="O878" i="3" s="1"/>
  <c r="N877" i="3"/>
  <c r="N878" i="3" s="1"/>
  <c r="U876" i="3"/>
  <c r="T876" i="3"/>
  <c r="S876" i="3"/>
  <c r="R876" i="3"/>
  <c r="Q876" i="3"/>
  <c r="P876" i="3"/>
  <c r="O876" i="3"/>
  <c r="U875" i="3"/>
  <c r="T875" i="3"/>
  <c r="S875" i="3"/>
  <c r="R875" i="3"/>
  <c r="Q875" i="3"/>
  <c r="P875" i="3"/>
  <c r="O875" i="3"/>
  <c r="U874" i="3"/>
  <c r="T874" i="3"/>
  <c r="S874" i="3"/>
  <c r="R874" i="3"/>
  <c r="Q874" i="3"/>
  <c r="P874" i="3"/>
  <c r="O874" i="3"/>
  <c r="N874" i="3"/>
  <c r="N875" i="3" s="1"/>
  <c r="N876" i="3" s="1"/>
  <c r="U873" i="3"/>
  <c r="T873" i="3"/>
  <c r="S873" i="3"/>
  <c r="R873" i="3"/>
  <c r="Q873" i="3"/>
  <c r="P873" i="3"/>
  <c r="O873" i="3"/>
  <c r="U872" i="3"/>
  <c r="T872" i="3"/>
  <c r="S872" i="3"/>
  <c r="R872" i="3"/>
  <c r="Q872" i="3"/>
  <c r="P872" i="3"/>
  <c r="O872" i="3"/>
  <c r="U871" i="3"/>
  <c r="T871" i="3"/>
  <c r="S871" i="3"/>
  <c r="R871" i="3"/>
  <c r="Q871" i="3"/>
  <c r="P871" i="3"/>
  <c r="O871" i="3"/>
  <c r="N871" i="3"/>
  <c r="N872" i="3" s="1"/>
  <c r="N873" i="3" s="1"/>
  <c r="U870" i="3"/>
  <c r="T870" i="3"/>
  <c r="S870" i="3"/>
  <c r="R870" i="3"/>
  <c r="Q870" i="3"/>
  <c r="P870" i="3"/>
  <c r="O870" i="3"/>
  <c r="N870" i="3"/>
  <c r="U869" i="3"/>
  <c r="T869" i="3"/>
  <c r="S869" i="3"/>
  <c r="R869" i="3"/>
  <c r="Q869" i="3"/>
  <c r="P869" i="3"/>
  <c r="O869" i="3"/>
  <c r="U868" i="3"/>
  <c r="T868" i="3"/>
  <c r="S868" i="3"/>
  <c r="R868" i="3"/>
  <c r="Q868" i="3"/>
  <c r="P868" i="3"/>
  <c r="O868" i="3"/>
  <c r="U867" i="3"/>
  <c r="T867" i="3"/>
  <c r="S867" i="3"/>
  <c r="R867" i="3"/>
  <c r="Q867" i="3"/>
  <c r="P867" i="3"/>
  <c r="O867" i="3"/>
  <c r="U866" i="3"/>
  <c r="T866" i="3"/>
  <c r="S866" i="3"/>
  <c r="R866" i="3"/>
  <c r="Q866" i="3"/>
  <c r="P866" i="3"/>
  <c r="O866" i="3"/>
  <c r="U865" i="3"/>
  <c r="T865" i="3"/>
  <c r="S865" i="3"/>
  <c r="R865" i="3"/>
  <c r="Q865" i="3"/>
  <c r="P865" i="3"/>
  <c r="O865" i="3"/>
  <c r="U864" i="3"/>
  <c r="T864" i="3"/>
  <c r="S864" i="3"/>
  <c r="R864" i="3"/>
  <c r="Q864" i="3"/>
  <c r="P864" i="3"/>
  <c r="O864" i="3"/>
  <c r="U863" i="3"/>
  <c r="T863" i="3"/>
  <c r="S863" i="3"/>
  <c r="R863" i="3"/>
  <c r="Q863" i="3"/>
  <c r="P863" i="3"/>
  <c r="O863" i="3"/>
  <c r="U862" i="3"/>
  <c r="T862" i="3"/>
  <c r="S862" i="3"/>
  <c r="R862" i="3"/>
  <c r="Q862" i="3"/>
  <c r="P862" i="3"/>
  <c r="O862" i="3"/>
  <c r="U861" i="3"/>
  <c r="T861" i="3"/>
  <c r="S861" i="3"/>
  <c r="R861" i="3"/>
  <c r="Q861" i="3"/>
  <c r="P861" i="3"/>
  <c r="O861" i="3"/>
  <c r="U860" i="3"/>
  <c r="T860" i="3"/>
  <c r="S860" i="3"/>
  <c r="R860" i="3"/>
  <c r="Q860" i="3"/>
  <c r="P860" i="3"/>
  <c r="O860" i="3"/>
  <c r="U859" i="3"/>
  <c r="T859" i="3"/>
  <c r="S859" i="3"/>
  <c r="R859" i="3"/>
  <c r="Q859" i="3"/>
  <c r="P859" i="3"/>
  <c r="O859" i="3"/>
  <c r="U858" i="3"/>
  <c r="T858" i="3"/>
  <c r="S858" i="3"/>
  <c r="R858" i="3"/>
  <c r="Q858" i="3"/>
  <c r="P858" i="3"/>
  <c r="O858" i="3"/>
  <c r="U857" i="3"/>
  <c r="T857" i="3"/>
  <c r="S857" i="3"/>
  <c r="R857" i="3"/>
  <c r="Q857" i="3"/>
  <c r="P857" i="3"/>
  <c r="O857" i="3"/>
  <c r="U856" i="3"/>
  <c r="T856" i="3"/>
  <c r="S856" i="3"/>
  <c r="R856" i="3"/>
  <c r="Q856" i="3"/>
  <c r="P856" i="3"/>
  <c r="O856" i="3"/>
  <c r="U855" i="3"/>
  <c r="T855" i="3"/>
  <c r="S855" i="3"/>
  <c r="R855" i="3"/>
  <c r="Q855" i="3"/>
  <c r="P855" i="3"/>
  <c r="O855" i="3"/>
  <c r="U854" i="3"/>
  <c r="T854" i="3"/>
  <c r="S854" i="3"/>
  <c r="R854" i="3"/>
  <c r="Q854" i="3"/>
  <c r="P854" i="3"/>
  <c r="O854" i="3"/>
  <c r="U853" i="3"/>
  <c r="T853" i="3"/>
  <c r="S853" i="3"/>
  <c r="R853" i="3"/>
  <c r="Q853" i="3"/>
  <c r="P853" i="3"/>
  <c r="O853" i="3"/>
  <c r="U852" i="3"/>
  <c r="T852" i="3"/>
  <c r="S852" i="3"/>
  <c r="R852" i="3"/>
  <c r="Q852" i="3"/>
  <c r="P852" i="3"/>
  <c r="O852" i="3"/>
  <c r="N852" i="3"/>
  <c r="N853" i="3" s="1"/>
  <c r="N854" i="3" s="1"/>
  <c r="N855" i="3" s="1"/>
  <c r="N856" i="3" s="1"/>
  <c r="N857" i="3" s="1"/>
  <c r="N858" i="3" s="1"/>
  <c r="N859" i="3" s="1"/>
  <c r="N860" i="3" s="1"/>
  <c r="N861" i="3" s="1"/>
  <c r="N862" i="3" s="1"/>
  <c r="N863" i="3" s="1"/>
  <c r="N864" i="3" s="1"/>
  <c r="N865" i="3" s="1"/>
  <c r="N866" i="3" s="1"/>
  <c r="N867" i="3" s="1"/>
  <c r="N868" i="3" s="1"/>
  <c r="N869" i="3" s="1"/>
  <c r="U851" i="3"/>
  <c r="T851" i="3"/>
  <c r="S851" i="3"/>
  <c r="R851" i="3"/>
  <c r="Q851" i="3"/>
  <c r="P851" i="3"/>
  <c r="O851" i="3"/>
  <c r="U850" i="3"/>
  <c r="T850" i="3"/>
  <c r="S850" i="3"/>
  <c r="R850" i="3"/>
  <c r="Q850" i="3"/>
  <c r="U849" i="3"/>
  <c r="T849" i="3"/>
  <c r="S849" i="3"/>
  <c r="U848" i="3"/>
  <c r="T848" i="3"/>
  <c r="S848" i="3"/>
  <c r="U847" i="3"/>
  <c r="T847" i="3"/>
  <c r="S847" i="3"/>
  <c r="U846" i="3"/>
  <c r="T846" i="3"/>
  <c r="S846" i="3"/>
  <c r="U845" i="3"/>
  <c r="T845" i="3"/>
  <c r="S845" i="3"/>
  <c r="U844" i="3"/>
  <c r="T844" i="3"/>
  <c r="S844" i="3"/>
  <c r="U843" i="3"/>
  <c r="T843" i="3"/>
  <c r="S843" i="3"/>
  <c r="U842" i="3"/>
  <c r="T842" i="3"/>
  <c r="S842" i="3"/>
  <c r="U841" i="3"/>
  <c r="T841" i="3"/>
  <c r="S841" i="3"/>
  <c r="U840" i="3"/>
  <c r="T840" i="3"/>
  <c r="S840" i="3"/>
  <c r="U839" i="3"/>
  <c r="T839" i="3"/>
  <c r="S839" i="3"/>
  <c r="U838" i="3"/>
  <c r="T838" i="3"/>
  <c r="S838" i="3"/>
  <c r="R838" i="3"/>
  <c r="R839" i="3" s="1"/>
  <c r="R840" i="3" s="1"/>
  <c r="R841" i="3" s="1"/>
  <c r="R842" i="3" s="1"/>
  <c r="R843" i="3" s="1"/>
  <c r="R844" i="3" s="1"/>
  <c r="R845" i="3" s="1"/>
  <c r="R846" i="3" s="1"/>
  <c r="R847" i="3" s="1"/>
  <c r="R848" i="3" s="1"/>
  <c r="R849" i="3" s="1"/>
  <c r="Q838" i="3"/>
  <c r="Q839" i="3" s="1"/>
  <c r="Q840" i="3" s="1"/>
  <c r="Q841" i="3" s="1"/>
  <c r="Q842" i="3" s="1"/>
  <c r="Q843" i="3" s="1"/>
  <c r="Q844" i="3" s="1"/>
  <c r="Q845" i="3" s="1"/>
  <c r="Q846" i="3" s="1"/>
  <c r="Q847" i="3" s="1"/>
  <c r="Q848" i="3" s="1"/>
  <c r="Q849" i="3" s="1"/>
  <c r="P838" i="3"/>
  <c r="P839" i="3" s="1"/>
  <c r="P840" i="3" s="1"/>
  <c r="P841" i="3" s="1"/>
  <c r="P842" i="3" s="1"/>
  <c r="P843" i="3" s="1"/>
  <c r="P844" i="3" s="1"/>
  <c r="P845" i="3" s="1"/>
  <c r="P846" i="3" s="1"/>
  <c r="P847" i="3" s="1"/>
  <c r="P848" i="3" s="1"/>
  <c r="P849" i="3" s="1"/>
  <c r="P850" i="3" s="1"/>
  <c r="O838" i="3"/>
  <c r="O839" i="3" s="1"/>
  <c r="O840" i="3" s="1"/>
  <c r="O841" i="3" s="1"/>
  <c r="O842" i="3" s="1"/>
  <c r="O843" i="3" s="1"/>
  <c r="O844" i="3" s="1"/>
  <c r="O845" i="3" s="1"/>
  <c r="O846" i="3" s="1"/>
  <c r="O847" i="3" s="1"/>
  <c r="O848" i="3" s="1"/>
  <c r="O849" i="3" s="1"/>
  <c r="O850" i="3" s="1"/>
  <c r="N838" i="3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U837" i="3"/>
  <c r="T837" i="3"/>
  <c r="S837" i="3"/>
  <c r="R837" i="3"/>
  <c r="Q837" i="3"/>
  <c r="P837" i="3"/>
  <c r="O837" i="3"/>
  <c r="U836" i="3"/>
  <c r="T836" i="3"/>
  <c r="S836" i="3"/>
  <c r="R836" i="3"/>
  <c r="Q836" i="3"/>
  <c r="P836" i="3"/>
  <c r="O836" i="3"/>
  <c r="U835" i="3"/>
  <c r="T835" i="3"/>
  <c r="S835" i="3"/>
  <c r="R835" i="3"/>
  <c r="Q835" i="3"/>
  <c r="P835" i="3"/>
  <c r="O835" i="3"/>
  <c r="N835" i="3"/>
  <c r="N836" i="3" s="1"/>
  <c r="N837" i="3" s="1"/>
  <c r="U834" i="3"/>
  <c r="T834" i="3"/>
  <c r="S834" i="3"/>
  <c r="R834" i="3"/>
  <c r="Q834" i="3"/>
  <c r="P834" i="3"/>
  <c r="O834" i="3"/>
  <c r="U833" i="3"/>
  <c r="T833" i="3"/>
  <c r="S833" i="3"/>
  <c r="R833" i="3"/>
  <c r="Q833" i="3"/>
  <c r="P833" i="3"/>
  <c r="O833" i="3"/>
  <c r="U832" i="3"/>
  <c r="T832" i="3"/>
  <c r="S832" i="3"/>
  <c r="R832" i="3"/>
  <c r="Q832" i="3"/>
  <c r="P832" i="3"/>
  <c r="O832" i="3"/>
  <c r="U831" i="3"/>
  <c r="T831" i="3"/>
  <c r="S831" i="3"/>
  <c r="R831" i="3"/>
  <c r="Q831" i="3"/>
  <c r="P831" i="3"/>
  <c r="O831" i="3"/>
  <c r="U830" i="3"/>
  <c r="T830" i="3"/>
  <c r="S830" i="3"/>
  <c r="U829" i="3"/>
  <c r="T829" i="3"/>
  <c r="S829" i="3"/>
  <c r="R829" i="3"/>
  <c r="R830" i="3" s="1"/>
  <c r="Q829" i="3"/>
  <c r="Q830" i="3" s="1"/>
  <c r="P829" i="3"/>
  <c r="P830" i="3" s="1"/>
  <c r="O829" i="3"/>
  <c r="O830" i="3" s="1"/>
  <c r="U828" i="3"/>
  <c r="T828" i="3"/>
  <c r="S828" i="3"/>
  <c r="R828" i="3"/>
  <c r="Q828" i="3"/>
  <c r="P828" i="3"/>
  <c r="O828" i="3"/>
  <c r="U827" i="3"/>
  <c r="T827" i="3"/>
  <c r="S827" i="3"/>
  <c r="R827" i="3"/>
  <c r="Q827" i="3"/>
  <c r="P827" i="3"/>
  <c r="O827" i="3"/>
  <c r="U826" i="3"/>
  <c r="T826" i="3"/>
  <c r="S826" i="3"/>
  <c r="R826" i="3"/>
  <c r="Q826" i="3"/>
  <c r="P826" i="3"/>
  <c r="O826" i="3"/>
  <c r="U825" i="3"/>
  <c r="T825" i="3"/>
  <c r="S825" i="3"/>
  <c r="R825" i="3"/>
  <c r="Q825" i="3"/>
  <c r="P825" i="3"/>
  <c r="O825" i="3"/>
  <c r="U824" i="3"/>
  <c r="T824" i="3"/>
  <c r="S824" i="3"/>
  <c r="R824" i="3"/>
  <c r="Q824" i="3"/>
  <c r="P824" i="3"/>
  <c r="O824" i="3"/>
  <c r="U823" i="3"/>
  <c r="T823" i="3"/>
  <c r="S823" i="3"/>
  <c r="R823" i="3"/>
  <c r="Q823" i="3"/>
  <c r="P823" i="3"/>
  <c r="O823" i="3"/>
  <c r="U822" i="3"/>
  <c r="T822" i="3"/>
  <c r="S822" i="3"/>
  <c r="R822" i="3"/>
  <c r="Q822" i="3"/>
  <c r="P822" i="3"/>
  <c r="O822" i="3"/>
  <c r="N822" i="3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U821" i="3"/>
  <c r="T821" i="3"/>
  <c r="S821" i="3"/>
  <c r="R821" i="3"/>
  <c r="Q821" i="3"/>
  <c r="P821" i="3"/>
  <c r="O821" i="3"/>
  <c r="U820" i="3"/>
  <c r="T820" i="3"/>
  <c r="S820" i="3"/>
  <c r="R820" i="3"/>
  <c r="Q820" i="3"/>
  <c r="P820" i="3"/>
  <c r="O820" i="3"/>
  <c r="U819" i="3"/>
  <c r="T819" i="3"/>
  <c r="S819" i="3"/>
  <c r="P819" i="3"/>
  <c r="U818" i="3"/>
  <c r="T818" i="3"/>
  <c r="S818" i="3"/>
  <c r="P818" i="3"/>
  <c r="U817" i="3"/>
  <c r="T817" i="3"/>
  <c r="S817" i="3"/>
  <c r="R817" i="3"/>
  <c r="R818" i="3" s="1"/>
  <c r="R819" i="3" s="1"/>
  <c r="Q817" i="3"/>
  <c r="Q818" i="3" s="1"/>
  <c r="Q819" i="3" s="1"/>
  <c r="P817" i="3"/>
  <c r="O817" i="3"/>
  <c r="O818" i="3" s="1"/>
  <c r="O819" i="3" s="1"/>
  <c r="U816" i="3"/>
  <c r="T816" i="3"/>
  <c r="S816" i="3"/>
  <c r="R816" i="3"/>
  <c r="Q816" i="3"/>
  <c r="P816" i="3"/>
  <c r="O816" i="3"/>
  <c r="U815" i="3"/>
  <c r="T815" i="3"/>
  <c r="S815" i="3"/>
  <c r="R815" i="3"/>
  <c r="Q815" i="3"/>
  <c r="P815" i="3"/>
  <c r="O815" i="3"/>
  <c r="U814" i="3"/>
  <c r="T814" i="3"/>
  <c r="S814" i="3"/>
  <c r="U813" i="3"/>
  <c r="T813" i="3"/>
  <c r="S813" i="3"/>
  <c r="R813" i="3"/>
  <c r="R814" i="3" s="1"/>
  <c r="Q813" i="3"/>
  <c r="Q814" i="3" s="1"/>
  <c r="U812" i="3"/>
  <c r="T812" i="3"/>
  <c r="S812" i="3"/>
  <c r="U811" i="3"/>
  <c r="T811" i="3"/>
  <c r="S811" i="3"/>
  <c r="R811" i="3"/>
  <c r="R812" i="3" s="1"/>
  <c r="Q811" i="3"/>
  <c r="Q812" i="3" s="1"/>
  <c r="P811" i="3"/>
  <c r="P812" i="3" s="1"/>
  <c r="P813" i="3" s="1"/>
  <c r="P814" i="3" s="1"/>
  <c r="O811" i="3"/>
  <c r="O812" i="3" s="1"/>
  <c r="O813" i="3" s="1"/>
  <c r="O814" i="3" s="1"/>
  <c r="U810" i="3"/>
  <c r="T810" i="3"/>
  <c r="S810" i="3"/>
  <c r="R810" i="3"/>
  <c r="Q810" i="3"/>
  <c r="P810" i="3"/>
  <c r="O810" i="3"/>
  <c r="U809" i="3"/>
  <c r="T809" i="3"/>
  <c r="S809" i="3"/>
  <c r="R809" i="3"/>
  <c r="Q809" i="3"/>
  <c r="P809" i="3"/>
  <c r="O809" i="3"/>
  <c r="N809" i="3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U808" i="3"/>
  <c r="T808" i="3"/>
  <c r="S808" i="3"/>
  <c r="R808" i="3"/>
  <c r="Q808" i="3"/>
  <c r="P808" i="3"/>
  <c r="O808" i="3"/>
  <c r="N808" i="3"/>
  <c r="U807" i="3"/>
  <c r="T807" i="3"/>
  <c r="S807" i="3"/>
  <c r="R807" i="3"/>
  <c r="Q807" i="3"/>
  <c r="P807" i="3"/>
  <c r="O807" i="3"/>
  <c r="U806" i="3"/>
  <c r="T806" i="3"/>
  <c r="S806" i="3"/>
  <c r="R806" i="3"/>
  <c r="Q806" i="3"/>
  <c r="P806" i="3"/>
  <c r="O806" i="3"/>
  <c r="U805" i="3"/>
  <c r="T805" i="3"/>
  <c r="S805" i="3"/>
  <c r="R805" i="3"/>
  <c r="Q805" i="3"/>
  <c r="P805" i="3"/>
  <c r="O805" i="3"/>
  <c r="U804" i="3"/>
  <c r="T804" i="3"/>
  <c r="S804" i="3"/>
  <c r="R804" i="3"/>
  <c r="Q804" i="3"/>
  <c r="P804" i="3"/>
  <c r="O804" i="3"/>
  <c r="N804" i="3"/>
  <c r="N805" i="3" s="1"/>
  <c r="N806" i="3" s="1"/>
  <c r="N807" i="3" s="1"/>
  <c r="U803" i="3"/>
  <c r="T803" i="3"/>
  <c r="S803" i="3"/>
  <c r="R803" i="3"/>
  <c r="Q803" i="3"/>
  <c r="P803" i="3"/>
  <c r="O803" i="3"/>
  <c r="U802" i="3"/>
  <c r="T802" i="3"/>
  <c r="S802" i="3"/>
  <c r="R802" i="3"/>
  <c r="Q802" i="3"/>
  <c r="P802" i="3"/>
  <c r="O802" i="3"/>
  <c r="U801" i="3"/>
  <c r="T801" i="3"/>
  <c r="S801" i="3"/>
  <c r="P801" i="3"/>
  <c r="U800" i="3"/>
  <c r="T800" i="3"/>
  <c r="S800" i="3"/>
  <c r="R800" i="3"/>
  <c r="R801" i="3" s="1"/>
  <c r="Q800" i="3"/>
  <c r="Q801" i="3" s="1"/>
  <c r="P800" i="3"/>
  <c r="O800" i="3"/>
  <c r="O801" i="3" s="1"/>
  <c r="U799" i="3"/>
  <c r="T799" i="3"/>
  <c r="S799" i="3"/>
  <c r="R799" i="3"/>
  <c r="Q799" i="3"/>
  <c r="P799" i="3"/>
  <c r="O799" i="3"/>
  <c r="U798" i="3"/>
  <c r="T798" i="3"/>
  <c r="S798" i="3"/>
  <c r="R798" i="3"/>
  <c r="Q798" i="3"/>
  <c r="P798" i="3"/>
  <c r="O798" i="3"/>
  <c r="U797" i="3"/>
  <c r="T797" i="3"/>
  <c r="S797" i="3"/>
  <c r="R797" i="3"/>
  <c r="Q797" i="3"/>
  <c r="P797" i="3"/>
  <c r="O797" i="3"/>
  <c r="U796" i="3"/>
  <c r="T796" i="3"/>
  <c r="S796" i="3"/>
  <c r="R796" i="3"/>
  <c r="Q796" i="3"/>
  <c r="P796" i="3"/>
  <c r="O796" i="3"/>
  <c r="U795" i="3"/>
  <c r="T795" i="3"/>
  <c r="S795" i="3"/>
  <c r="R795" i="3"/>
  <c r="Q795" i="3"/>
  <c r="P795" i="3"/>
  <c r="O795" i="3"/>
  <c r="U794" i="3"/>
  <c r="T794" i="3"/>
  <c r="S794" i="3"/>
  <c r="R794" i="3"/>
  <c r="Q794" i="3"/>
  <c r="P794" i="3"/>
  <c r="O794" i="3"/>
  <c r="U793" i="3"/>
  <c r="T793" i="3"/>
  <c r="S793" i="3"/>
  <c r="R793" i="3"/>
  <c r="Q793" i="3"/>
  <c r="P793" i="3"/>
  <c r="O793" i="3"/>
  <c r="U792" i="3"/>
  <c r="T792" i="3"/>
  <c r="S792" i="3"/>
  <c r="R792" i="3"/>
  <c r="Q792" i="3"/>
  <c r="P792" i="3"/>
  <c r="O792" i="3"/>
  <c r="U791" i="3"/>
  <c r="T791" i="3"/>
  <c r="S791" i="3"/>
  <c r="R791" i="3"/>
  <c r="Q791" i="3"/>
  <c r="P791" i="3"/>
  <c r="O791" i="3"/>
  <c r="U790" i="3"/>
  <c r="T790" i="3"/>
  <c r="S790" i="3"/>
  <c r="R790" i="3"/>
  <c r="Q790" i="3"/>
  <c r="P790" i="3"/>
  <c r="O790" i="3"/>
  <c r="U789" i="3"/>
  <c r="T789" i="3"/>
  <c r="S789" i="3"/>
  <c r="R789" i="3"/>
  <c r="Q789" i="3"/>
  <c r="P789" i="3"/>
  <c r="O789" i="3"/>
  <c r="U788" i="3"/>
  <c r="T788" i="3"/>
  <c r="S788" i="3"/>
  <c r="R788" i="3"/>
  <c r="Q788" i="3"/>
  <c r="P788" i="3"/>
  <c r="O788" i="3"/>
  <c r="U787" i="3"/>
  <c r="T787" i="3"/>
  <c r="S787" i="3"/>
  <c r="R787" i="3"/>
  <c r="Q787" i="3"/>
  <c r="P787" i="3"/>
  <c r="O787" i="3"/>
  <c r="U786" i="3"/>
  <c r="T786" i="3"/>
  <c r="S786" i="3"/>
  <c r="R786" i="3"/>
  <c r="Q786" i="3"/>
  <c r="P786" i="3"/>
  <c r="O786" i="3"/>
  <c r="U785" i="3"/>
  <c r="T785" i="3"/>
  <c r="S785" i="3"/>
  <c r="R785" i="3"/>
  <c r="Q785" i="3"/>
  <c r="P785" i="3"/>
  <c r="O785" i="3"/>
  <c r="U784" i="3"/>
  <c r="T784" i="3"/>
  <c r="S784" i="3"/>
  <c r="R784" i="3"/>
  <c r="Q784" i="3"/>
  <c r="P784" i="3"/>
  <c r="O784" i="3"/>
  <c r="U783" i="3"/>
  <c r="T783" i="3"/>
  <c r="S783" i="3"/>
  <c r="R783" i="3"/>
  <c r="Q783" i="3"/>
  <c r="P783" i="3"/>
  <c r="O783" i="3"/>
  <c r="N783" i="3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U782" i="3"/>
  <c r="T782" i="3"/>
  <c r="S782" i="3"/>
  <c r="R782" i="3"/>
  <c r="Q782" i="3"/>
  <c r="P782" i="3"/>
  <c r="O782" i="3"/>
  <c r="U781" i="3"/>
  <c r="T781" i="3"/>
  <c r="S781" i="3"/>
  <c r="R781" i="3"/>
  <c r="Q781" i="3"/>
  <c r="P781" i="3"/>
  <c r="O781" i="3"/>
  <c r="U780" i="3"/>
  <c r="T780" i="3"/>
  <c r="S780" i="3"/>
  <c r="R780" i="3"/>
  <c r="Q780" i="3"/>
  <c r="P780" i="3"/>
  <c r="O780" i="3"/>
  <c r="U779" i="3"/>
  <c r="T779" i="3"/>
  <c r="S779" i="3"/>
  <c r="R779" i="3"/>
  <c r="Q779" i="3"/>
  <c r="P779" i="3"/>
  <c r="O779" i="3"/>
  <c r="U778" i="3"/>
  <c r="T778" i="3"/>
  <c r="S778" i="3"/>
  <c r="R778" i="3"/>
  <c r="Q778" i="3"/>
  <c r="P778" i="3"/>
  <c r="O778" i="3"/>
  <c r="U777" i="3"/>
  <c r="T777" i="3"/>
  <c r="S777" i="3"/>
  <c r="R777" i="3"/>
  <c r="Q777" i="3"/>
  <c r="P777" i="3"/>
  <c r="O777" i="3"/>
  <c r="N777" i="3"/>
  <c r="N778" i="3" s="1"/>
  <c r="N779" i="3" s="1"/>
  <c r="N780" i="3" s="1"/>
  <c r="N781" i="3" s="1"/>
  <c r="N782" i="3" s="1"/>
  <c r="U776" i="3"/>
  <c r="T776" i="3"/>
  <c r="S776" i="3"/>
  <c r="R776" i="3"/>
  <c r="Q776" i="3"/>
  <c r="P776" i="3"/>
  <c r="O776" i="3"/>
  <c r="N776" i="3"/>
  <c r="U775" i="3"/>
  <c r="T775" i="3"/>
  <c r="S775" i="3"/>
  <c r="R775" i="3"/>
  <c r="Q775" i="3"/>
  <c r="P775" i="3"/>
  <c r="O775" i="3"/>
  <c r="U774" i="3"/>
  <c r="T774" i="3"/>
  <c r="S774" i="3"/>
  <c r="R774" i="3"/>
  <c r="Q774" i="3"/>
  <c r="P774" i="3"/>
  <c r="O774" i="3"/>
  <c r="U773" i="3"/>
  <c r="T773" i="3"/>
  <c r="S773" i="3"/>
  <c r="R773" i="3"/>
  <c r="Q773" i="3"/>
  <c r="P773" i="3"/>
  <c r="O773" i="3"/>
  <c r="U772" i="3"/>
  <c r="T772" i="3"/>
  <c r="S772" i="3"/>
  <c r="R772" i="3"/>
  <c r="Q772" i="3"/>
  <c r="U771" i="3"/>
  <c r="T771" i="3"/>
  <c r="S771" i="3"/>
  <c r="R771" i="3"/>
  <c r="Q771" i="3"/>
  <c r="P771" i="3"/>
  <c r="P772" i="3" s="1"/>
  <c r="O771" i="3"/>
  <c r="O772" i="3" s="1"/>
  <c r="U770" i="3"/>
  <c r="T770" i="3"/>
  <c r="S770" i="3"/>
  <c r="R770" i="3"/>
  <c r="Q770" i="3"/>
  <c r="P770" i="3"/>
  <c r="O770" i="3"/>
  <c r="U769" i="3"/>
  <c r="T769" i="3"/>
  <c r="S769" i="3"/>
  <c r="R769" i="3"/>
  <c r="Q769" i="3"/>
  <c r="P769" i="3"/>
  <c r="O769" i="3"/>
  <c r="U768" i="3"/>
  <c r="T768" i="3"/>
  <c r="S768" i="3"/>
  <c r="R768" i="3"/>
  <c r="Q768" i="3"/>
  <c r="P768" i="3"/>
  <c r="O768" i="3"/>
  <c r="N768" i="3"/>
  <c r="N769" i="3" s="1"/>
  <c r="N770" i="3" s="1"/>
  <c r="N771" i="3" s="1"/>
  <c r="N772" i="3" s="1"/>
  <c r="N773" i="3" s="1"/>
  <c r="N774" i="3" s="1"/>
  <c r="N775" i="3" s="1"/>
  <c r="U767" i="3"/>
  <c r="T767" i="3"/>
  <c r="S767" i="3"/>
  <c r="R767" i="3"/>
  <c r="O767" i="3"/>
  <c r="U766" i="3"/>
  <c r="T766" i="3"/>
  <c r="S766" i="3"/>
  <c r="R766" i="3"/>
  <c r="Q766" i="3"/>
  <c r="Q767" i="3" s="1"/>
  <c r="P766" i="3"/>
  <c r="P767" i="3" s="1"/>
  <c r="O766" i="3"/>
  <c r="U765" i="3"/>
  <c r="T765" i="3"/>
  <c r="S765" i="3"/>
  <c r="R765" i="3"/>
  <c r="Q765" i="3"/>
  <c r="P765" i="3"/>
  <c r="U764" i="3"/>
  <c r="T764" i="3"/>
  <c r="S764" i="3"/>
  <c r="R764" i="3"/>
  <c r="Q764" i="3"/>
  <c r="P764" i="3"/>
  <c r="O764" i="3"/>
  <c r="O765" i="3" s="1"/>
  <c r="N764" i="3"/>
  <c r="N765" i="3" s="1"/>
  <c r="N766" i="3" s="1"/>
  <c r="N767" i="3" s="1"/>
  <c r="U763" i="3"/>
  <c r="T763" i="3"/>
  <c r="S763" i="3"/>
  <c r="R763" i="3"/>
  <c r="Q763" i="3"/>
  <c r="P763" i="3"/>
  <c r="O763" i="3"/>
  <c r="U762" i="3"/>
  <c r="T762" i="3"/>
  <c r="S762" i="3"/>
  <c r="R762" i="3"/>
  <c r="Q762" i="3"/>
  <c r="P762" i="3"/>
  <c r="O762" i="3"/>
  <c r="U761" i="3"/>
  <c r="T761" i="3"/>
  <c r="S761" i="3"/>
  <c r="R761" i="3"/>
  <c r="Q761" i="3"/>
  <c r="P761" i="3"/>
  <c r="O761" i="3"/>
  <c r="U760" i="3"/>
  <c r="T760" i="3"/>
  <c r="S760" i="3"/>
  <c r="R760" i="3"/>
  <c r="Q760" i="3"/>
  <c r="P760" i="3"/>
  <c r="O760" i="3"/>
  <c r="U759" i="3"/>
  <c r="T759" i="3"/>
  <c r="S759" i="3"/>
  <c r="R759" i="3"/>
  <c r="Q759" i="3"/>
  <c r="P759" i="3"/>
  <c r="O759" i="3"/>
  <c r="U758" i="3"/>
  <c r="T758" i="3"/>
  <c r="S758" i="3"/>
  <c r="R758" i="3"/>
  <c r="Q758" i="3"/>
  <c r="P758" i="3"/>
  <c r="O758" i="3"/>
  <c r="U757" i="3"/>
  <c r="T757" i="3"/>
  <c r="S757" i="3"/>
  <c r="R757" i="3"/>
  <c r="Q757" i="3"/>
  <c r="P757" i="3"/>
  <c r="O757" i="3"/>
  <c r="U756" i="3"/>
  <c r="T756" i="3"/>
  <c r="S756" i="3"/>
  <c r="R756" i="3"/>
  <c r="Q756" i="3"/>
  <c r="P756" i="3"/>
  <c r="O756" i="3"/>
  <c r="U755" i="3"/>
  <c r="T755" i="3"/>
  <c r="S755" i="3"/>
  <c r="R755" i="3"/>
  <c r="Q755" i="3"/>
  <c r="P755" i="3"/>
  <c r="O755" i="3"/>
  <c r="U754" i="3"/>
  <c r="T754" i="3"/>
  <c r="S754" i="3"/>
  <c r="R754" i="3"/>
  <c r="Q754" i="3"/>
  <c r="P754" i="3"/>
  <c r="O754" i="3"/>
  <c r="U753" i="3"/>
  <c r="T753" i="3"/>
  <c r="S753" i="3"/>
  <c r="R753" i="3"/>
  <c r="Q753" i="3"/>
  <c r="P753" i="3"/>
  <c r="O753" i="3"/>
  <c r="U752" i="3"/>
  <c r="T752" i="3"/>
  <c r="S752" i="3"/>
  <c r="R752" i="3"/>
  <c r="Q752" i="3"/>
  <c r="P752" i="3"/>
  <c r="O752" i="3"/>
  <c r="U751" i="3"/>
  <c r="T751" i="3"/>
  <c r="S751" i="3"/>
  <c r="R751" i="3"/>
  <c r="Q751" i="3"/>
  <c r="P751" i="3"/>
  <c r="O751" i="3"/>
  <c r="U750" i="3"/>
  <c r="T750" i="3"/>
  <c r="S750" i="3"/>
  <c r="R750" i="3"/>
  <c r="Q750" i="3"/>
  <c r="P750" i="3"/>
  <c r="O750" i="3"/>
  <c r="U749" i="3"/>
  <c r="T749" i="3"/>
  <c r="S749" i="3"/>
  <c r="R749" i="3"/>
  <c r="Q749" i="3"/>
  <c r="P749" i="3"/>
  <c r="O749" i="3"/>
  <c r="U748" i="3"/>
  <c r="T748" i="3"/>
  <c r="S748" i="3"/>
  <c r="R748" i="3"/>
  <c r="Q748" i="3"/>
  <c r="P748" i="3"/>
  <c r="O748" i="3"/>
  <c r="U747" i="3"/>
  <c r="T747" i="3"/>
  <c r="S747" i="3"/>
  <c r="R747" i="3"/>
  <c r="Q747" i="3"/>
  <c r="P747" i="3"/>
  <c r="O747" i="3"/>
  <c r="U746" i="3"/>
  <c r="T746" i="3"/>
  <c r="S746" i="3"/>
  <c r="R746" i="3"/>
  <c r="Q746" i="3"/>
  <c r="P746" i="3"/>
  <c r="O746" i="3"/>
  <c r="U745" i="3"/>
  <c r="T745" i="3"/>
  <c r="S745" i="3"/>
  <c r="R745" i="3"/>
  <c r="Q745" i="3"/>
  <c r="P745" i="3"/>
  <c r="O745" i="3"/>
  <c r="U744" i="3"/>
  <c r="T744" i="3"/>
  <c r="S744" i="3"/>
  <c r="R744" i="3"/>
  <c r="Q744" i="3"/>
  <c r="P744" i="3"/>
  <c r="O744" i="3"/>
  <c r="U743" i="3"/>
  <c r="T743" i="3"/>
  <c r="S743" i="3"/>
  <c r="R743" i="3"/>
  <c r="Q743" i="3"/>
  <c r="P743" i="3"/>
  <c r="O743" i="3"/>
  <c r="U742" i="3"/>
  <c r="T742" i="3"/>
  <c r="S742" i="3"/>
  <c r="R742" i="3"/>
  <c r="Q742" i="3"/>
  <c r="P742" i="3"/>
  <c r="O742" i="3"/>
  <c r="U741" i="3"/>
  <c r="T741" i="3"/>
  <c r="S741" i="3"/>
  <c r="R741" i="3"/>
  <c r="Q741" i="3"/>
  <c r="P741" i="3"/>
  <c r="O741" i="3"/>
  <c r="U740" i="3"/>
  <c r="T740" i="3"/>
  <c r="S740" i="3"/>
  <c r="R740" i="3"/>
  <c r="Q740" i="3"/>
  <c r="P740" i="3"/>
  <c r="O740" i="3"/>
  <c r="U739" i="3"/>
  <c r="T739" i="3"/>
  <c r="S739" i="3"/>
  <c r="R739" i="3"/>
  <c r="Q739" i="3"/>
  <c r="P739" i="3"/>
  <c r="O739" i="3"/>
  <c r="U738" i="3"/>
  <c r="T738" i="3"/>
  <c r="S738" i="3"/>
  <c r="R738" i="3"/>
  <c r="Q738" i="3"/>
  <c r="P738" i="3"/>
  <c r="O738" i="3"/>
  <c r="U737" i="3"/>
  <c r="T737" i="3"/>
  <c r="S737" i="3"/>
  <c r="R737" i="3"/>
  <c r="Q737" i="3"/>
  <c r="P737" i="3"/>
  <c r="O737" i="3"/>
  <c r="U736" i="3"/>
  <c r="T736" i="3"/>
  <c r="S736" i="3"/>
  <c r="R736" i="3"/>
  <c r="Q736" i="3"/>
  <c r="P736" i="3"/>
  <c r="O736" i="3"/>
  <c r="U735" i="3"/>
  <c r="T735" i="3"/>
  <c r="S735" i="3"/>
  <c r="R735" i="3"/>
  <c r="Q735" i="3"/>
  <c r="P735" i="3"/>
  <c r="O735" i="3"/>
  <c r="U734" i="3"/>
  <c r="T734" i="3"/>
  <c r="S734" i="3"/>
  <c r="R734" i="3"/>
  <c r="Q734" i="3"/>
  <c r="P734" i="3"/>
  <c r="O734" i="3"/>
  <c r="U733" i="3"/>
  <c r="T733" i="3"/>
  <c r="S733" i="3"/>
  <c r="R733" i="3"/>
  <c r="Q733" i="3"/>
  <c r="P733" i="3"/>
  <c r="O733" i="3"/>
  <c r="U732" i="3"/>
  <c r="T732" i="3"/>
  <c r="S732" i="3"/>
  <c r="R732" i="3"/>
  <c r="Q732" i="3"/>
  <c r="P732" i="3"/>
  <c r="O732" i="3"/>
  <c r="U731" i="3"/>
  <c r="T731" i="3"/>
  <c r="S731" i="3"/>
  <c r="R731" i="3"/>
  <c r="Q731" i="3"/>
  <c r="P731" i="3"/>
  <c r="O731" i="3"/>
  <c r="U730" i="3"/>
  <c r="T730" i="3"/>
  <c r="S730" i="3"/>
  <c r="R730" i="3"/>
  <c r="Q730" i="3"/>
  <c r="P730" i="3"/>
  <c r="O730" i="3"/>
  <c r="U729" i="3"/>
  <c r="T729" i="3"/>
  <c r="S729" i="3"/>
  <c r="R729" i="3"/>
  <c r="Q729" i="3"/>
  <c r="P729" i="3"/>
  <c r="O729" i="3"/>
  <c r="U728" i="3"/>
  <c r="T728" i="3"/>
  <c r="S728" i="3"/>
  <c r="R728" i="3"/>
  <c r="Q728" i="3"/>
  <c r="P728" i="3"/>
  <c r="O728" i="3"/>
  <c r="U727" i="3"/>
  <c r="T727" i="3"/>
  <c r="S727" i="3"/>
  <c r="R727" i="3"/>
  <c r="Q727" i="3"/>
  <c r="P727" i="3"/>
  <c r="O727" i="3"/>
  <c r="U726" i="3"/>
  <c r="T726" i="3"/>
  <c r="S726" i="3"/>
  <c r="R726" i="3"/>
  <c r="U725" i="3"/>
  <c r="T725" i="3"/>
  <c r="S725" i="3"/>
  <c r="R725" i="3"/>
  <c r="Q725" i="3"/>
  <c r="Q726" i="3" s="1"/>
  <c r="P725" i="3"/>
  <c r="P726" i="3" s="1"/>
  <c r="O725" i="3"/>
  <c r="O726" i="3" s="1"/>
  <c r="U724" i="3"/>
  <c r="T724" i="3"/>
  <c r="S724" i="3"/>
  <c r="R724" i="3"/>
  <c r="Q724" i="3"/>
  <c r="P724" i="3"/>
  <c r="O724" i="3"/>
  <c r="U723" i="3"/>
  <c r="T723" i="3"/>
  <c r="S723" i="3"/>
  <c r="R723" i="3"/>
  <c r="Q723" i="3"/>
  <c r="P723" i="3"/>
  <c r="O723" i="3"/>
  <c r="U722" i="3"/>
  <c r="T722" i="3"/>
  <c r="S722" i="3"/>
  <c r="R722" i="3"/>
  <c r="Q722" i="3"/>
  <c r="P722" i="3"/>
  <c r="O722" i="3"/>
  <c r="U721" i="3"/>
  <c r="T721" i="3"/>
  <c r="S721" i="3"/>
  <c r="R721" i="3"/>
  <c r="Q721" i="3"/>
  <c r="P721" i="3"/>
  <c r="O721" i="3"/>
  <c r="U720" i="3"/>
  <c r="T720" i="3"/>
  <c r="S720" i="3"/>
  <c r="R720" i="3"/>
  <c r="Q720" i="3"/>
  <c r="P720" i="3"/>
  <c r="O720" i="3"/>
  <c r="U719" i="3"/>
  <c r="T719" i="3"/>
  <c r="S719" i="3"/>
  <c r="R719" i="3"/>
  <c r="Q719" i="3"/>
  <c r="P719" i="3"/>
  <c r="O719" i="3"/>
  <c r="U718" i="3"/>
  <c r="T718" i="3"/>
  <c r="S718" i="3"/>
  <c r="R718" i="3"/>
  <c r="Q718" i="3"/>
  <c r="P718" i="3"/>
  <c r="O718" i="3"/>
  <c r="U717" i="3"/>
  <c r="T717" i="3"/>
  <c r="S717" i="3"/>
  <c r="R717" i="3"/>
  <c r="Q717" i="3"/>
  <c r="P717" i="3"/>
  <c r="O717" i="3"/>
  <c r="U716" i="3"/>
  <c r="T716" i="3"/>
  <c r="S716" i="3"/>
  <c r="R716" i="3"/>
  <c r="Q716" i="3"/>
  <c r="P716" i="3"/>
  <c r="O716" i="3"/>
  <c r="U715" i="3"/>
  <c r="T715" i="3"/>
  <c r="S715" i="3"/>
  <c r="R715" i="3"/>
  <c r="Q715" i="3"/>
  <c r="P715" i="3"/>
  <c r="O715" i="3"/>
  <c r="U714" i="3"/>
  <c r="T714" i="3"/>
  <c r="S714" i="3"/>
  <c r="R714" i="3"/>
  <c r="Q714" i="3"/>
  <c r="P714" i="3"/>
  <c r="O714" i="3"/>
  <c r="U713" i="3"/>
  <c r="T713" i="3"/>
  <c r="S713" i="3"/>
  <c r="R713" i="3"/>
  <c r="Q713" i="3"/>
  <c r="P713" i="3"/>
  <c r="O713" i="3"/>
  <c r="U712" i="3"/>
  <c r="T712" i="3"/>
  <c r="S712" i="3"/>
  <c r="R712" i="3"/>
  <c r="Q712" i="3"/>
  <c r="P712" i="3"/>
  <c r="O712" i="3"/>
  <c r="U711" i="3"/>
  <c r="T711" i="3"/>
  <c r="S711" i="3"/>
  <c r="R711" i="3"/>
  <c r="Q711" i="3"/>
  <c r="P711" i="3"/>
  <c r="O711" i="3"/>
  <c r="U710" i="3"/>
  <c r="T710" i="3"/>
  <c r="S710" i="3"/>
  <c r="R710" i="3"/>
  <c r="Q710" i="3"/>
  <c r="P710" i="3"/>
  <c r="O710" i="3"/>
  <c r="U709" i="3"/>
  <c r="T709" i="3"/>
  <c r="S709" i="3"/>
  <c r="R709" i="3"/>
  <c r="Q709" i="3"/>
  <c r="P709" i="3"/>
  <c r="O709" i="3"/>
  <c r="U708" i="3"/>
  <c r="T708" i="3"/>
  <c r="S708" i="3"/>
  <c r="R708" i="3"/>
  <c r="Q708" i="3"/>
  <c r="P708" i="3"/>
  <c r="O708" i="3"/>
  <c r="U707" i="3"/>
  <c r="T707" i="3"/>
  <c r="S707" i="3"/>
  <c r="R707" i="3"/>
  <c r="Q707" i="3"/>
  <c r="P707" i="3"/>
  <c r="O707" i="3"/>
  <c r="U706" i="3"/>
  <c r="T706" i="3"/>
  <c r="S706" i="3"/>
  <c r="R706" i="3"/>
  <c r="Q706" i="3"/>
  <c r="P706" i="3"/>
  <c r="O706" i="3"/>
  <c r="U705" i="3"/>
  <c r="T705" i="3"/>
  <c r="S705" i="3"/>
  <c r="R705" i="3"/>
  <c r="Q705" i="3"/>
  <c r="P705" i="3"/>
  <c r="O705" i="3"/>
  <c r="U704" i="3"/>
  <c r="T704" i="3"/>
  <c r="S704" i="3"/>
  <c r="R704" i="3"/>
  <c r="Q704" i="3"/>
  <c r="P704" i="3"/>
  <c r="O704" i="3"/>
  <c r="U703" i="3"/>
  <c r="T703" i="3"/>
  <c r="S703" i="3"/>
  <c r="R703" i="3"/>
  <c r="Q703" i="3"/>
  <c r="P703" i="3"/>
  <c r="O703" i="3"/>
  <c r="U702" i="3"/>
  <c r="T702" i="3"/>
  <c r="S702" i="3"/>
  <c r="R702" i="3"/>
  <c r="Q702" i="3"/>
  <c r="P702" i="3"/>
  <c r="O702" i="3"/>
  <c r="U701" i="3"/>
  <c r="T701" i="3"/>
  <c r="S701" i="3"/>
  <c r="R701" i="3"/>
  <c r="Q701" i="3"/>
  <c r="P701" i="3"/>
  <c r="O701" i="3"/>
  <c r="U700" i="3"/>
  <c r="T700" i="3"/>
  <c r="S700" i="3"/>
  <c r="R700" i="3"/>
  <c r="Q700" i="3"/>
  <c r="P700" i="3"/>
  <c r="O700" i="3"/>
  <c r="U699" i="3"/>
  <c r="T699" i="3"/>
  <c r="S699" i="3"/>
  <c r="R699" i="3"/>
  <c r="Q699" i="3"/>
  <c r="P699" i="3"/>
  <c r="O699" i="3"/>
  <c r="U698" i="3"/>
  <c r="T698" i="3"/>
  <c r="S698" i="3"/>
  <c r="R698" i="3"/>
  <c r="Q698" i="3"/>
  <c r="P698" i="3"/>
  <c r="O698" i="3"/>
  <c r="U697" i="3"/>
  <c r="T697" i="3"/>
  <c r="S697" i="3"/>
  <c r="R697" i="3"/>
  <c r="Q697" i="3"/>
  <c r="P697" i="3"/>
  <c r="O697" i="3"/>
  <c r="U696" i="3"/>
  <c r="T696" i="3"/>
  <c r="S696" i="3"/>
  <c r="R696" i="3"/>
  <c r="Q696" i="3"/>
  <c r="P696" i="3"/>
  <c r="O696" i="3"/>
  <c r="U695" i="3"/>
  <c r="T695" i="3"/>
  <c r="S695" i="3"/>
  <c r="R695" i="3"/>
  <c r="Q695" i="3"/>
  <c r="P695" i="3"/>
  <c r="O695" i="3"/>
  <c r="U694" i="3"/>
  <c r="T694" i="3"/>
  <c r="S694" i="3"/>
  <c r="R694" i="3"/>
  <c r="Q694" i="3"/>
  <c r="P694" i="3"/>
  <c r="O694" i="3"/>
  <c r="U693" i="3"/>
  <c r="T693" i="3"/>
  <c r="S693" i="3"/>
  <c r="R693" i="3"/>
  <c r="Q693" i="3"/>
  <c r="P693" i="3"/>
  <c r="O693" i="3"/>
  <c r="U692" i="3"/>
  <c r="T692" i="3"/>
  <c r="S692" i="3"/>
  <c r="R692" i="3"/>
  <c r="Q692" i="3"/>
  <c r="P692" i="3"/>
  <c r="O692" i="3"/>
  <c r="U691" i="3"/>
  <c r="T691" i="3"/>
  <c r="S691" i="3"/>
  <c r="R691" i="3"/>
  <c r="Q691" i="3"/>
  <c r="P691" i="3"/>
  <c r="O691" i="3"/>
  <c r="U690" i="3"/>
  <c r="T690" i="3"/>
  <c r="S690" i="3"/>
  <c r="R690" i="3"/>
  <c r="Q690" i="3"/>
  <c r="P690" i="3"/>
  <c r="O690" i="3"/>
  <c r="U689" i="3"/>
  <c r="T689" i="3"/>
  <c r="S689" i="3"/>
  <c r="R689" i="3"/>
  <c r="Q689" i="3"/>
  <c r="P689" i="3"/>
  <c r="O689" i="3"/>
  <c r="U688" i="3"/>
  <c r="T688" i="3"/>
  <c r="S688" i="3"/>
  <c r="R688" i="3"/>
  <c r="Q688" i="3"/>
  <c r="P688" i="3"/>
  <c r="O688" i="3"/>
  <c r="U687" i="3"/>
  <c r="T687" i="3"/>
  <c r="S687" i="3"/>
  <c r="R687" i="3"/>
  <c r="Q687" i="3"/>
  <c r="P687" i="3"/>
  <c r="O687" i="3"/>
  <c r="U686" i="3"/>
  <c r="T686" i="3"/>
  <c r="S686" i="3"/>
  <c r="R686" i="3"/>
  <c r="Q686" i="3"/>
  <c r="P686" i="3"/>
  <c r="O686" i="3"/>
  <c r="U685" i="3"/>
  <c r="T685" i="3"/>
  <c r="S685" i="3"/>
  <c r="R685" i="3"/>
  <c r="Q685" i="3"/>
  <c r="P685" i="3"/>
  <c r="O685" i="3"/>
  <c r="U684" i="3"/>
  <c r="T684" i="3"/>
  <c r="S684" i="3"/>
  <c r="R684" i="3"/>
  <c r="Q684" i="3"/>
  <c r="P684" i="3"/>
  <c r="O684" i="3"/>
  <c r="U683" i="3"/>
  <c r="T683" i="3"/>
  <c r="S683" i="3"/>
  <c r="R683" i="3"/>
  <c r="Q683" i="3"/>
  <c r="P683" i="3"/>
  <c r="O683" i="3"/>
  <c r="U682" i="3"/>
  <c r="T682" i="3"/>
  <c r="S682" i="3"/>
  <c r="R682" i="3"/>
  <c r="Q682" i="3"/>
  <c r="P682" i="3"/>
  <c r="O682" i="3"/>
  <c r="U681" i="3"/>
  <c r="T681" i="3"/>
  <c r="S681" i="3"/>
  <c r="U680" i="3"/>
  <c r="T680" i="3"/>
  <c r="S680" i="3"/>
  <c r="R680" i="3"/>
  <c r="R681" i="3" s="1"/>
  <c r="Q680" i="3"/>
  <c r="Q681" i="3" s="1"/>
  <c r="P680" i="3"/>
  <c r="P681" i="3" s="1"/>
  <c r="O680" i="3"/>
  <c r="O681" i="3" s="1"/>
  <c r="U679" i="3"/>
  <c r="T679" i="3"/>
  <c r="S679" i="3"/>
  <c r="R679" i="3"/>
  <c r="Q679" i="3"/>
  <c r="P679" i="3"/>
  <c r="O679" i="3"/>
  <c r="U678" i="3"/>
  <c r="T678" i="3"/>
  <c r="S678" i="3"/>
  <c r="R678" i="3"/>
  <c r="Q678" i="3"/>
  <c r="P678" i="3"/>
  <c r="O678" i="3"/>
  <c r="U677" i="3"/>
  <c r="T677" i="3"/>
  <c r="S677" i="3"/>
  <c r="R677" i="3"/>
  <c r="Q677" i="3"/>
  <c r="P677" i="3"/>
  <c r="O677" i="3"/>
  <c r="U676" i="3"/>
  <c r="T676" i="3"/>
  <c r="S676" i="3"/>
  <c r="R676" i="3"/>
  <c r="Q676" i="3"/>
  <c r="P676" i="3"/>
  <c r="O676" i="3"/>
  <c r="U675" i="3"/>
  <c r="T675" i="3"/>
  <c r="S675" i="3"/>
  <c r="R675" i="3"/>
  <c r="Q675" i="3"/>
  <c r="P675" i="3"/>
  <c r="O675" i="3"/>
  <c r="U674" i="3"/>
  <c r="T674" i="3"/>
  <c r="S674" i="3"/>
  <c r="R674" i="3"/>
  <c r="Q674" i="3"/>
  <c r="P674" i="3"/>
  <c r="O674" i="3"/>
  <c r="U673" i="3"/>
  <c r="T673" i="3"/>
  <c r="S673" i="3"/>
  <c r="R673" i="3"/>
  <c r="Q673" i="3"/>
  <c r="P673" i="3"/>
  <c r="O673" i="3"/>
  <c r="U672" i="3"/>
  <c r="T672" i="3"/>
  <c r="S672" i="3"/>
  <c r="R672" i="3"/>
  <c r="Q672" i="3"/>
  <c r="P672" i="3"/>
  <c r="O672" i="3"/>
  <c r="U671" i="3"/>
  <c r="T671" i="3"/>
  <c r="S671" i="3"/>
  <c r="R671" i="3"/>
  <c r="Q671" i="3"/>
  <c r="P671" i="3"/>
  <c r="O671" i="3"/>
  <c r="U670" i="3"/>
  <c r="T670" i="3"/>
  <c r="S670" i="3"/>
  <c r="R670" i="3"/>
  <c r="Q670" i="3"/>
  <c r="P670" i="3"/>
  <c r="O670" i="3"/>
  <c r="U669" i="3"/>
  <c r="T669" i="3"/>
  <c r="S669" i="3"/>
  <c r="R669" i="3"/>
  <c r="Q669" i="3"/>
  <c r="P669" i="3"/>
  <c r="O669" i="3"/>
  <c r="U668" i="3"/>
  <c r="T668" i="3"/>
  <c r="S668" i="3"/>
  <c r="P668" i="3"/>
  <c r="U667" i="3"/>
  <c r="T667" i="3"/>
  <c r="S667" i="3"/>
  <c r="R667" i="3"/>
  <c r="R668" i="3" s="1"/>
  <c r="Q667" i="3"/>
  <c r="Q668" i="3" s="1"/>
  <c r="P667" i="3"/>
  <c r="O667" i="3"/>
  <c r="O668" i="3" s="1"/>
  <c r="U666" i="3"/>
  <c r="T666" i="3"/>
  <c r="S666" i="3"/>
  <c r="R666" i="3"/>
  <c r="Q666" i="3"/>
  <c r="P666" i="3"/>
  <c r="O666" i="3"/>
  <c r="U665" i="3"/>
  <c r="T665" i="3"/>
  <c r="S665" i="3"/>
  <c r="R665" i="3"/>
  <c r="O665" i="3"/>
  <c r="U664" i="3"/>
  <c r="T664" i="3"/>
  <c r="S664" i="3"/>
  <c r="R664" i="3"/>
  <c r="Q664" i="3"/>
  <c r="Q665" i="3" s="1"/>
  <c r="P664" i="3"/>
  <c r="P665" i="3" s="1"/>
  <c r="O664" i="3"/>
  <c r="U663" i="3"/>
  <c r="T663" i="3"/>
  <c r="S663" i="3"/>
  <c r="R663" i="3"/>
  <c r="Q663" i="3"/>
  <c r="P663" i="3"/>
  <c r="O663" i="3"/>
  <c r="U662" i="3"/>
  <c r="T662" i="3"/>
  <c r="S662" i="3"/>
  <c r="R662" i="3"/>
  <c r="Q662" i="3"/>
  <c r="P662" i="3"/>
  <c r="O662" i="3"/>
  <c r="U661" i="3"/>
  <c r="T661" i="3"/>
  <c r="S661" i="3"/>
  <c r="R661" i="3"/>
  <c r="O661" i="3"/>
  <c r="U660" i="3"/>
  <c r="T660" i="3"/>
  <c r="S660" i="3"/>
  <c r="R660" i="3"/>
  <c r="Q660" i="3"/>
  <c r="Q661" i="3" s="1"/>
  <c r="P660" i="3"/>
  <c r="P661" i="3" s="1"/>
  <c r="O660" i="3"/>
  <c r="U659" i="3"/>
  <c r="T659" i="3"/>
  <c r="S659" i="3"/>
  <c r="R659" i="3"/>
  <c r="Q659" i="3"/>
  <c r="P659" i="3"/>
  <c r="O659" i="3"/>
  <c r="U658" i="3"/>
  <c r="T658" i="3"/>
  <c r="S658" i="3"/>
  <c r="R658" i="3"/>
  <c r="Q658" i="3"/>
  <c r="P658" i="3"/>
  <c r="O658" i="3"/>
  <c r="U657" i="3"/>
  <c r="T657" i="3"/>
  <c r="S657" i="3"/>
  <c r="R657" i="3"/>
  <c r="Q657" i="3"/>
  <c r="P657" i="3"/>
  <c r="O657" i="3"/>
  <c r="U656" i="3"/>
  <c r="T656" i="3"/>
  <c r="S656" i="3"/>
  <c r="R656" i="3"/>
  <c r="Q656" i="3"/>
  <c r="P656" i="3"/>
  <c r="O656" i="3"/>
  <c r="U655" i="3"/>
  <c r="T655" i="3"/>
  <c r="S655" i="3"/>
  <c r="Q655" i="3"/>
  <c r="U654" i="3"/>
  <c r="T654" i="3"/>
  <c r="S654" i="3"/>
  <c r="R654" i="3"/>
  <c r="R655" i="3" s="1"/>
  <c r="Q654" i="3"/>
  <c r="P654" i="3"/>
  <c r="P655" i="3" s="1"/>
  <c r="O654" i="3"/>
  <c r="O655" i="3" s="1"/>
  <c r="U653" i="3"/>
  <c r="T653" i="3"/>
  <c r="S653" i="3"/>
  <c r="R653" i="3"/>
  <c r="Q653" i="3"/>
  <c r="P653" i="3"/>
  <c r="O653" i="3"/>
  <c r="U652" i="3"/>
  <c r="T652" i="3"/>
  <c r="S652" i="3"/>
  <c r="R652" i="3"/>
  <c r="Q652" i="3"/>
  <c r="P652" i="3"/>
  <c r="O652" i="3"/>
  <c r="U651" i="3"/>
  <c r="T651" i="3"/>
  <c r="S651" i="3"/>
  <c r="R651" i="3"/>
  <c r="Q651" i="3"/>
  <c r="P651" i="3"/>
  <c r="O651" i="3"/>
  <c r="U650" i="3"/>
  <c r="T650" i="3"/>
  <c r="S650" i="3"/>
  <c r="Q650" i="3"/>
  <c r="O650" i="3"/>
  <c r="U649" i="3"/>
  <c r="T649" i="3"/>
  <c r="S649" i="3"/>
  <c r="R649" i="3"/>
  <c r="R650" i="3" s="1"/>
  <c r="Q649" i="3"/>
  <c r="P649" i="3"/>
  <c r="P650" i="3" s="1"/>
  <c r="O649" i="3"/>
  <c r="U648" i="3"/>
  <c r="T648" i="3"/>
  <c r="S648" i="3"/>
  <c r="R648" i="3"/>
  <c r="Q648" i="3"/>
  <c r="P648" i="3"/>
  <c r="O648" i="3"/>
  <c r="U647" i="3"/>
  <c r="T647" i="3"/>
  <c r="S647" i="3"/>
  <c r="R647" i="3"/>
  <c r="Q647" i="3"/>
  <c r="P647" i="3"/>
  <c r="O647" i="3"/>
  <c r="U646" i="3"/>
  <c r="T646" i="3"/>
  <c r="S646" i="3"/>
  <c r="R646" i="3"/>
  <c r="Q646" i="3"/>
  <c r="P646" i="3"/>
  <c r="O646" i="3"/>
  <c r="U645" i="3"/>
  <c r="T645" i="3"/>
  <c r="S645" i="3"/>
  <c r="R645" i="3"/>
  <c r="Q645" i="3"/>
  <c r="P645" i="3"/>
  <c r="O645" i="3"/>
  <c r="U644" i="3"/>
  <c r="T644" i="3"/>
  <c r="S644" i="3"/>
  <c r="R644" i="3"/>
  <c r="Q644" i="3"/>
  <c r="P644" i="3"/>
  <c r="O644" i="3"/>
  <c r="U643" i="3"/>
  <c r="T643" i="3"/>
  <c r="S643" i="3"/>
  <c r="R643" i="3"/>
  <c r="Q643" i="3"/>
  <c r="P643" i="3"/>
  <c r="O643" i="3"/>
  <c r="U642" i="3"/>
  <c r="T642" i="3"/>
  <c r="S642" i="3"/>
  <c r="R642" i="3"/>
  <c r="Q642" i="3"/>
  <c r="P642" i="3"/>
  <c r="O642" i="3"/>
  <c r="U641" i="3"/>
  <c r="T641" i="3"/>
  <c r="S641" i="3"/>
  <c r="R641" i="3"/>
  <c r="Q641" i="3"/>
  <c r="P641" i="3"/>
  <c r="O641" i="3"/>
  <c r="U640" i="3"/>
  <c r="T640" i="3"/>
  <c r="S640" i="3"/>
  <c r="R640" i="3"/>
  <c r="Q640" i="3"/>
  <c r="P640" i="3"/>
  <c r="O640" i="3"/>
  <c r="U639" i="3"/>
  <c r="T639" i="3"/>
  <c r="S639" i="3"/>
  <c r="R639" i="3"/>
  <c r="Q639" i="3"/>
  <c r="P639" i="3"/>
  <c r="O639" i="3"/>
  <c r="U638" i="3"/>
  <c r="T638" i="3"/>
  <c r="S638" i="3"/>
  <c r="R638" i="3"/>
  <c r="Q638" i="3"/>
  <c r="P638" i="3"/>
  <c r="O638" i="3"/>
  <c r="U637" i="3"/>
  <c r="T637" i="3"/>
  <c r="S637" i="3"/>
  <c r="R637" i="3"/>
  <c r="O637" i="3"/>
  <c r="U636" i="3"/>
  <c r="T636" i="3"/>
  <c r="S636" i="3"/>
  <c r="R636" i="3"/>
  <c r="Q636" i="3"/>
  <c r="Q637" i="3" s="1"/>
  <c r="P636" i="3"/>
  <c r="P637" i="3" s="1"/>
  <c r="O636" i="3"/>
  <c r="U635" i="3"/>
  <c r="T635" i="3"/>
  <c r="S635" i="3"/>
  <c r="R635" i="3"/>
  <c r="Q635" i="3"/>
  <c r="P635" i="3"/>
  <c r="O635" i="3"/>
  <c r="U634" i="3"/>
  <c r="T634" i="3"/>
  <c r="S634" i="3"/>
  <c r="R634" i="3"/>
  <c r="Q634" i="3"/>
  <c r="U633" i="3"/>
  <c r="T633" i="3"/>
  <c r="S633" i="3"/>
  <c r="P633" i="3"/>
  <c r="P634" i="3" s="1"/>
  <c r="U632" i="3"/>
  <c r="T632" i="3"/>
  <c r="S632" i="3"/>
  <c r="R632" i="3"/>
  <c r="R633" i="3" s="1"/>
  <c r="Q632" i="3"/>
  <c r="Q633" i="3" s="1"/>
  <c r="P632" i="3"/>
  <c r="O632" i="3"/>
  <c r="O633" i="3" s="1"/>
  <c r="O634" i="3" s="1"/>
  <c r="U631" i="3"/>
  <c r="T631" i="3"/>
  <c r="S631" i="3"/>
  <c r="R631" i="3"/>
  <c r="Q631" i="3"/>
  <c r="P631" i="3"/>
  <c r="O631" i="3"/>
  <c r="U630" i="3"/>
  <c r="T630" i="3"/>
  <c r="S630" i="3"/>
  <c r="R630" i="3"/>
  <c r="Q630" i="3"/>
  <c r="P630" i="3"/>
  <c r="O630" i="3"/>
  <c r="U629" i="3"/>
  <c r="T629" i="3"/>
  <c r="S629" i="3"/>
  <c r="R629" i="3"/>
  <c r="Q629" i="3"/>
  <c r="P629" i="3"/>
  <c r="O629" i="3"/>
  <c r="U628" i="3"/>
  <c r="T628" i="3"/>
  <c r="S628" i="3"/>
  <c r="R628" i="3"/>
  <c r="Q628" i="3"/>
  <c r="P628" i="3"/>
  <c r="O628" i="3"/>
  <c r="U627" i="3"/>
  <c r="T627" i="3"/>
  <c r="S627" i="3"/>
  <c r="R627" i="3"/>
  <c r="Q627" i="3"/>
  <c r="P627" i="3"/>
  <c r="O627" i="3"/>
  <c r="U626" i="3"/>
  <c r="T626" i="3"/>
  <c r="S626" i="3"/>
  <c r="R626" i="3"/>
  <c r="Q626" i="3"/>
  <c r="P626" i="3"/>
  <c r="O626" i="3"/>
  <c r="U625" i="3"/>
  <c r="T625" i="3"/>
  <c r="S625" i="3"/>
  <c r="R625" i="3"/>
  <c r="Q625" i="3"/>
  <c r="P625" i="3"/>
  <c r="O625" i="3"/>
  <c r="U624" i="3"/>
  <c r="T624" i="3"/>
  <c r="S624" i="3"/>
  <c r="R624" i="3"/>
  <c r="Q624" i="3"/>
  <c r="P624" i="3"/>
  <c r="O624" i="3"/>
  <c r="U623" i="3"/>
  <c r="T623" i="3"/>
  <c r="S623" i="3"/>
  <c r="R623" i="3"/>
  <c r="Q623" i="3"/>
  <c r="P623" i="3"/>
  <c r="O623" i="3"/>
  <c r="U622" i="3"/>
  <c r="T622" i="3"/>
  <c r="S622" i="3"/>
  <c r="R622" i="3"/>
  <c r="Q622" i="3"/>
  <c r="P622" i="3"/>
  <c r="O622" i="3"/>
  <c r="U621" i="3"/>
  <c r="T621" i="3"/>
  <c r="S621" i="3"/>
  <c r="R621" i="3"/>
  <c r="O621" i="3"/>
  <c r="U620" i="3"/>
  <c r="T620" i="3"/>
  <c r="S620" i="3"/>
  <c r="R620" i="3"/>
  <c r="Q620" i="3"/>
  <c r="Q621" i="3" s="1"/>
  <c r="P620" i="3"/>
  <c r="P621" i="3" s="1"/>
  <c r="O620" i="3"/>
  <c r="U619" i="3"/>
  <c r="T619" i="3"/>
  <c r="S619" i="3"/>
  <c r="R619" i="3"/>
  <c r="Q619" i="3"/>
  <c r="P619" i="3"/>
  <c r="O619" i="3"/>
  <c r="U618" i="3"/>
  <c r="T618" i="3"/>
  <c r="S618" i="3"/>
  <c r="R618" i="3"/>
  <c r="Q618" i="3"/>
  <c r="P618" i="3"/>
  <c r="O618" i="3"/>
  <c r="U617" i="3"/>
  <c r="T617" i="3"/>
  <c r="S617" i="3"/>
  <c r="R617" i="3"/>
  <c r="Q617" i="3"/>
  <c r="P617" i="3"/>
  <c r="O617" i="3"/>
  <c r="U616" i="3"/>
  <c r="T616" i="3"/>
  <c r="S616" i="3"/>
  <c r="R616" i="3"/>
  <c r="Q616" i="3"/>
  <c r="P616" i="3"/>
  <c r="O616" i="3"/>
  <c r="U615" i="3"/>
  <c r="T615" i="3"/>
  <c r="S615" i="3"/>
  <c r="R615" i="3"/>
  <c r="Q615" i="3"/>
  <c r="P615" i="3"/>
  <c r="O615" i="3"/>
  <c r="U614" i="3"/>
  <c r="T614" i="3"/>
  <c r="S614" i="3"/>
  <c r="R614" i="3"/>
  <c r="Q614" i="3"/>
  <c r="P614" i="3"/>
  <c r="O614" i="3"/>
  <c r="U613" i="3"/>
  <c r="T613" i="3"/>
  <c r="S613" i="3"/>
  <c r="R613" i="3"/>
  <c r="Q613" i="3"/>
  <c r="P613" i="3"/>
  <c r="O613" i="3"/>
  <c r="U612" i="3"/>
  <c r="T612" i="3"/>
  <c r="S612" i="3"/>
  <c r="R612" i="3"/>
  <c r="Q612" i="3"/>
  <c r="P612" i="3"/>
  <c r="O612" i="3"/>
  <c r="U611" i="3"/>
  <c r="T611" i="3"/>
  <c r="S611" i="3"/>
  <c r="R611" i="3"/>
  <c r="Q611" i="3"/>
  <c r="P611" i="3"/>
  <c r="O611" i="3"/>
  <c r="U610" i="3"/>
  <c r="T610" i="3"/>
  <c r="S610" i="3"/>
  <c r="R610" i="3"/>
  <c r="Q610" i="3"/>
  <c r="P610" i="3"/>
  <c r="O610" i="3"/>
  <c r="U609" i="3"/>
  <c r="T609" i="3"/>
  <c r="S609" i="3"/>
  <c r="R609" i="3"/>
  <c r="Q609" i="3"/>
  <c r="P609" i="3"/>
  <c r="O609" i="3"/>
  <c r="U608" i="3"/>
  <c r="T608" i="3"/>
  <c r="S608" i="3"/>
  <c r="R608" i="3"/>
  <c r="Q608" i="3"/>
  <c r="P608" i="3"/>
  <c r="O608" i="3"/>
  <c r="U607" i="3"/>
  <c r="T607" i="3"/>
  <c r="S607" i="3"/>
  <c r="Q607" i="3"/>
  <c r="U606" i="3"/>
  <c r="T606" i="3"/>
  <c r="S606" i="3"/>
  <c r="R606" i="3"/>
  <c r="R607" i="3" s="1"/>
  <c r="Q606" i="3"/>
  <c r="P606" i="3"/>
  <c r="P607" i="3" s="1"/>
  <c r="O606" i="3"/>
  <c r="O607" i="3" s="1"/>
  <c r="U605" i="3"/>
  <c r="T605" i="3"/>
  <c r="S605" i="3"/>
  <c r="U604" i="3"/>
  <c r="T604" i="3"/>
  <c r="S604" i="3"/>
  <c r="Q604" i="3"/>
  <c r="Q605" i="3" s="1"/>
  <c r="U603" i="3"/>
  <c r="T603" i="3"/>
  <c r="S603" i="3"/>
  <c r="R603" i="3"/>
  <c r="R604" i="3" s="1"/>
  <c r="R605" i="3" s="1"/>
  <c r="Q603" i="3"/>
  <c r="P603" i="3"/>
  <c r="P604" i="3" s="1"/>
  <c r="P605" i="3" s="1"/>
  <c r="O603" i="3"/>
  <c r="O604" i="3" s="1"/>
  <c r="O605" i="3" s="1"/>
  <c r="U602" i="3"/>
  <c r="T602" i="3"/>
  <c r="S602" i="3"/>
  <c r="R602" i="3"/>
  <c r="Q602" i="3"/>
  <c r="P602" i="3"/>
  <c r="O602" i="3"/>
  <c r="U601" i="3"/>
  <c r="T601" i="3"/>
  <c r="S601" i="3"/>
  <c r="R601" i="3"/>
  <c r="Q601" i="3"/>
  <c r="P601" i="3"/>
  <c r="O601" i="3"/>
  <c r="U600" i="3"/>
  <c r="T600" i="3"/>
  <c r="S600" i="3"/>
  <c r="R600" i="3"/>
  <c r="Q600" i="3"/>
  <c r="P600" i="3"/>
  <c r="O600" i="3"/>
  <c r="U599" i="3"/>
  <c r="T599" i="3"/>
  <c r="S599" i="3"/>
  <c r="R599" i="3"/>
  <c r="Q599" i="3"/>
  <c r="U598" i="3"/>
  <c r="T598" i="3"/>
  <c r="S598" i="3"/>
  <c r="P598" i="3"/>
  <c r="P599" i="3" s="1"/>
  <c r="U597" i="3"/>
  <c r="T597" i="3"/>
  <c r="S597" i="3"/>
  <c r="R597" i="3"/>
  <c r="R598" i="3" s="1"/>
  <c r="Q597" i="3"/>
  <c r="Q598" i="3" s="1"/>
  <c r="P597" i="3"/>
  <c r="O597" i="3"/>
  <c r="O598" i="3" s="1"/>
  <c r="O599" i="3" s="1"/>
  <c r="U596" i="3"/>
  <c r="T596" i="3"/>
  <c r="S596" i="3"/>
  <c r="R596" i="3"/>
  <c r="Q596" i="3"/>
  <c r="P596" i="3"/>
  <c r="O596" i="3"/>
  <c r="U595" i="3"/>
  <c r="T595" i="3"/>
  <c r="S595" i="3"/>
  <c r="R595" i="3"/>
  <c r="Q595" i="3"/>
  <c r="P595" i="3"/>
  <c r="O595" i="3"/>
  <c r="U594" i="3"/>
  <c r="T594" i="3"/>
  <c r="S594" i="3"/>
  <c r="R594" i="3"/>
  <c r="Q594" i="3"/>
  <c r="P594" i="3"/>
  <c r="O594" i="3"/>
  <c r="U593" i="3"/>
  <c r="T593" i="3"/>
  <c r="S593" i="3"/>
  <c r="R593" i="3"/>
  <c r="Q593" i="3"/>
  <c r="P593" i="3"/>
  <c r="O593" i="3"/>
  <c r="U592" i="3"/>
  <c r="T592" i="3"/>
  <c r="S592" i="3"/>
  <c r="R592" i="3"/>
  <c r="Q592" i="3"/>
  <c r="P592" i="3"/>
  <c r="O592" i="3"/>
  <c r="U591" i="3"/>
  <c r="T591" i="3"/>
  <c r="S591" i="3"/>
  <c r="R591" i="3"/>
  <c r="Q591" i="3"/>
  <c r="P591" i="3"/>
  <c r="O591" i="3"/>
  <c r="U590" i="3"/>
  <c r="T590" i="3"/>
  <c r="S590" i="3"/>
  <c r="R590" i="3"/>
  <c r="Q590" i="3"/>
  <c r="P590" i="3"/>
  <c r="O590" i="3"/>
  <c r="U589" i="3"/>
  <c r="T589" i="3"/>
  <c r="S589" i="3"/>
  <c r="R589" i="3"/>
  <c r="Q589" i="3"/>
  <c r="P589" i="3"/>
  <c r="O589" i="3"/>
  <c r="U588" i="3"/>
  <c r="T588" i="3"/>
  <c r="S588" i="3"/>
  <c r="R588" i="3"/>
  <c r="Q588" i="3"/>
  <c r="P588" i="3"/>
  <c r="O588" i="3"/>
  <c r="U587" i="3"/>
  <c r="T587" i="3"/>
  <c r="S587" i="3"/>
  <c r="R587" i="3"/>
  <c r="Q587" i="3"/>
  <c r="P587" i="3"/>
  <c r="O587" i="3"/>
  <c r="U586" i="3"/>
  <c r="T586" i="3"/>
  <c r="S586" i="3"/>
  <c r="R586" i="3"/>
  <c r="Q586" i="3"/>
  <c r="U585" i="3"/>
  <c r="T585" i="3"/>
  <c r="S585" i="3"/>
  <c r="U584" i="3"/>
  <c r="T584" i="3"/>
  <c r="S584" i="3"/>
  <c r="R584" i="3"/>
  <c r="R585" i="3" s="1"/>
  <c r="Q584" i="3"/>
  <c r="Q585" i="3" s="1"/>
  <c r="P584" i="3"/>
  <c r="P585" i="3" s="1"/>
  <c r="P586" i="3" s="1"/>
  <c r="O584" i="3"/>
  <c r="O585" i="3" s="1"/>
  <c r="O586" i="3" s="1"/>
  <c r="U583" i="3"/>
  <c r="T583" i="3"/>
  <c r="S583" i="3"/>
  <c r="R583" i="3"/>
  <c r="Q583" i="3"/>
  <c r="P583" i="3"/>
  <c r="O583" i="3"/>
  <c r="U582" i="3"/>
  <c r="T582" i="3"/>
  <c r="S582" i="3"/>
  <c r="R582" i="3"/>
  <c r="Q582" i="3"/>
  <c r="P582" i="3"/>
  <c r="O582" i="3"/>
  <c r="U581" i="3"/>
  <c r="T581" i="3"/>
  <c r="S581" i="3"/>
  <c r="R581" i="3"/>
  <c r="Q581" i="3"/>
  <c r="P581" i="3"/>
  <c r="O581" i="3"/>
  <c r="U580" i="3"/>
  <c r="T580" i="3"/>
  <c r="S580" i="3"/>
  <c r="R580" i="3"/>
  <c r="Q580" i="3"/>
  <c r="P580" i="3"/>
  <c r="O580" i="3"/>
  <c r="U579" i="3"/>
  <c r="T579" i="3"/>
  <c r="S579" i="3"/>
  <c r="R579" i="3"/>
  <c r="Q579" i="3"/>
  <c r="P579" i="3"/>
  <c r="O579" i="3"/>
  <c r="U578" i="3"/>
  <c r="T578" i="3"/>
  <c r="S578" i="3"/>
  <c r="R578" i="3"/>
  <c r="Q578" i="3"/>
  <c r="P578" i="3"/>
  <c r="O578" i="3"/>
  <c r="U577" i="3"/>
  <c r="T577" i="3"/>
  <c r="S577" i="3"/>
  <c r="R577" i="3"/>
  <c r="Q577" i="3"/>
  <c r="P577" i="3"/>
  <c r="O577" i="3"/>
  <c r="U576" i="3"/>
  <c r="T576" i="3"/>
  <c r="S576" i="3"/>
  <c r="R576" i="3"/>
  <c r="Q576" i="3"/>
  <c r="P576" i="3"/>
  <c r="O576" i="3"/>
  <c r="U575" i="3"/>
  <c r="T575" i="3"/>
  <c r="S575" i="3"/>
  <c r="R575" i="3"/>
  <c r="Q575" i="3"/>
  <c r="P575" i="3"/>
  <c r="O575" i="3"/>
  <c r="U574" i="3"/>
  <c r="T574" i="3"/>
  <c r="S574" i="3"/>
  <c r="R574" i="3"/>
  <c r="Q574" i="3"/>
  <c r="P574" i="3"/>
  <c r="O574" i="3"/>
  <c r="U573" i="3"/>
  <c r="T573" i="3"/>
  <c r="S573" i="3"/>
  <c r="R573" i="3"/>
  <c r="Q573" i="3"/>
  <c r="P573" i="3"/>
  <c r="O573" i="3"/>
  <c r="U572" i="3"/>
  <c r="T572" i="3"/>
  <c r="S572" i="3"/>
  <c r="R572" i="3"/>
  <c r="Q572" i="3"/>
  <c r="P572" i="3"/>
  <c r="O572" i="3"/>
  <c r="U571" i="3"/>
  <c r="T571" i="3"/>
  <c r="S571" i="3"/>
  <c r="R571" i="3"/>
  <c r="Q571" i="3"/>
  <c r="P571" i="3"/>
  <c r="O571" i="3"/>
  <c r="U570" i="3"/>
  <c r="T570" i="3"/>
  <c r="S570" i="3"/>
  <c r="R570" i="3"/>
  <c r="Q570" i="3"/>
  <c r="P570" i="3"/>
  <c r="O570" i="3"/>
  <c r="U569" i="3"/>
  <c r="T569" i="3"/>
  <c r="S569" i="3"/>
  <c r="R569" i="3"/>
  <c r="Q569" i="3"/>
  <c r="P569" i="3"/>
  <c r="O569" i="3"/>
  <c r="U568" i="3"/>
  <c r="T568" i="3"/>
  <c r="S568" i="3"/>
  <c r="R568" i="3"/>
  <c r="Q568" i="3"/>
  <c r="P568" i="3"/>
  <c r="O568" i="3"/>
  <c r="U567" i="3"/>
  <c r="T567" i="3"/>
  <c r="S567" i="3"/>
  <c r="U566" i="3"/>
  <c r="T566" i="3"/>
  <c r="S566" i="3"/>
  <c r="U565" i="3"/>
  <c r="T565" i="3"/>
  <c r="S565" i="3"/>
  <c r="R565" i="3"/>
  <c r="R566" i="3" s="1"/>
  <c r="R567" i="3" s="1"/>
  <c r="Q565" i="3"/>
  <c r="Q566" i="3" s="1"/>
  <c r="Q567" i="3" s="1"/>
  <c r="P565" i="3"/>
  <c r="P566" i="3" s="1"/>
  <c r="P567" i="3" s="1"/>
  <c r="O565" i="3"/>
  <c r="O566" i="3" s="1"/>
  <c r="O567" i="3" s="1"/>
  <c r="U564" i="3"/>
  <c r="T564" i="3"/>
  <c r="S564" i="3"/>
  <c r="R564" i="3"/>
  <c r="Q564" i="3"/>
  <c r="P564" i="3"/>
  <c r="O564" i="3"/>
  <c r="U563" i="3"/>
  <c r="T563" i="3"/>
  <c r="S563" i="3"/>
  <c r="R563" i="3"/>
  <c r="Q563" i="3"/>
  <c r="P563" i="3"/>
  <c r="O563" i="3"/>
  <c r="U562" i="3"/>
  <c r="T562" i="3"/>
  <c r="S562" i="3"/>
  <c r="R562" i="3"/>
  <c r="Q562" i="3"/>
  <c r="P562" i="3"/>
  <c r="O562" i="3"/>
  <c r="U561" i="3"/>
  <c r="T561" i="3"/>
  <c r="S561" i="3"/>
  <c r="R561" i="3"/>
  <c r="Q561" i="3"/>
  <c r="P561" i="3"/>
  <c r="O561" i="3"/>
  <c r="U560" i="3"/>
  <c r="T560" i="3"/>
  <c r="S560" i="3"/>
  <c r="R560" i="3"/>
  <c r="Q560" i="3"/>
  <c r="P560" i="3"/>
  <c r="O560" i="3"/>
  <c r="U559" i="3"/>
  <c r="T559" i="3"/>
  <c r="S559" i="3"/>
  <c r="R559" i="3"/>
  <c r="Q559" i="3"/>
  <c r="P559" i="3"/>
  <c r="O559" i="3"/>
  <c r="U558" i="3"/>
  <c r="T558" i="3"/>
  <c r="S558" i="3"/>
  <c r="R558" i="3"/>
  <c r="Q558" i="3"/>
  <c r="P558" i="3"/>
  <c r="O558" i="3"/>
  <c r="U557" i="3"/>
  <c r="T557" i="3"/>
  <c r="S557" i="3"/>
  <c r="R557" i="3"/>
  <c r="Q557" i="3"/>
  <c r="P557" i="3"/>
  <c r="O557" i="3"/>
  <c r="U556" i="3"/>
  <c r="T556" i="3"/>
  <c r="S556" i="3"/>
  <c r="R556" i="3"/>
  <c r="Q556" i="3"/>
  <c r="P556" i="3"/>
  <c r="O556" i="3"/>
  <c r="U555" i="3"/>
  <c r="T555" i="3"/>
  <c r="S555" i="3"/>
  <c r="R555" i="3"/>
  <c r="Q555" i="3"/>
  <c r="P555" i="3"/>
  <c r="O555" i="3"/>
  <c r="U554" i="3"/>
  <c r="T554" i="3"/>
  <c r="S554" i="3"/>
  <c r="O554" i="3"/>
  <c r="U553" i="3"/>
  <c r="T553" i="3"/>
  <c r="S553" i="3"/>
  <c r="O553" i="3"/>
  <c r="U552" i="3"/>
  <c r="T552" i="3"/>
  <c r="S552" i="3"/>
  <c r="R552" i="3"/>
  <c r="R553" i="3" s="1"/>
  <c r="R554" i="3" s="1"/>
  <c r="Q552" i="3"/>
  <c r="Q553" i="3" s="1"/>
  <c r="Q554" i="3" s="1"/>
  <c r="P552" i="3"/>
  <c r="P553" i="3" s="1"/>
  <c r="P554" i="3" s="1"/>
  <c r="O552" i="3"/>
  <c r="U551" i="3"/>
  <c r="T551" i="3"/>
  <c r="S551" i="3"/>
  <c r="R551" i="3"/>
  <c r="Q551" i="3"/>
  <c r="P551" i="3"/>
  <c r="O551" i="3"/>
  <c r="U550" i="3"/>
  <c r="T550" i="3"/>
  <c r="S550" i="3"/>
  <c r="R550" i="3"/>
  <c r="Q550" i="3"/>
  <c r="P550" i="3"/>
  <c r="O550" i="3"/>
  <c r="U549" i="3"/>
  <c r="T549" i="3"/>
  <c r="S549" i="3"/>
  <c r="R549" i="3"/>
  <c r="Q549" i="3"/>
  <c r="P549" i="3"/>
  <c r="O549" i="3"/>
  <c r="U548" i="3"/>
  <c r="T548" i="3"/>
  <c r="S548" i="3"/>
  <c r="R548" i="3"/>
  <c r="Q548" i="3"/>
  <c r="P548" i="3"/>
  <c r="O548" i="3"/>
  <c r="U547" i="3"/>
  <c r="T547" i="3"/>
  <c r="S547" i="3"/>
  <c r="R547" i="3"/>
  <c r="Q547" i="3"/>
  <c r="P547" i="3"/>
  <c r="O547" i="3"/>
  <c r="U546" i="3"/>
  <c r="T546" i="3"/>
  <c r="S546" i="3"/>
  <c r="U545" i="3"/>
  <c r="T545" i="3"/>
  <c r="S545" i="3"/>
  <c r="R545" i="3"/>
  <c r="R546" i="3" s="1"/>
  <c r="Q545" i="3"/>
  <c r="Q546" i="3" s="1"/>
  <c r="P545" i="3"/>
  <c r="P546" i="3" s="1"/>
  <c r="O545" i="3"/>
  <c r="O546" i="3" s="1"/>
  <c r="U544" i="3"/>
  <c r="T544" i="3"/>
  <c r="S544" i="3"/>
  <c r="R544" i="3"/>
  <c r="Q544" i="3"/>
  <c r="P544" i="3"/>
  <c r="O544" i="3"/>
  <c r="U543" i="3"/>
  <c r="T543" i="3"/>
  <c r="S543" i="3"/>
  <c r="R543" i="3"/>
  <c r="Q543" i="3"/>
  <c r="P543" i="3"/>
  <c r="O543" i="3"/>
  <c r="U542" i="3"/>
  <c r="T542" i="3"/>
  <c r="S542" i="3"/>
  <c r="R542" i="3"/>
  <c r="Q542" i="3"/>
  <c r="P542" i="3"/>
  <c r="O542" i="3"/>
  <c r="U541" i="3"/>
  <c r="T541" i="3"/>
  <c r="S541" i="3"/>
  <c r="R541" i="3"/>
  <c r="Q541" i="3"/>
  <c r="U540" i="3"/>
  <c r="T540" i="3"/>
  <c r="S540" i="3"/>
  <c r="R540" i="3"/>
  <c r="Q540" i="3"/>
  <c r="U539" i="3"/>
  <c r="T539" i="3"/>
  <c r="S539" i="3"/>
  <c r="R539" i="3"/>
  <c r="Q539" i="3"/>
  <c r="P539" i="3"/>
  <c r="P540" i="3" s="1"/>
  <c r="P541" i="3" s="1"/>
  <c r="O539" i="3"/>
  <c r="O540" i="3" s="1"/>
  <c r="O541" i="3" s="1"/>
  <c r="U538" i="3"/>
  <c r="T538" i="3"/>
  <c r="S538" i="3"/>
  <c r="R538" i="3"/>
  <c r="Q538" i="3"/>
  <c r="P538" i="3"/>
  <c r="O538" i="3"/>
  <c r="U537" i="3"/>
  <c r="T537" i="3"/>
  <c r="S537" i="3"/>
  <c r="R537" i="3"/>
  <c r="Q537" i="3"/>
  <c r="P537" i="3"/>
  <c r="O537" i="3"/>
  <c r="U536" i="3"/>
  <c r="T536" i="3"/>
  <c r="S536" i="3"/>
  <c r="R536" i="3"/>
  <c r="Q536" i="3"/>
  <c r="P536" i="3"/>
  <c r="O536" i="3"/>
  <c r="U535" i="3"/>
  <c r="T535" i="3"/>
  <c r="S535" i="3"/>
  <c r="R535" i="3"/>
  <c r="Q535" i="3"/>
  <c r="P535" i="3"/>
  <c r="O535" i="3"/>
  <c r="U534" i="3"/>
  <c r="T534" i="3"/>
  <c r="S534" i="3"/>
  <c r="R534" i="3"/>
  <c r="Q534" i="3"/>
  <c r="P534" i="3"/>
  <c r="O534" i="3"/>
  <c r="U533" i="3"/>
  <c r="T533" i="3"/>
  <c r="S533" i="3"/>
  <c r="R533" i="3"/>
  <c r="Q533" i="3"/>
  <c r="P533" i="3"/>
  <c r="O533" i="3"/>
  <c r="U532" i="3"/>
  <c r="T532" i="3"/>
  <c r="S532" i="3"/>
  <c r="R532" i="3"/>
  <c r="Q532" i="3"/>
  <c r="P532" i="3"/>
  <c r="O532" i="3"/>
  <c r="U531" i="3"/>
  <c r="T531" i="3"/>
  <c r="S531" i="3"/>
  <c r="R531" i="3"/>
  <c r="Q531" i="3"/>
  <c r="P531" i="3"/>
  <c r="O531" i="3"/>
  <c r="U530" i="3"/>
  <c r="T530" i="3"/>
  <c r="S530" i="3"/>
  <c r="R530" i="3"/>
  <c r="Q530" i="3"/>
  <c r="P530" i="3"/>
  <c r="O530" i="3"/>
  <c r="U529" i="3"/>
  <c r="T529" i="3"/>
  <c r="S529" i="3"/>
  <c r="R529" i="3"/>
  <c r="Q529" i="3"/>
  <c r="P529" i="3"/>
  <c r="O529" i="3"/>
  <c r="U528" i="3"/>
  <c r="T528" i="3"/>
  <c r="S528" i="3"/>
  <c r="R528" i="3"/>
  <c r="Q528" i="3"/>
  <c r="P528" i="3"/>
  <c r="O528" i="3"/>
  <c r="U527" i="3"/>
  <c r="T527" i="3"/>
  <c r="S527" i="3"/>
  <c r="R527" i="3"/>
  <c r="Q527" i="3"/>
  <c r="P527" i="3"/>
  <c r="O527" i="3"/>
  <c r="U526" i="3"/>
  <c r="T526" i="3"/>
  <c r="S526" i="3"/>
  <c r="R526" i="3"/>
  <c r="Q526" i="3"/>
  <c r="P526" i="3"/>
  <c r="O526" i="3"/>
  <c r="U525" i="3"/>
  <c r="T525" i="3"/>
  <c r="S525" i="3"/>
  <c r="R525" i="3"/>
  <c r="Q525" i="3"/>
  <c r="P525" i="3"/>
  <c r="O525" i="3"/>
  <c r="U524" i="3"/>
  <c r="T524" i="3"/>
  <c r="S524" i="3"/>
  <c r="R524" i="3"/>
  <c r="Q524" i="3"/>
  <c r="P524" i="3"/>
  <c r="O524" i="3"/>
  <c r="U523" i="3"/>
  <c r="T523" i="3"/>
  <c r="S523" i="3"/>
  <c r="R523" i="3"/>
  <c r="Q523" i="3"/>
  <c r="P523" i="3"/>
  <c r="O523" i="3"/>
  <c r="U522" i="3"/>
  <c r="T522" i="3"/>
  <c r="S522" i="3"/>
  <c r="R522" i="3"/>
  <c r="Q522" i="3"/>
  <c r="P522" i="3"/>
  <c r="O522" i="3"/>
  <c r="U521" i="3"/>
  <c r="T521" i="3"/>
  <c r="S521" i="3"/>
  <c r="R521" i="3"/>
  <c r="Q521" i="3"/>
  <c r="P521" i="3"/>
  <c r="O521" i="3"/>
  <c r="U520" i="3"/>
  <c r="T520" i="3"/>
  <c r="S520" i="3"/>
  <c r="R520" i="3"/>
  <c r="Q520" i="3"/>
  <c r="P520" i="3"/>
  <c r="O520" i="3"/>
  <c r="U519" i="3"/>
  <c r="T519" i="3"/>
  <c r="S519" i="3"/>
  <c r="R519" i="3"/>
  <c r="Q519" i="3"/>
  <c r="P519" i="3"/>
  <c r="O519" i="3"/>
  <c r="U518" i="3"/>
  <c r="T518" i="3"/>
  <c r="S518" i="3"/>
  <c r="R518" i="3"/>
  <c r="Q518" i="3"/>
  <c r="P518" i="3"/>
  <c r="O518" i="3"/>
  <c r="U517" i="3"/>
  <c r="T517" i="3"/>
  <c r="S517" i="3"/>
  <c r="R517" i="3"/>
  <c r="Q517" i="3"/>
  <c r="P517" i="3"/>
  <c r="O517" i="3"/>
  <c r="U516" i="3"/>
  <c r="T516" i="3"/>
  <c r="S516" i="3"/>
  <c r="R516" i="3"/>
  <c r="Q516" i="3"/>
  <c r="P516" i="3"/>
  <c r="O516" i="3"/>
  <c r="U515" i="3"/>
  <c r="T515" i="3"/>
  <c r="S515" i="3"/>
  <c r="R515" i="3"/>
  <c r="Q515" i="3"/>
  <c r="O515" i="3"/>
  <c r="U514" i="3"/>
  <c r="T514" i="3"/>
  <c r="S514" i="3"/>
  <c r="R514" i="3"/>
  <c r="Q514" i="3"/>
  <c r="P514" i="3"/>
  <c r="P515" i="3" s="1"/>
  <c r="O514" i="3"/>
  <c r="U513" i="3"/>
  <c r="T513" i="3"/>
  <c r="S513" i="3"/>
  <c r="R513" i="3"/>
  <c r="Q513" i="3"/>
  <c r="P513" i="3"/>
  <c r="O513" i="3"/>
  <c r="U512" i="3"/>
  <c r="T512" i="3"/>
  <c r="S512" i="3"/>
  <c r="R512" i="3"/>
  <c r="Q512" i="3"/>
  <c r="P512" i="3"/>
  <c r="O512" i="3"/>
  <c r="U511" i="3"/>
  <c r="T511" i="3"/>
  <c r="S511" i="3"/>
  <c r="R511" i="3"/>
  <c r="Q511" i="3"/>
  <c r="P511" i="3"/>
  <c r="O511" i="3"/>
  <c r="U510" i="3"/>
  <c r="T510" i="3"/>
  <c r="S510" i="3"/>
  <c r="R510" i="3"/>
  <c r="Q510" i="3"/>
  <c r="P510" i="3"/>
  <c r="O510" i="3"/>
  <c r="U509" i="3"/>
  <c r="T509" i="3"/>
  <c r="S509" i="3"/>
  <c r="R509" i="3"/>
  <c r="Q509" i="3"/>
  <c r="P509" i="3"/>
  <c r="O509" i="3"/>
  <c r="U508" i="3"/>
  <c r="T508" i="3"/>
  <c r="S508" i="3"/>
  <c r="R508" i="3"/>
  <c r="Q508" i="3"/>
  <c r="P508" i="3"/>
  <c r="O508" i="3"/>
  <c r="U507" i="3"/>
  <c r="T507" i="3"/>
  <c r="S507" i="3"/>
  <c r="R507" i="3"/>
  <c r="Q507" i="3"/>
  <c r="P507" i="3"/>
  <c r="O507" i="3"/>
  <c r="U506" i="3"/>
  <c r="T506" i="3"/>
  <c r="S506" i="3"/>
  <c r="R506" i="3"/>
  <c r="Q506" i="3"/>
  <c r="P506" i="3"/>
  <c r="O506" i="3"/>
  <c r="U505" i="3"/>
  <c r="T505" i="3"/>
  <c r="S505" i="3"/>
  <c r="R505" i="3"/>
  <c r="Q505" i="3"/>
  <c r="P505" i="3"/>
  <c r="O505" i="3"/>
  <c r="U504" i="3"/>
  <c r="T504" i="3"/>
  <c r="S504" i="3"/>
  <c r="R504" i="3"/>
  <c r="Q504" i="3"/>
  <c r="P504" i="3"/>
  <c r="O504" i="3"/>
  <c r="U503" i="3"/>
  <c r="T503" i="3"/>
  <c r="S503" i="3"/>
  <c r="R503" i="3"/>
  <c r="Q503" i="3"/>
  <c r="P503" i="3"/>
  <c r="O503" i="3"/>
  <c r="U502" i="3"/>
  <c r="T502" i="3"/>
  <c r="S502" i="3"/>
  <c r="R502" i="3"/>
  <c r="U501" i="3"/>
  <c r="T501" i="3"/>
  <c r="S501" i="3"/>
  <c r="R501" i="3"/>
  <c r="Q501" i="3"/>
  <c r="Q502" i="3" s="1"/>
  <c r="P501" i="3"/>
  <c r="P502" i="3" s="1"/>
  <c r="O501" i="3"/>
  <c r="O502" i="3" s="1"/>
  <c r="U500" i="3"/>
  <c r="T500" i="3"/>
  <c r="S500" i="3"/>
  <c r="R500" i="3"/>
  <c r="Q500" i="3"/>
  <c r="P500" i="3"/>
  <c r="O500" i="3"/>
  <c r="U499" i="3"/>
  <c r="T499" i="3"/>
  <c r="S499" i="3"/>
  <c r="R499" i="3"/>
  <c r="Q499" i="3"/>
  <c r="P499" i="3"/>
  <c r="O499" i="3"/>
  <c r="U498" i="3"/>
  <c r="T498" i="3"/>
  <c r="S498" i="3"/>
  <c r="R498" i="3"/>
  <c r="Q498" i="3"/>
  <c r="P498" i="3"/>
  <c r="O498" i="3"/>
  <c r="U497" i="3"/>
  <c r="T497" i="3"/>
  <c r="S497" i="3"/>
  <c r="R497" i="3"/>
  <c r="Q497" i="3"/>
  <c r="P497" i="3"/>
  <c r="O497" i="3"/>
  <c r="U496" i="3"/>
  <c r="T496" i="3"/>
  <c r="S496" i="3"/>
  <c r="R496" i="3"/>
  <c r="Q496" i="3"/>
  <c r="P496" i="3"/>
  <c r="O496" i="3"/>
  <c r="U495" i="3"/>
  <c r="T495" i="3"/>
  <c r="S495" i="3"/>
  <c r="R495" i="3"/>
  <c r="Q495" i="3"/>
  <c r="P495" i="3"/>
  <c r="O495" i="3"/>
  <c r="U494" i="3"/>
  <c r="T494" i="3"/>
  <c r="S494" i="3"/>
  <c r="R494" i="3"/>
  <c r="Q494" i="3"/>
  <c r="P494" i="3"/>
  <c r="O494" i="3"/>
  <c r="U493" i="3"/>
  <c r="T493" i="3"/>
  <c r="S493" i="3"/>
  <c r="R493" i="3"/>
  <c r="Q493" i="3"/>
  <c r="P493" i="3"/>
  <c r="O493" i="3"/>
  <c r="U492" i="3"/>
  <c r="T492" i="3"/>
  <c r="S492" i="3"/>
  <c r="R492" i="3"/>
  <c r="Q492" i="3"/>
  <c r="P492" i="3"/>
  <c r="O492" i="3"/>
  <c r="U491" i="3"/>
  <c r="T491" i="3"/>
  <c r="S491" i="3"/>
  <c r="R491" i="3"/>
  <c r="Q491" i="3"/>
  <c r="P491" i="3"/>
  <c r="O491" i="3"/>
  <c r="U490" i="3"/>
  <c r="T490" i="3"/>
  <c r="S490" i="3"/>
  <c r="Q490" i="3"/>
  <c r="O490" i="3"/>
  <c r="U489" i="3"/>
  <c r="T489" i="3"/>
  <c r="S489" i="3"/>
  <c r="R489" i="3"/>
  <c r="R490" i="3" s="1"/>
  <c r="Q489" i="3"/>
  <c r="P489" i="3"/>
  <c r="P490" i="3" s="1"/>
  <c r="O489" i="3"/>
  <c r="U488" i="3"/>
  <c r="T488" i="3"/>
  <c r="S488" i="3"/>
  <c r="R488" i="3"/>
  <c r="Q488" i="3"/>
  <c r="P488" i="3"/>
  <c r="O488" i="3"/>
  <c r="U487" i="3"/>
  <c r="T487" i="3"/>
  <c r="S487" i="3"/>
  <c r="R487" i="3"/>
  <c r="Q487" i="3"/>
  <c r="P487" i="3"/>
  <c r="O487" i="3"/>
  <c r="U486" i="3"/>
  <c r="T486" i="3"/>
  <c r="S486" i="3"/>
  <c r="R486" i="3"/>
  <c r="Q486" i="3"/>
  <c r="P486" i="3"/>
  <c r="O486" i="3"/>
  <c r="U485" i="3"/>
  <c r="T485" i="3"/>
  <c r="S485" i="3"/>
  <c r="R485" i="3"/>
  <c r="Q485" i="3"/>
  <c r="P485" i="3"/>
  <c r="O485" i="3"/>
  <c r="U484" i="3"/>
  <c r="T484" i="3"/>
  <c r="S484" i="3"/>
  <c r="R484" i="3"/>
  <c r="Q484" i="3"/>
  <c r="U483" i="3"/>
  <c r="T483" i="3"/>
  <c r="S483" i="3"/>
  <c r="R483" i="3"/>
  <c r="Q483" i="3"/>
  <c r="P483" i="3"/>
  <c r="P484" i="3" s="1"/>
  <c r="U482" i="3"/>
  <c r="T482" i="3"/>
  <c r="S482" i="3"/>
  <c r="R482" i="3"/>
  <c r="Q482" i="3"/>
  <c r="P482" i="3"/>
  <c r="O482" i="3"/>
  <c r="O483" i="3" s="1"/>
  <c r="O484" i="3" s="1"/>
  <c r="U481" i="3"/>
  <c r="T481" i="3"/>
  <c r="S481" i="3"/>
  <c r="R481" i="3"/>
  <c r="Q481" i="3"/>
  <c r="P481" i="3"/>
  <c r="O481" i="3"/>
  <c r="U480" i="3"/>
  <c r="T480" i="3"/>
  <c r="S480" i="3"/>
  <c r="R480" i="3"/>
  <c r="Q480" i="3"/>
  <c r="P480" i="3"/>
  <c r="O480" i="3"/>
  <c r="U479" i="3"/>
  <c r="T479" i="3"/>
  <c r="S479" i="3"/>
  <c r="R479" i="3"/>
  <c r="U478" i="3"/>
  <c r="T478" i="3"/>
  <c r="S478" i="3"/>
  <c r="R478" i="3"/>
  <c r="Q478" i="3"/>
  <c r="Q479" i="3" s="1"/>
  <c r="O478" i="3"/>
  <c r="O479" i="3" s="1"/>
  <c r="U477" i="3"/>
  <c r="T477" i="3"/>
  <c r="S477" i="3"/>
  <c r="R477" i="3"/>
  <c r="Q477" i="3"/>
  <c r="P477" i="3"/>
  <c r="P478" i="3" s="1"/>
  <c r="P479" i="3" s="1"/>
  <c r="O477" i="3"/>
  <c r="U476" i="3"/>
  <c r="T476" i="3"/>
  <c r="S476" i="3"/>
  <c r="R476" i="3"/>
  <c r="Q476" i="3"/>
  <c r="U475" i="3"/>
  <c r="T475" i="3"/>
  <c r="S475" i="3"/>
  <c r="Q475" i="3"/>
  <c r="P475" i="3"/>
  <c r="P476" i="3" s="1"/>
  <c r="U474" i="3"/>
  <c r="T474" i="3"/>
  <c r="S474" i="3"/>
  <c r="R474" i="3"/>
  <c r="R475" i="3" s="1"/>
  <c r="Q474" i="3"/>
  <c r="P474" i="3"/>
  <c r="O474" i="3"/>
  <c r="O475" i="3" s="1"/>
  <c r="O476" i="3" s="1"/>
  <c r="U473" i="3"/>
  <c r="T473" i="3"/>
  <c r="S473" i="3"/>
  <c r="R473" i="3"/>
  <c r="Q473" i="3"/>
  <c r="P473" i="3"/>
  <c r="O473" i="3"/>
  <c r="U472" i="3"/>
  <c r="T472" i="3"/>
  <c r="S472" i="3"/>
  <c r="R472" i="3"/>
  <c r="Q472" i="3"/>
  <c r="U471" i="3"/>
  <c r="T471" i="3"/>
  <c r="S471" i="3"/>
  <c r="R471" i="3"/>
  <c r="Q471" i="3"/>
  <c r="P471" i="3"/>
  <c r="P472" i="3" s="1"/>
  <c r="O471" i="3"/>
  <c r="O472" i="3" s="1"/>
  <c r="U470" i="3"/>
  <c r="T470" i="3"/>
  <c r="S470" i="3"/>
  <c r="R470" i="3"/>
  <c r="Q470" i="3"/>
  <c r="P470" i="3"/>
  <c r="O470" i="3"/>
  <c r="U469" i="3"/>
  <c r="T469" i="3"/>
  <c r="S469" i="3"/>
  <c r="R469" i="3"/>
  <c r="Q469" i="3"/>
  <c r="P469" i="3"/>
  <c r="O469" i="3"/>
  <c r="U468" i="3"/>
  <c r="T468" i="3"/>
  <c r="S468" i="3"/>
  <c r="R468" i="3"/>
  <c r="Q468" i="3"/>
  <c r="P468" i="3"/>
  <c r="O468" i="3"/>
  <c r="U467" i="3"/>
  <c r="T467" i="3"/>
  <c r="S467" i="3"/>
  <c r="R467" i="3"/>
  <c r="Q467" i="3"/>
  <c r="P467" i="3"/>
  <c r="O467" i="3"/>
  <c r="U466" i="3"/>
  <c r="T466" i="3"/>
  <c r="S466" i="3"/>
  <c r="R466" i="3"/>
  <c r="Q466" i="3"/>
  <c r="P466" i="3"/>
  <c r="O466" i="3"/>
  <c r="U465" i="3"/>
  <c r="T465" i="3"/>
  <c r="S465" i="3"/>
  <c r="R465" i="3"/>
  <c r="Q465" i="3"/>
  <c r="P465" i="3"/>
  <c r="O465" i="3"/>
  <c r="U464" i="3"/>
  <c r="T464" i="3"/>
  <c r="S464" i="3"/>
  <c r="R464" i="3"/>
  <c r="Q464" i="3"/>
  <c r="P464" i="3"/>
  <c r="O464" i="3"/>
  <c r="U463" i="3"/>
  <c r="T463" i="3"/>
  <c r="S463" i="3"/>
  <c r="R463" i="3"/>
  <c r="Q463" i="3"/>
  <c r="P463" i="3"/>
  <c r="O463" i="3"/>
  <c r="U462" i="3"/>
  <c r="T462" i="3"/>
  <c r="S462" i="3"/>
  <c r="R462" i="3"/>
  <c r="Q462" i="3"/>
  <c r="P462" i="3"/>
  <c r="O462" i="3"/>
  <c r="U461" i="3"/>
  <c r="T461" i="3"/>
  <c r="S461" i="3"/>
  <c r="R461" i="3"/>
  <c r="Q461" i="3"/>
  <c r="P461" i="3"/>
  <c r="U460" i="3"/>
  <c r="T460" i="3"/>
  <c r="S460" i="3"/>
  <c r="R460" i="3"/>
  <c r="Q460" i="3"/>
  <c r="P460" i="3"/>
  <c r="O460" i="3"/>
  <c r="O461" i="3" s="1"/>
  <c r="U459" i="3"/>
  <c r="T459" i="3"/>
  <c r="S459" i="3"/>
  <c r="R459" i="3"/>
  <c r="Q459" i="3"/>
  <c r="P459" i="3"/>
  <c r="U458" i="3"/>
  <c r="T458" i="3"/>
  <c r="S458" i="3"/>
  <c r="R458" i="3"/>
  <c r="Q458" i="3"/>
  <c r="P458" i="3"/>
  <c r="O458" i="3"/>
  <c r="O459" i="3" s="1"/>
  <c r="U457" i="3"/>
  <c r="T457" i="3"/>
  <c r="S457" i="3"/>
  <c r="R457" i="3"/>
  <c r="Q457" i="3"/>
  <c r="P457" i="3"/>
  <c r="O457" i="3"/>
  <c r="U456" i="3"/>
  <c r="T456" i="3"/>
  <c r="S456" i="3"/>
  <c r="R456" i="3"/>
  <c r="Q456" i="3"/>
  <c r="P456" i="3"/>
  <c r="O456" i="3"/>
  <c r="U455" i="3"/>
  <c r="T455" i="3"/>
  <c r="S455" i="3"/>
  <c r="R455" i="3"/>
  <c r="Q455" i="3"/>
  <c r="P455" i="3"/>
  <c r="O455" i="3"/>
  <c r="U454" i="3"/>
  <c r="T454" i="3"/>
  <c r="S454" i="3"/>
  <c r="Q454" i="3"/>
  <c r="O454" i="3"/>
  <c r="U453" i="3"/>
  <c r="T453" i="3"/>
  <c r="S453" i="3"/>
  <c r="R453" i="3"/>
  <c r="R454" i="3" s="1"/>
  <c r="Q453" i="3"/>
  <c r="P453" i="3"/>
  <c r="P454" i="3" s="1"/>
  <c r="O453" i="3"/>
  <c r="U452" i="3"/>
  <c r="T452" i="3"/>
  <c r="S452" i="3"/>
  <c r="R452" i="3"/>
  <c r="Q452" i="3"/>
  <c r="P452" i="3"/>
  <c r="O452" i="3"/>
  <c r="U451" i="3"/>
  <c r="T451" i="3"/>
  <c r="S451" i="3"/>
  <c r="R451" i="3"/>
  <c r="Q451" i="3"/>
  <c r="P451" i="3"/>
  <c r="O451" i="3"/>
  <c r="U450" i="3"/>
  <c r="T450" i="3"/>
  <c r="S450" i="3"/>
  <c r="R450" i="3"/>
  <c r="Q450" i="3"/>
  <c r="P450" i="3"/>
  <c r="O450" i="3"/>
  <c r="U449" i="3"/>
  <c r="T449" i="3"/>
  <c r="S449" i="3"/>
  <c r="R449" i="3"/>
  <c r="Q449" i="3"/>
  <c r="P449" i="3"/>
  <c r="O449" i="3"/>
  <c r="U448" i="3"/>
  <c r="T448" i="3"/>
  <c r="S448" i="3"/>
  <c r="Q448" i="3"/>
  <c r="U447" i="3"/>
  <c r="T447" i="3"/>
  <c r="S447" i="3"/>
  <c r="R447" i="3"/>
  <c r="R448" i="3" s="1"/>
  <c r="Q447" i="3"/>
  <c r="P447" i="3"/>
  <c r="P448" i="3" s="1"/>
  <c r="O447" i="3"/>
  <c r="O448" i="3" s="1"/>
  <c r="U446" i="3"/>
  <c r="T446" i="3"/>
  <c r="S446" i="3"/>
  <c r="R446" i="3"/>
  <c r="Q446" i="3"/>
  <c r="P446" i="3"/>
  <c r="O446" i="3"/>
  <c r="U445" i="3"/>
  <c r="T445" i="3"/>
  <c r="S445" i="3"/>
  <c r="R445" i="3"/>
  <c r="Q445" i="3"/>
  <c r="P445" i="3"/>
  <c r="O445" i="3"/>
  <c r="U444" i="3"/>
  <c r="T444" i="3"/>
  <c r="S444" i="3"/>
  <c r="R444" i="3"/>
  <c r="Q444" i="3"/>
  <c r="P444" i="3"/>
  <c r="O444" i="3"/>
  <c r="U443" i="3"/>
  <c r="T443" i="3"/>
  <c r="S443" i="3"/>
  <c r="R443" i="3"/>
  <c r="Q443" i="3"/>
  <c r="P443" i="3"/>
  <c r="O443" i="3"/>
  <c r="U442" i="3"/>
  <c r="T442" i="3"/>
  <c r="S442" i="3"/>
  <c r="R442" i="3"/>
  <c r="Q442" i="3"/>
  <c r="P442" i="3"/>
  <c r="O442" i="3"/>
  <c r="U441" i="3"/>
  <c r="T441" i="3"/>
  <c r="S441" i="3"/>
  <c r="R441" i="3"/>
  <c r="Q441" i="3"/>
  <c r="P441" i="3"/>
  <c r="O441" i="3"/>
  <c r="U440" i="3"/>
  <c r="T440" i="3"/>
  <c r="S440" i="3"/>
  <c r="R440" i="3"/>
  <c r="Q440" i="3"/>
  <c r="P440" i="3"/>
  <c r="O440" i="3"/>
  <c r="U439" i="3"/>
  <c r="T439" i="3"/>
  <c r="S439" i="3"/>
  <c r="R439" i="3"/>
  <c r="Q439" i="3"/>
  <c r="P439" i="3"/>
  <c r="O439" i="3"/>
  <c r="U438" i="3"/>
  <c r="T438" i="3"/>
  <c r="S438" i="3"/>
  <c r="R438" i="3"/>
  <c r="U437" i="3"/>
  <c r="T437" i="3"/>
  <c r="S437" i="3"/>
  <c r="R437" i="3"/>
  <c r="Q437" i="3"/>
  <c r="Q438" i="3" s="1"/>
  <c r="U436" i="3"/>
  <c r="T436" i="3"/>
  <c r="S436" i="3"/>
  <c r="R436" i="3"/>
  <c r="Q436" i="3"/>
  <c r="P436" i="3"/>
  <c r="P437" i="3" s="1"/>
  <c r="P438" i="3" s="1"/>
  <c r="O436" i="3"/>
  <c r="O437" i="3" s="1"/>
  <c r="O438" i="3" s="1"/>
  <c r="U435" i="3"/>
  <c r="T435" i="3"/>
  <c r="S435" i="3"/>
  <c r="Q435" i="3"/>
  <c r="P435" i="3"/>
  <c r="O435" i="3"/>
  <c r="U434" i="3"/>
  <c r="T434" i="3"/>
  <c r="S434" i="3"/>
  <c r="R434" i="3"/>
  <c r="R435" i="3" s="1"/>
  <c r="Q434" i="3"/>
  <c r="P434" i="3"/>
  <c r="O434" i="3"/>
  <c r="U433" i="3"/>
  <c r="T433" i="3"/>
  <c r="S433" i="3"/>
  <c r="R433" i="3"/>
  <c r="Q433" i="3"/>
  <c r="P433" i="3"/>
  <c r="O433" i="3"/>
  <c r="U432" i="3"/>
  <c r="T432" i="3"/>
  <c r="S432" i="3"/>
  <c r="R432" i="3"/>
  <c r="Q432" i="3"/>
  <c r="P432" i="3"/>
  <c r="O432" i="3"/>
  <c r="U431" i="3"/>
  <c r="T431" i="3"/>
  <c r="S431" i="3"/>
  <c r="R431" i="3"/>
  <c r="Q431" i="3"/>
  <c r="P431" i="3"/>
  <c r="O431" i="3"/>
  <c r="U430" i="3"/>
  <c r="T430" i="3"/>
  <c r="S430" i="3"/>
  <c r="R430" i="3"/>
  <c r="Q430" i="3"/>
  <c r="P430" i="3"/>
  <c r="O430" i="3"/>
  <c r="U429" i="3"/>
  <c r="T429" i="3"/>
  <c r="S429" i="3"/>
  <c r="R429" i="3"/>
  <c r="Q429" i="3"/>
  <c r="U428" i="3"/>
  <c r="T428" i="3"/>
  <c r="S428" i="3"/>
  <c r="R428" i="3"/>
  <c r="Q428" i="3"/>
  <c r="P428" i="3"/>
  <c r="P429" i="3" s="1"/>
  <c r="O428" i="3"/>
  <c r="O429" i="3" s="1"/>
  <c r="U427" i="3"/>
  <c r="T427" i="3"/>
  <c r="S427" i="3"/>
  <c r="U426" i="3"/>
  <c r="T426" i="3"/>
  <c r="S426" i="3"/>
  <c r="R426" i="3"/>
  <c r="R427" i="3" s="1"/>
  <c r="Q426" i="3"/>
  <c r="Q427" i="3" s="1"/>
  <c r="O426" i="3"/>
  <c r="O427" i="3" s="1"/>
  <c r="U425" i="3"/>
  <c r="T425" i="3"/>
  <c r="S425" i="3"/>
  <c r="R425" i="3"/>
  <c r="Q425" i="3"/>
  <c r="P425" i="3"/>
  <c r="P426" i="3" s="1"/>
  <c r="P427" i="3" s="1"/>
  <c r="O425" i="3"/>
  <c r="U424" i="3"/>
  <c r="T424" i="3"/>
  <c r="S424" i="3"/>
  <c r="R424" i="3"/>
  <c r="Q424" i="3"/>
  <c r="P424" i="3"/>
  <c r="O424" i="3"/>
  <c r="U423" i="3"/>
  <c r="T423" i="3"/>
  <c r="S423" i="3"/>
  <c r="R423" i="3"/>
  <c r="Q423" i="3"/>
  <c r="U422" i="3"/>
  <c r="T422" i="3"/>
  <c r="S422" i="3"/>
  <c r="R422" i="3"/>
  <c r="Q422" i="3"/>
  <c r="P422" i="3"/>
  <c r="P423" i="3" s="1"/>
  <c r="O422" i="3"/>
  <c r="O423" i="3" s="1"/>
  <c r="U421" i="3"/>
  <c r="T421" i="3"/>
  <c r="S421" i="3"/>
  <c r="R421" i="3"/>
  <c r="Q421" i="3"/>
  <c r="P421" i="3"/>
  <c r="O421" i="3"/>
  <c r="U420" i="3"/>
  <c r="T420" i="3"/>
  <c r="S420" i="3"/>
  <c r="R420" i="3"/>
  <c r="Q420" i="3"/>
  <c r="P420" i="3"/>
  <c r="O420" i="3"/>
  <c r="U419" i="3"/>
  <c r="T419" i="3"/>
  <c r="S419" i="3"/>
  <c r="R419" i="3"/>
  <c r="Q419" i="3"/>
  <c r="P419" i="3"/>
  <c r="O419" i="3"/>
  <c r="U418" i="3"/>
  <c r="T418" i="3"/>
  <c r="S418" i="3"/>
  <c r="R418" i="3"/>
  <c r="Q418" i="3"/>
  <c r="P418" i="3"/>
  <c r="O418" i="3"/>
  <c r="U417" i="3"/>
  <c r="T417" i="3"/>
  <c r="S417" i="3"/>
  <c r="R417" i="3"/>
  <c r="Q417" i="3"/>
  <c r="P417" i="3"/>
  <c r="O417" i="3"/>
  <c r="U416" i="3"/>
  <c r="T416" i="3"/>
  <c r="S416" i="3"/>
  <c r="R416" i="3"/>
  <c r="Q416" i="3"/>
  <c r="P416" i="3"/>
  <c r="O416" i="3"/>
  <c r="U415" i="3"/>
  <c r="T415" i="3"/>
  <c r="S415" i="3"/>
  <c r="R415" i="3"/>
  <c r="Q415" i="3"/>
  <c r="P415" i="3"/>
  <c r="O415" i="3"/>
  <c r="U414" i="3"/>
  <c r="T414" i="3"/>
  <c r="S414" i="3"/>
  <c r="R414" i="3"/>
  <c r="Q414" i="3"/>
  <c r="P414" i="3"/>
  <c r="O414" i="3"/>
  <c r="U413" i="3"/>
  <c r="T413" i="3"/>
  <c r="S413" i="3"/>
  <c r="R413" i="3"/>
  <c r="Q413" i="3"/>
  <c r="P413" i="3"/>
  <c r="O413" i="3"/>
  <c r="U412" i="3"/>
  <c r="T412" i="3"/>
  <c r="S412" i="3"/>
  <c r="R412" i="3"/>
  <c r="Q412" i="3"/>
  <c r="P412" i="3"/>
  <c r="O412" i="3"/>
  <c r="U411" i="3"/>
  <c r="T411" i="3"/>
  <c r="S411" i="3"/>
  <c r="R411" i="3"/>
  <c r="Q411" i="3"/>
  <c r="P411" i="3"/>
  <c r="O411" i="3"/>
  <c r="U410" i="3"/>
  <c r="T410" i="3"/>
  <c r="S410" i="3"/>
  <c r="R410" i="3"/>
  <c r="Q410" i="3"/>
  <c r="P410" i="3"/>
  <c r="O410" i="3"/>
  <c r="U409" i="3"/>
  <c r="T409" i="3"/>
  <c r="S409" i="3"/>
  <c r="R409" i="3"/>
  <c r="Q409" i="3"/>
  <c r="P409" i="3"/>
  <c r="O409" i="3"/>
  <c r="U408" i="3"/>
  <c r="T408" i="3"/>
  <c r="S408" i="3"/>
  <c r="R408" i="3"/>
  <c r="Q408" i="3"/>
  <c r="P408" i="3"/>
  <c r="O408" i="3"/>
  <c r="U407" i="3"/>
  <c r="T407" i="3"/>
  <c r="S407" i="3"/>
  <c r="R407" i="3"/>
  <c r="Q407" i="3"/>
  <c r="P407" i="3"/>
  <c r="O407" i="3"/>
  <c r="U406" i="3"/>
  <c r="T406" i="3"/>
  <c r="S406" i="3"/>
  <c r="R406" i="3"/>
  <c r="Q406" i="3"/>
  <c r="O406" i="3"/>
  <c r="U405" i="3"/>
  <c r="T405" i="3"/>
  <c r="S405" i="3"/>
  <c r="R405" i="3"/>
  <c r="Q405" i="3"/>
  <c r="P405" i="3"/>
  <c r="P406" i="3" s="1"/>
  <c r="O405" i="3"/>
  <c r="U404" i="3"/>
  <c r="T404" i="3"/>
  <c r="S404" i="3"/>
  <c r="R404" i="3"/>
  <c r="Q404" i="3"/>
  <c r="P404" i="3"/>
  <c r="O404" i="3"/>
  <c r="U403" i="3"/>
  <c r="T403" i="3"/>
  <c r="S403" i="3"/>
  <c r="R403" i="3"/>
  <c r="Q403" i="3"/>
  <c r="P403" i="3"/>
  <c r="O403" i="3"/>
  <c r="U402" i="3"/>
  <c r="T402" i="3"/>
  <c r="S402" i="3"/>
  <c r="R402" i="3"/>
  <c r="Q402" i="3"/>
  <c r="P402" i="3"/>
  <c r="O402" i="3"/>
  <c r="U401" i="3"/>
  <c r="T401" i="3"/>
  <c r="S401" i="3"/>
  <c r="R401" i="3"/>
  <c r="Q401" i="3"/>
  <c r="P401" i="3"/>
  <c r="O401" i="3"/>
  <c r="U400" i="3"/>
  <c r="T400" i="3"/>
  <c r="S400" i="3"/>
  <c r="R400" i="3"/>
  <c r="Q400" i="3"/>
  <c r="P400" i="3"/>
  <c r="O400" i="3"/>
  <c r="U399" i="3"/>
  <c r="T399" i="3"/>
  <c r="S399" i="3"/>
  <c r="R399" i="3"/>
  <c r="Q399" i="3"/>
  <c r="P399" i="3"/>
  <c r="O399" i="3"/>
  <c r="U398" i="3"/>
  <c r="T398" i="3"/>
  <c r="S398" i="3"/>
  <c r="R398" i="3"/>
  <c r="Q398" i="3"/>
  <c r="P398" i="3"/>
  <c r="O398" i="3"/>
  <c r="U397" i="3"/>
  <c r="T397" i="3"/>
  <c r="S397" i="3"/>
  <c r="R397" i="3"/>
  <c r="Q397" i="3"/>
  <c r="P397" i="3"/>
  <c r="O397" i="3"/>
  <c r="U396" i="3"/>
  <c r="T396" i="3"/>
  <c r="S396" i="3"/>
  <c r="R396" i="3"/>
  <c r="Q396" i="3"/>
  <c r="P396" i="3"/>
  <c r="O396" i="3"/>
  <c r="U395" i="3"/>
  <c r="T395" i="3"/>
  <c r="S395" i="3"/>
  <c r="R395" i="3"/>
  <c r="Q395" i="3"/>
  <c r="P395" i="3"/>
  <c r="O395" i="3"/>
  <c r="U394" i="3"/>
  <c r="T394" i="3"/>
  <c r="S394" i="3"/>
  <c r="R394" i="3"/>
  <c r="Q394" i="3"/>
  <c r="P394" i="3"/>
  <c r="O394" i="3"/>
  <c r="U393" i="3"/>
  <c r="T393" i="3"/>
  <c r="S393" i="3"/>
  <c r="R393" i="3"/>
  <c r="Q393" i="3"/>
  <c r="P393" i="3"/>
  <c r="O393" i="3"/>
  <c r="U392" i="3"/>
  <c r="T392" i="3"/>
  <c r="S392" i="3"/>
  <c r="U391" i="3"/>
  <c r="T391" i="3"/>
  <c r="S391" i="3"/>
  <c r="R391" i="3"/>
  <c r="R392" i="3" s="1"/>
  <c r="Q391" i="3"/>
  <c r="Q392" i="3" s="1"/>
  <c r="P391" i="3"/>
  <c r="P392" i="3" s="1"/>
  <c r="O391" i="3"/>
  <c r="O392" i="3" s="1"/>
  <c r="U390" i="3"/>
  <c r="T390" i="3"/>
  <c r="S390" i="3"/>
  <c r="R390" i="3"/>
  <c r="Q390" i="3"/>
  <c r="P390" i="3"/>
  <c r="O390" i="3"/>
  <c r="U389" i="3"/>
  <c r="T389" i="3"/>
  <c r="S389" i="3"/>
  <c r="R389" i="3"/>
  <c r="Q389" i="3"/>
  <c r="P389" i="3"/>
  <c r="O389" i="3"/>
  <c r="U388" i="3"/>
  <c r="T388" i="3"/>
  <c r="S388" i="3"/>
  <c r="R388" i="3"/>
  <c r="Q388" i="3"/>
  <c r="P388" i="3"/>
  <c r="O388" i="3"/>
  <c r="U387" i="3"/>
  <c r="T387" i="3"/>
  <c r="S387" i="3"/>
  <c r="R387" i="3"/>
  <c r="Q387" i="3"/>
  <c r="P387" i="3"/>
  <c r="O387" i="3"/>
  <c r="U386" i="3"/>
  <c r="T386" i="3"/>
  <c r="S386" i="3"/>
  <c r="R386" i="3"/>
  <c r="Q386" i="3"/>
  <c r="P386" i="3"/>
  <c r="O386" i="3"/>
  <c r="U385" i="3"/>
  <c r="T385" i="3"/>
  <c r="S385" i="3"/>
  <c r="R385" i="3"/>
  <c r="Q385" i="3"/>
  <c r="P385" i="3"/>
  <c r="O385" i="3"/>
  <c r="U384" i="3"/>
  <c r="T384" i="3"/>
  <c r="S384" i="3"/>
  <c r="R384" i="3"/>
  <c r="Q384" i="3"/>
  <c r="O384" i="3"/>
  <c r="U383" i="3"/>
  <c r="T383" i="3"/>
  <c r="S383" i="3"/>
  <c r="R383" i="3"/>
  <c r="Q383" i="3"/>
  <c r="P383" i="3"/>
  <c r="P384" i="3" s="1"/>
  <c r="O383" i="3"/>
  <c r="U382" i="3"/>
  <c r="T382" i="3"/>
  <c r="S382" i="3"/>
  <c r="R382" i="3"/>
  <c r="Q382" i="3"/>
  <c r="P382" i="3"/>
  <c r="O382" i="3"/>
  <c r="U381" i="3"/>
  <c r="T381" i="3"/>
  <c r="S381" i="3"/>
  <c r="R381" i="3"/>
  <c r="Q381" i="3"/>
  <c r="O381" i="3"/>
  <c r="U380" i="3"/>
  <c r="T380" i="3"/>
  <c r="S380" i="3"/>
  <c r="R380" i="3"/>
  <c r="Q380" i="3"/>
  <c r="P380" i="3"/>
  <c r="P381" i="3" s="1"/>
  <c r="O380" i="3"/>
  <c r="U379" i="3"/>
  <c r="T379" i="3"/>
  <c r="S379" i="3"/>
  <c r="R379" i="3"/>
  <c r="Q379" i="3"/>
  <c r="P379" i="3"/>
  <c r="O379" i="3"/>
  <c r="U378" i="3"/>
  <c r="T378" i="3"/>
  <c r="S378" i="3"/>
  <c r="R378" i="3"/>
  <c r="Q378" i="3"/>
  <c r="P378" i="3"/>
  <c r="O378" i="3"/>
  <c r="U377" i="3"/>
  <c r="T377" i="3"/>
  <c r="S377" i="3"/>
  <c r="R377" i="3"/>
  <c r="Q377" i="3"/>
  <c r="P377" i="3"/>
  <c r="O377" i="3"/>
  <c r="U376" i="3"/>
  <c r="T376" i="3"/>
  <c r="S376" i="3"/>
  <c r="R376" i="3"/>
  <c r="Q376" i="3"/>
  <c r="P376" i="3"/>
  <c r="O376" i="3"/>
  <c r="U375" i="3"/>
  <c r="T375" i="3"/>
  <c r="S375" i="3"/>
  <c r="R375" i="3"/>
  <c r="Q375" i="3"/>
  <c r="P375" i="3"/>
  <c r="O375" i="3"/>
  <c r="U374" i="3"/>
  <c r="T374" i="3"/>
  <c r="S374" i="3"/>
  <c r="U373" i="3"/>
  <c r="T373" i="3"/>
  <c r="S373" i="3"/>
  <c r="R373" i="3"/>
  <c r="R374" i="3" s="1"/>
  <c r="Q373" i="3"/>
  <c r="Q374" i="3" s="1"/>
  <c r="O373" i="3"/>
  <c r="O374" i="3" s="1"/>
  <c r="U372" i="3"/>
  <c r="T372" i="3"/>
  <c r="S372" i="3"/>
  <c r="R372" i="3"/>
  <c r="Q372" i="3"/>
  <c r="P372" i="3"/>
  <c r="P373" i="3" s="1"/>
  <c r="P374" i="3" s="1"/>
  <c r="O372" i="3"/>
  <c r="U371" i="3"/>
  <c r="T371" i="3"/>
  <c r="S371" i="3"/>
  <c r="R371" i="3"/>
  <c r="Q371" i="3"/>
  <c r="O371" i="3"/>
  <c r="U370" i="3"/>
  <c r="T370" i="3"/>
  <c r="S370" i="3"/>
  <c r="R370" i="3"/>
  <c r="Q370" i="3"/>
  <c r="P370" i="3"/>
  <c r="P371" i="3" s="1"/>
  <c r="O370" i="3"/>
  <c r="U369" i="3"/>
  <c r="T369" i="3"/>
  <c r="S369" i="3"/>
  <c r="R369" i="3"/>
  <c r="Q369" i="3"/>
  <c r="P369" i="3"/>
  <c r="O369" i="3"/>
  <c r="U368" i="3"/>
  <c r="T368" i="3"/>
  <c r="S368" i="3"/>
  <c r="R368" i="3"/>
  <c r="Q368" i="3"/>
  <c r="P368" i="3"/>
  <c r="O368" i="3"/>
  <c r="U367" i="3"/>
  <c r="T367" i="3"/>
  <c r="S367" i="3"/>
  <c r="R367" i="3"/>
  <c r="Q367" i="3"/>
  <c r="P367" i="3"/>
  <c r="O367" i="3"/>
  <c r="U366" i="3"/>
  <c r="T366" i="3"/>
  <c r="S366" i="3"/>
  <c r="R366" i="3"/>
  <c r="Q366" i="3"/>
  <c r="P366" i="3"/>
  <c r="O366" i="3"/>
  <c r="U365" i="3"/>
  <c r="T365" i="3"/>
  <c r="S365" i="3"/>
  <c r="U364" i="3"/>
  <c r="T364" i="3"/>
  <c r="S364" i="3"/>
  <c r="O364" i="3"/>
  <c r="O365" i="3" s="1"/>
  <c r="U363" i="3"/>
  <c r="T363" i="3"/>
  <c r="S363" i="3"/>
  <c r="R363" i="3"/>
  <c r="R364" i="3" s="1"/>
  <c r="R365" i="3" s="1"/>
  <c r="Q363" i="3"/>
  <c r="Q364" i="3" s="1"/>
  <c r="Q365" i="3" s="1"/>
  <c r="P363" i="3"/>
  <c r="P364" i="3" s="1"/>
  <c r="P365" i="3" s="1"/>
  <c r="O363" i="3"/>
  <c r="U362" i="3"/>
  <c r="T362" i="3"/>
  <c r="S362" i="3"/>
  <c r="U361" i="3"/>
  <c r="T361" i="3"/>
  <c r="S361" i="3"/>
  <c r="R361" i="3"/>
  <c r="R362" i="3" s="1"/>
  <c r="Q361" i="3"/>
  <c r="Q362" i="3" s="1"/>
  <c r="P361" i="3"/>
  <c r="P362" i="3" s="1"/>
  <c r="O361" i="3"/>
  <c r="O362" i="3" s="1"/>
  <c r="U360" i="3"/>
  <c r="T360" i="3"/>
  <c r="S360" i="3"/>
  <c r="R360" i="3"/>
  <c r="Q360" i="3"/>
  <c r="O360" i="3"/>
  <c r="U359" i="3"/>
  <c r="T359" i="3"/>
  <c r="S359" i="3"/>
  <c r="R359" i="3"/>
  <c r="Q359" i="3"/>
  <c r="O359" i="3"/>
  <c r="U358" i="3"/>
  <c r="T358" i="3"/>
  <c r="S358" i="3"/>
  <c r="R358" i="3"/>
  <c r="Q358" i="3"/>
  <c r="P358" i="3"/>
  <c r="P359" i="3" s="1"/>
  <c r="P360" i="3" s="1"/>
  <c r="O358" i="3"/>
  <c r="U357" i="3"/>
  <c r="T357" i="3"/>
  <c r="S357" i="3"/>
  <c r="R357" i="3"/>
  <c r="Q357" i="3"/>
  <c r="P357" i="3"/>
  <c r="O357" i="3"/>
  <c r="U356" i="3"/>
  <c r="T356" i="3"/>
  <c r="S356" i="3"/>
  <c r="R356" i="3"/>
  <c r="Q356" i="3"/>
  <c r="P356" i="3"/>
  <c r="O356" i="3"/>
  <c r="U355" i="3"/>
  <c r="T355" i="3"/>
  <c r="S355" i="3"/>
  <c r="R355" i="3"/>
  <c r="Q355" i="3"/>
  <c r="P355" i="3"/>
  <c r="O355" i="3"/>
  <c r="U354" i="3"/>
  <c r="T354" i="3"/>
  <c r="S354" i="3"/>
  <c r="U353" i="3"/>
  <c r="T353" i="3"/>
  <c r="S353" i="3"/>
  <c r="U352" i="3"/>
  <c r="T352" i="3"/>
  <c r="S352" i="3"/>
  <c r="R352" i="3"/>
  <c r="R353" i="3" s="1"/>
  <c r="R354" i="3" s="1"/>
  <c r="Q352" i="3"/>
  <c r="Q353" i="3" s="1"/>
  <c r="Q354" i="3" s="1"/>
  <c r="O352" i="3"/>
  <c r="O353" i="3" s="1"/>
  <c r="O354" i="3" s="1"/>
  <c r="U351" i="3"/>
  <c r="T351" i="3"/>
  <c r="S351" i="3"/>
  <c r="R351" i="3"/>
  <c r="Q351" i="3"/>
  <c r="P351" i="3"/>
  <c r="P352" i="3" s="1"/>
  <c r="P353" i="3" s="1"/>
  <c r="P354" i="3" s="1"/>
  <c r="O351" i="3"/>
  <c r="U350" i="3"/>
  <c r="T350" i="3"/>
  <c r="S350" i="3"/>
  <c r="R350" i="3"/>
  <c r="Q350" i="3"/>
  <c r="P350" i="3"/>
  <c r="O350" i="3"/>
  <c r="U349" i="3"/>
  <c r="T349" i="3"/>
  <c r="S349" i="3"/>
  <c r="R349" i="3"/>
  <c r="Q349" i="3"/>
  <c r="P349" i="3"/>
  <c r="O349" i="3"/>
  <c r="U348" i="3"/>
  <c r="T348" i="3"/>
  <c r="S348" i="3"/>
  <c r="R348" i="3"/>
  <c r="Q348" i="3"/>
  <c r="O348" i="3"/>
  <c r="U347" i="3"/>
  <c r="T347" i="3"/>
  <c r="S347" i="3"/>
  <c r="R347" i="3"/>
  <c r="Q347" i="3"/>
  <c r="P347" i="3"/>
  <c r="P348" i="3" s="1"/>
  <c r="O347" i="3"/>
  <c r="U346" i="3"/>
  <c r="T346" i="3"/>
  <c r="S346" i="3"/>
  <c r="R346" i="3"/>
  <c r="Q346" i="3"/>
  <c r="P346" i="3"/>
  <c r="O346" i="3"/>
  <c r="U345" i="3"/>
  <c r="T345" i="3"/>
  <c r="S345" i="3"/>
  <c r="R345" i="3"/>
  <c r="Q345" i="3"/>
  <c r="P345" i="3"/>
  <c r="O345" i="3"/>
  <c r="U344" i="3"/>
  <c r="T344" i="3"/>
  <c r="S344" i="3"/>
  <c r="R344" i="3"/>
  <c r="Q344" i="3"/>
  <c r="U343" i="3"/>
  <c r="T343" i="3"/>
  <c r="S343" i="3"/>
  <c r="R343" i="3"/>
  <c r="Q343" i="3"/>
  <c r="P343" i="3"/>
  <c r="P344" i="3" s="1"/>
  <c r="O343" i="3"/>
  <c r="O344" i="3" s="1"/>
  <c r="U342" i="3"/>
  <c r="T342" i="3"/>
  <c r="S342" i="3"/>
  <c r="R342" i="3"/>
  <c r="Q342" i="3"/>
  <c r="P342" i="3"/>
  <c r="O342" i="3"/>
  <c r="U341" i="3"/>
  <c r="T341" i="3"/>
  <c r="S341" i="3"/>
  <c r="R341" i="3"/>
  <c r="Q341" i="3"/>
  <c r="P341" i="3"/>
  <c r="O341" i="3"/>
  <c r="U340" i="3"/>
  <c r="T340" i="3"/>
  <c r="S340" i="3"/>
  <c r="R340" i="3"/>
  <c r="Q340" i="3"/>
  <c r="P340" i="3"/>
  <c r="O340" i="3"/>
  <c r="U339" i="3"/>
  <c r="T339" i="3"/>
  <c r="S339" i="3"/>
  <c r="R339" i="3"/>
  <c r="Q339" i="3"/>
  <c r="U338" i="3"/>
  <c r="T338" i="3"/>
  <c r="S338" i="3"/>
  <c r="R338" i="3"/>
  <c r="Q338" i="3"/>
  <c r="P338" i="3"/>
  <c r="P339" i="3" s="1"/>
  <c r="O338" i="3"/>
  <c r="O339" i="3" s="1"/>
  <c r="U337" i="3"/>
  <c r="T337" i="3"/>
  <c r="S337" i="3"/>
  <c r="R337" i="3"/>
  <c r="Q337" i="3"/>
  <c r="P337" i="3"/>
  <c r="O337" i="3"/>
  <c r="U336" i="3"/>
  <c r="T336" i="3"/>
  <c r="S336" i="3"/>
  <c r="R336" i="3"/>
  <c r="Q336" i="3"/>
  <c r="P336" i="3"/>
  <c r="O336" i="3"/>
  <c r="U335" i="3"/>
  <c r="T335" i="3"/>
  <c r="S335" i="3"/>
  <c r="R335" i="3"/>
  <c r="Q335" i="3"/>
  <c r="P335" i="3"/>
  <c r="O335" i="3"/>
  <c r="U334" i="3"/>
  <c r="T334" i="3"/>
  <c r="S334" i="3"/>
  <c r="R334" i="3"/>
  <c r="Q334" i="3"/>
  <c r="P334" i="3"/>
  <c r="O334" i="3"/>
  <c r="U333" i="3"/>
  <c r="T333" i="3"/>
  <c r="S333" i="3"/>
  <c r="R333" i="3"/>
  <c r="Q333" i="3"/>
  <c r="P333" i="3"/>
  <c r="O333" i="3"/>
  <c r="U332" i="3"/>
  <c r="T332" i="3"/>
  <c r="S332" i="3"/>
  <c r="R332" i="3"/>
  <c r="Q332" i="3"/>
  <c r="P332" i="3"/>
  <c r="O332" i="3"/>
  <c r="U331" i="3"/>
  <c r="T331" i="3"/>
  <c r="S331" i="3"/>
  <c r="R331" i="3"/>
  <c r="Q331" i="3"/>
  <c r="P331" i="3"/>
  <c r="O331" i="3"/>
  <c r="U330" i="3"/>
  <c r="T330" i="3"/>
  <c r="S330" i="3"/>
  <c r="R330" i="3"/>
  <c r="Q330" i="3"/>
  <c r="P330" i="3"/>
  <c r="O330" i="3"/>
  <c r="U329" i="3"/>
  <c r="T329" i="3"/>
  <c r="S329" i="3"/>
  <c r="R329" i="3"/>
  <c r="Q329" i="3"/>
  <c r="P329" i="3"/>
  <c r="O329" i="3"/>
  <c r="U328" i="3"/>
  <c r="T328" i="3"/>
  <c r="S328" i="3"/>
  <c r="R328" i="3"/>
  <c r="Q328" i="3"/>
  <c r="P328" i="3"/>
  <c r="O328" i="3"/>
  <c r="U327" i="3"/>
  <c r="T327" i="3"/>
  <c r="S327" i="3"/>
  <c r="R327" i="3"/>
  <c r="Q327" i="3"/>
  <c r="P327" i="3"/>
  <c r="O327" i="3"/>
  <c r="U326" i="3"/>
  <c r="T326" i="3"/>
  <c r="S326" i="3"/>
  <c r="R326" i="3"/>
  <c r="Q326" i="3"/>
  <c r="P326" i="3"/>
  <c r="O326" i="3"/>
  <c r="U325" i="3"/>
  <c r="T325" i="3"/>
  <c r="S325" i="3"/>
  <c r="R325" i="3"/>
  <c r="Q325" i="3"/>
  <c r="P325" i="3"/>
  <c r="O325" i="3"/>
  <c r="U324" i="3"/>
  <c r="T324" i="3"/>
  <c r="S324" i="3"/>
  <c r="U323" i="3"/>
  <c r="T323" i="3"/>
  <c r="S323" i="3"/>
  <c r="R323" i="3"/>
  <c r="R324" i="3" s="1"/>
  <c r="Q323" i="3"/>
  <c r="Q324" i="3" s="1"/>
  <c r="P323" i="3"/>
  <c r="P324" i="3" s="1"/>
  <c r="O323" i="3"/>
  <c r="O324" i="3" s="1"/>
  <c r="U322" i="3"/>
  <c r="T322" i="3"/>
  <c r="S322" i="3"/>
  <c r="R322" i="3"/>
  <c r="Q322" i="3"/>
  <c r="U321" i="3"/>
  <c r="T321" i="3"/>
  <c r="S321" i="3"/>
  <c r="R321" i="3"/>
  <c r="Q321" i="3"/>
  <c r="P321" i="3"/>
  <c r="P322" i="3" s="1"/>
  <c r="O321" i="3"/>
  <c r="O322" i="3" s="1"/>
  <c r="U320" i="3"/>
  <c r="T320" i="3"/>
  <c r="S320" i="3"/>
  <c r="U319" i="3"/>
  <c r="T319" i="3"/>
  <c r="S319" i="3"/>
  <c r="R319" i="3"/>
  <c r="R320" i="3" s="1"/>
  <c r="Q319" i="3"/>
  <c r="Q320" i="3" s="1"/>
  <c r="P319" i="3"/>
  <c r="P320" i="3" s="1"/>
  <c r="O319" i="3"/>
  <c r="O320" i="3" s="1"/>
  <c r="U318" i="3"/>
  <c r="T318" i="3"/>
  <c r="S318" i="3"/>
  <c r="R318" i="3"/>
  <c r="Q318" i="3"/>
  <c r="P318" i="3"/>
  <c r="O318" i="3"/>
  <c r="U317" i="3"/>
  <c r="T317" i="3"/>
  <c r="S317" i="3"/>
  <c r="R317" i="3"/>
  <c r="Q317" i="3"/>
  <c r="P317" i="3"/>
  <c r="O317" i="3"/>
  <c r="U316" i="3"/>
  <c r="T316" i="3"/>
  <c r="S316" i="3"/>
  <c r="R316" i="3"/>
  <c r="Q316" i="3"/>
  <c r="P316" i="3"/>
  <c r="O316" i="3"/>
  <c r="U315" i="3"/>
  <c r="T315" i="3"/>
  <c r="S315" i="3"/>
  <c r="R315" i="3"/>
  <c r="Q315" i="3"/>
  <c r="P315" i="3"/>
  <c r="O315" i="3"/>
  <c r="U314" i="3"/>
  <c r="T314" i="3"/>
  <c r="S314" i="3"/>
  <c r="R314" i="3"/>
  <c r="Q314" i="3"/>
  <c r="P314" i="3"/>
  <c r="O314" i="3"/>
  <c r="U313" i="3"/>
  <c r="T313" i="3"/>
  <c r="S313" i="3"/>
  <c r="R313" i="3"/>
  <c r="Q313" i="3"/>
  <c r="P313" i="3"/>
  <c r="O313" i="3"/>
  <c r="U312" i="3"/>
  <c r="T312" i="3"/>
  <c r="S312" i="3"/>
  <c r="R312" i="3"/>
  <c r="Q312" i="3"/>
  <c r="P312" i="3"/>
  <c r="O312" i="3"/>
  <c r="U311" i="3"/>
  <c r="T311" i="3"/>
  <c r="S311" i="3"/>
  <c r="R311" i="3"/>
  <c r="Q311" i="3"/>
  <c r="P311" i="3"/>
  <c r="O311" i="3"/>
  <c r="U310" i="3"/>
  <c r="T310" i="3"/>
  <c r="S310" i="3"/>
  <c r="R310" i="3"/>
  <c r="Q310" i="3"/>
  <c r="P310" i="3"/>
  <c r="O310" i="3"/>
  <c r="U309" i="3"/>
  <c r="T309" i="3"/>
  <c r="S309" i="3"/>
  <c r="R309" i="3"/>
  <c r="Q309" i="3"/>
  <c r="P309" i="3"/>
  <c r="O309" i="3"/>
  <c r="U308" i="3"/>
  <c r="T308" i="3"/>
  <c r="S308" i="3"/>
  <c r="U307" i="3"/>
  <c r="T307" i="3"/>
  <c r="S307" i="3"/>
  <c r="R307" i="3"/>
  <c r="R308" i="3" s="1"/>
  <c r="Q307" i="3"/>
  <c r="Q308" i="3" s="1"/>
  <c r="P307" i="3"/>
  <c r="P308" i="3" s="1"/>
  <c r="O307" i="3"/>
  <c r="O308" i="3" s="1"/>
  <c r="U306" i="3"/>
  <c r="T306" i="3"/>
  <c r="S306" i="3"/>
  <c r="R306" i="3"/>
  <c r="Q306" i="3"/>
  <c r="P306" i="3"/>
  <c r="O306" i="3"/>
  <c r="U305" i="3"/>
  <c r="T305" i="3"/>
  <c r="S305" i="3"/>
  <c r="R305" i="3"/>
  <c r="Q305" i="3"/>
  <c r="P305" i="3"/>
  <c r="O305" i="3"/>
  <c r="U304" i="3"/>
  <c r="T304" i="3"/>
  <c r="S304" i="3"/>
  <c r="R304" i="3"/>
  <c r="Q304" i="3"/>
  <c r="P304" i="3"/>
  <c r="O304" i="3"/>
  <c r="U303" i="3"/>
  <c r="T303" i="3"/>
  <c r="S303" i="3"/>
  <c r="R303" i="3"/>
  <c r="Q303" i="3"/>
  <c r="P303" i="3"/>
  <c r="O303" i="3"/>
  <c r="U302" i="3"/>
  <c r="T302" i="3"/>
  <c r="S302" i="3"/>
  <c r="R302" i="3"/>
  <c r="Q302" i="3"/>
  <c r="P302" i="3"/>
  <c r="O302" i="3"/>
  <c r="U301" i="3"/>
  <c r="T301" i="3"/>
  <c r="S301" i="3"/>
  <c r="U300" i="3"/>
  <c r="T300" i="3"/>
  <c r="S300" i="3"/>
  <c r="R300" i="3"/>
  <c r="R301" i="3" s="1"/>
  <c r="Q300" i="3"/>
  <c r="Q301" i="3" s="1"/>
  <c r="P300" i="3"/>
  <c r="P301" i="3" s="1"/>
  <c r="O300" i="3"/>
  <c r="O301" i="3" s="1"/>
  <c r="U299" i="3"/>
  <c r="T299" i="3"/>
  <c r="S299" i="3"/>
  <c r="R299" i="3"/>
  <c r="Q299" i="3"/>
  <c r="P299" i="3"/>
  <c r="O299" i="3"/>
  <c r="U298" i="3"/>
  <c r="T298" i="3"/>
  <c r="S298" i="3"/>
  <c r="R298" i="3"/>
  <c r="Q298" i="3"/>
  <c r="P298" i="3"/>
  <c r="O298" i="3"/>
  <c r="U297" i="3"/>
  <c r="T297" i="3"/>
  <c r="S297" i="3"/>
  <c r="R297" i="3"/>
  <c r="Q297" i="3"/>
  <c r="P297" i="3"/>
  <c r="O297" i="3"/>
  <c r="U296" i="3"/>
  <c r="T296" i="3"/>
  <c r="S296" i="3"/>
  <c r="R296" i="3"/>
  <c r="Q296" i="3"/>
  <c r="P296" i="3"/>
  <c r="O296" i="3"/>
  <c r="U295" i="3"/>
  <c r="T295" i="3"/>
  <c r="S295" i="3"/>
  <c r="R295" i="3"/>
  <c r="Q295" i="3"/>
  <c r="P295" i="3"/>
  <c r="O295" i="3"/>
  <c r="U294" i="3"/>
  <c r="T294" i="3"/>
  <c r="S294" i="3"/>
  <c r="R294" i="3"/>
  <c r="Q294" i="3"/>
  <c r="P294" i="3"/>
  <c r="O294" i="3"/>
  <c r="U293" i="3"/>
  <c r="T293" i="3"/>
  <c r="S293" i="3"/>
  <c r="R293" i="3"/>
  <c r="Q293" i="3"/>
  <c r="P293" i="3"/>
  <c r="O293" i="3"/>
  <c r="U292" i="3"/>
  <c r="T292" i="3"/>
  <c r="S292" i="3"/>
  <c r="R292" i="3"/>
  <c r="Q292" i="3"/>
  <c r="P292" i="3"/>
  <c r="O292" i="3"/>
  <c r="U291" i="3"/>
  <c r="T291" i="3"/>
  <c r="S291" i="3"/>
  <c r="R291" i="3"/>
  <c r="Q291" i="3"/>
  <c r="P291" i="3"/>
  <c r="O291" i="3"/>
  <c r="U290" i="3"/>
  <c r="T290" i="3"/>
  <c r="S290" i="3"/>
  <c r="R290" i="3"/>
  <c r="Q290" i="3"/>
  <c r="U289" i="3"/>
  <c r="T289" i="3"/>
  <c r="S289" i="3"/>
  <c r="R289" i="3"/>
  <c r="Q289" i="3"/>
  <c r="P289" i="3"/>
  <c r="P290" i="3" s="1"/>
  <c r="O289" i="3"/>
  <c r="O290" i="3" s="1"/>
  <c r="U288" i="3"/>
  <c r="T288" i="3"/>
  <c r="S288" i="3"/>
  <c r="R288" i="3"/>
  <c r="Q288" i="3"/>
  <c r="P288" i="3"/>
  <c r="O288" i="3"/>
  <c r="U287" i="3"/>
  <c r="T287" i="3"/>
  <c r="S287" i="3"/>
  <c r="R287" i="3"/>
  <c r="Q287" i="3"/>
  <c r="P287" i="3"/>
  <c r="O287" i="3"/>
  <c r="U286" i="3"/>
  <c r="T286" i="3"/>
  <c r="S286" i="3"/>
  <c r="R286" i="3"/>
  <c r="Q286" i="3"/>
  <c r="P286" i="3"/>
  <c r="U285" i="3"/>
  <c r="T285" i="3"/>
  <c r="S285" i="3"/>
  <c r="R285" i="3"/>
  <c r="Q285" i="3"/>
  <c r="P285" i="3"/>
  <c r="O285" i="3"/>
  <c r="O286" i="3" s="1"/>
  <c r="U284" i="3"/>
  <c r="T284" i="3"/>
  <c r="S284" i="3"/>
  <c r="R284" i="3"/>
  <c r="Q284" i="3"/>
  <c r="P284" i="3"/>
  <c r="O284" i="3"/>
  <c r="U283" i="3"/>
  <c r="T283" i="3"/>
  <c r="S283" i="3"/>
  <c r="R283" i="3"/>
  <c r="Q283" i="3"/>
  <c r="P283" i="3"/>
  <c r="O283" i="3"/>
  <c r="U282" i="3"/>
  <c r="T282" i="3"/>
  <c r="S282" i="3"/>
  <c r="R282" i="3"/>
  <c r="Q282" i="3"/>
  <c r="P282" i="3"/>
  <c r="O282" i="3"/>
  <c r="U281" i="3"/>
  <c r="T281" i="3"/>
  <c r="S281" i="3"/>
  <c r="R281" i="3"/>
  <c r="Q281" i="3"/>
  <c r="O281" i="3"/>
  <c r="U280" i="3"/>
  <c r="T280" i="3"/>
  <c r="S280" i="3"/>
  <c r="R280" i="3"/>
  <c r="Q280" i="3"/>
  <c r="P280" i="3"/>
  <c r="P281" i="3" s="1"/>
  <c r="O280" i="3"/>
  <c r="U279" i="3"/>
  <c r="T279" i="3"/>
  <c r="S279" i="3"/>
  <c r="R279" i="3"/>
  <c r="Q279" i="3"/>
  <c r="P279" i="3"/>
  <c r="O279" i="3"/>
  <c r="U278" i="3"/>
  <c r="T278" i="3"/>
  <c r="S278" i="3"/>
  <c r="R278" i="3"/>
  <c r="Q278" i="3"/>
  <c r="P278" i="3"/>
  <c r="O278" i="3"/>
  <c r="U277" i="3"/>
  <c r="T277" i="3"/>
  <c r="S277" i="3"/>
  <c r="R277" i="3"/>
  <c r="Q277" i="3"/>
  <c r="P277" i="3"/>
  <c r="O277" i="3"/>
  <c r="U276" i="3"/>
  <c r="T276" i="3"/>
  <c r="S276" i="3"/>
  <c r="R276" i="3"/>
  <c r="Q276" i="3"/>
  <c r="P276" i="3"/>
  <c r="O276" i="3"/>
  <c r="U275" i="3"/>
  <c r="T275" i="3"/>
  <c r="S275" i="3"/>
  <c r="R275" i="3"/>
  <c r="Q275" i="3"/>
  <c r="P275" i="3"/>
  <c r="O275" i="3"/>
  <c r="U274" i="3"/>
  <c r="T274" i="3"/>
  <c r="S274" i="3"/>
  <c r="R274" i="3"/>
  <c r="Q274" i="3"/>
  <c r="P274" i="3"/>
  <c r="O274" i="3"/>
  <c r="U273" i="3"/>
  <c r="T273" i="3"/>
  <c r="S273" i="3"/>
  <c r="R273" i="3"/>
  <c r="Q273" i="3"/>
  <c r="P273" i="3"/>
  <c r="O273" i="3"/>
  <c r="U272" i="3"/>
  <c r="T272" i="3"/>
  <c r="S272" i="3"/>
  <c r="R272" i="3"/>
  <c r="Q272" i="3"/>
  <c r="P272" i="3"/>
  <c r="O272" i="3"/>
  <c r="U271" i="3"/>
  <c r="T271" i="3"/>
  <c r="S271" i="3"/>
  <c r="R271" i="3"/>
  <c r="Q271" i="3"/>
  <c r="P271" i="3"/>
  <c r="O271" i="3"/>
  <c r="U270" i="3"/>
  <c r="T270" i="3"/>
  <c r="S270" i="3"/>
  <c r="R270" i="3"/>
  <c r="Q270" i="3"/>
  <c r="P270" i="3"/>
  <c r="O270" i="3"/>
  <c r="U269" i="3"/>
  <c r="T269" i="3"/>
  <c r="S269" i="3"/>
  <c r="R269" i="3"/>
  <c r="Q269" i="3"/>
  <c r="P269" i="3"/>
  <c r="O269" i="3"/>
  <c r="U268" i="3"/>
  <c r="T268" i="3"/>
  <c r="S268" i="3"/>
  <c r="R268" i="3"/>
  <c r="Q268" i="3"/>
  <c r="P268" i="3"/>
  <c r="O268" i="3"/>
  <c r="U267" i="3"/>
  <c r="T267" i="3"/>
  <c r="S267" i="3"/>
  <c r="R267" i="3"/>
  <c r="Q267" i="3"/>
  <c r="P267" i="3"/>
  <c r="O267" i="3"/>
  <c r="U266" i="3"/>
  <c r="T266" i="3"/>
  <c r="S266" i="3"/>
  <c r="R266" i="3"/>
  <c r="Q266" i="3"/>
  <c r="P266" i="3"/>
  <c r="O266" i="3"/>
  <c r="U265" i="3"/>
  <c r="T265" i="3"/>
  <c r="S265" i="3"/>
  <c r="R265" i="3"/>
  <c r="Q265" i="3"/>
  <c r="P265" i="3"/>
  <c r="O265" i="3"/>
  <c r="U264" i="3"/>
  <c r="T264" i="3"/>
  <c r="S264" i="3"/>
  <c r="R264" i="3"/>
  <c r="Q264" i="3"/>
  <c r="P264" i="3"/>
  <c r="O264" i="3"/>
  <c r="U263" i="3"/>
  <c r="T263" i="3"/>
  <c r="S263" i="3"/>
  <c r="R263" i="3"/>
  <c r="Q263" i="3"/>
  <c r="P263" i="3"/>
  <c r="O263" i="3"/>
  <c r="U262" i="3"/>
  <c r="T262" i="3"/>
  <c r="S262" i="3"/>
  <c r="R262" i="3"/>
  <c r="Q262" i="3"/>
  <c r="P262" i="3"/>
  <c r="O262" i="3"/>
  <c r="U261" i="3"/>
  <c r="T261" i="3"/>
  <c r="S261" i="3"/>
  <c r="R261" i="3"/>
  <c r="Q261" i="3"/>
  <c r="P261" i="3"/>
  <c r="O261" i="3"/>
  <c r="U260" i="3"/>
  <c r="T260" i="3"/>
  <c r="S260" i="3"/>
  <c r="R260" i="3"/>
  <c r="Q260" i="3"/>
  <c r="P260" i="3"/>
  <c r="O260" i="3"/>
  <c r="U259" i="3"/>
  <c r="T259" i="3"/>
  <c r="S259" i="3"/>
  <c r="R259" i="3"/>
  <c r="Q259" i="3"/>
  <c r="P259" i="3"/>
  <c r="O259" i="3"/>
  <c r="U258" i="3"/>
  <c r="T258" i="3"/>
  <c r="S258" i="3"/>
  <c r="R258" i="3"/>
  <c r="Q258" i="3"/>
  <c r="P258" i="3"/>
  <c r="O258" i="3"/>
  <c r="U257" i="3"/>
  <c r="T257" i="3"/>
  <c r="S257" i="3"/>
  <c r="R257" i="3"/>
  <c r="Q257" i="3"/>
  <c r="P257" i="3"/>
  <c r="O257" i="3"/>
  <c r="U256" i="3"/>
  <c r="T256" i="3"/>
  <c r="S256" i="3"/>
  <c r="R256" i="3"/>
  <c r="Q256" i="3"/>
  <c r="P256" i="3"/>
  <c r="O256" i="3"/>
  <c r="U255" i="3"/>
  <c r="T255" i="3"/>
  <c r="S255" i="3"/>
  <c r="R255" i="3"/>
  <c r="Q255" i="3"/>
  <c r="P255" i="3"/>
  <c r="O255" i="3"/>
  <c r="U254" i="3"/>
  <c r="T254" i="3"/>
  <c r="S254" i="3"/>
  <c r="U253" i="3"/>
  <c r="T253" i="3"/>
  <c r="S253" i="3"/>
  <c r="R253" i="3"/>
  <c r="R254" i="3" s="1"/>
  <c r="Q253" i="3"/>
  <c r="Q254" i="3" s="1"/>
  <c r="U252" i="3"/>
  <c r="T252" i="3"/>
  <c r="S252" i="3"/>
  <c r="R252" i="3"/>
  <c r="Q252" i="3"/>
  <c r="P252" i="3"/>
  <c r="P253" i="3" s="1"/>
  <c r="P254" i="3" s="1"/>
  <c r="O252" i="3"/>
  <c r="O253" i="3" s="1"/>
  <c r="O254" i="3" s="1"/>
  <c r="U251" i="3"/>
  <c r="T251" i="3"/>
  <c r="S251" i="3"/>
  <c r="R251" i="3"/>
  <c r="Q251" i="3"/>
  <c r="P251" i="3"/>
  <c r="O251" i="3"/>
  <c r="U250" i="3"/>
  <c r="T250" i="3"/>
  <c r="S250" i="3"/>
  <c r="U249" i="3"/>
  <c r="T249" i="3"/>
  <c r="S249" i="3"/>
  <c r="R249" i="3"/>
  <c r="R250" i="3" s="1"/>
  <c r="Q249" i="3"/>
  <c r="Q250" i="3" s="1"/>
  <c r="U248" i="3"/>
  <c r="T248" i="3"/>
  <c r="S248" i="3"/>
  <c r="R248" i="3"/>
  <c r="Q248" i="3"/>
  <c r="P248" i="3"/>
  <c r="P249" i="3" s="1"/>
  <c r="P250" i="3" s="1"/>
  <c r="O248" i="3"/>
  <c r="O249" i="3" s="1"/>
  <c r="O250" i="3" s="1"/>
  <c r="U247" i="3"/>
  <c r="T247" i="3"/>
  <c r="S247" i="3"/>
  <c r="R247" i="3"/>
  <c r="Q247" i="3"/>
  <c r="P247" i="3"/>
  <c r="O247" i="3"/>
  <c r="U246" i="3"/>
  <c r="T246" i="3"/>
  <c r="S246" i="3"/>
  <c r="R246" i="3"/>
  <c r="Q246" i="3"/>
  <c r="P246" i="3"/>
  <c r="O246" i="3"/>
  <c r="U245" i="3"/>
  <c r="T245" i="3"/>
  <c r="S245" i="3"/>
  <c r="R245" i="3"/>
  <c r="Q245" i="3"/>
  <c r="P245" i="3"/>
  <c r="O245" i="3"/>
  <c r="U244" i="3"/>
  <c r="T244" i="3"/>
  <c r="S244" i="3"/>
  <c r="R244" i="3"/>
  <c r="Q244" i="3"/>
  <c r="U243" i="3"/>
  <c r="T243" i="3"/>
  <c r="S243" i="3"/>
  <c r="R243" i="3"/>
  <c r="Q243" i="3"/>
  <c r="U242" i="3"/>
  <c r="T242" i="3"/>
  <c r="S242" i="3"/>
  <c r="R242" i="3"/>
  <c r="Q242" i="3"/>
  <c r="U241" i="3"/>
  <c r="T241" i="3"/>
  <c r="S241" i="3"/>
  <c r="R241" i="3"/>
  <c r="Q241" i="3"/>
  <c r="P241" i="3"/>
  <c r="P242" i="3" s="1"/>
  <c r="P243" i="3" s="1"/>
  <c r="P244" i="3" s="1"/>
  <c r="O241" i="3"/>
  <c r="O242" i="3" s="1"/>
  <c r="O243" i="3" s="1"/>
  <c r="O244" i="3" s="1"/>
  <c r="U240" i="3"/>
  <c r="T240" i="3"/>
  <c r="S240" i="3"/>
  <c r="R240" i="3"/>
  <c r="Q240" i="3"/>
  <c r="P240" i="3"/>
  <c r="O240" i="3"/>
  <c r="U239" i="3"/>
  <c r="T239" i="3"/>
  <c r="S239" i="3"/>
  <c r="R239" i="3"/>
  <c r="Q239" i="3"/>
  <c r="P239" i="3"/>
  <c r="O239" i="3"/>
  <c r="U238" i="3"/>
  <c r="T238" i="3"/>
  <c r="S238" i="3"/>
  <c r="R238" i="3"/>
  <c r="Q238" i="3"/>
  <c r="P238" i="3"/>
  <c r="O238" i="3"/>
  <c r="U237" i="3"/>
  <c r="T237" i="3"/>
  <c r="S237" i="3"/>
  <c r="R237" i="3"/>
  <c r="Q237" i="3"/>
  <c r="P237" i="3"/>
  <c r="O237" i="3"/>
  <c r="U236" i="3"/>
  <c r="T236" i="3"/>
  <c r="S236" i="3"/>
  <c r="R236" i="3"/>
  <c r="Q236" i="3"/>
  <c r="U235" i="3"/>
  <c r="T235" i="3"/>
  <c r="S235" i="3"/>
  <c r="R235" i="3"/>
  <c r="Q235" i="3"/>
  <c r="P235" i="3"/>
  <c r="P236" i="3" s="1"/>
  <c r="O235" i="3"/>
  <c r="O236" i="3" s="1"/>
  <c r="N235" i="3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N619" i="3" s="1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N699" i="3" s="1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N721" i="3" s="1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U234" i="3"/>
  <c r="T234" i="3"/>
  <c r="S234" i="3"/>
  <c r="R234" i="3"/>
  <c r="Q234" i="3"/>
  <c r="P234" i="3"/>
  <c r="O234" i="3"/>
  <c r="U233" i="3"/>
  <c r="T233" i="3"/>
  <c r="S233" i="3"/>
  <c r="R233" i="3"/>
  <c r="Q233" i="3"/>
  <c r="P233" i="3"/>
  <c r="O233" i="3"/>
  <c r="U232" i="3"/>
  <c r="T232" i="3"/>
  <c r="S232" i="3"/>
  <c r="R232" i="3"/>
  <c r="Q232" i="3"/>
  <c r="P232" i="3"/>
  <c r="O232" i="3"/>
  <c r="U231" i="3"/>
  <c r="T231" i="3"/>
  <c r="S231" i="3"/>
  <c r="R231" i="3"/>
  <c r="Q231" i="3"/>
  <c r="P231" i="3"/>
  <c r="O231" i="3"/>
  <c r="N231" i="3"/>
  <c r="N232" i="3" s="1"/>
  <c r="N233" i="3" s="1"/>
  <c r="N234" i="3" s="1"/>
  <c r="U230" i="3"/>
  <c r="T230" i="3"/>
  <c r="S230" i="3"/>
  <c r="R230" i="3"/>
  <c r="Q230" i="3"/>
  <c r="P230" i="3"/>
  <c r="O230" i="3"/>
  <c r="U229" i="3"/>
  <c r="T229" i="3"/>
  <c r="S229" i="3"/>
  <c r="R229" i="3"/>
  <c r="Q229" i="3"/>
  <c r="P229" i="3"/>
  <c r="O229" i="3"/>
  <c r="U228" i="3"/>
  <c r="T228" i="3"/>
  <c r="S228" i="3"/>
  <c r="R228" i="3"/>
  <c r="Q228" i="3"/>
  <c r="P228" i="3"/>
  <c r="O228" i="3"/>
  <c r="N228" i="3"/>
  <c r="N229" i="3" s="1"/>
  <c r="N230" i="3" s="1"/>
  <c r="U227" i="3"/>
  <c r="T227" i="3"/>
  <c r="S227" i="3"/>
  <c r="Q227" i="3"/>
  <c r="U226" i="3"/>
  <c r="T226" i="3"/>
  <c r="S226" i="3"/>
  <c r="R226" i="3"/>
  <c r="R227" i="3" s="1"/>
  <c r="Q226" i="3"/>
  <c r="P226" i="3"/>
  <c r="P227" i="3" s="1"/>
  <c r="O226" i="3"/>
  <c r="O227" i="3" s="1"/>
  <c r="U225" i="3"/>
  <c r="T225" i="3"/>
  <c r="S225" i="3"/>
  <c r="R225" i="3"/>
  <c r="Q225" i="3"/>
  <c r="P225" i="3"/>
  <c r="O225" i="3"/>
  <c r="U224" i="3"/>
  <c r="T224" i="3"/>
  <c r="S224" i="3"/>
  <c r="R224" i="3"/>
  <c r="Q224" i="3"/>
  <c r="P224" i="3"/>
  <c r="O224" i="3"/>
  <c r="U223" i="3"/>
  <c r="T223" i="3"/>
  <c r="S223" i="3"/>
  <c r="R223" i="3"/>
  <c r="Q223" i="3"/>
  <c r="P223" i="3"/>
  <c r="O223" i="3"/>
  <c r="N223" i="3"/>
  <c r="N224" i="3" s="1"/>
  <c r="N225" i="3" s="1"/>
  <c r="N226" i="3" s="1"/>
  <c r="N227" i="3" s="1"/>
  <c r="U222" i="3"/>
  <c r="T222" i="3"/>
  <c r="S222" i="3"/>
  <c r="R222" i="3"/>
  <c r="Q222" i="3"/>
  <c r="P222" i="3"/>
  <c r="O222" i="3"/>
  <c r="U221" i="3"/>
  <c r="T221" i="3"/>
  <c r="S221" i="3"/>
  <c r="R221" i="3"/>
  <c r="Q221" i="3"/>
  <c r="P221" i="3"/>
  <c r="O221" i="3"/>
  <c r="U220" i="3"/>
  <c r="T220" i="3"/>
  <c r="S220" i="3"/>
  <c r="R220" i="3"/>
  <c r="Q220" i="3"/>
  <c r="P220" i="3"/>
  <c r="O220" i="3"/>
  <c r="U219" i="3"/>
  <c r="T219" i="3"/>
  <c r="S219" i="3"/>
  <c r="R219" i="3"/>
  <c r="Q219" i="3"/>
  <c r="P219" i="3"/>
  <c r="O219" i="3"/>
  <c r="U218" i="3"/>
  <c r="T218" i="3"/>
  <c r="S218" i="3"/>
  <c r="R218" i="3"/>
  <c r="Q218" i="3"/>
  <c r="U217" i="3"/>
  <c r="T217" i="3"/>
  <c r="S217" i="3"/>
  <c r="U216" i="3"/>
  <c r="T216" i="3"/>
  <c r="S216" i="3"/>
  <c r="R216" i="3"/>
  <c r="R217" i="3" s="1"/>
  <c r="Q216" i="3"/>
  <c r="Q217" i="3" s="1"/>
  <c r="P216" i="3"/>
  <c r="P217" i="3" s="1"/>
  <c r="P218" i="3" s="1"/>
  <c r="O216" i="3"/>
  <c r="O217" i="3" s="1"/>
  <c r="O218" i="3" s="1"/>
  <c r="U215" i="3"/>
  <c r="T215" i="3"/>
  <c r="S215" i="3"/>
  <c r="Q215" i="3"/>
  <c r="U214" i="3"/>
  <c r="T214" i="3"/>
  <c r="S214" i="3"/>
  <c r="R214" i="3"/>
  <c r="R215" i="3" s="1"/>
  <c r="Q214" i="3"/>
  <c r="P214" i="3"/>
  <c r="P215" i="3" s="1"/>
  <c r="U213" i="3"/>
  <c r="T213" i="3"/>
  <c r="S213" i="3"/>
  <c r="R213" i="3"/>
  <c r="Q213" i="3"/>
  <c r="P213" i="3"/>
  <c r="O213" i="3"/>
  <c r="O214" i="3" s="1"/>
  <c r="O215" i="3" s="1"/>
  <c r="U212" i="3"/>
  <c r="T212" i="3"/>
  <c r="S212" i="3"/>
  <c r="R212" i="3"/>
  <c r="Q212" i="3"/>
  <c r="P212" i="3"/>
  <c r="O212" i="3"/>
  <c r="U211" i="3"/>
  <c r="T211" i="3"/>
  <c r="S211" i="3"/>
  <c r="R211" i="3"/>
  <c r="Q211" i="3"/>
  <c r="P211" i="3"/>
  <c r="O211" i="3"/>
  <c r="U210" i="3"/>
  <c r="T210" i="3"/>
  <c r="S210" i="3"/>
  <c r="R210" i="3"/>
  <c r="Q210" i="3"/>
  <c r="P210" i="3"/>
  <c r="O210" i="3"/>
  <c r="U209" i="3"/>
  <c r="T209" i="3"/>
  <c r="S209" i="3"/>
  <c r="R209" i="3"/>
  <c r="Q209" i="3"/>
  <c r="P209" i="3"/>
  <c r="O209" i="3"/>
  <c r="U208" i="3"/>
  <c r="T208" i="3"/>
  <c r="S208" i="3"/>
  <c r="R208" i="3"/>
  <c r="Q208" i="3"/>
  <c r="P208" i="3"/>
  <c r="U207" i="3"/>
  <c r="T207" i="3"/>
  <c r="S207" i="3"/>
  <c r="R207" i="3"/>
  <c r="Q207" i="3"/>
  <c r="P207" i="3"/>
  <c r="O207" i="3"/>
  <c r="O208" i="3" s="1"/>
  <c r="U206" i="3"/>
  <c r="T206" i="3"/>
  <c r="S206" i="3"/>
  <c r="R206" i="3"/>
  <c r="Q206" i="3"/>
  <c r="P206" i="3"/>
  <c r="O206" i="3"/>
  <c r="U205" i="3"/>
  <c r="T205" i="3"/>
  <c r="S205" i="3"/>
  <c r="R205" i="3"/>
  <c r="Q205" i="3"/>
  <c r="P205" i="3"/>
  <c r="O205" i="3"/>
  <c r="U204" i="3"/>
  <c r="T204" i="3"/>
  <c r="S204" i="3"/>
  <c r="Q204" i="3"/>
  <c r="P204" i="3"/>
  <c r="U203" i="3"/>
  <c r="T203" i="3"/>
  <c r="S203" i="3"/>
  <c r="R203" i="3"/>
  <c r="R204" i="3" s="1"/>
  <c r="Q203" i="3"/>
  <c r="P203" i="3"/>
  <c r="O203" i="3"/>
  <c r="O204" i="3" s="1"/>
  <c r="U202" i="3"/>
  <c r="T202" i="3"/>
  <c r="S202" i="3"/>
  <c r="R202" i="3"/>
  <c r="Q202" i="3"/>
  <c r="P202" i="3"/>
  <c r="U201" i="3"/>
  <c r="T201" i="3"/>
  <c r="S201" i="3"/>
  <c r="R201" i="3"/>
  <c r="Q201" i="3"/>
  <c r="P201" i="3"/>
  <c r="O201" i="3"/>
  <c r="O202" i="3" s="1"/>
  <c r="U200" i="3"/>
  <c r="T200" i="3"/>
  <c r="S200" i="3"/>
  <c r="R200" i="3"/>
  <c r="Q200" i="3"/>
  <c r="P200" i="3"/>
  <c r="O200" i="3"/>
  <c r="U199" i="3"/>
  <c r="T199" i="3"/>
  <c r="S199" i="3"/>
  <c r="R199" i="3"/>
  <c r="Q199" i="3"/>
  <c r="U198" i="3"/>
  <c r="T198" i="3"/>
  <c r="S198" i="3"/>
  <c r="R198" i="3"/>
  <c r="Q198" i="3"/>
  <c r="P198" i="3"/>
  <c r="P199" i="3" s="1"/>
  <c r="U197" i="3"/>
  <c r="T197" i="3"/>
  <c r="S197" i="3"/>
  <c r="R197" i="3"/>
  <c r="Q197" i="3"/>
  <c r="P197" i="3"/>
  <c r="O197" i="3"/>
  <c r="O198" i="3" s="1"/>
  <c r="O199" i="3" s="1"/>
  <c r="U196" i="3"/>
  <c r="T196" i="3"/>
  <c r="S196" i="3"/>
  <c r="R196" i="3"/>
  <c r="Q196" i="3"/>
  <c r="P196" i="3"/>
  <c r="O196" i="3"/>
  <c r="U195" i="3"/>
  <c r="T195" i="3"/>
  <c r="S195" i="3"/>
  <c r="R195" i="3"/>
  <c r="Q195" i="3"/>
  <c r="U194" i="3"/>
  <c r="T194" i="3"/>
  <c r="S194" i="3"/>
  <c r="R194" i="3"/>
  <c r="Q194" i="3"/>
  <c r="P194" i="3"/>
  <c r="P195" i="3" s="1"/>
  <c r="U193" i="3"/>
  <c r="T193" i="3"/>
  <c r="S193" i="3"/>
  <c r="R193" i="3"/>
  <c r="Q193" i="3"/>
  <c r="P193" i="3"/>
  <c r="O193" i="3"/>
  <c r="O194" i="3" s="1"/>
  <c r="O195" i="3" s="1"/>
  <c r="U192" i="3"/>
  <c r="T192" i="3"/>
  <c r="S192" i="3"/>
  <c r="R192" i="3"/>
  <c r="U191" i="3"/>
  <c r="T191" i="3"/>
  <c r="S191" i="3"/>
  <c r="R191" i="3"/>
  <c r="Q191" i="3"/>
  <c r="Q192" i="3" s="1"/>
  <c r="U190" i="3"/>
  <c r="T190" i="3"/>
  <c r="S190" i="3"/>
  <c r="R190" i="3"/>
  <c r="Q190" i="3"/>
  <c r="P190" i="3"/>
  <c r="P191" i="3" s="1"/>
  <c r="P192" i="3" s="1"/>
  <c r="U189" i="3"/>
  <c r="T189" i="3"/>
  <c r="S189" i="3"/>
  <c r="R189" i="3"/>
  <c r="Q189" i="3"/>
  <c r="P189" i="3"/>
  <c r="O189" i="3"/>
  <c r="O190" i="3" s="1"/>
  <c r="O191" i="3" s="1"/>
  <c r="O192" i="3" s="1"/>
  <c r="U188" i="3"/>
  <c r="T188" i="3"/>
  <c r="S188" i="3"/>
  <c r="R188" i="3"/>
  <c r="O188" i="3"/>
  <c r="U187" i="3"/>
  <c r="T187" i="3"/>
  <c r="S187" i="3"/>
  <c r="R187" i="3"/>
  <c r="Q187" i="3"/>
  <c r="Q188" i="3" s="1"/>
  <c r="P187" i="3"/>
  <c r="P188" i="3" s="1"/>
  <c r="O187" i="3"/>
  <c r="U186" i="3"/>
  <c r="T186" i="3"/>
  <c r="S186" i="3"/>
  <c r="U185" i="3"/>
  <c r="T185" i="3"/>
  <c r="S185" i="3"/>
  <c r="U184" i="3"/>
  <c r="T184" i="3"/>
  <c r="S184" i="3"/>
  <c r="R184" i="3"/>
  <c r="R185" i="3" s="1"/>
  <c r="R186" i="3" s="1"/>
  <c r="Q184" i="3"/>
  <c r="Q185" i="3" s="1"/>
  <c r="Q186" i="3" s="1"/>
  <c r="U183" i="3"/>
  <c r="T183" i="3"/>
  <c r="S183" i="3"/>
  <c r="Q183" i="3"/>
  <c r="U182" i="3"/>
  <c r="T182" i="3"/>
  <c r="S182" i="3"/>
  <c r="Q182" i="3"/>
  <c r="P182" i="3"/>
  <c r="P183" i="3" s="1"/>
  <c r="P184" i="3" s="1"/>
  <c r="P185" i="3" s="1"/>
  <c r="P186" i="3" s="1"/>
  <c r="U181" i="3"/>
  <c r="T181" i="3"/>
  <c r="S181" i="3"/>
  <c r="R181" i="3"/>
  <c r="R182" i="3" s="1"/>
  <c r="R183" i="3" s="1"/>
  <c r="Q181" i="3"/>
  <c r="P181" i="3"/>
  <c r="O181" i="3"/>
  <c r="O182" i="3" s="1"/>
  <c r="O183" i="3" s="1"/>
  <c r="O184" i="3" s="1"/>
  <c r="O185" i="3" s="1"/>
  <c r="O186" i="3" s="1"/>
  <c r="U180" i="3"/>
  <c r="T180" i="3"/>
  <c r="S180" i="3"/>
  <c r="R180" i="3"/>
  <c r="Q180" i="3"/>
  <c r="P180" i="3"/>
  <c r="O180" i="3"/>
  <c r="U179" i="3"/>
  <c r="T179" i="3"/>
  <c r="S179" i="3"/>
  <c r="Q179" i="3"/>
  <c r="U178" i="3"/>
  <c r="T178" i="3"/>
  <c r="S178" i="3"/>
  <c r="Q178" i="3"/>
  <c r="P178" i="3"/>
  <c r="P179" i="3" s="1"/>
  <c r="U177" i="3"/>
  <c r="T177" i="3"/>
  <c r="S177" i="3"/>
  <c r="R177" i="3"/>
  <c r="R178" i="3" s="1"/>
  <c r="R179" i="3" s="1"/>
  <c r="Q177" i="3"/>
  <c r="P177" i="3"/>
  <c r="O177" i="3"/>
  <c r="O178" i="3" s="1"/>
  <c r="O179" i="3" s="1"/>
  <c r="U176" i="3"/>
  <c r="T176" i="3"/>
  <c r="S176" i="3"/>
  <c r="R176" i="3"/>
  <c r="Q176" i="3"/>
  <c r="P176" i="3"/>
  <c r="O176" i="3"/>
  <c r="U175" i="3"/>
  <c r="T175" i="3"/>
  <c r="S175" i="3"/>
  <c r="R175" i="3"/>
  <c r="Q175" i="3"/>
  <c r="U174" i="3"/>
  <c r="T174" i="3"/>
  <c r="S174" i="3"/>
  <c r="R174" i="3"/>
  <c r="Q174" i="3"/>
  <c r="P174" i="3"/>
  <c r="P175" i="3" s="1"/>
  <c r="O174" i="3"/>
  <c r="O175" i="3" s="1"/>
  <c r="U173" i="3"/>
  <c r="T173" i="3"/>
  <c r="S173" i="3"/>
  <c r="R173" i="3"/>
  <c r="Q173" i="3"/>
  <c r="U172" i="3"/>
  <c r="T172" i="3"/>
  <c r="S172" i="3"/>
  <c r="R172" i="3"/>
  <c r="Q172" i="3"/>
  <c r="P172" i="3"/>
  <c r="P173" i="3" s="1"/>
  <c r="O172" i="3"/>
  <c r="O173" i="3" s="1"/>
  <c r="U171" i="3"/>
  <c r="T171" i="3"/>
  <c r="S171" i="3"/>
  <c r="R171" i="3"/>
  <c r="Q171" i="3"/>
  <c r="P171" i="3"/>
  <c r="O171" i="3"/>
  <c r="U170" i="3"/>
  <c r="T170" i="3"/>
  <c r="S170" i="3"/>
  <c r="R170" i="3"/>
  <c r="Q170" i="3"/>
  <c r="P170" i="3"/>
  <c r="O170" i="3"/>
  <c r="U169" i="3"/>
  <c r="T169" i="3"/>
  <c r="S169" i="3"/>
  <c r="U168" i="3"/>
  <c r="T168" i="3"/>
  <c r="S168" i="3"/>
  <c r="U167" i="3"/>
  <c r="T167" i="3"/>
  <c r="S167" i="3"/>
  <c r="R167" i="3"/>
  <c r="R168" i="3" s="1"/>
  <c r="R169" i="3" s="1"/>
  <c r="Q167" i="3"/>
  <c r="Q168" i="3" s="1"/>
  <c r="Q169" i="3" s="1"/>
  <c r="P167" i="3"/>
  <c r="P168" i="3" s="1"/>
  <c r="P169" i="3" s="1"/>
  <c r="O167" i="3"/>
  <c r="O168" i="3" s="1"/>
  <c r="O169" i="3" s="1"/>
  <c r="U166" i="3"/>
  <c r="T166" i="3"/>
  <c r="S166" i="3"/>
  <c r="R166" i="3"/>
  <c r="U165" i="3"/>
  <c r="T165" i="3"/>
  <c r="S165" i="3"/>
  <c r="R165" i="3"/>
  <c r="Q165" i="3"/>
  <c r="Q166" i="3" s="1"/>
  <c r="U164" i="3"/>
  <c r="T164" i="3"/>
  <c r="S164" i="3"/>
  <c r="R164" i="3"/>
  <c r="Q164" i="3"/>
  <c r="U163" i="3"/>
  <c r="T163" i="3"/>
  <c r="S163" i="3"/>
  <c r="R163" i="3"/>
  <c r="Q163" i="3"/>
  <c r="P163" i="3"/>
  <c r="P164" i="3" s="1"/>
  <c r="P165" i="3" s="1"/>
  <c r="P166" i="3" s="1"/>
  <c r="O163" i="3"/>
  <c r="O164" i="3" s="1"/>
  <c r="O165" i="3" s="1"/>
  <c r="O166" i="3" s="1"/>
  <c r="N163" i="3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U162" i="3"/>
  <c r="T162" i="3"/>
  <c r="S162" i="3"/>
  <c r="R162" i="3"/>
  <c r="Q162" i="3"/>
  <c r="P162" i="3"/>
  <c r="O162" i="3"/>
  <c r="U161" i="3"/>
  <c r="T161" i="3"/>
  <c r="S161" i="3"/>
  <c r="R161" i="3"/>
  <c r="Q161" i="3"/>
  <c r="P161" i="3"/>
  <c r="O161" i="3"/>
  <c r="U160" i="3"/>
  <c r="T160" i="3"/>
  <c r="S160" i="3"/>
  <c r="U159" i="3"/>
  <c r="T159" i="3"/>
  <c r="S159" i="3"/>
  <c r="R159" i="3"/>
  <c r="R160" i="3" s="1"/>
  <c r="Q159" i="3"/>
  <c r="Q160" i="3" s="1"/>
  <c r="P159" i="3"/>
  <c r="P160" i="3" s="1"/>
  <c r="O159" i="3"/>
  <c r="O160" i="3" s="1"/>
  <c r="U158" i="3"/>
  <c r="T158" i="3"/>
  <c r="S158" i="3"/>
  <c r="R158" i="3"/>
  <c r="Q158" i="3"/>
  <c r="P158" i="3"/>
  <c r="O158" i="3"/>
  <c r="N158" i="3"/>
  <c r="N159" i="3" s="1"/>
  <c r="N160" i="3" s="1"/>
  <c r="N161" i="3" s="1"/>
  <c r="N162" i="3" s="1"/>
  <c r="U157" i="3"/>
  <c r="T157" i="3"/>
  <c r="S157" i="3"/>
  <c r="R157" i="3"/>
  <c r="Q157" i="3"/>
  <c r="P157" i="3"/>
  <c r="O157" i="3"/>
  <c r="U156" i="3"/>
  <c r="T156" i="3"/>
  <c r="S156" i="3"/>
  <c r="R156" i="3"/>
  <c r="Q156" i="3"/>
  <c r="U155" i="3"/>
  <c r="T155" i="3"/>
  <c r="S155" i="3"/>
  <c r="R155" i="3"/>
  <c r="Q155" i="3"/>
  <c r="P155" i="3"/>
  <c r="P156" i="3" s="1"/>
  <c r="O155" i="3"/>
  <c r="O156" i="3" s="1"/>
  <c r="U154" i="3"/>
  <c r="T154" i="3"/>
  <c r="S154" i="3"/>
  <c r="R154" i="3"/>
  <c r="U153" i="3"/>
  <c r="T153" i="3"/>
  <c r="S153" i="3"/>
  <c r="R153" i="3"/>
  <c r="Q153" i="3"/>
  <c r="Q154" i="3" s="1"/>
  <c r="U152" i="3"/>
  <c r="T152" i="3"/>
  <c r="S152" i="3"/>
  <c r="R152" i="3"/>
  <c r="U151" i="3"/>
  <c r="T151" i="3"/>
  <c r="S151" i="3"/>
  <c r="R151" i="3"/>
  <c r="Q151" i="3"/>
  <c r="Q152" i="3" s="1"/>
  <c r="P151" i="3"/>
  <c r="P152" i="3" s="1"/>
  <c r="P153" i="3" s="1"/>
  <c r="P154" i="3" s="1"/>
  <c r="O151" i="3"/>
  <c r="O152" i="3" s="1"/>
  <c r="O153" i="3" s="1"/>
  <c r="O154" i="3" s="1"/>
  <c r="U150" i="3"/>
  <c r="T150" i="3"/>
  <c r="S150" i="3"/>
  <c r="U149" i="3"/>
  <c r="T149" i="3"/>
  <c r="S149" i="3"/>
  <c r="R149" i="3"/>
  <c r="R150" i="3" s="1"/>
  <c r="Q149" i="3"/>
  <c r="Q150" i="3" s="1"/>
  <c r="U148" i="3"/>
  <c r="T148" i="3"/>
  <c r="S148" i="3"/>
  <c r="U147" i="3"/>
  <c r="T147" i="3"/>
  <c r="S147" i="3"/>
  <c r="U146" i="3"/>
  <c r="T146" i="3"/>
  <c r="S146" i="3"/>
  <c r="U145" i="3"/>
  <c r="T145" i="3"/>
  <c r="S145" i="3"/>
  <c r="R145" i="3"/>
  <c r="R146" i="3" s="1"/>
  <c r="R147" i="3" s="1"/>
  <c r="R148" i="3" s="1"/>
  <c r="Q145" i="3"/>
  <c r="Q146" i="3" s="1"/>
  <c r="Q147" i="3" s="1"/>
  <c r="Q148" i="3" s="1"/>
  <c r="P145" i="3"/>
  <c r="P146" i="3" s="1"/>
  <c r="P147" i="3" s="1"/>
  <c r="P148" i="3" s="1"/>
  <c r="P149" i="3" s="1"/>
  <c r="P150" i="3" s="1"/>
  <c r="O145" i="3"/>
  <c r="O146" i="3" s="1"/>
  <c r="O147" i="3" s="1"/>
  <c r="O148" i="3" s="1"/>
  <c r="O149" i="3" s="1"/>
  <c r="O150" i="3" s="1"/>
  <c r="U144" i="3"/>
  <c r="T144" i="3"/>
  <c r="S144" i="3"/>
  <c r="U143" i="3"/>
  <c r="T143" i="3"/>
  <c r="S143" i="3"/>
  <c r="U142" i="3"/>
  <c r="T142" i="3"/>
  <c r="S142" i="3"/>
  <c r="U141" i="3"/>
  <c r="T141" i="3"/>
  <c r="S141" i="3"/>
  <c r="U140" i="3"/>
  <c r="T140" i="3"/>
  <c r="S140" i="3"/>
  <c r="U139" i="3"/>
  <c r="T139" i="3"/>
  <c r="S139" i="3"/>
  <c r="U138" i="3"/>
  <c r="T138" i="3"/>
  <c r="S138" i="3"/>
  <c r="U137" i="3"/>
  <c r="T137" i="3"/>
  <c r="S137" i="3"/>
  <c r="U136" i="3"/>
  <c r="T136" i="3"/>
  <c r="S136" i="3"/>
  <c r="U135" i="3"/>
  <c r="T135" i="3"/>
  <c r="S135" i="3"/>
  <c r="U134" i="3"/>
  <c r="T134" i="3"/>
  <c r="S134" i="3"/>
  <c r="U133" i="3"/>
  <c r="T133" i="3"/>
  <c r="S133" i="3"/>
  <c r="U132" i="3"/>
  <c r="T132" i="3"/>
  <c r="S132" i="3"/>
  <c r="R132" i="3"/>
  <c r="R133" i="3" s="1"/>
  <c r="R134" i="3" s="1"/>
  <c r="R135" i="3" s="1"/>
  <c r="R136" i="3" s="1"/>
  <c r="R137" i="3" s="1"/>
  <c r="R138" i="3" s="1"/>
  <c r="R139" i="3" s="1"/>
  <c r="R140" i="3" s="1"/>
  <c r="R141" i="3" s="1"/>
  <c r="R142" i="3" s="1"/>
  <c r="R143" i="3" s="1"/>
  <c r="R144" i="3" s="1"/>
  <c r="Q132" i="3"/>
  <c r="Q133" i="3" s="1"/>
  <c r="Q134" i="3" s="1"/>
  <c r="Q135" i="3" s="1"/>
  <c r="Q136" i="3" s="1"/>
  <c r="Q137" i="3" s="1"/>
  <c r="Q138" i="3" s="1"/>
  <c r="Q139" i="3" s="1"/>
  <c r="Q140" i="3" s="1"/>
  <c r="Q141" i="3" s="1"/>
  <c r="Q142" i="3" s="1"/>
  <c r="Q143" i="3" s="1"/>
  <c r="Q144" i="3" s="1"/>
  <c r="U131" i="3"/>
  <c r="T131" i="3"/>
  <c r="S131" i="3"/>
  <c r="U130" i="3"/>
  <c r="T130" i="3"/>
  <c r="S130" i="3"/>
  <c r="R130" i="3"/>
  <c r="R131" i="3" s="1"/>
  <c r="U129" i="3"/>
  <c r="T129" i="3"/>
  <c r="S129" i="3"/>
  <c r="R129" i="3"/>
  <c r="Q129" i="3"/>
  <c r="Q130" i="3" s="1"/>
  <c r="Q131" i="3" s="1"/>
  <c r="U128" i="3"/>
  <c r="T128" i="3"/>
  <c r="S128" i="3"/>
  <c r="R128" i="3"/>
  <c r="Q128" i="3"/>
  <c r="P128" i="3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O128" i="3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U127" i="3"/>
  <c r="T127" i="3"/>
  <c r="S127" i="3"/>
  <c r="U126" i="3"/>
  <c r="T126" i="3"/>
  <c r="S126" i="3"/>
  <c r="U125" i="3"/>
  <c r="T125" i="3"/>
  <c r="S125" i="3"/>
  <c r="U124" i="3"/>
  <c r="T124" i="3"/>
  <c r="S124" i="3"/>
  <c r="U123" i="3"/>
  <c r="T123" i="3"/>
  <c r="S123" i="3"/>
  <c r="U122" i="3"/>
  <c r="T122" i="3"/>
  <c r="S122" i="3"/>
  <c r="U121" i="3"/>
  <c r="T121" i="3"/>
  <c r="S121" i="3"/>
  <c r="U120" i="3"/>
  <c r="T120" i="3"/>
  <c r="S120" i="3"/>
  <c r="U119" i="3"/>
  <c r="T119" i="3"/>
  <c r="S119" i="3"/>
  <c r="U118" i="3"/>
  <c r="T118" i="3"/>
  <c r="S118" i="3"/>
  <c r="U117" i="3"/>
  <c r="T117" i="3"/>
  <c r="S117" i="3"/>
  <c r="U116" i="3"/>
  <c r="T116" i="3"/>
  <c r="S116" i="3"/>
  <c r="U115" i="3"/>
  <c r="T115" i="3"/>
  <c r="S115" i="3"/>
  <c r="U114" i="3"/>
  <c r="T114" i="3"/>
  <c r="S114" i="3"/>
  <c r="U113" i="3"/>
  <c r="T113" i="3"/>
  <c r="S113" i="3"/>
  <c r="U112" i="3"/>
  <c r="T112" i="3"/>
  <c r="S112" i="3"/>
  <c r="U111" i="3"/>
  <c r="T111" i="3"/>
  <c r="S111" i="3"/>
  <c r="U110" i="3"/>
  <c r="T110" i="3"/>
  <c r="S110" i="3"/>
  <c r="U109" i="3"/>
  <c r="T109" i="3"/>
  <c r="S109" i="3"/>
  <c r="U108" i="3"/>
  <c r="T108" i="3"/>
  <c r="S108" i="3"/>
  <c r="U107" i="3"/>
  <c r="T107" i="3"/>
  <c r="S107" i="3"/>
  <c r="U106" i="3"/>
  <c r="T106" i="3"/>
  <c r="S106" i="3"/>
  <c r="U105" i="3"/>
  <c r="T105" i="3"/>
  <c r="S105" i="3"/>
  <c r="U104" i="3"/>
  <c r="T104" i="3"/>
  <c r="S104" i="3"/>
  <c r="U103" i="3"/>
  <c r="T103" i="3"/>
  <c r="S103" i="3"/>
  <c r="U102" i="3"/>
  <c r="T102" i="3"/>
  <c r="S102" i="3"/>
  <c r="U101" i="3"/>
  <c r="T101" i="3"/>
  <c r="S101" i="3"/>
  <c r="U100" i="3"/>
  <c r="T100" i="3"/>
  <c r="S100" i="3"/>
  <c r="U99" i="3"/>
  <c r="T99" i="3"/>
  <c r="S99" i="3"/>
  <c r="U98" i="3"/>
  <c r="T98" i="3"/>
  <c r="S98" i="3"/>
  <c r="R98" i="3"/>
  <c r="R99" i="3" s="1"/>
  <c r="R100" i="3" s="1"/>
  <c r="R101" i="3" s="1"/>
  <c r="R102" i="3" s="1"/>
  <c r="R103" i="3" s="1"/>
  <c r="R104" i="3" s="1"/>
  <c r="R105" i="3" s="1"/>
  <c r="R106" i="3" s="1"/>
  <c r="R107" i="3" s="1"/>
  <c r="R108" i="3" s="1"/>
  <c r="R109" i="3" s="1"/>
  <c r="R110" i="3" s="1"/>
  <c r="R111" i="3" s="1"/>
  <c r="R112" i="3" s="1"/>
  <c r="R113" i="3" s="1"/>
  <c r="R114" i="3" s="1"/>
  <c r="R115" i="3" s="1"/>
  <c r="R116" i="3" s="1"/>
  <c r="R117" i="3" s="1"/>
  <c r="R118" i="3" s="1"/>
  <c r="R119" i="3" s="1"/>
  <c r="R120" i="3" s="1"/>
  <c r="R121" i="3" s="1"/>
  <c r="R122" i="3" s="1"/>
  <c r="R123" i="3" s="1"/>
  <c r="R124" i="3" s="1"/>
  <c r="R125" i="3" s="1"/>
  <c r="R126" i="3" s="1"/>
  <c r="R127" i="3" s="1"/>
  <c r="U97" i="3"/>
  <c r="T97" i="3"/>
  <c r="S97" i="3"/>
  <c r="R97" i="3"/>
  <c r="Q97" i="3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126" i="3" s="1"/>
  <c r="Q127" i="3" s="1"/>
  <c r="U96" i="3"/>
  <c r="T96" i="3"/>
  <c r="S96" i="3"/>
  <c r="U95" i="3"/>
  <c r="T95" i="3"/>
  <c r="S95" i="3"/>
  <c r="U94" i="3"/>
  <c r="T94" i="3"/>
  <c r="S94" i="3"/>
  <c r="U93" i="3"/>
  <c r="T93" i="3"/>
  <c r="S93" i="3"/>
  <c r="U92" i="3"/>
  <c r="T92" i="3"/>
  <c r="S92" i="3"/>
  <c r="U91" i="3"/>
  <c r="T91" i="3"/>
  <c r="S91" i="3"/>
  <c r="U90" i="3"/>
  <c r="T90" i="3"/>
  <c r="S90" i="3"/>
  <c r="U89" i="3"/>
  <c r="T89" i="3"/>
  <c r="S89" i="3"/>
  <c r="U88" i="3"/>
  <c r="T88" i="3"/>
  <c r="S88" i="3"/>
  <c r="U87" i="3"/>
  <c r="T87" i="3"/>
  <c r="S87" i="3"/>
  <c r="U86" i="3"/>
  <c r="T86" i="3"/>
  <c r="S86" i="3"/>
  <c r="U85" i="3"/>
  <c r="T85" i="3"/>
  <c r="S85" i="3"/>
  <c r="U84" i="3"/>
  <c r="T84" i="3"/>
  <c r="S84" i="3"/>
  <c r="U83" i="3"/>
  <c r="T83" i="3"/>
  <c r="S83" i="3"/>
  <c r="U82" i="3"/>
  <c r="T82" i="3"/>
  <c r="S82" i="3"/>
  <c r="U81" i="3"/>
  <c r="T81" i="3"/>
  <c r="S81" i="3"/>
  <c r="U80" i="3"/>
  <c r="T80" i="3"/>
  <c r="S80" i="3"/>
  <c r="U79" i="3"/>
  <c r="T79" i="3"/>
  <c r="S79" i="3"/>
  <c r="U78" i="3"/>
  <c r="T78" i="3"/>
  <c r="S78" i="3"/>
  <c r="U77" i="3"/>
  <c r="T77" i="3"/>
  <c r="S77" i="3"/>
  <c r="U76" i="3"/>
  <c r="T76" i="3"/>
  <c r="S76" i="3"/>
  <c r="U75" i="3"/>
  <c r="T75" i="3"/>
  <c r="S75" i="3"/>
  <c r="U74" i="3"/>
  <c r="T74" i="3"/>
  <c r="S74" i="3"/>
  <c r="R74" i="3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P74" i="3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O74" i="3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U73" i="3"/>
  <c r="T73" i="3"/>
  <c r="S73" i="3"/>
  <c r="R73" i="3"/>
  <c r="Q73" i="3"/>
  <c r="P73" i="3"/>
  <c r="O73" i="3"/>
  <c r="U72" i="3"/>
  <c r="T72" i="3"/>
  <c r="S72" i="3"/>
  <c r="U71" i="3"/>
  <c r="T71" i="3"/>
  <c r="S71" i="3"/>
  <c r="R71" i="3"/>
  <c r="R72" i="3" s="1"/>
  <c r="Q71" i="3"/>
  <c r="Q72" i="3" s="1"/>
  <c r="U70" i="3"/>
  <c r="T70" i="3"/>
  <c r="S70" i="3"/>
  <c r="U69" i="3"/>
  <c r="T69" i="3"/>
  <c r="S69" i="3"/>
  <c r="U68" i="3"/>
  <c r="T68" i="3"/>
  <c r="S68" i="3"/>
  <c r="U67" i="3"/>
  <c r="T67" i="3"/>
  <c r="S67" i="3"/>
  <c r="U66" i="3"/>
  <c r="T66" i="3"/>
  <c r="S66" i="3"/>
  <c r="U65" i="3"/>
  <c r="T65" i="3"/>
  <c r="S65" i="3"/>
  <c r="R65" i="3"/>
  <c r="R66" i="3" s="1"/>
  <c r="R67" i="3" s="1"/>
  <c r="R68" i="3" s="1"/>
  <c r="R69" i="3" s="1"/>
  <c r="R70" i="3" s="1"/>
  <c r="Q65" i="3"/>
  <c r="Q66" i="3" s="1"/>
  <c r="Q67" i="3" s="1"/>
  <c r="Q68" i="3" s="1"/>
  <c r="Q69" i="3" s="1"/>
  <c r="Q70" i="3" s="1"/>
  <c r="U64" i="3"/>
  <c r="T64" i="3"/>
  <c r="S64" i="3"/>
  <c r="U63" i="3"/>
  <c r="T63" i="3"/>
  <c r="S63" i="3"/>
  <c r="U62" i="3"/>
  <c r="T62" i="3"/>
  <c r="S62" i="3"/>
  <c r="R62" i="3"/>
  <c r="R63" i="3" s="1"/>
  <c r="R64" i="3" s="1"/>
  <c r="Q62" i="3"/>
  <c r="Q63" i="3" s="1"/>
  <c r="Q64" i="3" s="1"/>
  <c r="P62" i="3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O62" i="3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U61" i="3"/>
  <c r="T61" i="3"/>
  <c r="S61" i="3"/>
  <c r="R61" i="3"/>
  <c r="Q61" i="3"/>
  <c r="U60" i="3"/>
  <c r="T60" i="3"/>
  <c r="S60" i="3"/>
  <c r="R60" i="3"/>
  <c r="Q60" i="3"/>
  <c r="P60" i="3"/>
  <c r="P61" i="3" s="1"/>
  <c r="O60" i="3"/>
  <c r="O61" i="3" s="1"/>
  <c r="N60" i="3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U59" i="3"/>
  <c r="T59" i="3"/>
  <c r="S59" i="3"/>
  <c r="R59" i="3"/>
  <c r="Q59" i="3"/>
  <c r="U58" i="3"/>
  <c r="T58" i="3"/>
  <c r="S58" i="3"/>
  <c r="R58" i="3"/>
  <c r="Q58" i="3"/>
  <c r="P58" i="3"/>
  <c r="P59" i="3" s="1"/>
  <c r="O58" i="3"/>
  <c r="O59" i="3" s="1"/>
  <c r="N58" i="3"/>
  <c r="N59" i="3" s="1"/>
  <c r="U57" i="3"/>
  <c r="T57" i="3"/>
  <c r="S57" i="3"/>
  <c r="R57" i="3"/>
  <c r="Q57" i="3"/>
  <c r="P57" i="3"/>
  <c r="O57" i="3"/>
  <c r="U56" i="3"/>
  <c r="T56" i="3"/>
  <c r="S56" i="3"/>
  <c r="R56" i="3"/>
  <c r="Q56" i="3"/>
  <c r="P56" i="3"/>
  <c r="O56" i="3"/>
  <c r="U55" i="3"/>
  <c r="T55" i="3"/>
  <c r="S55" i="3"/>
  <c r="R55" i="3"/>
  <c r="Q55" i="3"/>
  <c r="P55" i="3"/>
  <c r="O55" i="3"/>
  <c r="U54" i="3"/>
  <c r="T54" i="3"/>
  <c r="S54" i="3"/>
  <c r="R54" i="3"/>
  <c r="Q54" i="3"/>
  <c r="P54" i="3"/>
  <c r="O54" i="3"/>
  <c r="U53" i="3"/>
  <c r="T53" i="3"/>
  <c r="S53" i="3"/>
  <c r="R53" i="3"/>
  <c r="Q53" i="3"/>
  <c r="P53" i="3"/>
  <c r="O53" i="3"/>
  <c r="U52" i="3"/>
  <c r="T52" i="3"/>
  <c r="S52" i="3"/>
  <c r="R52" i="3"/>
  <c r="Q52" i="3"/>
  <c r="U51" i="3"/>
  <c r="T51" i="3"/>
  <c r="S51" i="3"/>
  <c r="U50" i="3"/>
  <c r="T50" i="3"/>
  <c r="S50" i="3"/>
  <c r="U49" i="3"/>
  <c r="T49" i="3"/>
  <c r="S49" i="3"/>
  <c r="R49" i="3"/>
  <c r="R50" i="3" s="1"/>
  <c r="R51" i="3" s="1"/>
  <c r="Q49" i="3"/>
  <c r="Q50" i="3" s="1"/>
  <c r="Q51" i="3" s="1"/>
  <c r="P49" i="3"/>
  <c r="P50" i="3" s="1"/>
  <c r="P51" i="3" s="1"/>
  <c r="P52" i="3" s="1"/>
  <c r="O49" i="3"/>
  <c r="O50" i="3" s="1"/>
  <c r="O51" i="3" s="1"/>
  <c r="O52" i="3" s="1"/>
  <c r="U48" i="3"/>
  <c r="T48" i="3"/>
  <c r="S48" i="3"/>
  <c r="R48" i="3"/>
  <c r="Q48" i="3"/>
  <c r="P48" i="3"/>
  <c r="O48" i="3"/>
  <c r="U47" i="3"/>
  <c r="T47" i="3"/>
  <c r="S47" i="3"/>
  <c r="R47" i="3"/>
  <c r="Q47" i="3"/>
  <c r="P47" i="3"/>
  <c r="O47" i="3"/>
  <c r="U46" i="3"/>
  <c r="T46" i="3"/>
  <c r="S46" i="3"/>
  <c r="U45" i="3"/>
  <c r="T45" i="3"/>
  <c r="S45" i="3"/>
  <c r="U44" i="3"/>
  <c r="T44" i="3"/>
  <c r="S44" i="3"/>
  <c r="U43" i="3"/>
  <c r="T43" i="3"/>
  <c r="S43" i="3"/>
  <c r="R43" i="3"/>
  <c r="R44" i="3" s="1"/>
  <c r="R45" i="3" s="1"/>
  <c r="R46" i="3" s="1"/>
  <c r="Q43" i="3"/>
  <c r="Q44" i="3" s="1"/>
  <c r="Q45" i="3" s="1"/>
  <c r="Q46" i="3" s="1"/>
  <c r="P43" i="3"/>
  <c r="P44" i="3" s="1"/>
  <c r="P45" i="3" s="1"/>
  <c r="P46" i="3" s="1"/>
  <c r="O43" i="3"/>
  <c r="O44" i="3" s="1"/>
  <c r="O45" i="3" s="1"/>
  <c r="O46" i="3" s="1"/>
  <c r="U42" i="3"/>
  <c r="T42" i="3"/>
  <c r="S42" i="3"/>
  <c r="U41" i="3"/>
  <c r="T41" i="3"/>
  <c r="S41" i="3"/>
  <c r="R41" i="3"/>
  <c r="R42" i="3" s="1"/>
  <c r="Q41" i="3"/>
  <c r="Q42" i="3" s="1"/>
  <c r="P41" i="3"/>
  <c r="P42" i="3" s="1"/>
  <c r="O41" i="3"/>
  <c r="O42" i="3" s="1"/>
  <c r="U40" i="3"/>
  <c r="T40" i="3"/>
  <c r="S40" i="3"/>
  <c r="Q40" i="3"/>
  <c r="U39" i="3"/>
  <c r="T39" i="3"/>
  <c r="S39" i="3"/>
  <c r="R39" i="3"/>
  <c r="R40" i="3" s="1"/>
  <c r="Q39" i="3"/>
  <c r="P39" i="3"/>
  <c r="P40" i="3" s="1"/>
  <c r="O39" i="3"/>
  <c r="O40" i="3" s="1"/>
  <c r="U38" i="3"/>
  <c r="T38" i="3"/>
  <c r="S38" i="3"/>
  <c r="R38" i="3"/>
  <c r="Q38" i="3"/>
  <c r="P38" i="3"/>
  <c r="O38" i="3"/>
  <c r="U37" i="3"/>
  <c r="T37" i="3"/>
  <c r="S37" i="3"/>
  <c r="R37" i="3"/>
  <c r="Q37" i="3"/>
  <c r="P37" i="3"/>
  <c r="O37" i="3"/>
  <c r="U36" i="3"/>
  <c r="T36" i="3"/>
  <c r="S36" i="3"/>
  <c r="R36" i="3"/>
  <c r="Q36" i="3"/>
  <c r="P36" i="3"/>
  <c r="O36" i="3"/>
  <c r="U35" i="3"/>
  <c r="T35" i="3"/>
  <c r="S35" i="3"/>
  <c r="U34" i="3"/>
  <c r="T34" i="3"/>
  <c r="S34" i="3"/>
  <c r="R34" i="3"/>
  <c r="R35" i="3" s="1"/>
  <c r="Q34" i="3"/>
  <c r="Q35" i="3" s="1"/>
  <c r="U33" i="3"/>
  <c r="T33" i="3"/>
  <c r="S33" i="3"/>
  <c r="R33" i="3"/>
  <c r="Q33" i="3"/>
  <c r="P33" i="3"/>
  <c r="P34" i="3" s="1"/>
  <c r="P35" i="3" s="1"/>
  <c r="O33" i="3"/>
  <c r="O34" i="3" s="1"/>
  <c r="O35" i="3" s="1"/>
  <c r="U32" i="3"/>
  <c r="T32" i="3"/>
  <c r="S32" i="3"/>
  <c r="R32" i="3"/>
  <c r="Q32" i="3"/>
  <c r="P32" i="3"/>
  <c r="O32" i="3"/>
  <c r="U31" i="3"/>
  <c r="T31" i="3"/>
  <c r="S31" i="3"/>
  <c r="R31" i="3"/>
  <c r="Q31" i="3"/>
  <c r="P31" i="3"/>
  <c r="O31" i="3"/>
  <c r="U30" i="3"/>
  <c r="T30" i="3"/>
  <c r="S30" i="3"/>
  <c r="U29" i="3"/>
  <c r="T29" i="3"/>
  <c r="S29" i="3"/>
  <c r="R29" i="3"/>
  <c r="R30" i="3" s="1"/>
  <c r="Q29" i="3"/>
  <c r="Q30" i="3" s="1"/>
  <c r="P29" i="3"/>
  <c r="P30" i="3" s="1"/>
  <c r="O29" i="3"/>
  <c r="O30" i="3" s="1"/>
  <c r="U28" i="3"/>
  <c r="T28" i="3"/>
  <c r="S28" i="3"/>
  <c r="R28" i="3"/>
  <c r="Q28" i="3"/>
  <c r="U27" i="3"/>
  <c r="T27" i="3"/>
  <c r="S27" i="3"/>
  <c r="R27" i="3"/>
  <c r="Q27" i="3"/>
  <c r="U26" i="3"/>
  <c r="T26" i="3"/>
  <c r="S26" i="3"/>
  <c r="U25" i="3"/>
  <c r="T25" i="3"/>
  <c r="S25" i="3"/>
  <c r="U24" i="3"/>
  <c r="T24" i="3"/>
  <c r="S24" i="3"/>
  <c r="R24" i="3"/>
  <c r="R25" i="3" s="1"/>
  <c r="R26" i="3" s="1"/>
  <c r="Q24" i="3"/>
  <c r="Q25" i="3" s="1"/>
  <c r="Q26" i="3" s="1"/>
  <c r="P24" i="3"/>
  <c r="P25" i="3" s="1"/>
  <c r="P26" i="3" s="1"/>
  <c r="P27" i="3" s="1"/>
  <c r="P28" i="3" s="1"/>
  <c r="O24" i="3"/>
  <c r="O25" i="3" s="1"/>
  <c r="O26" i="3" s="1"/>
  <c r="O27" i="3" s="1"/>
  <c r="O28" i="3" s="1"/>
  <c r="N24" i="3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U23" i="3"/>
  <c r="T23" i="3"/>
  <c r="S23" i="3"/>
  <c r="U22" i="3"/>
  <c r="T22" i="3"/>
  <c r="S22" i="3"/>
  <c r="U21" i="3"/>
  <c r="T21" i="3"/>
  <c r="S21" i="3"/>
  <c r="R21" i="3"/>
  <c r="R22" i="3" s="1"/>
  <c r="R23" i="3" s="1"/>
  <c r="Q21" i="3"/>
  <c r="Q22" i="3" s="1"/>
  <c r="Q23" i="3" s="1"/>
  <c r="P21" i="3"/>
  <c r="P22" i="3" s="1"/>
  <c r="P23" i="3" s="1"/>
  <c r="O21" i="3"/>
  <c r="O22" i="3" s="1"/>
  <c r="O23" i="3" s="1"/>
  <c r="U20" i="3"/>
  <c r="T20" i="3"/>
  <c r="S20" i="3"/>
  <c r="U19" i="3"/>
  <c r="T19" i="3"/>
  <c r="S19" i="3"/>
  <c r="U18" i="3"/>
  <c r="T18" i="3"/>
  <c r="S18" i="3"/>
  <c r="R18" i="3"/>
  <c r="R19" i="3" s="1"/>
  <c r="R20" i="3" s="1"/>
  <c r="Q18" i="3"/>
  <c r="Q19" i="3" s="1"/>
  <c r="Q20" i="3" s="1"/>
  <c r="P18" i="3"/>
  <c r="P19" i="3" s="1"/>
  <c r="P20" i="3" s="1"/>
  <c r="O18" i="3"/>
  <c r="O19" i="3" s="1"/>
  <c r="O20" i="3" s="1"/>
  <c r="U17" i="3"/>
  <c r="T17" i="3"/>
  <c r="S17" i="3"/>
  <c r="R17" i="3"/>
  <c r="Q17" i="3"/>
  <c r="P17" i="3"/>
  <c r="O17" i="3"/>
  <c r="U16" i="3"/>
  <c r="T16" i="3"/>
  <c r="S16" i="3"/>
  <c r="R16" i="3"/>
  <c r="Q16" i="3"/>
  <c r="P16" i="3"/>
  <c r="O16" i="3"/>
  <c r="U15" i="3"/>
  <c r="T15" i="3"/>
  <c r="S15" i="3"/>
  <c r="U14" i="3"/>
  <c r="T14" i="3"/>
  <c r="S14" i="3"/>
  <c r="U13" i="3"/>
  <c r="T13" i="3"/>
  <c r="S13" i="3"/>
  <c r="U12" i="3"/>
  <c r="T12" i="3"/>
  <c r="S12" i="3"/>
  <c r="R12" i="3"/>
  <c r="R13" i="3" s="1"/>
  <c r="R14" i="3" s="1"/>
  <c r="R15" i="3" s="1"/>
  <c r="Q12" i="3"/>
  <c r="Q13" i="3" s="1"/>
  <c r="Q14" i="3" s="1"/>
  <c r="Q15" i="3" s="1"/>
  <c r="P12" i="3"/>
  <c r="P13" i="3" s="1"/>
  <c r="P14" i="3" s="1"/>
  <c r="P15" i="3" s="1"/>
  <c r="O12" i="3"/>
  <c r="O13" i="3" s="1"/>
  <c r="O14" i="3" s="1"/>
  <c r="O15" i="3" s="1"/>
  <c r="U11" i="3"/>
  <c r="T11" i="3"/>
  <c r="S11" i="3"/>
  <c r="U10" i="3"/>
  <c r="T10" i="3"/>
  <c r="S10" i="3"/>
  <c r="U9" i="3"/>
  <c r="T9" i="3"/>
  <c r="S9" i="3"/>
  <c r="U8" i="3"/>
  <c r="T8" i="3"/>
  <c r="S8" i="3"/>
  <c r="U7" i="3"/>
  <c r="T7" i="3"/>
  <c r="S7" i="3"/>
  <c r="R7" i="3"/>
  <c r="R8" i="3" s="1"/>
  <c r="R9" i="3" s="1"/>
  <c r="R10" i="3" s="1"/>
  <c r="R11" i="3" s="1"/>
  <c r="Q7" i="3"/>
  <c r="Q8" i="3" s="1"/>
  <c r="Q9" i="3" s="1"/>
  <c r="Q10" i="3" s="1"/>
  <c r="Q11" i="3" s="1"/>
  <c r="P7" i="3"/>
  <c r="P8" i="3" s="1"/>
  <c r="P9" i="3" s="1"/>
  <c r="P10" i="3" s="1"/>
  <c r="P11" i="3" s="1"/>
  <c r="O7" i="3"/>
  <c r="O8" i="3" s="1"/>
  <c r="O9" i="3" s="1"/>
  <c r="O10" i="3" s="1"/>
  <c r="O11" i="3" s="1"/>
  <c r="U6" i="3"/>
  <c r="T6" i="3"/>
  <c r="S6" i="3"/>
  <c r="R6" i="3"/>
  <c r="Q6" i="3"/>
  <c r="P6" i="3"/>
  <c r="O6" i="3"/>
  <c r="N6" i="3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D54" i="9"/>
  <c r="C54" i="9"/>
  <c r="D53" i="9"/>
  <c r="C53" i="9"/>
  <c r="D52" i="9"/>
  <c r="C52" i="9"/>
  <c r="D51" i="9"/>
  <c r="C51" i="9"/>
  <c r="D50" i="9"/>
  <c r="C50" i="9"/>
  <c r="D49" i="9"/>
  <c r="C49" i="9"/>
  <c r="D48" i="9"/>
  <c r="C48" i="9"/>
  <c r="D47" i="9"/>
  <c r="C47" i="9"/>
  <c r="D46" i="9"/>
  <c r="C46" i="9"/>
  <c r="D45" i="9"/>
  <c r="C45" i="9"/>
  <c r="D44" i="9"/>
  <c r="C44" i="9"/>
  <c r="D43" i="9"/>
  <c r="C43" i="9"/>
  <c r="D42" i="9"/>
  <c r="C42" i="9"/>
  <c r="D41" i="9"/>
  <c r="C41" i="9"/>
  <c r="D40" i="9"/>
  <c r="C40" i="9"/>
  <c r="D39" i="9"/>
  <c r="C39" i="9"/>
  <c r="D38" i="9"/>
  <c r="C38" i="9"/>
  <c r="D37" i="9"/>
  <c r="C37" i="9"/>
  <c r="D36" i="9"/>
  <c r="C36" i="9"/>
  <c r="D35" i="9"/>
  <c r="C35" i="9"/>
  <c r="D34" i="9"/>
  <c r="C34" i="9"/>
  <c r="D33" i="9"/>
  <c r="C33" i="9"/>
  <c r="D32" i="9"/>
  <c r="C32" i="9"/>
  <c r="D31" i="9"/>
  <c r="C31" i="9"/>
  <c r="D30" i="9"/>
  <c r="C30" i="9"/>
  <c r="D29" i="9"/>
  <c r="C29" i="9"/>
  <c r="D28" i="9"/>
  <c r="C28" i="9"/>
  <c r="D27" i="9"/>
  <c r="C27" i="9"/>
  <c r="D26" i="9"/>
  <c r="C26" i="9"/>
  <c r="D25" i="9"/>
  <c r="C25" i="9"/>
  <c r="D24" i="9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F3" i="10" l="1"/>
  <c r="F10" i="10" l="1"/>
  <c r="F9" i="10"/>
  <c r="F8" i="10"/>
  <c r="F7" i="10"/>
  <c r="F6" i="10"/>
  <c r="F5" i="10"/>
  <c r="F4" i="10"/>
  <c r="G2" i="10" l="1"/>
  <c r="G3" i="10" s="1"/>
  <c r="G4" i="10" s="1"/>
  <c r="G5" i="10" s="1"/>
  <c r="G6" i="10" s="1"/>
  <c r="G7" i="10" s="1"/>
  <c r="G8" i="10" s="1"/>
  <c r="G9" i="10" s="1"/>
  <c r="G10" i="10" s="1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G11" i="10" l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A4" i="3"/>
  <c r="A5" i="3" s="1"/>
  <c r="A6" i="3" s="1"/>
  <c r="B3" i="9" l="1"/>
  <c r="A4" i="2" l="1"/>
  <c r="A5" i="2" s="1"/>
  <c r="A3" i="6" l="1"/>
  <c r="A6" i="2"/>
  <c r="T5" i="3" l="1"/>
  <c r="U5" i="3"/>
  <c r="S5" i="3"/>
  <c r="P5" i="3"/>
  <c r="Q5" i="3"/>
  <c r="N5" i="3"/>
  <c r="R5" i="3"/>
  <c r="O5" i="3"/>
</calcChain>
</file>

<file path=xl/sharedStrings.xml><?xml version="1.0" encoding="utf-8"?>
<sst xmlns="http://schemas.openxmlformats.org/spreadsheetml/2006/main" count="24359" uniqueCount="10249">
  <si>
    <t>Order date &amp; time</t>
  </si>
  <si>
    <t>Order no.</t>
  </si>
  <si>
    <t>SKU code</t>
  </si>
  <si>
    <t>Seller SKU code</t>
  </si>
  <si>
    <t>Item ID</t>
  </si>
  <si>
    <t>Product Description</t>
  </si>
  <si>
    <t>Qty</t>
  </si>
  <si>
    <t>Selling Price</t>
  </si>
  <si>
    <t>PO no.</t>
  </si>
  <si>
    <t>PO Date</t>
  </si>
  <si>
    <t>Transfer Price</t>
  </si>
  <si>
    <t>Seller name</t>
  </si>
  <si>
    <t>Seller code</t>
  </si>
  <si>
    <t>Seller Code</t>
  </si>
  <si>
    <t>PO</t>
  </si>
  <si>
    <t>Qty Received</t>
  </si>
  <si>
    <t>Done</t>
  </si>
  <si>
    <t>Remarks</t>
  </si>
  <si>
    <t>Sum of Qty</t>
  </si>
  <si>
    <t>Grand Total</t>
  </si>
  <si>
    <t>Put data in the sheet labeled "Data"</t>
  </si>
  <si>
    <t>Click run</t>
  </si>
  <si>
    <t>SUMMARY SHEET</t>
  </si>
  <si>
    <t>DATE:</t>
  </si>
  <si>
    <t>Driver Name</t>
  </si>
  <si>
    <t>Helper Name</t>
  </si>
  <si>
    <t>BAB AL SALAM ELECTRONICS</t>
  </si>
  <si>
    <t>V00004</t>
  </si>
  <si>
    <t>Address</t>
  </si>
  <si>
    <t>Contact</t>
  </si>
  <si>
    <t>Sum of Transfer Price</t>
  </si>
  <si>
    <t>Seller Name</t>
  </si>
  <si>
    <t>V00053</t>
  </si>
  <si>
    <t>V00054</t>
  </si>
  <si>
    <t>V00071</t>
  </si>
  <si>
    <t>V00128</t>
  </si>
  <si>
    <t>V00145</t>
  </si>
  <si>
    <t>V00159</t>
  </si>
  <si>
    <t>V00205</t>
  </si>
  <si>
    <t>V00206</t>
  </si>
  <si>
    <t>V00218</t>
  </si>
  <si>
    <t>FARHA AL MADINA GENERAL TRADING LLC</t>
  </si>
  <si>
    <t>V00070</t>
  </si>
  <si>
    <t>REDINGTON MIDDLE EAST LLC</t>
  </si>
  <si>
    <t>V00113</t>
  </si>
  <si>
    <t>PRINCE COMPUTERS TRADING LLC</t>
  </si>
  <si>
    <t>VARIETY COMPUTERS LLC</t>
  </si>
  <si>
    <t>V00027</t>
  </si>
  <si>
    <t>VAHEDNA TRADING COMPANY LLC</t>
  </si>
  <si>
    <t>V00025</t>
  </si>
  <si>
    <t>MAKE UP ETC</t>
  </si>
  <si>
    <t>V00167</t>
  </si>
  <si>
    <t>UNICOM INT GEN TRADING LLC</t>
  </si>
  <si>
    <t>V00008</t>
  </si>
  <si>
    <t>TRIZONE ELECTRONICS TRADING LLC</t>
  </si>
  <si>
    <t>V00012</t>
  </si>
  <si>
    <t>Thomsun Trading Establishment</t>
  </si>
  <si>
    <t>V00216</t>
  </si>
  <si>
    <t>SUPER SPEED COMPUTERS LLC</t>
  </si>
  <si>
    <t>V00011</t>
  </si>
  <si>
    <t>STRONTIUM TECHNOLOGY LLC</t>
  </si>
  <si>
    <t>V00037</t>
  </si>
  <si>
    <t>Sport for All General Trading LLC</t>
  </si>
  <si>
    <t>V00210</t>
  </si>
  <si>
    <t>SMART MOBILE SOLUTIONS LLC</t>
  </si>
  <si>
    <t>V00005</t>
  </si>
  <si>
    <t>SMART INFOCOMM FZ LLC</t>
  </si>
  <si>
    <t>V00017</t>
  </si>
  <si>
    <t>SHOPPERS PLAZA PERFUMES TRADING</t>
  </si>
  <si>
    <t>V00046</t>
  </si>
  <si>
    <t>SEB Electronics</t>
  </si>
  <si>
    <t>V00184</t>
  </si>
  <si>
    <t>Ashraf Eletronics Trading LLC</t>
  </si>
  <si>
    <t>V00201</t>
  </si>
  <si>
    <t>ENIGMA BEAUTY GROUP</t>
  </si>
  <si>
    <t>V00142</t>
  </si>
  <si>
    <t>SHIFT ELECTRONICS LLC</t>
  </si>
  <si>
    <t>V00026</t>
  </si>
  <si>
    <t>MK TRADING FZE</t>
  </si>
  <si>
    <t>V00158</t>
  </si>
  <si>
    <t>ROYAL FOCUS TRADING LLC</t>
  </si>
  <si>
    <t>V00049</t>
  </si>
  <si>
    <t>ROSELINE TRADING COMPANY LLC</t>
  </si>
  <si>
    <t>V00023</t>
  </si>
  <si>
    <t>PROTECHNOLOGY COMPANY LLC</t>
  </si>
  <si>
    <t>V00038</t>
  </si>
  <si>
    <t>OSKAR PHONES LLC</t>
  </si>
  <si>
    <t>V00075</t>
  </si>
  <si>
    <t>1 Eighty Digital Computer Solutions</t>
  </si>
  <si>
    <t>V00190</t>
  </si>
  <si>
    <t>June Fzco</t>
  </si>
  <si>
    <t>V00199</t>
  </si>
  <si>
    <t>KIFAF GENERAL TRADING LLC</t>
  </si>
  <si>
    <t>V00052</t>
  </si>
  <si>
    <t>New Cell King General Trading</t>
  </si>
  <si>
    <t>V00196</t>
  </si>
  <si>
    <t>Namshi General Trading LLC</t>
  </si>
  <si>
    <t>Al Anboori Trading</t>
  </si>
  <si>
    <t>V00197</t>
  </si>
  <si>
    <t>Achiever Computers LLC</t>
  </si>
  <si>
    <t>V00202</t>
  </si>
  <si>
    <t>Access Star Telecom</t>
  </si>
  <si>
    <t>V00203</t>
  </si>
  <si>
    <t>Techlink</t>
  </si>
  <si>
    <t>V00208</t>
  </si>
  <si>
    <t>MUSEUM ZONE GENERAL TRADING LLC</t>
  </si>
  <si>
    <t>V00034</t>
  </si>
  <si>
    <t>Carrefour</t>
  </si>
  <si>
    <t>V00144</t>
  </si>
  <si>
    <t>Mall of Emirates showroom</t>
  </si>
  <si>
    <t>LIGHT SPEED GENERAL TRADING</t>
  </si>
  <si>
    <t>V00022</t>
  </si>
  <si>
    <t>KGF GENERAL TRADING LLC</t>
  </si>
  <si>
    <t>V00009</t>
  </si>
  <si>
    <t>Joint Ven Trading Co. LLC</t>
  </si>
  <si>
    <t>Fire Bird Distibution FZE</t>
  </si>
  <si>
    <t>V00215</t>
  </si>
  <si>
    <t>Pride Ride General Trading LLC</t>
  </si>
  <si>
    <t>V00209</t>
  </si>
  <si>
    <t>HYPERPHONE LLC</t>
  </si>
  <si>
    <t>V00024</t>
  </si>
  <si>
    <t>Carapelli Computers LLC</t>
  </si>
  <si>
    <t>V00002</t>
  </si>
  <si>
    <t>Hunting Seller</t>
  </si>
  <si>
    <t>V00043</t>
  </si>
  <si>
    <t>Al Masa</t>
  </si>
  <si>
    <t>Technotel LLC</t>
  </si>
  <si>
    <t>V00161</t>
  </si>
  <si>
    <t>Fortune Cell Phones trading LLC</t>
  </si>
  <si>
    <t>V00162</t>
  </si>
  <si>
    <t>Virgin Megastore</t>
  </si>
  <si>
    <t>V00176</t>
  </si>
  <si>
    <t>Advance Vision</t>
  </si>
  <si>
    <t>V00178</t>
  </si>
  <si>
    <t>Korner Trading LLC</t>
  </si>
  <si>
    <t>V00183</t>
  </si>
  <si>
    <t>Plugins Gtex</t>
  </si>
  <si>
    <t>V00185</t>
  </si>
  <si>
    <t>V00186</t>
  </si>
  <si>
    <t>Pluton General Trading Est.</t>
  </si>
  <si>
    <t>V00187</t>
  </si>
  <si>
    <t>Hyperpanda</t>
  </si>
  <si>
    <t>V00191</t>
  </si>
  <si>
    <t>4G Telecom Mobiles Phones Trading</t>
  </si>
  <si>
    <t>V00192</t>
  </si>
  <si>
    <t>LSC Technology LLC New</t>
  </si>
  <si>
    <t>V00193</t>
  </si>
  <si>
    <t>TAG Trading</t>
  </si>
  <si>
    <t>V00194</t>
  </si>
  <si>
    <t>Hanayen Phones LLC</t>
  </si>
  <si>
    <t>V00195</t>
  </si>
  <si>
    <t>DIRECT TRADING</t>
  </si>
  <si>
    <t>V00166</t>
  </si>
  <si>
    <t>GAMEPLAY ENTERTAINMAENT LLC</t>
  </si>
  <si>
    <t>V00050</t>
  </si>
  <si>
    <t>LUCKY STAR COMPUTER LLC</t>
  </si>
  <si>
    <t>V00129</t>
  </si>
  <si>
    <t>FLICKON TECHNOLOGIES LLC</t>
  </si>
  <si>
    <t>V00020</t>
  </si>
  <si>
    <t>FANTASTIC GAMES ELECTRONICS L.L.C</t>
  </si>
  <si>
    <t>V00047</t>
  </si>
  <si>
    <t>Al Wakil Trading LLC</t>
  </si>
  <si>
    <t>V00200</t>
  </si>
  <si>
    <t>SMILE COMPUTERS LLC</t>
  </si>
  <si>
    <t>V00127</t>
  </si>
  <si>
    <t>COMPUTER CARE LLC</t>
  </si>
  <si>
    <t>V00014</t>
  </si>
  <si>
    <t>CELLTEL MIDDLE EAST LLC</t>
  </si>
  <si>
    <t>V00035</t>
  </si>
  <si>
    <t>CELLONE MOBILE LLC</t>
  </si>
  <si>
    <t>V00018</t>
  </si>
  <si>
    <t>IT CONNECTIONS GENERAL TRADING LLC</t>
  </si>
  <si>
    <t>JUMBO ELECTRONICS COMPANY LLC</t>
  </si>
  <si>
    <t>V00039</t>
  </si>
  <si>
    <t>BAIT AL ARAB LLC</t>
  </si>
  <si>
    <t>ALPHATECH (ALPHA55 BRANCH FZCO0</t>
  </si>
  <si>
    <t>V00041</t>
  </si>
  <si>
    <t>AL SHADAWI TRADING</t>
  </si>
  <si>
    <t>V00019</t>
  </si>
  <si>
    <t>AL RAGHY ELECTRONICS LLC</t>
  </si>
  <si>
    <t>V00007</t>
  </si>
  <si>
    <t>TECH MART MIDDLE EAST LLC</t>
  </si>
  <si>
    <t>AL MIZAN INTERNATIONAL LLC</t>
  </si>
  <si>
    <t>V00140</t>
  </si>
  <si>
    <t>AL JABAR OPTICAL CENTER</t>
  </si>
  <si>
    <t>V00021</t>
  </si>
  <si>
    <t>Back 2 Back Computer</t>
  </si>
  <si>
    <t>V00207</t>
  </si>
  <si>
    <t>AL ERSHAD COMPUTER TRADING LLC</t>
  </si>
  <si>
    <t>V00016</t>
  </si>
  <si>
    <t>Oasis Enterprises</t>
  </si>
  <si>
    <t>Airport road near cargi village signal Behind Ac shirawi building</t>
  </si>
  <si>
    <t>ACME PEAK GENERAL TRADING</t>
  </si>
  <si>
    <t>V00036</t>
  </si>
  <si>
    <t>THE NEW STORE LLC</t>
  </si>
  <si>
    <t>4G COM GENERAL TRADING LLC</t>
  </si>
  <si>
    <t>V00006</t>
  </si>
  <si>
    <t>Zahabi Solutions FZE</t>
  </si>
  <si>
    <t>V00204</t>
  </si>
  <si>
    <t>319 Kuwati BuildingBehind Noit Police Station Deira Dubai</t>
  </si>
  <si>
    <t>PC world Computer Trading LLC</t>
  </si>
  <si>
    <t>V00198</t>
  </si>
  <si>
    <t>HEADLINKS GENERAL TRADING LLC</t>
  </si>
  <si>
    <t>INTERNATIONAL SYNDICATE GROUP LLC</t>
  </si>
  <si>
    <t>V00123</t>
  </si>
  <si>
    <t>Etrends Trading LLC</t>
  </si>
  <si>
    <t>V00182</t>
  </si>
  <si>
    <t>AL WARDA AL ZARQA GENERAL TRADING LLC</t>
  </si>
  <si>
    <t>V00114</t>
  </si>
  <si>
    <t>SMART COMMUNICATIONS LLC</t>
  </si>
  <si>
    <t>V00042</t>
  </si>
  <si>
    <t>Jumbo Electronics Co. Ltd (LLC)</t>
  </si>
  <si>
    <t>Axiom telecom</t>
  </si>
  <si>
    <t>V00217</t>
  </si>
  <si>
    <t>Secure Track Information Technology LLC</t>
  </si>
  <si>
    <t>V00225</t>
  </si>
  <si>
    <t>Sheeba General trading LL</t>
  </si>
  <si>
    <t>V00220</t>
  </si>
  <si>
    <t>TSA Genral Trading LLC</t>
  </si>
  <si>
    <t>V00221</t>
  </si>
  <si>
    <t>Global Tech General Trading LLC</t>
  </si>
  <si>
    <t>V00229</t>
  </si>
  <si>
    <t>Amount</t>
  </si>
  <si>
    <t>Payment_Terms</t>
  </si>
  <si>
    <t>not provided</t>
  </si>
  <si>
    <t>Khalid Bin Al Walid Street - Opposite Royal Ascot Hotel - United Arab Emirates</t>
  </si>
  <si>
    <t>Paris Gallery</t>
  </si>
  <si>
    <t>SV00042</t>
  </si>
  <si>
    <t>King Abdul aziz road - Hayat Mall - After gate no 1</t>
  </si>
  <si>
    <t>Hawas Bajawi</t>
  </si>
  <si>
    <t>SV00041</t>
  </si>
  <si>
    <t>Alam Al Jathibia for Perfumes</t>
  </si>
  <si>
    <t>SV00040</t>
  </si>
  <si>
    <t>Al Swydi Basheer Ibrahimi Street – Riyadh- KSA</t>
  </si>
  <si>
    <t>Rai Al Kuhl Est. for Trading</t>
  </si>
  <si>
    <t>SV00039</t>
  </si>
  <si>
    <t>Shingar Fashion Accessories</t>
  </si>
  <si>
    <t>SV00038</t>
  </si>
  <si>
    <t>Batha Marqab Street Near Nesto Hyper Market Riyadh</t>
  </si>
  <si>
    <t>Yousef Mohammed</t>
  </si>
  <si>
    <t>SV00037</t>
  </si>
  <si>
    <t>Sitten Street Al Malaz RIyadh</t>
  </si>
  <si>
    <t>Distribution and marketing company</t>
  </si>
  <si>
    <t>SV00036</t>
  </si>
  <si>
    <t>Rose Misk for Trading Est</t>
  </si>
  <si>
    <t>SV00035</t>
  </si>
  <si>
    <t>COMPUTER WINDOW</t>
  </si>
  <si>
    <t>SV00034</t>
  </si>
  <si>
    <t>Saudi Mass</t>
  </si>
  <si>
    <t>SV00033</t>
  </si>
  <si>
    <t>KUNOOZ ALBARAKA TRADING COMPANY</t>
  </si>
  <si>
    <t>SV00032</t>
  </si>
  <si>
    <t>SABAYA COMPANY LLC</t>
  </si>
  <si>
    <t>SV00031</t>
  </si>
  <si>
    <t>RIYHANAT MAKKAH PERFUMES</t>
  </si>
  <si>
    <t>SV00030</t>
  </si>
  <si>
    <t>Aryam Al Riyadh</t>
  </si>
  <si>
    <t>SV00029</t>
  </si>
  <si>
    <t>Exit 17 – Soly</t>
  </si>
  <si>
    <t>ALSABAH trading &amp; contracting co.</t>
  </si>
  <si>
    <t>SV00028</t>
  </si>
  <si>
    <t>OGARIT TRADING ESTABLISHMENT</t>
  </si>
  <si>
    <t>SV00027</t>
  </si>
  <si>
    <t>MAYMOON GULF TRADING EST.</t>
  </si>
  <si>
    <t>SV00026</t>
  </si>
  <si>
    <t>Shipping to your warehouse</t>
  </si>
  <si>
    <t>ASMINA STAR TRADING EST.</t>
  </si>
  <si>
    <t>SV00025</t>
  </si>
  <si>
    <t>Ammar almulki</t>
  </si>
  <si>
    <t>SV00024</t>
  </si>
  <si>
    <t>HASSAN MOHMAD HASSAN AL AMMARI EST. FOR TRADING</t>
  </si>
  <si>
    <t>SV00023</t>
  </si>
  <si>
    <t>Al Jeel Al Asri Establishment</t>
  </si>
  <si>
    <t>SV00022</t>
  </si>
  <si>
    <t>Al Azazya</t>
  </si>
  <si>
    <t>SAFWAT AL SARAYA TELECOM</t>
  </si>
  <si>
    <t>SV00021</t>
  </si>
  <si>
    <t>Abdulaziz Abdullah bin Dakhil</t>
  </si>
  <si>
    <t>SV00020</t>
  </si>
  <si>
    <t>Dokan</t>
  </si>
  <si>
    <t>SV00019</t>
  </si>
  <si>
    <t>Al Fasiliah Tower Olaya Riyadh</t>
  </si>
  <si>
    <t>Abdulaziz Establishment</t>
  </si>
  <si>
    <t>SV00018</t>
  </si>
  <si>
    <t>Exit 15 Al Naseem</t>
  </si>
  <si>
    <t>MASHAIL AL-QASR TRADINGV@ CONTRACTING COMPANY</t>
  </si>
  <si>
    <t>SV00017</t>
  </si>
  <si>
    <t>NAJD TELECOM COMPANY</t>
  </si>
  <si>
    <t>SV00016</t>
  </si>
  <si>
    <t>ERSAL TELECOM</t>
  </si>
  <si>
    <t>SV00015</t>
  </si>
  <si>
    <t>ERSAL TELECOM /ALHARAM BUILDING BATHA RIYADH</t>
  </si>
  <si>
    <t>Shati Al Hasab Establishment</t>
  </si>
  <si>
    <t>SV00014</t>
  </si>
  <si>
    <t>Jaffal Center Shpo No 136 . Riyadh</t>
  </si>
  <si>
    <t>Fahad Al Tayeeb Makki Est.</t>
  </si>
  <si>
    <t>SV00013</t>
  </si>
  <si>
    <t>Riyadh- Al Sulai – exit 16 – Eastern Ring Road.</t>
  </si>
  <si>
    <t>The Agent for Car Care</t>
  </si>
  <si>
    <t>SV00012</t>
  </si>
  <si>
    <t>Al Moneera Abdul Aziz Yahya Establishment</t>
  </si>
  <si>
    <t>SV00011</t>
  </si>
  <si>
    <t>Imam Abdullah Bin Saud Road after AL Dress Petrol Station Ad- Diriyah Al Riyadh</t>
  </si>
  <si>
    <t>Different Computer Games</t>
  </si>
  <si>
    <t>SV00010</t>
  </si>
  <si>
    <t>Ola Dubai Trading Company</t>
  </si>
  <si>
    <t>SV00009</t>
  </si>
  <si>
    <t>Al Hamrah Building 2nd Floor Batha Al Riyadh</t>
  </si>
  <si>
    <t>Al Harthi Camera</t>
  </si>
  <si>
    <t>SV00008</t>
  </si>
  <si>
    <t>Al Washam Road Before KFC Al Harthi Showroom Murabah Al Riyadh</t>
  </si>
  <si>
    <t>Nadi Etisalat Company</t>
  </si>
  <si>
    <t>SV00007</t>
  </si>
  <si>
    <t>Batha Al Rahi Building 2nd Floor Al Riyadh</t>
  </si>
  <si>
    <t>Al Madar Al Shamel Co .</t>
  </si>
  <si>
    <t>SV00006</t>
  </si>
  <si>
    <t>Wardat Al Samah Est. for Trading</t>
  </si>
  <si>
    <t>SV00005</t>
  </si>
  <si>
    <t>Al Yarmook – Ja’afar Al Mansoor Street - Riyadh</t>
  </si>
  <si>
    <t>Al Thahabya company</t>
  </si>
  <si>
    <t>SV00004</t>
  </si>
  <si>
    <t>5 Building No 2 1st Floor Batha Riyadh</t>
  </si>
  <si>
    <t>Ali Al Dossari</t>
  </si>
  <si>
    <t>SV00003</t>
  </si>
  <si>
    <t>Jaffal Center Shpo No . Riyadh</t>
  </si>
  <si>
    <t>Kasar Al Thuraya</t>
  </si>
  <si>
    <t>SV00002</t>
  </si>
  <si>
    <t>Electronics wholesale Market Mursalat North Riyadh</t>
  </si>
  <si>
    <t>Dior World</t>
  </si>
  <si>
    <t>SV00001</t>
  </si>
  <si>
    <t>Ebda'a Al Amal Establishment</t>
  </si>
  <si>
    <t>SV00055</t>
  </si>
  <si>
    <t>Imam Faisal Bin Turkin Street – Ebdaa Al Amal Wholesale shop</t>
  </si>
  <si>
    <t>MEGAFONE</t>
  </si>
  <si>
    <t>SV00045</t>
  </si>
  <si>
    <t>Tasaheel Al-Khaleej</t>
  </si>
  <si>
    <t>SV00046</t>
  </si>
  <si>
    <t>Tawla Est.</t>
  </si>
  <si>
    <t>SV00047</t>
  </si>
  <si>
    <t>Twinmos Technologies Me LLC</t>
  </si>
  <si>
    <t>V00222</t>
  </si>
  <si>
    <t>Transmed Overseas Incorporated S.A</t>
  </si>
  <si>
    <t>V00223</t>
  </si>
  <si>
    <t>Digital Sterling Eletronics Trading LLC</t>
  </si>
  <si>
    <t>V00224</t>
  </si>
  <si>
    <t>Etter Wa Hadya Est. for Trading</t>
  </si>
  <si>
    <t>SV00048</t>
  </si>
  <si>
    <t>Shareef Corner Telecom</t>
  </si>
  <si>
    <t>SV00052</t>
  </si>
  <si>
    <t>Al Sheraa Group for trading</t>
  </si>
  <si>
    <t>SV00054</t>
  </si>
  <si>
    <t>Mohamad Abdurazak Al Hammad for trading Est</t>
  </si>
  <si>
    <t>SV00059</t>
  </si>
  <si>
    <t>Zain Gulf</t>
  </si>
  <si>
    <t>SV00053</t>
  </si>
  <si>
    <t>Riyadh</t>
  </si>
  <si>
    <t>Al Futtaim Watches &amp; Jewellery LLC</t>
  </si>
  <si>
    <t>V00244</t>
  </si>
  <si>
    <t>MBD Middle East Electronics LLC</t>
  </si>
  <si>
    <t>V00227</t>
  </si>
  <si>
    <t>Qaryat Al Nawader for Trading Est.</t>
  </si>
  <si>
    <t>SV00062</t>
  </si>
  <si>
    <t>ADB Clothing Co.</t>
  </si>
  <si>
    <t>V00292</t>
  </si>
  <si>
    <t>Makeup Forever Boutique</t>
  </si>
  <si>
    <t>SV00056</t>
  </si>
  <si>
    <t>Al Mesbah</t>
  </si>
  <si>
    <t>SV00057</t>
  </si>
  <si>
    <t>Al-Rasail Telecom</t>
  </si>
  <si>
    <t>SV00058</t>
  </si>
  <si>
    <t>Nabeel Saleh Helabi Trading Est.</t>
  </si>
  <si>
    <t>SV00061</t>
  </si>
  <si>
    <t>Helabi Trading Est. Souq AI Junoubiya Beside Baladia AI Balad Jeddah.K.S.A</t>
  </si>
  <si>
    <t>MID ASIA TRADING (LLC)</t>
  </si>
  <si>
    <t>V00230</t>
  </si>
  <si>
    <t>Ahmed Aboud BinMadi Trading Est.</t>
  </si>
  <si>
    <t>SV00060</t>
  </si>
  <si>
    <t>Vestis International FZC</t>
  </si>
  <si>
    <t>V00231</t>
  </si>
  <si>
    <t>RAK Free ZONE Techology Park Ras Al Khaimah</t>
  </si>
  <si>
    <t>About That Girl</t>
  </si>
  <si>
    <t>V00232</t>
  </si>
  <si>
    <t>PinkPepperBerry</t>
  </si>
  <si>
    <t>V00277</t>
  </si>
  <si>
    <t>97150654 9133</t>
  </si>
  <si>
    <t>Rock and ICE</t>
  </si>
  <si>
    <t>V00233</t>
  </si>
  <si>
    <t>Al Wifaq Genral Trading LLC</t>
  </si>
  <si>
    <t>V00234</t>
  </si>
  <si>
    <t>MNSSAT STORE</t>
  </si>
  <si>
    <t>SV00082</t>
  </si>
  <si>
    <t>Kovval Auto Accessories. LLC</t>
  </si>
  <si>
    <t>V00235</t>
  </si>
  <si>
    <t>Al Fayhaa Oasis Fashion LLC</t>
  </si>
  <si>
    <t>V00228</t>
  </si>
  <si>
    <t>Nespresso</t>
  </si>
  <si>
    <t>SV00044</t>
  </si>
  <si>
    <t>SASH</t>
  </si>
  <si>
    <t>V00237</t>
  </si>
  <si>
    <t>HIGHTECH Est.</t>
  </si>
  <si>
    <t>SV00063</t>
  </si>
  <si>
    <t>Al Jabreen</t>
  </si>
  <si>
    <t>SV00064</t>
  </si>
  <si>
    <t>Ibrahim al wahabi trading</t>
  </si>
  <si>
    <t>SV00065</t>
  </si>
  <si>
    <t>Maliga exit 4 north Riyadh</t>
  </si>
  <si>
    <t>ITouch Eletronics LLC</t>
  </si>
  <si>
    <t>V00236</t>
  </si>
  <si>
    <t>goodram middle east fzco</t>
  </si>
  <si>
    <t>V00245</t>
  </si>
  <si>
    <t>south zone #5 WH3 AD09 jabel ali free zone dubai UAE</t>
  </si>
  <si>
    <t>Active IT Distribution</t>
  </si>
  <si>
    <t>V00238</t>
  </si>
  <si>
    <t>Base Computers</t>
  </si>
  <si>
    <t>V00242</t>
  </si>
  <si>
    <t>Unoo Trading Co LLC</t>
  </si>
  <si>
    <t>V00243</t>
  </si>
  <si>
    <t>AL Tarmez Digit System Technology LLC</t>
  </si>
  <si>
    <t>V00263</t>
  </si>
  <si>
    <t>HAS International Group</t>
  </si>
  <si>
    <t>V00334</t>
  </si>
  <si>
    <t>Al Ittihad road Al Khabisi Area Next to scientechnic show room diera</t>
  </si>
  <si>
    <t>Gabriel Cosmetics Trading LLC</t>
  </si>
  <si>
    <t>V00261</t>
  </si>
  <si>
    <t>Jovisa Trading LLC</t>
  </si>
  <si>
    <t>V00255</t>
  </si>
  <si>
    <t>Faces Add</t>
  </si>
  <si>
    <t>SV00066</t>
  </si>
  <si>
    <t>Lightspeed Kiosk</t>
  </si>
  <si>
    <t>V00247</t>
  </si>
  <si>
    <t>Deira City centre</t>
  </si>
  <si>
    <t>Al Taheri Computers</t>
  </si>
  <si>
    <t>V00248</t>
  </si>
  <si>
    <t>Al Falak electronics LLC</t>
  </si>
  <si>
    <t>V00253</t>
  </si>
  <si>
    <t>Nokia Care Outlet Techserve</t>
  </si>
  <si>
    <t>V00254</t>
  </si>
  <si>
    <t>Al Mutanabi Pefumes</t>
  </si>
  <si>
    <t>SV00073</t>
  </si>
  <si>
    <t>Malaz Rafay Bin Ali near Fsaleh Sports Siteen.</t>
  </si>
  <si>
    <t>Alwan Al Abeer</t>
  </si>
  <si>
    <t>SV00068</t>
  </si>
  <si>
    <t>Al-Deerah Maikeliya Market Opposite (Sabaya) Shop # 265</t>
  </si>
  <si>
    <t>Renmore DMCC</t>
  </si>
  <si>
    <t>V00256</t>
  </si>
  <si>
    <t>IFL Sterling Logistics LLCPO Box 117954 Jebelali Free zone Dubai UAE</t>
  </si>
  <si>
    <t>Quality Gulf Co. LLC</t>
  </si>
  <si>
    <t>V00257</t>
  </si>
  <si>
    <t>Comcom Communications LLC</t>
  </si>
  <si>
    <t>V00258</t>
  </si>
  <si>
    <t>Ninja Computers LLC</t>
  </si>
  <si>
    <t>V00262</t>
  </si>
  <si>
    <t>SAFE ELECTRONICS FZ LLC</t>
  </si>
  <si>
    <t>V00260</t>
  </si>
  <si>
    <t>GARGESH CENTRE 204</t>
  </si>
  <si>
    <t>Ambly Trading FZE</t>
  </si>
  <si>
    <t>V00259</t>
  </si>
  <si>
    <t>HSY Bizz</t>
  </si>
  <si>
    <t>V00266</t>
  </si>
  <si>
    <t>Business Bay U bora Tower</t>
  </si>
  <si>
    <t>Hendi Al Shamsi General Trading</t>
  </si>
  <si>
    <t>V00264</t>
  </si>
  <si>
    <t>NEW PHONES LAND JLT</t>
  </si>
  <si>
    <t>V00265</t>
  </si>
  <si>
    <t>Al Dahnani Establishment for Trading</t>
  </si>
  <si>
    <t>SV00072</t>
  </si>
  <si>
    <t>Gadgitech Me JLT</t>
  </si>
  <si>
    <t>V00270</t>
  </si>
  <si>
    <t>Broadworld Trading LLC</t>
  </si>
  <si>
    <t>V00271</t>
  </si>
  <si>
    <t>Al Jalil International Ware houese #11 PO Box 37046 DIP II . Dubai UAE</t>
  </si>
  <si>
    <t>True Value Computers LLC</t>
  </si>
  <si>
    <t>V00267</t>
  </si>
  <si>
    <t>Kobian Gulf</t>
  </si>
  <si>
    <t>V00276</t>
  </si>
  <si>
    <t>Metel Trading LLC</t>
  </si>
  <si>
    <t>V00268</t>
  </si>
  <si>
    <t>Al Qadah Al Dahabi for trading</t>
  </si>
  <si>
    <t>SV00070</t>
  </si>
  <si>
    <t>Kash Kouture</t>
  </si>
  <si>
    <t>SV00071</t>
  </si>
  <si>
    <t>ONE WORLD TRADING LLC</t>
  </si>
  <si>
    <t>V00269</t>
  </si>
  <si>
    <t>Beauty Solutions Trading JLT</t>
  </si>
  <si>
    <t>V00272</t>
  </si>
  <si>
    <t>Redington Middle East(Lifestyle)</t>
  </si>
  <si>
    <t>V00326</t>
  </si>
  <si>
    <t>Not Providedd</t>
  </si>
  <si>
    <t>World fitnees</t>
  </si>
  <si>
    <t>SV00076</t>
  </si>
  <si>
    <t>Sullay Exit 16 Istambol Rode Next to Aramex Riyadh .</t>
  </si>
  <si>
    <t>Sheefaok Establishment for Trading</t>
  </si>
  <si>
    <t>SV00075</t>
  </si>
  <si>
    <t>King Abdul Aziz Road Exit (5)</t>
  </si>
  <si>
    <t>North NET</t>
  </si>
  <si>
    <t>SV00077</t>
  </si>
  <si>
    <t>Sahel Areej Trading And Constructions</t>
  </si>
  <si>
    <t>SV00074</t>
  </si>
  <si>
    <t>Asian super market</t>
  </si>
  <si>
    <t>SV00078</t>
  </si>
  <si>
    <t>Al Ansar</t>
  </si>
  <si>
    <t>V00278</t>
  </si>
  <si>
    <t>Jazeerat Al-Nakeel Establishment</t>
  </si>
  <si>
    <t>SV00079</t>
  </si>
  <si>
    <t>Riyadh-Azizah-Ateegah</t>
  </si>
  <si>
    <t>XTOUCH ELECTRONICS TRADING LLC</t>
  </si>
  <si>
    <t>V00288</t>
  </si>
  <si>
    <t>SAAMBIZ Trading EST.</t>
  </si>
  <si>
    <t>SV00081</t>
  </si>
  <si>
    <t>Dabab Street Near Chamber of Commerce Murraba District Riyadh</t>
  </si>
  <si>
    <t>Blue Hourse Trading</t>
  </si>
  <si>
    <t>V00286</t>
  </si>
  <si>
    <t>LaserGallery</t>
  </si>
  <si>
    <t>V00303</t>
  </si>
  <si>
    <t>Al Jabar Electronics</t>
  </si>
  <si>
    <t>SV00080</t>
  </si>
  <si>
    <t>Sullay Dist Haroon Rasheed Rode Near Wadi Warehouse Riyadh .</t>
  </si>
  <si>
    <t>Gearkom Fzco</t>
  </si>
  <si>
    <t>V00289</t>
  </si>
  <si>
    <t>Will Deliver at our ware house</t>
  </si>
  <si>
    <t>Al Inmaa Drug Store &amp; Medical Equipments LLC</t>
  </si>
  <si>
    <t>V00300</t>
  </si>
  <si>
    <t>Graphic International Centre LLC</t>
  </si>
  <si>
    <t>V00317</t>
  </si>
  <si>
    <t>PO. BOX 7070 Union Properties Compound Al Quoz Dubai UAE</t>
  </si>
  <si>
    <t>Just Goot FZC</t>
  </si>
  <si>
    <t>V00287</t>
  </si>
  <si>
    <t>Al Futtaim Computers Software Products Co LLC</t>
  </si>
  <si>
    <t>V00285</t>
  </si>
  <si>
    <t>Ahmed Seddiqi&amp;Sons</t>
  </si>
  <si>
    <t>V00290</t>
  </si>
  <si>
    <t>Concentration Computer LLC</t>
  </si>
  <si>
    <t>V00291</t>
  </si>
  <si>
    <t>P.O Box 2679 | Dubai - UAE</t>
  </si>
  <si>
    <t>Boots</t>
  </si>
  <si>
    <t>SV00083</t>
  </si>
  <si>
    <t>Kingdom Center 1st Floor</t>
  </si>
  <si>
    <t>Dar Al Mashaghel</t>
  </si>
  <si>
    <t>SV00084</t>
  </si>
  <si>
    <t>Debenhams</t>
  </si>
  <si>
    <t>V00296</t>
  </si>
  <si>
    <t>Grand Sunglasses</t>
  </si>
  <si>
    <t>V00297</t>
  </si>
  <si>
    <t>Deira City Centre</t>
  </si>
  <si>
    <t>04-2955334</t>
  </si>
  <si>
    <t>Watches Corner</t>
  </si>
  <si>
    <t>V00298</t>
  </si>
  <si>
    <t>V00299</t>
  </si>
  <si>
    <t>Herera for Perfumes &amp; Cosmetics</t>
  </si>
  <si>
    <t>SV00085</t>
  </si>
  <si>
    <t>Exit 15 Near Al Rajhi Masjid Riyadh Saudi Arab</t>
  </si>
  <si>
    <t>Paese Cosmetics/ Yash Fasion LLC</t>
  </si>
  <si>
    <t>V00306</t>
  </si>
  <si>
    <t>Gold &amp; Glory Mobile Phones Trading LLC</t>
  </si>
  <si>
    <t>V00305</t>
  </si>
  <si>
    <t>Bee Beautiful Cosmetics Trading</t>
  </si>
  <si>
    <t>V00308</t>
  </si>
  <si>
    <t>Satbir International General Trading LLC</t>
  </si>
  <si>
    <t>V00319</t>
  </si>
  <si>
    <t>ABBA Electronics LLC</t>
  </si>
  <si>
    <t>V00316</t>
  </si>
  <si>
    <t>Carmel General Trading LLC trading as Tilted Halo</t>
  </si>
  <si>
    <t>V00335</t>
  </si>
  <si>
    <t>Creative Concepts Trading FZE</t>
  </si>
  <si>
    <t>V00304</t>
  </si>
  <si>
    <t>SATRAH COMPUTER TRADING LLC</t>
  </si>
  <si>
    <t>V00320</t>
  </si>
  <si>
    <t>New Solutions Computer</t>
  </si>
  <si>
    <t>SV00087</t>
  </si>
  <si>
    <t>Riyadh – Olaya – King Fahad Road – Khaleej Commercial Center – Showroom 88</t>
  </si>
  <si>
    <t>Rapz Beachwear</t>
  </si>
  <si>
    <t>V00307</t>
  </si>
  <si>
    <t>Dalma Electronics LLC</t>
  </si>
  <si>
    <t>V00318</t>
  </si>
  <si>
    <t>Yasser Hafiz Ali</t>
  </si>
  <si>
    <t>SV00086</t>
  </si>
  <si>
    <t>Riyadh Sulayi Exit- 16 (SOUQ) Opposite to Aramex.</t>
  </si>
  <si>
    <t>Mohammed Alawar Gifts Trading</t>
  </si>
  <si>
    <t>V00325</t>
  </si>
  <si>
    <t>Acumen International Trading</t>
  </si>
  <si>
    <t>SV00088</t>
  </si>
  <si>
    <t>V00301</t>
  </si>
  <si>
    <t>AAVA</t>
  </si>
  <si>
    <t>V00309</t>
  </si>
  <si>
    <t>Meena Bazar Bur Dubai</t>
  </si>
  <si>
    <t>Mata General Trading Co. LLC</t>
  </si>
  <si>
    <t>V00311</t>
  </si>
  <si>
    <t>V00313</t>
  </si>
  <si>
    <t>Qualia Phones and Accessories Trading</t>
  </si>
  <si>
    <t>V00302</t>
  </si>
  <si>
    <t>Jannat Al Yaqoot</t>
  </si>
  <si>
    <t>V00312</t>
  </si>
  <si>
    <t>Makeup Forever</t>
  </si>
  <si>
    <t>SV00090</t>
  </si>
  <si>
    <t>Beside General Trading Co. LLC</t>
  </si>
  <si>
    <t>V00321</t>
  </si>
  <si>
    <t>Eros Digital Home</t>
  </si>
  <si>
    <t>V00322</t>
  </si>
  <si>
    <t>City Gate</t>
  </si>
  <si>
    <t>Al Qous Company</t>
  </si>
  <si>
    <t>SV00092</t>
  </si>
  <si>
    <t>Phone for Communication</t>
  </si>
  <si>
    <t>SV00091</t>
  </si>
  <si>
    <t>Ramsis Mobile Phones Trading L.L.C</t>
  </si>
  <si>
    <t>V00323</t>
  </si>
  <si>
    <t>POBox 22480- Dubai UAE</t>
  </si>
  <si>
    <t>Bond Soft Furnishing Trading LLC</t>
  </si>
  <si>
    <t>V00328</t>
  </si>
  <si>
    <t>Capm SMA PVT LTD</t>
  </si>
  <si>
    <t>V00324</t>
  </si>
  <si>
    <t>yellow Hat</t>
  </si>
  <si>
    <t>V00329</t>
  </si>
  <si>
    <t>Optisun Trading LLC</t>
  </si>
  <si>
    <t>V00330</t>
  </si>
  <si>
    <t>Magrabi Optical</t>
  </si>
  <si>
    <t>V00331</t>
  </si>
  <si>
    <t>Ameer Phone L.L.C</t>
  </si>
  <si>
    <t>V00332</t>
  </si>
  <si>
    <t>Bal Al Mandeb Electronics</t>
  </si>
  <si>
    <t>V00333</t>
  </si>
  <si>
    <t>Integrated Net Est.</t>
  </si>
  <si>
    <t>SV00093</t>
  </si>
  <si>
    <t>Cygnus Telecom</t>
  </si>
  <si>
    <t>V00336</t>
  </si>
  <si>
    <t>Dubai</t>
  </si>
  <si>
    <t>Satin</t>
  </si>
  <si>
    <t>SV00094</t>
  </si>
  <si>
    <t>Blush</t>
  </si>
  <si>
    <t>IL Signor Bracelets</t>
  </si>
  <si>
    <t>Dar Al Amirat</t>
  </si>
  <si>
    <t>SV00095</t>
  </si>
  <si>
    <t>The Source Co.</t>
  </si>
  <si>
    <t>SV00096</t>
  </si>
  <si>
    <t>Ahmed Bin Abood Est.</t>
  </si>
  <si>
    <t>SV00097</t>
  </si>
  <si>
    <t>Hari Devi Genral Trading LLC</t>
  </si>
  <si>
    <t>V00355</t>
  </si>
  <si>
    <t>V00357</t>
  </si>
  <si>
    <t>V00368</t>
  </si>
  <si>
    <t>V00373</t>
  </si>
  <si>
    <t>V00370</t>
  </si>
  <si>
    <t>Fatila Technlogy</t>
  </si>
  <si>
    <t>V00371</t>
  </si>
  <si>
    <t>Jaseena Trading Co LLC</t>
  </si>
  <si>
    <t>V00372</t>
  </si>
  <si>
    <t>Hidden Beauty Lingerie</t>
  </si>
  <si>
    <t>V00374</t>
  </si>
  <si>
    <t>Shafat Trading Co</t>
  </si>
  <si>
    <t>V00375</t>
  </si>
  <si>
    <t>Intex Technologies LLC</t>
  </si>
  <si>
    <t>V00376</t>
  </si>
  <si>
    <t>Intex Way Gulf LLC Warehouse # 2 of Warehouse B375 Al quoz Indrutrial Area- 1 Behind Arabian MIX Co</t>
  </si>
  <si>
    <t>Ali Zeniad Trading</t>
  </si>
  <si>
    <t>V00377</t>
  </si>
  <si>
    <t>Al Kunuz General Trading LLC</t>
  </si>
  <si>
    <t>V00378</t>
  </si>
  <si>
    <t>Hermes FZE</t>
  </si>
  <si>
    <t>V00379</t>
  </si>
  <si>
    <t>V00380</t>
  </si>
  <si>
    <t>Sharaf DG LLC</t>
  </si>
  <si>
    <t>V00381</t>
  </si>
  <si>
    <t>Al Saaf Trading LLC</t>
  </si>
  <si>
    <t>V00382</t>
  </si>
  <si>
    <t>V00362</t>
  </si>
  <si>
    <t>Denaster Genral Trading LLC</t>
  </si>
  <si>
    <t>V00354</t>
  </si>
  <si>
    <t>Dana Salmiya Trading Est.</t>
  </si>
  <si>
    <t>MUMTAZ ESTABLISHMENT</t>
  </si>
  <si>
    <t>SV00108</t>
  </si>
  <si>
    <t>Shehna</t>
  </si>
  <si>
    <t>V00359</t>
  </si>
  <si>
    <t>Nisi International Co(LLC)</t>
  </si>
  <si>
    <t>Muaad &amp; Ahmed</t>
  </si>
  <si>
    <t>SV00106</t>
  </si>
  <si>
    <t>DARMOJA LLC</t>
  </si>
  <si>
    <t>SV00105</t>
  </si>
  <si>
    <t>Eastern ring road exit 14 Darmoja building Riyadh .PO Box 32708 Riyadh 11438</t>
  </si>
  <si>
    <t>Shower and More Beauty Cosmetics</t>
  </si>
  <si>
    <t>V00369</t>
  </si>
  <si>
    <t>Al Nahda 1 Saheel 1 Tower Office 406 PO Box 93917 Dubai UAE</t>
  </si>
  <si>
    <t>V00365</t>
  </si>
  <si>
    <t>White oryx Gen Trading LLC</t>
  </si>
  <si>
    <t>Midori Ventures Genral Trading LLC</t>
  </si>
  <si>
    <t>V00356</t>
  </si>
  <si>
    <t>Cygnus Telecom LLC</t>
  </si>
  <si>
    <t>V00358</t>
  </si>
  <si>
    <t>Modern Telecom</t>
  </si>
  <si>
    <t>SV00098</t>
  </si>
  <si>
    <t>Ahlaam Al-Blad</t>
  </si>
  <si>
    <t>SV00099</t>
  </si>
  <si>
    <t>Main center Riyadh Khazan Street</t>
  </si>
  <si>
    <t>Yateem Optician</t>
  </si>
  <si>
    <t>V00350</t>
  </si>
  <si>
    <t>Center Point</t>
  </si>
  <si>
    <t>SV00100</t>
  </si>
  <si>
    <t>Center Point Exit 9 Before Debenhams.</t>
  </si>
  <si>
    <t>Plant Telecom</t>
  </si>
  <si>
    <t>V00348</t>
  </si>
  <si>
    <t>Hunting</t>
  </si>
  <si>
    <t>Bistel Electronics</t>
  </si>
  <si>
    <t>V00349</t>
  </si>
  <si>
    <t>Golden Palace Electronics</t>
  </si>
  <si>
    <t>V00351</t>
  </si>
  <si>
    <t>Opp. Gargash Center Nassar Square Deira Dubai</t>
  </si>
  <si>
    <t>Hour choice</t>
  </si>
  <si>
    <t>V00352</t>
  </si>
  <si>
    <t>D2 Telecom</t>
  </si>
  <si>
    <t>SV00102</t>
  </si>
  <si>
    <t>Electron Building Ground floor Batha Riyadh. Saudi Arab</t>
  </si>
  <si>
    <t>Samaiel Perfumes</t>
  </si>
  <si>
    <t>SV00103</t>
  </si>
  <si>
    <t>Al Deerah Maikeliya Riyadh. Saudi Arab</t>
  </si>
  <si>
    <t>SV00104</t>
  </si>
  <si>
    <t>V00360</t>
  </si>
  <si>
    <t>Hayat Store</t>
  </si>
  <si>
    <t>Riyadh Othaim Mall Exit-14 Ground floor after Tatra. Riyadh</t>
  </si>
  <si>
    <t>Fentorina Fashion Case</t>
  </si>
  <si>
    <t>SV00109</t>
  </si>
  <si>
    <t>Al Husaini &amp; Al Yehya Group for Investment</t>
  </si>
  <si>
    <t>SV00110</t>
  </si>
  <si>
    <t>Magic Flower Trading Co.</t>
  </si>
  <si>
    <t>SV00124</t>
  </si>
  <si>
    <t>Nabeel Aslam Trading EST</t>
  </si>
  <si>
    <t>Rawa Electronics Trading</t>
  </si>
  <si>
    <t>Mursalat Dist King Abdulaziz Road Near Ministry of Labour Riyadh KSA</t>
  </si>
  <si>
    <t>Debenhams Dior</t>
  </si>
  <si>
    <t>SV00107</t>
  </si>
  <si>
    <t>V00363</t>
  </si>
  <si>
    <t>AL HASOOB HORIZEN EST.</t>
  </si>
  <si>
    <t>SV00113</t>
  </si>
  <si>
    <t>Tabyat Al Maghreb</t>
  </si>
  <si>
    <t>SV00117</t>
  </si>
  <si>
    <t>Prince Bandar bin Abdul Aziz Street- Al Khaleej Neighborhood Al Riyadh</t>
  </si>
  <si>
    <t>Memory Technology Company / MTC</t>
  </si>
  <si>
    <t>SV00111</t>
  </si>
  <si>
    <t>JEDDAH - Khaled bin Al Waleed Street JEDDAH KHOMRA</t>
  </si>
  <si>
    <t>A professional touch for eyes</t>
  </si>
  <si>
    <t>SV00116</t>
  </si>
  <si>
    <t>Riyadh – Alaatif St. Batha</t>
  </si>
  <si>
    <t>multiple visions for trading</t>
  </si>
  <si>
    <t>riyadh malaz area .. salah din ayoubi street after ghazali building right hand mohammad al tamimy street .. nadia house building 3rd floor</t>
  </si>
  <si>
    <t>Jothoor Al Anaqa Trading Est.</t>
  </si>
  <si>
    <t>SV00112</t>
  </si>
  <si>
    <t>Aramex Offices Riyadh</t>
  </si>
  <si>
    <t>V00386</t>
  </si>
  <si>
    <t>SV00122</t>
  </si>
  <si>
    <t>Riyadh Exit 9 Garnada Mall Paris Gallery</t>
  </si>
  <si>
    <t>Brightstar FZE</t>
  </si>
  <si>
    <t>Chaer Bros International - CBCI LLC</t>
  </si>
  <si>
    <t>V00388</t>
  </si>
  <si>
    <t>Saudi Arabain Marketing &amp; agencies</t>
  </si>
  <si>
    <t>SV00123</t>
  </si>
  <si>
    <t>Estanbool St. Behind Aramex store No 4 Al solay Riyadh</t>
  </si>
  <si>
    <t>ALBAWARDI FOOD &amp; SUPPLIES</t>
  </si>
  <si>
    <t>SV00118</t>
  </si>
  <si>
    <t>AHMED ABDULWAHED FOR HOM APPLANCES</t>
  </si>
  <si>
    <t>RIYADH DABAB STREET .DABABTRADING CENTER (1) OFFICE NO: 26/25 THERD FL ALSULIMANEIAH</t>
  </si>
  <si>
    <t>Professional Group Est</t>
  </si>
  <si>
    <t>Ahmad Bin Sadeeq St 8592 Jeddah al shatea Dist.</t>
  </si>
  <si>
    <t>Riyadh – Alsolai</t>
  </si>
  <si>
    <t>Al Hamli Trading LLC</t>
  </si>
  <si>
    <t>Alwan Al Yamamah Trading Co</t>
  </si>
  <si>
    <t>SV00120</t>
  </si>
  <si>
    <t>Riyadh Al shafaa Diarb Road</t>
  </si>
  <si>
    <t>The Natural Source Co.</t>
  </si>
  <si>
    <t>Merlin Digital Genral Trading LLC</t>
  </si>
  <si>
    <t>V00387</t>
  </si>
  <si>
    <t>Digital &amp; Electronic Solutions Development Co LTD</t>
  </si>
  <si>
    <t>SV00119</t>
  </si>
  <si>
    <t>Perfume Gate</t>
  </si>
  <si>
    <t>SV00121</t>
  </si>
  <si>
    <t>Sitten Street Near National Guard Hospital Al Malaz Riyadh. Saudi Arab</t>
  </si>
  <si>
    <t>Trigon LLC</t>
  </si>
  <si>
    <t>V00392</t>
  </si>
  <si>
    <t>Al hassani auto accessories trading llc</t>
  </si>
  <si>
    <t>V00397</t>
  </si>
  <si>
    <t>Ras al khor industrial area 1 warehouse 26 near nissan service centre dubai</t>
  </si>
  <si>
    <t>Optima Middle East</t>
  </si>
  <si>
    <t>V00396</t>
  </si>
  <si>
    <t>Techmirco FZE</t>
  </si>
  <si>
    <t>Multiple vision for trading</t>
  </si>
  <si>
    <t>SV00125</t>
  </si>
  <si>
    <t>riyadh malaz area.. Salah din ayyoubi street after ghazali building right hand mohammad al tamimy street .. Nadia house building 3rd floor office number 213-214-215</t>
  </si>
  <si>
    <t>Reef Al Madina</t>
  </si>
  <si>
    <t>V00398</t>
  </si>
  <si>
    <t>No 3 Al Safiya Building 36 st Hor Anz Dubai</t>
  </si>
  <si>
    <t>Cash</t>
  </si>
  <si>
    <t>Com-Tech Trade</t>
  </si>
  <si>
    <t>SV00126</t>
  </si>
  <si>
    <t>main computer market Olaya Street Riyadh. Saudi Arab</t>
  </si>
  <si>
    <t>966-595418003</t>
  </si>
  <si>
    <t>Amalona Trading EST</t>
  </si>
  <si>
    <t>King fahad road al - Tameer center Riyadh al deerah</t>
  </si>
  <si>
    <t>Roboo Ma'an Est.</t>
  </si>
  <si>
    <t>Soleil Boutique</t>
  </si>
  <si>
    <t>V00406</t>
  </si>
  <si>
    <t>Al Bahjah Trading LLC</t>
  </si>
  <si>
    <t>V00411</t>
  </si>
  <si>
    <t>Colours Of Life</t>
  </si>
  <si>
    <t>V00410</t>
  </si>
  <si>
    <t>Elekta Gulf</t>
  </si>
  <si>
    <t>V00409</t>
  </si>
  <si>
    <t>V00408</t>
  </si>
  <si>
    <t>V00407</t>
  </si>
  <si>
    <t>V00405</t>
  </si>
  <si>
    <t>V00404</t>
  </si>
  <si>
    <t>V00403</t>
  </si>
  <si>
    <t>V00401</t>
  </si>
  <si>
    <t>V00400</t>
  </si>
  <si>
    <t>Gulf Trading Telecom EST</t>
  </si>
  <si>
    <t>SV00137</t>
  </si>
  <si>
    <t>Alehesa Street-neer Saab Bank- Back side -- D Café Riyadh Central</t>
  </si>
  <si>
    <t>SV00136</t>
  </si>
  <si>
    <t>Perfume Art</t>
  </si>
  <si>
    <t>SV00135</t>
  </si>
  <si>
    <t>Al Magliya Market Al Batha Riyadh. Saudi Arab</t>
  </si>
  <si>
    <t>SV00134</t>
  </si>
  <si>
    <t>SV00133</t>
  </si>
  <si>
    <t>SV00132</t>
  </si>
  <si>
    <t>SV00131</t>
  </si>
  <si>
    <t>SV00130</t>
  </si>
  <si>
    <t>SV00129</t>
  </si>
  <si>
    <t>SV00128</t>
  </si>
  <si>
    <t>SV00127</t>
  </si>
  <si>
    <t>SV00142</t>
  </si>
  <si>
    <t>Mahboob Electrical Trading LLC</t>
  </si>
  <si>
    <t>Abu Dhabhi Madina Zayed</t>
  </si>
  <si>
    <t>Mayet General Trading Co LLC</t>
  </si>
  <si>
    <t>Royal Island General Trading LLC</t>
  </si>
  <si>
    <t>V00412</t>
  </si>
  <si>
    <t>Trendy Forever Trading LLC</t>
  </si>
  <si>
    <t>Nawaf for Perfumes</t>
  </si>
  <si>
    <t>SV00140</t>
  </si>
  <si>
    <t>Khazan Street Al Batha Riyadh. Saudi Arab</t>
  </si>
  <si>
    <t>Asse AlJawal Trading Est.</t>
  </si>
  <si>
    <t>SV00141</t>
  </si>
  <si>
    <t>4+6</t>
  </si>
  <si>
    <t>4+3</t>
  </si>
  <si>
    <t>10+5</t>
  </si>
  <si>
    <t>30+5</t>
  </si>
  <si>
    <t>30+10</t>
  </si>
  <si>
    <t>15+5</t>
  </si>
  <si>
    <t>4+11</t>
  </si>
  <si>
    <t>5+11</t>
  </si>
  <si>
    <t>0+0</t>
  </si>
  <si>
    <t>20+5</t>
  </si>
  <si>
    <t>15+10</t>
  </si>
  <si>
    <t>10+6</t>
  </si>
  <si>
    <t>7+5</t>
  </si>
  <si>
    <t>5+5</t>
  </si>
  <si>
    <t>25+5</t>
  </si>
  <si>
    <t>3+2</t>
  </si>
  <si>
    <t>15+0</t>
  </si>
  <si>
    <t>20+10</t>
  </si>
  <si>
    <t>4+12</t>
  </si>
  <si>
    <t>60+5</t>
  </si>
  <si>
    <t>30+12</t>
  </si>
  <si>
    <t>10+10</t>
  </si>
  <si>
    <t>5+10</t>
  </si>
  <si>
    <t>Transsion Technology</t>
  </si>
  <si>
    <t>V00413</t>
  </si>
  <si>
    <t>Al Safeer Group of Companies</t>
  </si>
  <si>
    <t>V00419</t>
  </si>
  <si>
    <t>V00418</t>
  </si>
  <si>
    <t>Swarocski Middle East FZE</t>
  </si>
  <si>
    <t>V00417</t>
  </si>
  <si>
    <t>Edition limitee DMCC</t>
  </si>
  <si>
    <t>V00416</t>
  </si>
  <si>
    <t>Beauty &amp; Cosmetics Raneen Trading DMCC</t>
  </si>
  <si>
    <t>V00415</t>
  </si>
  <si>
    <t>Unit 406 HDS Tower Cluster F Jumeirah Lakes Tower Dubai UAE</t>
  </si>
  <si>
    <t>V00414</t>
  </si>
  <si>
    <t>4+8</t>
  </si>
  <si>
    <t>Modern Electronic Company Limited</t>
  </si>
  <si>
    <t>SV00143</t>
  </si>
  <si>
    <t>Modern Electronic Company Riyadh - As sulay Khari Road</t>
  </si>
  <si>
    <t>SV00144</t>
  </si>
  <si>
    <t>V00423</t>
  </si>
  <si>
    <t>Sama Nadreen Trading Est</t>
  </si>
  <si>
    <t>SV00145</t>
  </si>
  <si>
    <t>Riyadh-Dar Al Baida Habib warehouse 118</t>
  </si>
  <si>
    <t>AL FALAK ELECTRONICS EQUIPMENT &amp; SUPPLIES CO.</t>
  </si>
  <si>
    <t>SV00147</t>
  </si>
  <si>
    <t>RANA WAREHOUSE SULAI BLOCK 11 Riyadh Sulai</t>
  </si>
  <si>
    <t>Al Musbah Trading Group</t>
  </si>
  <si>
    <t>SV00146</t>
  </si>
  <si>
    <t>Riyadh warehouse Istan bul Street Sulayee</t>
  </si>
  <si>
    <t>Yuddu Group FZE</t>
  </si>
  <si>
    <t>Barakat Palace - Fze Genral Trading</t>
  </si>
  <si>
    <t>V00424</t>
  </si>
  <si>
    <t>Bidarian Genral Trading</t>
  </si>
  <si>
    <t>V00425</t>
  </si>
  <si>
    <t>BleachBright Trading L.L.C</t>
  </si>
  <si>
    <t>Peas in a POD LLC</t>
  </si>
  <si>
    <t>National Store LLC</t>
  </si>
  <si>
    <t>4+13</t>
  </si>
  <si>
    <t>Values</t>
  </si>
  <si>
    <t>Count of Qty</t>
  </si>
  <si>
    <t>Total</t>
  </si>
  <si>
    <t>V00435</t>
  </si>
  <si>
    <t>V00434</t>
  </si>
  <si>
    <t>Sahel Areej (infinix)</t>
  </si>
  <si>
    <t>SV00148</t>
  </si>
  <si>
    <t>G- Factory</t>
  </si>
  <si>
    <t>V00188</t>
  </si>
  <si>
    <t>Al Ghurair Centre</t>
  </si>
  <si>
    <t>Customeyes Advertising Gift Supply</t>
  </si>
  <si>
    <t>V00436</t>
  </si>
  <si>
    <t>Ras Al Khor Ind area Opp Emirates Refreshments Dubai UAE</t>
  </si>
  <si>
    <t>Gifted DMCC</t>
  </si>
  <si>
    <t>V00433</t>
  </si>
  <si>
    <t>Bay Central Towers Apartement No 2306 dubai marina</t>
  </si>
  <si>
    <t>CGI Limited</t>
  </si>
  <si>
    <t>V00432</t>
  </si>
  <si>
    <t>Wild Wood</t>
  </si>
  <si>
    <t>V00437</t>
  </si>
  <si>
    <t>Branche Majed Trading EST</t>
  </si>
  <si>
    <t>Taknology Trading Company</t>
  </si>
  <si>
    <t>Branch of Nadeem Saad Abdullah alndowi trading est</t>
  </si>
  <si>
    <t>Credit</t>
  </si>
  <si>
    <t>Registered_Name</t>
  </si>
  <si>
    <t>Pickup_Address</t>
  </si>
  <si>
    <t>Contact no</t>
  </si>
  <si>
    <t>Payment Terms</t>
  </si>
  <si>
    <t>Velocity Trading LLC</t>
  </si>
  <si>
    <t>V00476</t>
  </si>
  <si>
    <t>Opp AC Rabia Hotel Frij Murar Deira Dubai</t>
  </si>
  <si>
    <t>V00475</t>
  </si>
  <si>
    <t>V00474</t>
  </si>
  <si>
    <t>Starblu The western hotel mina seyatti Dubai</t>
  </si>
  <si>
    <t>Max Vision Trading LLC</t>
  </si>
  <si>
    <t>V00473</t>
  </si>
  <si>
    <t>Dafaf Dubai Genral Trading LLC</t>
  </si>
  <si>
    <t>V00472</t>
  </si>
  <si>
    <t>Techcom International Computers LLC</t>
  </si>
  <si>
    <t>V00471</t>
  </si>
  <si>
    <t>V00470</t>
  </si>
  <si>
    <t>Gargash Center Office#414 TEKWORLD GENERAL TRADINGLLC Dubai</t>
  </si>
  <si>
    <t>97152-9299340</t>
  </si>
  <si>
    <t>Sarroni FZ LLC</t>
  </si>
  <si>
    <t>V00469</t>
  </si>
  <si>
    <t>Will Deliverd at out warehouse</t>
  </si>
  <si>
    <t>Code Seven Digital FZ LLC</t>
  </si>
  <si>
    <t>V00467</t>
  </si>
  <si>
    <t>Dubai Investment Park Dubai UAE PO Box 75583</t>
  </si>
  <si>
    <t>Feather Blanket Trading LLC</t>
  </si>
  <si>
    <t>V00464</t>
  </si>
  <si>
    <t>Al Fanoos Al Zahabi Genral Trading LLC</t>
  </si>
  <si>
    <t>V00463</t>
  </si>
  <si>
    <t>Veneto Iss Jabel Ali Water front Dubai</t>
  </si>
  <si>
    <t>V00452</t>
  </si>
  <si>
    <t>BA302; Boulevard Central; Down Town Dubai</t>
  </si>
  <si>
    <t>The Little Soapery Cosmetics Trading LLC</t>
  </si>
  <si>
    <t>V00451</t>
  </si>
  <si>
    <t>Villa 74A; Street 32C; Jumeira 1; Dubai</t>
  </si>
  <si>
    <t>V00450</t>
  </si>
  <si>
    <t>Emperesse Diamants Fzco; Building #2 Unit #2025 &amp; 2026 Gold &amp; diamond Park PO Box 19376 Dubai</t>
  </si>
  <si>
    <t>V00444</t>
  </si>
  <si>
    <t>V00441</t>
  </si>
  <si>
    <t>V00440</t>
  </si>
  <si>
    <t>The H Hotel ; Business Tower 601 ; sheikh zayed road dubai UAE</t>
  </si>
  <si>
    <t>Larico Genrral Trading FZC</t>
  </si>
  <si>
    <t>V00439</t>
  </si>
  <si>
    <t>Shop No 2; K-13; Green cluster International City Dubai</t>
  </si>
  <si>
    <t>AMJ International General Trading</t>
  </si>
  <si>
    <t>V00438</t>
  </si>
  <si>
    <t>Builing 23; Flat 22; Bur Dubai Bank Street</t>
  </si>
  <si>
    <t>405 Sanibel Tower; Park Island Dubai Marina</t>
  </si>
  <si>
    <t>Office 703 Sheikha Noora Building tecom; Dubai</t>
  </si>
  <si>
    <t>Dubai Deira Behind OLD Al Maktoom Hospital ; Al Jaziri Bldg Shop No 38</t>
  </si>
  <si>
    <t>Villa 1; Compound 20 Street 32 Miridif ; dubai UAE</t>
  </si>
  <si>
    <t>Al Wahda street ; Behind lulu near to bin 2 rouni International sharjah uae</t>
  </si>
  <si>
    <t>Warehouse No - 7 ; Al Safeer group of companies Behind Sharjah city center ; sharjah ;Po Box 22320</t>
  </si>
  <si>
    <t>warehouse #5M3 ; Capitol Building Near Marina Exotic Home Umme Squeim Road Al Quoz Industrial Area 4 Dubai</t>
  </si>
  <si>
    <t>Swarocski Middle East FZE OPP to gate 4 Near R/A Jebel ali free zone ; Dubai UAE</t>
  </si>
  <si>
    <t>office 1707; tower X3 Cluster X Jumeirah Lakes Towers Dubai UAE</t>
  </si>
  <si>
    <t>Building LB16; Office Number 318; Jafza; Dubai; UAE</t>
  </si>
  <si>
    <t>427; Fortune; Jumeirah Village Circle Dubai JVC</t>
  </si>
  <si>
    <t>Al Bahjah Ware house; E311; SHK muhammad Bin al zayed road ; Sharjah Opp National Paints Muwilih Commercial</t>
  </si>
  <si>
    <t>Villa 29; street 25; Al rumaila Area Ajman</t>
  </si>
  <si>
    <t>PO Box 61064;510711/10712 Jebel Ali Free zone south Dubai UAE</t>
  </si>
  <si>
    <t>Senoures Trading</t>
  </si>
  <si>
    <t>Street Al Batien Bldg. Sawan; Deira Dubai Baniyas Square Morsheed Bazaar. Landmarks: Emirates NBD Main Branch; Behind Bank Melli Iran.</t>
  </si>
  <si>
    <t>Nikai Electronics</t>
  </si>
  <si>
    <t>Universal Holdings LLC</t>
  </si>
  <si>
    <t>203 ; IT plaza Dubai silicon Oasis</t>
  </si>
  <si>
    <t>Hawk Freight Logistics ; DAFZA</t>
  </si>
  <si>
    <t>Crystalp General Trading Al Hana Center (ground floor);Satwa Dubai</t>
  </si>
  <si>
    <t>Qasbah General Trading Company LLC</t>
  </si>
  <si>
    <t>103; Saleh Bin Lahej Building 365; Al Barsha 1. On lulu junction; Same building as Red Tomato Restaurant.</t>
  </si>
  <si>
    <t>Al Ghusais Industrial Area 5 Nearest Land Mark Tasjeel ; Dubai</t>
  </si>
  <si>
    <t>Warehouse No 11; Near Pink Line Interiors;Opp Zulekha Hospital; Al Quasis Dubai ; UAE</t>
  </si>
  <si>
    <t>Office 205 spectrum Building oud Metha ; Dubai UAE</t>
  </si>
  <si>
    <t>Al Thouraya building;Sheikh zayed road;dubai</t>
  </si>
  <si>
    <t>Al Ghaith Building; Flat 212 Opposite Al Hana center Al Dhiyafah Street; Satwa Dubai</t>
  </si>
  <si>
    <t>105; Sanabel Building Baniyas sq; Deira Dubai</t>
  </si>
  <si>
    <t>Sharaf Building ; Khalid Bin Al Waleed Raod; Karama ; Dubai UAE</t>
  </si>
  <si>
    <t>Warehouse Number 9; DIP 2 Behind Drake and Scull</t>
  </si>
  <si>
    <t>UAE;Dubai DIP; WA-3; Unit ; PO Box 120623</t>
  </si>
  <si>
    <t>GA ; IDC; Sector- 16 Gurgaon; india - 122001</t>
  </si>
  <si>
    <t>Arenco Warehouse 4 and 5 ; DIP 1 Dubai</t>
  </si>
  <si>
    <t>Al Morshed Building 4 Office No. 303 Murshid Bazar; Deira; Dubai</t>
  </si>
  <si>
    <t>Shop No. 6037 Wafi Mall; Khan Murjan; Dubai (Health Care City)</t>
  </si>
  <si>
    <t>Behind k1A Hyundai service centre near OASIS residence; Behind Mashreq bank St 2; halab Street; Damascus road Dubai</t>
  </si>
  <si>
    <t>918; B Block; Business village; Clock tower deira Dubai</t>
  </si>
  <si>
    <t>B19 Al Mulla Warehouse;AL quasis; Dubai UAE</t>
  </si>
  <si>
    <t>Echolac showroom; beside lulu hypermarket; Opp zabeel park; Gate no. 3; Karama; Dubai</t>
  </si>
  <si>
    <t>Shop no.13; Plot no 118-332; Naif south; Behind UAE Exchange Next to Naïf Police station Deira; Dubai</t>
  </si>
  <si>
    <t>Building 102; Flat G09; THE GARDENS; Jebel Ali; UAE (Behind Ibn Batuta Mall)</t>
  </si>
  <si>
    <t>Dubai Festival City; Dubai</t>
  </si>
  <si>
    <t>RUBINA CAROL DSOUZA- LULU BLDG; FLAT 104; VASANTHA BHAVAN RESTAURANT BELOW; OPP PRIME MEDICAL CENTRE- AL NADHA</t>
  </si>
  <si>
    <t>ND-level 2; unit SF 013-1 Dubai Mall PO Box 298 Dubai UAE</t>
  </si>
  <si>
    <t>Jumeriah Viallage Triangle;District 2F Villa 13; Dubai</t>
  </si>
  <si>
    <t>Office # 114; Gargash Center ; Deira; Dubai ; UAE</t>
  </si>
  <si>
    <t>Cappadocia Duilding ; Apt:316 Jumerirah Village Circle (JVC)</t>
  </si>
  <si>
    <t>207-208;Indigo Tower; Cluster D; Jumeirah Lake Towers Dubai</t>
  </si>
  <si>
    <t>406 Concord Apartment ; Bh Majestic HotelMankhool; bur Dubai</t>
  </si>
  <si>
    <t>Warehouse no 2 Plot 369-0817;22nd St Al quoz Industrial 4; Dubai UAE</t>
  </si>
  <si>
    <t>Yateem Mall Po Box No 929; Abu Dhabi</t>
  </si>
  <si>
    <t>Abraj shopping centre ; Shop#12-13 ; Deira ; Dubai</t>
  </si>
  <si>
    <t>PO box 28888; Gargash Centre Shop No 18; Dubai UAE</t>
  </si>
  <si>
    <t>P.O. Box 31170; Unit No E09; Dubai; UAE.</t>
  </si>
  <si>
    <t>Address: Mall of the emirates/Mirdiff city centre/dubai mall;P.O. Box 98721; Dubai; UAE</t>
  </si>
  <si>
    <t>701F; IBN Batuta Gate building -- Gardens Dubai UAE</t>
  </si>
  <si>
    <t>WAREHOUSE #407 SHED NO. 1; DUBAI MARITIME CITY ; DUBAI</t>
  </si>
  <si>
    <t>Al Barsha 2; Street # 24</t>
  </si>
  <si>
    <t>Camp SMA Pvt LTD; C/O Shahi Exports PVT LTD IP-1; Sector 28; Faridabad Haryana-121008 India</t>
  </si>
  <si>
    <t>P.O.BOX 61237; Dubai UAE</t>
  </si>
  <si>
    <t>AL ZAROONI BUILDING GRPUND FLOOR; KHALID BIN WALEED STREET; OPP PALM BEACH HOTEL; BUR DUBAI</t>
  </si>
  <si>
    <t>Al Musallah Road ;Shop No1; Haji Lari Building; Deira;Dubai UAE</t>
  </si>
  <si>
    <t>Office 04 ; Sharjah Islamic Building Al Wasit Road ; Al Khezamia; PO BOX 78667 Sharjah ; United Arab Emirates Landmark Sharjah Islamic Building</t>
  </si>
  <si>
    <t>ABBA STORES HADDI WAREHOUSE COMPOUND BEHIND AL QVOZ MALL; al qvoz</t>
  </si>
  <si>
    <t>Mata General Trading Co. LLC; 301 Badri Building; Al Buteen Deira Dubai</t>
  </si>
  <si>
    <t>Lamcy Plaza; Karama Dubai</t>
  </si>
  <si>
    <t>Al ain center ; Burdubai ; Shop#G8A</t>
  </si>
  <si>
    <t>The H Hotel Office Tower; 33rd floor ; Sheikh Zayed Road; PO Box 73451; Dubai; UAE</t>
  </si>
  <si>
    <t>Sensaire Services; PO BOX 8991;DUBAI UAE</t>
  </si>
  <si>
    <t>107;Al Ain Centre/Computer Plaza. Next To Al Fahidi Metro Statsion Bur Dubai UAE</t>
  </si>
  <si>
    <t>UAE enterprises Building Flat 202; Airport Road;AL Garhoud Dubai UAE</t>
  </si>
  <si>
    <t>RAS AL Khor;Behind Dubai Duty Free Warehouse; Next To Emarat Petrol Pump Warehouse no. 12 Dubai</t>
  </si>
  <si>
    <t>R.K.M building; 204; Abu Hail; Deira; Dubai</t>
  </si>
  <si>
    <t>Lime Concepts Ware house ; Warehouse#M3 Plot #369-209 ; Al Quoz industrial Area; Al quoz opp Positive Paw; Dubai ; UAE</t>
  </si>
  <si>
    <t>Al Mina Area;Street13 ;Store No. 158; PO Box;Abu Dhabi; UAE</t>
  </si>
  <si>
    <t>POBOX 56364;Dubai</t>
  </si>
  <si>
    <t>Deira City Centre; M.H.Alshaya co.L.L.C</t>
  </si>
  <si>
    <t>B-209;2nd Floor; Okhla Phase -1 New Delhi 110020</t>
  </si>
  <si>
    <t>PO.BOX.2123; Dubai; UAE</t>
  </si>
  <si>
    <t>No 7th Al Mulla warehouse Complex; Ras Al Khor industrial Area; Dubai; UAE.</t>
  </si>
  <si>
    <t>Warehouse Located in Aweer Ras Ac Khor Industrial Area 2 ; Dubai Opp; Birsd Farm</t>
  </si>
  <si>
    <t>Blue House Trading Industrial Area-13;University Raod;Near AL Shola Private School;Sharjah;UAE</t>
  </si>
  <si>
    <t>Afcomp;pob 7880 Af festival Tower ; 7th Floor Dubai Festival City Dubai</t>
  </si>
  <si>
    <t>Firij Al Murar; Dubai UAE</t>
  </si>
  <si>
    <t>Jebel Ali The Gardens; ROSA STREET; Building 7; apartment 15</t>
  </si>
  <si>
    <t>Kobian Distribution LLC po Box 28254 Near to Hotel Arab uduppi Khalid Bin Waleed Road;BUR Dubai</t>
  </si>
  <si>
    <t>Office 2806; BB1; Mazaya Business Avenue; JLT; Dubai; UAE</t>
  </si>
  <si>
    <t>Shed 9 &amp; 10; 8th Street Opp Sharawl Indrustrial Area 2 Al khor</t>
  </si>
  <si>
    <t>S05 Building R382 Port Saeed DEIRA- PO BOX 182150; Dubai UAE</t>
  </si>
  <si>
    <t>ware house No 55;RAS AL Khor Indrustrial Area - Dubai.</t>
  </si>
  <si>
    <t>True Value Computers Behind sere Karachi Restaurant ; Mina Bazar Bur Dubai UAE</t>
  </si>
  <si>
    <t>New Phones Land; Cluster B; Lake View by Damac; Jumeirah Lakes Tower</t>
  </si>
  <si>
    <t>Al Fahidi Street ; opp Astoria Hotel ; Burdubai</t>
  </si>
  <si>
    <t>Post Box No 150745;Old sharia cout building musalla area; sharjah</t>
  </si>
  <si>
    <t>Shop No 21-22;Al-Nahdah strt;Opp Hotel Admiral Plaza;Bur Dubai-20063</t>
  </si>
  <si>
    <t>M13/Dubai International real estate building; street 9A;Sheikh zayed road; PO box 393006.40073 Dubai UAE</t>
  </si>
  <si>
    <t>Pormedia Warehouse; 2nd floor Door ;Mezzanine Floor;Opp Hitachi Store; Al quoz-3;Dubai;UAE</t>
  </si>
  <si>
    <t>Shop 1-2;Opp Ferrari Hotel;Deira Dubai</t>
  </si>
  <si>
    <t>Quality Gulf Co LLC Khalid Bin Waleed Street;Bur Dubai;UAE</t>
  </si>
  <si>
    <t>Jovisa Trading LLC ;Street no 20; Old Steel Mill Road ; Umm Ramool ; Rashidiya . ;Dubai ;UAE .</t>
  </si>
  <si>
    <t>Al Arouba Street;Behind Pizza Hut;Opposite side of KMT Supermarket;Nr. Al Jubail Bus Station;Sharjah</t>
  </si>
  <si>
    <t>Dubai festival centre; shop no. AT35; opp hyper panda</t>
  </si>
  <si>
    <t>Shop #13A; Computer Plaza; Dubai; UAE</t>
  </si>
  <si>
    <t>PO Box7916;Dubai -UAE</t>
  </si>
  <si>
    <t>Office 107;Al Makatab;SZR;Al quoz</t>
  </si>
  <si>
    <t>Office No 1 Ground Floor Khory Bld;Al- Rafa Bur Dubai United Arab Emirates.</t>
  </si>
  <si>
    <t>near Burjuman Centre; Dubai</t>
  </si>
  <si>
    <t>SKYCOURTS; TOWER A; A1109; DUBI-AL AIN ROAD; DUBAI; UAE</t>
  </si>
  <si>
    <t>shop NO: S03 Building H07 China cluster; International city dubai</t>
  </si>
  <si>
    <t>P.O.BOX:1413; Al Musalla Road Deira; Dubai; U.A.E</t>
  </si>
  <si>
    <t>AL WIFAQ GENRAL TRADING LLC OFFICE #202; Al Gaz Building Nasser Square; DEIRA; UAE</t>
  </si>
  <si>
    <t>Rocks &amp; Ice; Office 1005;level 10 rrism Tower; Business Bay Dubai</t>
  </si>
  <si>
    <t>Villa3/47a Um Al Sheif Street; Umm Suqeim</t>
  </si>
  <si>
    <t>MID Asia TRd; OFF #302;3rd floor Iran Insurance Buinding near Union Metro . Al Maktoum RD. Deira Dubai UAE</t>
  </si>
  <si>
    <t>97142242449; 971506520701; 971551958827</t>
  </si>
  <si>
    <t>PO Box 376920;Office No 941C;9th Floor;Office Tower;Al Ghurair;Center Dubai;UAE</t>
  </si>
  <si>
    <t>Italian Silver 925Counter number -6 main entrance;Al- Attr shopping mall;Karama;Dubai PO Box 122745</t>
  </si>
  <si>
    <t>Al Qouz Industrial Area 2 ; 365 11B St.Shed No 5 Bur Dubai</t>
  </si>
  <si>
    <t>Hamsha Building; Khalid Bin Waleed Road; Ansar Gallery 'o' block; 301</t>
  </si>
  <si>
    <t>Transmed Warehouse;Close to Police Post DIP</t>
  </si>
  <si>
    <t>C9; Dubai Airport Free Zone; PO Box: 54278; Dubai; UAE</t>
  </si>
  <si>
    <t>PO Box 51305 ;Dubai UAE; AL fardan Building (opp. choithrams) meena bazar dubai</t>
  </si>
  <si>
    <t>Jebel Ali Industrial Area;Dubai Central Service centre;Interchange#8;Behind Falcon Chemicals;Near Barakat Quality plus</t>
  </si>
  <si>
    <t>Axiom Telecom;Umm Ramool; Rashidya Near Dubai Duty Free Warehouse</t>
  </si>
  <si>
    <t>Thomsun Trading Est.; P.O.Box:6419; Deira; Dubai.</t>
  </si>
  <si>
    <t>Jebel Ali Free Zone; Warehouse VB07;RA08</t>
  </si>
  <si>
    <t>Sporter.com Warehouse Near Civil Defense Roundabout;DIP-2</t>
  </si>
  <si>
    <t>Ithraa Plaza BLDG; Office 605;Al Garhound Dubai</t>
  </si>
  <si>
    <t>Joint Ven Trading Co. L.L.C SONASHI Ras Al Khor Industrial Area # 2; Gate No.48;Al-Aweer;Dubai;U.A.E.</t>
  </si>
  <si>
    <t>Bohri Masjid road Deira; Dubai; U.A.E</t>
  </si>
  <si>
    <t>Shop#10 inside WanLee Daa Plaza Opp; Flora Al souq Hotel;Sabkha;deira; Dubai</t>
  </si>
  <si>
    <t>Deira Gold Souq; Opp Gold Center;Deira</t>
  </si>
  <si>
    <t>Office#4; Kanoo Group Warehouse; Near Max Garage; Al Barsha</t>
  </si>
  <si>
    <t>304;Al;Arif Business Bay Bur Dubai</t>
  </si>
  <si>
    <t>Office#M3; Al Naboodah building; Al Qusais2</t>
  </si>
  <si>
    <t>shop#9;Naij Comp Plaza; Naij Road;Deira;Dubai</t>
  </si>
  <si>
    <t>Abraj Center; 10; 34a Street; G Floor; Shop 1; Naif; Dubai</t>
  </si>
  <si>
    <t>UNIT G4;PALM STRIP MALL ;JUMEIRAH BEACH ROAD ;JUMEIRAH 1 ; DUBAI ; UAE PO BOX 72725</t>
  </si>
  <si>
    <t>GOLD AND DIAMOND PARK ; BUILDING 5 ; SKH ZAYED SHOP 002 ; DUBAI ; UAE PO BOX#9344</t>
  </si>
  <si>
    <t>6-B COMMUNITY NO. 368; #70 ; AL QUOZ INDUSTRIAL AREA ; DUBAI; UAE</t>
  </si>
  <si>
    <t>SHEIKH RASHID BUILDING ; BEHIND TWIN TOWERS ; BANIYAS ROAD ; DEIRA ; DUBAI</t>
  </si>
  <si>
    <t>Al-Quoz Warehouse. Warehouse No. 8; Aisha ASA Buhamad Bldg. Al Quoz 3 Plot (358-548) SZR</t>
  </si>
  <si>
    <t>SHOP NO. 15 ;GROUND FLOOR ; AL JOUD CENTER ;SHEIKH ZAYED ROAD ; DUBAI ;UAE</t>
  </si>
  <si>
    <t>AL MIZAN INTERNATIONAL LLC ; KHALID BIN AL ULALED ROAD ; OPP. ASCOT HOTEL ; NEAR LIFE PHARMACY ; BUR DUBAI ;DUBAI ; UAE PO-62137</t>
  </si>
  <si>
    <t>G06 ; AL AIN CENTRE (COMPUTER PLAZA ) ;RAMADA R/A ;BUR DUBAI ; DUBAI ;UAE PO BOX #43675</t>
  </si>
  <si>
    <t>BEHIND TIMES SQUARE;AL QUOZ ;CAPITAL REAL ESTATE COMPOUND M-08</t>
  </si>
  <si>
    <t>DAR AL RAFA BUILDING ; 2ND FLOOR ; 202 ;DUBAI ;UAE</t>
  </si>
  <si>
    <t>21 SECOND FLOOR ; BAGLAF BUILDING ; AL AROOBA ST. ;SHARJAH ;UAE;PO BOX - 6300</t>
  </si>
  <si>
    <t>202A ;AL NICHEEL BUILDING ;OPP KARAMA POST OFFICE ; AL KARAMA ;DUBAI ; UAE; PO BOX#127228</t>
  </si>
  <si>
    <t>OPP. HYATT REGENCY HOTEL; AL KHALEEJ ROAD ;DIERA ; DUBAI ; UAE</t>
  </si>
  <si>
    <t>AL QUOZ INDUSTRIAL NO. 4;UMM SUQUEIM ROAD ; NEAR MARINA HOME ;AL QUOZ ;PO BOX 60946 ; DUBAI ; UAE</t>
  </si>
  <si>
    <t>YUSUF BAKKER ROAD ; NEAR DEIRA PARK HOTEL;DEIRA ; DUBAI ; UAE</t>
  </si>
  <si>
    <t>2508 GROSVENOR COMMERCIAL TOWERS ; SHEIKH ZAYED ROAD ; DUBAI ; UAE ; PO BOX #183568</t>
  </si>
  <si>
    <t>WAREHOUSE #10 ;PLOT NO. 364-453 ; AL QOUZ ; DUBAI ; UAE</t>
  </si>
  <si>
    <t>NEAR UNIMIX FACTORY ; OPP. EUROPE CAR GARAGE ; STREET NO. 4 ;AL-QUOZ;DUBAI</t>
  </si>
  <si>
    <t>GAMEPLAY ENTERTAINMAENT LLC ; UNIT A11; CAPITOL WAREHOUSES ; UMM SUQEIM ; DUBAI .UAE</t>
  </si>
  <si>
    <t>ROYAL FOCUS TRADING LLC ; AL AIN CENTRE ; COMPUTER PLAZA ;NEAR AL FAHIDI METRO STATION ; BUR DUBAI ; DUBAI ; UAE</t>
  </si>
  <si>
    <t>FANTSTIC GAMES ELECTRONICS L.L.C ; AL FAHIDI STREET;BEHIND OF NBD BANK; BUR DUBAI;U.A.E.</t>
  </si>
  <si>
    <t>SHOPPERS PLAZA PERFUMES TRADING ;AL TAWAWISH BUILDING ; BUR DUBAI ; UAE</t>
  </si>
  <si>
    <t>1502 ; DUBAI PEARL BUILDING ; NASSER SQUARE ; DIERRA ; DUBAI</t>
  </si>
  <si>
    <t>ALPHATECH ; LIU J02 ; DUBAI AIRPORT FREE ZONE ; DUBAI ; UAE</t>
  </si>
  <si>
    <t>PROTECHNOLOGY COMPANY LLC ; WAREHOUSE NO. 7 ; PEPSI SIGNAL ; AL QOUS 2ND INTERCHANGE ; NEAR BMW SERVICE CENTER;BEHIND AL OASIS MALL ; NEXT TO AL MARAI MILK ; DUBAI ; UAE</t>
  </si>
  <si>
    <t>STRONTIUM TECHNOLOGY LLC ;1703 PRISM TOWER BUSINESS BAY ; BURJ KHALIFA AREA ; DUBAI . UAE</t>
  </si>
  <si>
    <t>ACME PEAK GENERAL TRADING ; WAREHOUSE #18 ; STREET #25 ; AL QOUZ 4 ; BEHIND AL AHLI DRIVING INSTITUTE ; DUBAI . UAE</t>
  </si>
  <si>
    <t>CELLTEL MIDDLE EAST LLC ; AL MUSALLA ROAD ; DEIRA ; DUBAI ;UAE</t>
  </si>
  <si>
    <t>MUSEUM ZONE ; 8 6a STREET ; TAJ DAWLAT BUILDING ;BUR DUBAI ;DUBAI UAE</t>
  </si>
  <si>
    <t>VARIETY COMPUTERS LLC ; MIZA AL AIN CENTRE ; BUR DUBAI ; DUBAI ; UAE</t>
  </si>
  <si>
    <t>SHIFT ELECTRONICS LLC ; BLOCK 32 ; STREET 8B ; ALQUOZ 1; DUBAI;UAE</t>
  </si>
  <si>
    <t>VAHEDNA TRADING COMPANY LLC ;JABEL ALI FREE ZONE (SOUTH) ; DUBAI ; UAE P.O. BOX 262368</t>
  </si>
  <si>
    <t>HYPERPHONE LLC ;WAREHOUSE # 12; AL QUSAIS INDUSTRIAL AREA 3 NEAR KHAYYAM BAKERY. DUBAI; UAE;POST BOX: 57856</t>
  </si>
  <si>
    <t>ROSELINE TRADING COMPANY LLC; SUITE 301 ; AL ZAROONI BUILDING ; AL RIGGA STREET (OPP . ADCB) ; DEIRA ; DUBAI ; UAE</t>
  </si>
  <si>
    <t>LIGHT SPEED GENERAL TRADING ;BEHIND ALGHALADARI DRIVING SCHOOL ;NEAR SADIR MOSQUE; AL QUSAIS 4; DUBAI</t>
  </si>
  <si>
    <t>AL JABAR OPTICAL CENTER ;AL KHABAISI AREA ; AL MURRAQQABAT ;DEIRA ;DUBAI ; UAE</t>
  </si>
  <si>
    <t>FLICKON TECHNOLOGIES LLC ; F-102 ; AL ZAROONI BLDG ; AYAL NASSER ; DEIRA; DUBAI</t>
  </si>
  <si>
    <t>AL SHADAWI TRADING ;SHOP NO: M28A ; OFFICE NO 110A ; COMPUTER PLAZA BUILDING; DUBAI UAE ; PO BOX:62757</t>
  </si>
  <si>
    <t>CELLONE MOBILE LLC ; SHOP NO 6 ; OPP GARGASH CENTRE; ;DUBAI; UAE</t>
  </si>
  <si>
    <t>SMART INFOCOMM FZ LLC ; TOPMOST WAREHOUSE ; OPP. DAYAL STEELS ;RAS-AL-KHOR INDUSTRIAL AREA ; AWEER ; DUBAI ; UAE</t>
  </si>
  <si>
    <t>AL ERSHAD COMPUTER TRADING LLC ; M27 ; AL AIN CENTRE ; DUBAI ; UAE PO BOX - 42782</t>
  </si>
  <si>
    <t>COMPUTER CARE LLC 204; AL AIN CENTRE; MANKHOOL ROAD; BUR DUBAI; DUBAI.</t>
  </si>
  <si>
    <t>TRIZONE ELECTRONICS TRADING LLC ; M:03 AYAL NASSER STREET ; NEAR HAWAR HOTEL ;DEIRA; DUBAI ; UAE</t>
  </si>
  <si>
    <t>SUPERSPEED COMPUTERS LLC ;AL AIN CENTRE COMPUTER PLAZA; BUR DUBAI; DUBAI ; UAE</t>
  </si>
  <si>
    <t>KGF GENERAL TRADING LLC ; OFFICE NO.- 1601 ;AL OWAIS BLDG ;BANIYAS ROAD; DEIRA ; DUBAI ;UAE</t>
  </si>
  <si>
    <t>UNICOM INT GEN TRADING LLC ; 407;4TH FLOOR;BANIYAS SQ ;GARGASH CENTER;DEIRA ;DUBAI; UAE</t>
  </si>
  <si>
    <t>AL RAGHY ELECTRONICS LLC OFFICE-205 ; GARGASH CENTER NEAR AL SABKHABUSSTATIOOV; DEIRA ;DUBAI ; UAE</t>
  </si>
  <si>
    <t>4G COM GENERAL TRADING LLC ; OFC 501; GARGASA CENTRE ; DEIRA; DUBAI; UAE</t>
  </si>
  <si>
    <t>SMART MOBILE SOLUTIONS LLC ;116/27;AL AWQAF BUILDING OPP. KARACHI DARBAR RESTURANT;AL MUSALLA ROAD; NAIF; DEIRA; DUBAI ; UAE</t>
  </si>
  <si>
    <t>BAIT AL ARAB LLC ;SHOP NO 7; AL NASR PLAZA BLDG; BESIDES OUD METHA METRO STATION; OUD METHA ROAD; DUBAI; UAE</t>
  </si>
  <si>
    <t>Silver Moter Est</t>
  </si>
  <si>
    <t>SV00162</t>
  </si>
  <si>
    <t>Riyadh Batha Rajhee Commercial center- showroom 82</t>
  </si>
  <si>
    <t>Al Shajwa Establishment for Trading.</t>
  </si>
  <si>
    <t>SV00161</t>
  </si>
  <si>
    <t>Yatooq Trading Est</t>
  </si>
  <si>
    <t>SV00160</t>
  </si>
  <si>
    <t>Yatooq Trading Est -3390 ibn al jawzi-al urija al wusta unit 1 al riyadh 12974</t>
  </si>
  <si>
    <t>30+15</t>
  </si>
  <si>
    <t>Hedayat Hussain Al Ja'aber Est.</t>
  </si>
  <si>
    <t>SV00159</t>
  </si>
  <si>
    <t>Al Marqab; General Bat’ha Street; Riyadh</t>
  </si>
  <si>
    <t>United Star Agencies</t>
  </si>
  <si>
    <t>SV00156</t>
  </si>
  <si>
    <t>Gf 30; Al Khalidia Tower; Khazzan Street; Riyadh 11515 P.O. Box 58908.</t>
  </si>
  <si>
    <t>SV00155</t>
  </si>
  <si>
    <t>2nd Floor Building No 63; Behind Remal Centre Dabbab Street ; Dist Murraba; Riyadh</t>
  </si>
  <si>
    <t>Saudi Emirates Fraternity Co.</t>
  </si>
  <si>
    <t>SV00154</t>
  </si>
  <si>
    <t>Exit18; isthanbul street ;sulai</t>
  </si>
  <si>
    <t>Xtouch Electronics Trading LLC</t>
  </si>
  <si>
    <t>SV00153</t>
  </si>
  <si>
    <t>InnJoo &amp; Xtouch Authorised Serivice Center ; near To Othaim Market ; Tamir Street ; Al Muruj District; Riyadh KSA</t>
  </si>
  <si>
    <t>5+2</t>
  </si>
  <si>
    <t>SV00152</t>
  </si>
  <si>
    <t>Shop # 108; BA-Mohar Blgd ; Near Municipal Bldg; Souq Junubia ; Balad; Jeddah</t>
  </si>
  <si>
    <t>SV00151</t>
  </si>
  <si>
    <t>Al- hair Raod ; Namoozjiah; Warehouse No 75 Riyadh New Haraj</t>
  </si>
  <si>
    <t>SV00150</t>
  </si>
  <si>
    <t>Masr Al - Kannana for Trading EST</t>
  </si>
  <si>
    <t>SV00149</t>
  </si>
  <si>
    <t>King Khalid Street - Al Hadda - Almezahmia</t>
  </si>
  <si>
    <t>Areej Warehouse (AR-7); Al Hier Road</t>
  </si>
  <si>
    <t>Al Hamli Trading LLC (Eurostar Group) Eskan #01; Housin Bridge No 1 ; Old Al Kharj Road; Soth Riyadh Po Box :20585: riyadh 11465:KSA</t>
  </si>
  <si>
    <t>Exit 18; Istanbul street ; Aramex Logistics services Near from Dallah driving school Riyadh al sulay</t>
  </si>
  <si>
    <t>Mursalat; Hisham bin Abdul Malik Street; Riyadh KSA</t>
  </si>
  <si>
    <t>Al-Rajhi Trading Group; Ground Floor; Batha Riyadh</t>
  </si>
  <si>
    <t>10th Street Adama; Al - Dammam; Kingdom of saudi arabia</t>
  </si>
  <si>
    <t>Al Namas Street; behind Al Haram Riyadh</t>
  </si>
  <si>
    <t>Al Deerah Area Maikeliya Center Tower # 4;3rd floor office number 305. Riyadh</t>
  </si>
  <si>
    <t>Exit18; Suli Nera to Dala Driving School ; Riyadh KSA</t>
  </si>
  <si>
    <t>AL SULAY NEXT TO THE DALLAH DRIVING SCHOOL; LUQMAN ST.SULAY AREA Riyadh</t>
  </si>
  <si>
    <t>OLAYA COMPUTER MARKET; behind holiday inn; p.box- 59085; Riyadh – 11525; olaya Riyadh</t>
  </si>
  <si>
    <t>Al Muraba’a neighborhood; Al Washem Street Riyadh</t>
  </si>
  <si>
    <t>Ubhar Street 3826; Riyadh Province 12478</t>
  </si>
  <si>
    <t>Al Naseem District ; Muqbel Bin Alessa Street ; Building # 4169 Near Safeena Petrol Station</t>
  </si>
  <si>
    <t>Ring Road Exit 9 Garnada Mall Riyadh; Saudi Arab</t>
  </si>
  <si>
    <t>Student Housing; King Saud University; Building 26; Room 410</t>
  </si>
  <si>
    <t>Electron Centre Al Batha Riyadh; Saudi Arab</t>
  </si>
  <si>
    <t>Al Rajhi Building Ground Floor Al Batha Riyadh; Saudi Arab</t>
  </si>
  <si>
    <t>Al Khazan Street Al Batha Riyadh; Saudi Arab</t>
  </si>
  <si>
    <t>Al Rabia Al-Harthi St. AlRawabi; Riyadh</t>
  </si>
  <si>
    <t>Al Riyadh; Al Falah; exit 7</t>
  </si>
  <si>
    <t>Al Rajhi Building Shop #88 Batha Riyadh; Saudi Arab</t>
  </si>
  <si>
    <t>Hayat Mall King Abdul Aziz Road Riyadh; Saudi Arab</t>
  </si>
  <si>
    <t>Old Kharj Rd; Opposite Baladiya house; Riyadh</t>
  </si>
  <si>
    <t>Khazan Street Riyadh; Saudi Arabia</t>
  </si>
  <si>
    <t>Al-Muruj Al-Atheqeyah street building 3 ; office 3 Riyadh</t>
  </si>
  <si>
    <t>Riyadh- Ministries area; al Moazen St.</t>
  </si>
  <si>
    <t>Olaya; Computer Complex ; Riyadh</t>
  </si>
  <si>
    <t>Al Mansak; Arbaeen street; Abha; KSA</t>
  </si>
  <si>
    <t>Moosa Abdul Rahman Building;1st Floor; Flat 103;Ghusais (Behind Bustan Centre);Dubai;UAE</t>
  </si>
  <si>
    <t>Al Malaz; Al Mala’ab; Riyadha; KSA</t>
  </si>
  <si>
    <t>Granada mall; 1st floor Exit9 Riyadh KSA</t>
  </si>
  <si>
    <t>Riyadh 11521; Olaya - Akariyah; 1st floor - Showroom 139</t>
  </si>
  <si>
    <t>Batha Riyadh Center; 2nd Floor; Batha RIyadh</t>
  </si>
  <si>
    <t>Riyadh; Al Deera; Al Sweleem street</t>
  </si>
  <si>
    <t>1st floor ; Al rowad Center; bab Sharif; downtown Balad ;Jeddah ; Store No b/2 &amp; A.15 Next to lift 2 nesto parking building; souq al marqab; batha riyadh</t>
  </si>
  <si>
    <t>HELOISA SHOWROOM AKARIA OLAYA- MUSA BIN NUSAIR ST; RIYADH</t>
  </si>
  <si>
    <t>Al Aqeq; Abraj Street; Riyadh</t>
  </si>
  <si>
    <t>Riydah; Al Mueqelya No. 4</t>
  </si>
  <si>
    <t>Al-Salehia Complex; King Fahad Road Ground Floor</t>
  </si>
  <si>
    <t>BATHA; ALRAJHI BUILDING 2ND FLOOR</t>
  </si>
  <si>
    <t>ELECTRON BUILDING; BATHA ;RIYADH</t>
  </si>
  <si>
    <t>Centria Mall; Prince Muhammad Ibn Abdulaziz Road; Al Olaya; Riyadh 12241</t>
  </si>
  <si>
    <t>Al sahaba street; Ishbiliyah District; king Abdullah road</t>
  </si>
  <si>
    <t>Riyadh; Thalatheen Al Olaya; Nibras Shop.</t>
  </si>
  <si>
    <t>Alharamin rd. front of Airbase Bridge; Ali Zaid Alquraishi warehouse.</t>
  </si>
  <si>
    <t>Riyadh Gallery Mall - Gate 7- Riyadh; KSA</t>
  </si>
  <si>
    <t>King Fahad Road; Al-Salhiya Computer Market</t>
  </si>
  <si>
    <t>King Fahad Road; Dabbab street opposite BMW Showroom</t>
  </si>
  <si>
    <t>Batha Street; Riyadh Center</t>
  </si>
  <si>
    <t>SABAYA COMPANY LLC ; RIYADH - AL-MUQELYA CENTER NO. 1 -GROUND FLOOR ; KINGDOM OD SAUDI ARABIA</t>
  </si>
  <si>
    <t>Sony commercial building; opp sports corner; batha riyadh</t>
  </si>
  <si>
    <t>SULEH EXIT NO.17 ;RIYADH ;KSA</t>
  </si>
  <si>
    <t>Derha Al Ataif st;</t>
  </si>
  <si>
    <t>OTIGA ; KING FAHAD ROAD ; AL QUDS MARKET- RIYADH KSA</t>
  </si>
  <si>
    <t>RIYADH ; BATHA RAJHI CENTER 1ST FLOOR</t>
  </si>
  <si>
    <t>2870 Al Yasmeen 310 st ;Al Riyadh</t>
  </si>
  <si>
    <t>RIYADH SHIFA ; MUTHANNA IBN HARITHA</t>
  </si>
  <si>
    <t>OFFICE#63 ELECTRON CENTER; RIYADJH-BATHA ; KINGDOM OF SAUDI ARABIA</t>
  </si>
  <si>
    <t>KILO 2 OLD MAKKAH ROAD; BESIDE RIYADH BANK ; KANDARA JEDDAH</t>
  </si>
  <si>
    <t>BATHA; RAJHI BUILDING No.1 Ground Floor</t>
  </si>
  <si>
    <t>Shop No. 260 2nd Floor Batha Street; Riyadh Center</t>
  </si>
  <si>
    <t>Al- Mueqelya mall no. 1 - Al- Mueqelya street; near to watches counter front of Al Ammari shop</t>
  </si>
  <si>
    <t>Ayal Naser Road; Naif Road; Deira;Dubai ; UAE PO BOX 40059</t>
  </si>
  <si>
    <t>Sharjah; Al Wehda St.; Gebca Building; C2; Al Khan</t>
  </si>
  <si>
    <t>Heloisa Watches</t>
  </si>
  <si>
    <t>V00480</t>
  </si>
  <si>
    <t>201-6 Accico Business Park; At the Top Business Center; Deira Dubai</t>
  </si>
  <si>
    <t>Vikki shop</t>
  </si>
  <si>
    <t>V00479</t>
  </si>
  <si>
    <t>Capital Quality General Trading Co.</t>
  </si>
  <si>
    <t>Deliver to Ware house</t>
  </si>
  <si>
    <t>Obai And Hill</t>
  </si>
  <si>
    <t>Mahmood Saleh Abbar Company</t>
  </si>
  <si>
    <t>Al Moraba’a – Al Dabab Street – Front of chamber of commerce Riyad</t>
  </si>
  <si>
    <t>Chinese Competitive Spirit Co.</t>
  </si>
  <si>
    <t>SV00163</t>
  </si>
  <si>
    <t>Sleek International General Trading LLC</t>
  </si>
  <si>
    <t>Madar Al Reyadah for information Technology Est.</t>
  </si>
  <si>
    <t>SV00164</t>
  </si>
  <si>
    <t>Al Sulai – Estanbol Street Riyadh</t>
  </si>
  <si>
    <t>Desert Chic Fze</t>
  </si>
  <si>
    <t>V00478</t>
  </si>
  <si>
    <t>Jumerah Village Triangle District 4B Villa 5 Dubai</t>
  </si>
  <si>
    <t>Al Kinara FZE</t>
  </si>
  <si>
    <t>V00481</t>
  </si>
  <si>
    <t>Optoline LLC</t>
  </si>
  <si>
    <t>V00477</t>
  </si>
  <si>
    <t>Al Mankhool Street Bur dubai Alfardan building 4th floor office 401</t>
  </si>
  <si>
    <t>Al Saif holding company</t>
  </si>
  <si>
    <t>Kanary Commercial Brokers</t>
  </si>
  <si>
    <t>Diamond Shadow</t>
  </si>
  <si>
    <t>SV00165</t>
  </si>
  <si>
    <t>Al Manfoha Al A'aam Street Riyadh. Saudi Arab</t>
  </si>
  <si>
    <t>V00487</t>
  </si>
  <si>
    <t>V00486</t>
  </si>
  <si>
    <t>Al Fehaidi Star Electronics</t>
  </si>
  <si>
    <t>V00484</t>
  </si>
  <si>
    <t>PO.BOX12643 Opp.Emirates NBD Al Fahidi Street Bur Dubai UAE</t>
  </si>
  <si>
    <t>Lavish Livings International FZE</t>
  </si>
  <si>
    <t>V00492</t>
  </si>
  <si>
    <t>Brandsday FZE</t>
  </si>
  <si>
    <t>V00495</t>
  </si>
  <si>
    <t>Al Sannat Est.TDG</t>
  </si>
  <si>
    <t>Al shifa warehouse alimam muslim St</t>
  </si>
  <si>
    <t>Afif Al Jazira Company For Trading LLC</t>
  </si>
  <si>
    <t>SAHRA TECH FOR TRADIND EST.</t>
  </si>
  <si>
    <t>SV00167</t>
  </si>
  <si>
    <t>SV00168</t>
  </si>
  <si>
    <t>Al Dammam Road</t>
  </si>
  <si>
    <t>Juffali Technical Equipments Co.</t>
  </si>
  <si>
    <t>SV00169</t>
  </si>
  <si>
    <t>DNA Trading LLC</t>
  </si>
  <si>
    <t>V00493</t>
  </si>
  <si>
    <t>Guru Tegh Bahadur General Trading LLC</t>
  </si>
  <si>
    <t>V00494</t>
  </si>
  <si>
    <t>Al Khaldi Trading</t>
  </si>
  <si>
    <t>SV00166</t>
  </si>
  <si>
    <t>Kamon International DMCC</t>
  </si>
  <si>
    <t>SPK International LLC</t>
  </si>
  <si>
    <t>V00499</t>
  </si>
  <si>
    <t>DIC - Dubai Industrial City</t>
  </si>
  <si>
    <t>CGI Limited S20204 South Zone JAFZA Dubai UAE</t>
  </si>
  <si>
    <t>SV00170</t>
  </si>
  <si>
    <t>Eurostart Communications LLC</t>
  </si>
  <si>
    <t>V00500</t>
  </si>
  <si>
    <t>ELECTRONICS - Home &amp; KitchenPlot No 598-359 Dubai Investment Park</t>
  </si>
  <si>
    <t>campaign</t>
  </si>
  <si>
    <t>V00502</t>
  </si>
  <si>
    <t>Wadi Internal</t>
  </si>
  <si>
    <t>CADENSWORTH UAE LLC</t>
  </si>
  <si>
    <t>V00503</t>
  </si>
  <si>
    <t>CADENSWORTH UAE LLC C/O Redington Middle Ease DMC Warehouse Dubai</t>
  </si>
  <si>
    <t>BEHIND RTA PARKING BUILDING; ZAROONI Bldg SHOP NO: 64/92; NAIF; DEIRA DUBAI PO Box 34672</t>
  </si>
  <si>
    <t>Russia Cluster; V03 Building ; Shop No 3 International City Dubai</t>
  </si>
  <si>
    <t>405; 4yh floor le solarium BLDG OPP IT plaza Dubai silicon Oasis / 7 B street Al quoz warehouse 3</t>
  </si>
  <si>
    <t>Shoowroom No 16; Behind Astoria Hotel Khalid Bin Waleed road</t>
  </si>
  <si>
    <t>Shop # HAG -05; Near Coffee Shop HA Zone ; Dragon Mart Dubai</t>
  </si>
  <si>
    <t>Show Room #1; Warehouse #2; opposite to BELHOUL building; beside DHL; Al Garhood; Dubai; UAE</t>
  </si>
  <si>
    <t>Al Shifa Dirab Road near Imam Muslim Opposite Nahdi Pharmacy. Al Shifa; Riyadh</t>
  </si>
  <si>
    <t>219 United Furniture Building opp Ansar Gallary; Karam Dubai</t>
  </si>
  <si>
    <t>19th floor; Capital Plustowers; seef district; marana Bahrain</t>
  </si>
  <si>
    <t>Managing Office; Dragon Mart; Exit 16; East Ring Road; Riyadh; KSA</t>
  </si>
  <si>
    <t>Ayal Nasir ; Al Zabbi Building Deira Dubai</t>
  </si>
  <si>
    <t>Corniche Rak Bank Tower; Floor 10; Abu Dhabi</t>
  </si>
  <si>
    <t>Warehouse G1-07; Gate-3 Ajman Freezone UAE</t>
  </si>
  <si>
    <t>Deira; Baniyas Corinche B Block ; Sheikha Latifa Building</t>
  </si>
  <si>
    <t>Office #15; Abi Bakr Siddique Road intersection with Anas Bin Malik Road; Al Yasmeen</t>
  </si>
  <si>
    <t>Al-Imam Saud Abdulaziz Street; Al-Maruj</t>
  </si>
  <si>
    <t>Malaz Omar Ibn Al Khattab street; beside ministry of finance &amp; near saudi post office PO box 86; Riyadh 11411</t>
  </si>
  <si>
    <t>Shop No 13; IT Centre Building Bud Dubai; Khaleed bin Waleed</t>
  </si>
  <si>
    <t>Shop no 13; IT Centre Building Dubai</t>
  </si>
  <si>
    <t>Appratment No 2210;27th Floor; Jumeirah Bay Tower/X2; JLT Street; Al Tahnyah Fifth</t>
  </si>
  <si>
    <t>Office No 706 Gagresh center PO Box 14858; Dubai UAE Nasser Square</t>
  </si>
  <si>
    <t>V00504</t>
  </si>
  <si>
    <t>Daiso</t>
  </si>
  <si>
    <t>V00505</t>
  </si>
  <si>
    <t>Lamcy Plaza oud mehta</t>
  </si>
  <si>
    <t>Run2</t>
  </si>
  <si>
    <t>Run3</t>
  </si>
  <si>
    <t>route3</t>
  </si>
  <si>
    <t>Next Flame General Trading  LLC</t>
  </si>
  <si>
    <t>Jazeera</t>
  </si>
  <si>
    <t>Tek World General Trading  LLC</t>
  </si>
  <si>
    <t>Pretty Little Things</t>
  </si>
  <si>
    <t>Emperesse Diamants FZCO</t>
  </si>
  <si>
    <t>Vsatmena  FZE</t>
  </si>
  <si>
    <t>EPIQ International Trading LLC</t>
  </si>
  <si>
    <t>V00555</t>
  </si>
  <si>
    <t>V00595</t>
  </si>
  <si>
    <t>route2</t>
  </si>
  <si>
    <t>Lifco Trading Co  LLC</t>
  </si>
  <si>
    <t>V00576</t>
  </si>
  <si>
    <t>V00509</t>
  </si>
  <si>
    <t>V00594</t>
  </si>
  <si>
    <t>V00534</t>
  </si>
  <si>
    <t>V00577</t>
  </si>
  <si>
    <t>V00671</t>
  </si>
  <si>
    <t>4+10</t>
  </si>
  <si>
    <t>V00533</t>
  </si>
  <si>
    <t>V00593</t>
  </si>
  <si>
    <t>V00573</t>
  </si>
  <si>
    <t>V00516</t>
  </si>
  <si>
    <t>V00645</t>
  </si>
  <si>
    <t>Haya By Humera  Mir</t>
  </si>
  <si>
    <t>Yousco Trading LLC</t>
  </si>
  <si>
    <t>Onesto Trading  LLC</t>
  </si>
  <si>
    <t>Blue Bay  FZC</t>
  </si>
  <si>
    <t>Blue Bay  FZC SOR</t>
  </si>
  <si>
    <t>V00643</t>
  </si>
  <si>
    <t>Ace (Al Futtaim Trading (Pvt) Ltd)</t>
  </si>
  <si>
    <t>Nomads Dubai</t>
  </si>
  <si>
    <t>1 Holdings  LLC</t>
  </si>
  <si>
    <t>Jumeirah park, District 1 Villa H17</t>
  </si>
  <si>
    <t>Mata General Trading Co. LLC (SOR)</t>
  </si>
  <si>
    <t>4+26</t>
  </si>
  <si>
    <t>11+4</t>
  </si>
  <si>
    <t>Unoo Trading Co LLC SOR</t>
  </si>
  <si>
    <t>V00640</t>
  </si>
  <si>
    <t>“P.O. Box: 242641, Office # 2501, silver Towers Al Abraj Street, Business Bay. Dubai-UAE</t>
  </si>
  <si>
    <t>6+4</t>
  </si>
  <si>
    <t>HEADLINKS GENERAL TRADING LLC (SOR)</t>
  </si>
  <si>
    <t>V00554</t>
  </si>
  <si>
    <t>SV00228</t>
  </si>
  <si>
    <t>Zimmo Trading Co. (Joy Care)</t>
  </si>
  <si>
    <t>Roboo Ma'an Est. SOR</t>
  </si>
  <si>
    <t>SV00208</t>
  </si>
  <si>
    <t>ALBAWARDI FOOD &amp; SUPPLIES SOR</t>
  </si>
  <si>
    <t>SV00205</t>
  </si>
  <si>
    <t>Al Qous Company SOR</t>
  </si>
  <si>
    <t>SV00252</t>
  </si>
  <si>
    <t>Al-Asasyah Basic (Electronics)</t>
  </si>
  <si>
    <t>RIYHANAT MAKKAH PERFUMES SOR</t>
  </si>
  <si>
    <t>SV00204</t>
  </si>
  <si>
    <t>V00521</t>
  </si>
  <si>
    <t>V00520</t>
  </si>
  <si>
    <t>V00548</t>
  </si>
  <si>
    <t>SV00172</t>
  </si>
  <si>
    <t>Mahmood Saleh Abbar Company (SOR)</t>
  </si>
  <si>
    <t>SV00214</t>
  </si>
  <si>
    <t>SV00186</t>
  </si>
  <si>
    <t>SV00232</t>
  </si>
  <si>
    <t>SAHRA TECH FOR TRADIND EST. SOR</t>
  </si>
  <si>
    <t>SV00242</t>
  </si>
  <si>
    <t>V00583</t>
  </si>
  <si>
    <t>Assr Al Jawal Trading</t>
  </si>
  <si>
    <t>Tecom , Damac Executive heights, office # 802</t>
  </si>
  <si>
    <t>Mysmar Accessories &amp; Watches</t>
  </si>
  <si>
    <t>V00515</t>
  </si>
  <si>
    <t>211,R Holding Building, Sheikh Khalifa Bin Zayed Road, Nuaemiya, Ajman</t>
  </si>
  <si>
    <t>Zain Information Technologies LLC</t>
  </si>
  <si>
    <t>Bur Dubai Al Rafa Street, Next to rafa police station</t>
  </si>
  <si>
    <t>4+17</t>
  </si>
  <si>
    <t>Diesel</t>
  </si>
  <si>
    <t>V00510</t>
  </si>
  <si>
    <t>Deira City Center</t>
  </si>
  <si>
    <t>AA RAJ Jewellers LLC</t>
  </si>
  <si>
    <t>V00513</t>
  </si>
  <si>
    <t>Shop No 25 Al Khaleej Center near Al Fahidi Metro Stations Bur Dubai PO Box 120683</t>
  </si>
  <si>
    <t>BareGrounds</t>
  </si>
  <si>
    <t>V00514</t>
  </si>
  <si>
    <t>Al Boom Street , Villa 124 , Jumeirah 3</t>
  </si>
  <si>
    <t>Riot Photography FLT</t>
  </si>
  <si>
    <t>V00546</t>
  </si>
  <si>
    <t>3506, Liwa Heights, Cluster W jumerah lake towers, Dubai</t>
  </si>
  <si>
    <t>Ahmed Abdullah Shaikh Al Harthy</t>
  </si>
  <si>
    <t>SV00175</t>
  </si>
  <si>
    <t>Al Rawdah Neighborhood – Abdul Rahman Al Nasser Street Riyadh</t>
  </si>
  <si>
    <t>SV00171</t>
  </si>
  <si>
    <t>V00511</t>
  </si>
  <si>
    <t>Abo Rakan</t>
  </si>
  <si>
    <t>SV00173</t>
  </si>
  <si>
    <t>Lotus Perfumes</t>
  </si>
  <si>
    <t>SV00174</t>
  </si>
  <si>
    <t>Al Deerah Suilam Riyadh. Saudi Arab</t>
  </si>
  <si>
    <t>Shas Co. For trading &amp; Maintainance</t>
  </si>
  <si>
    <t>SV00176</t>
  </si>
  <si>
    <t>Sulaimania Riyadh</t>
  </si>
  <si>
    <t>Al Muhtab Trading</t>
  </si>
  <si>
    <t>SV00177</t>
  </si>
  <si>
    <t>Al Batha Street Al Rajhi Building Riyadh. Saudi Arab</t>
  </si>
  <si>
    <t>FORMULA INTERNATIONAL TRADING CO LLC</t>
  </si>
  <si>
    <t>V00564</t>
  </si>
  <si>
    <t>Dragon Mart 2 – Shop FB-52 Formula for Electronics and Telecom Dubai International City</t>
  </si>
  <si>
    <t>Capridesigns/Le Dressing Room</t>
  </si>
  <si>
    <t>V00530</t>
  </si>
  <si>
    <t>Street 45A, Compound9, Villa 5, Mirdif, Dubai</t>
  </si>
  <si>
    <t>Areen East &amp; west LLC</t>
  </si>
  <si>
    <t>V00529</t>
  </si>
  <si>
    <t>Al Qusais Industrial Area 1, Dubai UAE</t>
  </si>
  <si>
    <t>Pens Corner Trading</t>
  </si>
  <si>
    <t>V00522</t>
  </si>
  <si>
    <t>Bur Dubai, Fahidi Street, Gulab building, King’s traders, Shop number #23 ,</t>
  </si>
  <si>
    <t>Metra Computers Group</t>
  </si>
  <si>
    <t>SV00179</t>
  </si>
  <si>
    <t>Alsolay, Haroun Alrashed Riyadh</t>
  </si>
  <si>
    <t>Fleur</t>
  </si>
  <si>
    <t>V00531</t>
  </si>
  <si>
    <t>Will Deliver at Oud mehta office</t>
  </si>
  <si>
    <t>MENA Kart Etrading LLC</t>
  </si>
  <si>
    <t>V00524</t>
  </si>
  <si>
    <t>PO Box 242672, Office Number 101/01, Al mankhool (BMI) Bulding Khalid Bin Waleed Bur Dubai</t>
  </si>
  <si>
    <t>10+2</t>
  </si>
  <si>
    <t>SV00185</t>
  </si>
  <si>
    <t>Tommy Fashion Sunglasses Trading LLC</t>
  </si>
  <si>
    <t>V00523</t>
  </si>
  <si>
    <t>ABC Contracting Umm Romoul, Road #5 Street 24A</t>
  </si>
  <si>
    <t>Perfect Proportions</t>
  </si>
  <si>
    <t>V00525</t>
  </si>
  <si>
    <t>office 301, Al sama building Al barsha 1, Dubai</t>
  </si>
  <si>
    <t>Al Fawanis Company</t>
  </si>
  <si>
    <t>SV00184</t>
  </si>
  <si>
    <t>Disney Kids, Barbie, Hello Kitty, Marvel, Lulu Caty</t>
  </si>
  <si>
    <t>Boschmann Electronics LLC</t>
  </si>
  <si>
    <t>V00536</t>
  </si>
  <si>
    <t>WH NoC-26, Dubai industrial City, Dubai</t>
  </si>
  <si>
    <t>Faten Hussain Othman Al – Hajar Est.</t>
  </si>
  <si>
    <t>SV00178</t>
  </si>
  <si>
    <t>Al Nahdah Neighborhood, Prince Bandar Bin Abdul Aziz Street, Mansoor Turki Building</t>
  </si>
  <si>
    <t>Aiduk trading Establisment</t>
  </si>
  <si>
    <t>SV00183</t>
  </si>
  <si>
    <t>P.O. Box 12815 Riyadh 6306, Kingdom of Saudi Arabia</t>
  </si>
  <si>
    <t>Three NIX International Genreral Trading LLC</t>
  </si>
  <si>
    <t>V00532</t>
  </si>
  <si>
    <t>PO Box- 762288 AL Khabisi building , 1st floor #104 Behind Hyundai showroom, Deira</t>
  </si>
  <si>
    <t>SV00181</t>
  </si>
  <si>
    <t>Exit 16, Sulai , Behind Al Marai Warehouse Riyadh- Saudia Arabia</t>
  </si>
  <si>
    <t>GEO GROW SHIPPING LLC</t>
  </si>
  <si>
    <t>V00549</t>
  </si>
  <si>
    <t>Villa No 34, Al Arouba Street, Jumerirah !. We can arrange the delivery at our waehouse</t>
  </si>
  <si>
    <t>Home Texliles FZC</t>
  </si>
  <si>
    <t>Al Qusais - 01 App to Al Zulekha Haspital, Contact # 97150259285 Mr Ravi</t>
  </si>
  <si>
    <t>True lucent international Gen Trading LLC</t>
  </si>
  <si>
    <t>V00547</t>
  </si>
  <si>
    <t>Office No 218 Platinum Link Business Centre The IRIDIUM , AL Barsha 1</t>
  </si>
  <si>
    <t>Baby Kish General Trading LCC</t>
  </si>
  <si>
    <t>$4 Business Center, Bank Street, PO :31906, Dubie UAE, Burjuman</t>
  </si>
  <si>
    <t>Future Rider Computers Trading LLC</t>
  </si>
  <si>
    <t>V00537</t>
  </si>
  <si>
    <t>Off. No 403, Atrium Canter BLDG, Khalid Bin Walid ST. butr dubai, Near Al Fahidi Metro Same BLDG Of Emirates bank</t>
  </si>
  <si>
    <t>Sands International</t>
  </si>
  <si>
    <t>V00535</t>
  </si>
  <si>
    <t>Aramex, Al qouz</t>
  </si>
  <si>
    <t>Hamad Shadad Establishment</t>
  </si>
  <si>
    <t>SV00203</t>
  </si>
  <si>
    <t>Khamra District , South Of jeddah</t>
  </si>
  <si>
    <t>Wysada General Trading Co LLC</t>
  </si>
  <si>
    <t>SV00188</t>
  </si>
  <si>
    <t>Aziza-old Kharj Road</t>
  </si>
  <si>
    <t>10+4</t>
  </si>
  <si>
    <t>V00541</t>
  </si>
  <si>
    <t>Dubai Investment park-2 Dubai</t>
  </si>
  <si>
    <t>Luxury Box Trading Est.</t>
  </si>
  <si>
    <t>SV00187</t>
  </si>
  <si>
    <t>Malaz Abdulla Al Hamdani St. front of Al Harbi Market Riyadh</t>
  </si>
  <si>
    <t>Leopard General Trading LLC</t>
  </si>
  <si>
    <t>V00542</t>
  </si>
  <si>
    <t>Al qouz 3 near to caldari driving school center dubai</t>
  </si>
  <si>
    <t>Invention Source</t>
  </si>
  <si>
    <t>SV00202</t>
  </si>
  <si>
    <t>Alrasafa St, Alhamra District 20 Riyadh, Saudi Arabia</t>
  </si>
  <si>
    <t>Atiq &amp; Liusie General Trading LLC</t>
  </si>
  <si>
    <t>V00539</t>
  </si>
  <si>
    <t>Atiq Liusie Gentrading LLC, Warehouse 55, Street 22A. Al quoz Industrial Area 3</t>
  </si>
  <si>
    <t>Top Go FZE</t>
  </si>
  <si>
    <t>V00540</t>
  </si>
  <si>
    <t>Shop GC114, Dragon Mart 2, Dubai</t>
  </si>
  <si>
    <t>Mafahem Al Madina Trading East</t>
  </si>
  <si>
    <t>SV00195</t>
  </si>
  <si>
    <t>Mafahem Al Madina Trading Est Hair Wasim - Store incharge riyadh</t>
  </si>
  <si>
    <t>Mafahem Al Madina Trading East SOR</t>
  </si>
  <si>
    <t>SV00271</t>
  </si>
  <si>
    <t>Najmah Motamyza for Trading Est.</t>
  </si>
  <si>
    <t>SV00189</t>
  </si>
  <si>
    <t>Ghobira – Wasat Shopping Center 2 – Building 1 – office 161 Riyadh</t>
  </si>
  <si>
    <t>Ghazi Bin Humaid Corporation</t>
  </si>
  <si>
    <t>SV00190</t>
  </si>
  <si>
    <t>Exit 20, Mansourah Area, First right after masjid Al- Arifi, 3rd right in reniah street, opp to al-alooso high school riyadh</t>
  </si>
  <si>
    <t>Abdul Aziz Abdullah Al Nofayee Est.</t>
  </si>
  <si>
    <t>SV00191</t>
  </si>
  <si>
    <t>Al Sulay Warhouse, near to 365 log. Warehouse Riyadh</t>
  </si>
  <si>
    <t>Abdul Aziz Abdullah Al Nofayee Est. (SOR)</t>
  </si>
  <si>
    <t>SV00279</t>
  </si>
  <si>
    <t>The Healthy Beauty Al Mahtab company</t>
  </si>
  <si>
    <t>SV00192</t>
  </si>
  <si>
    <t>King Abdulaziz Road – Al Malik Bridge Jeddah</t>
  </si>
  <si>
    <t>Ismail Abudawood Trading CO.</t>
  </si>
  <si>
    <t>SV00193</t>
  </si>
  <si>
    <t>Intersection of prince Faisal iben turki ibn Abdul aziz with king Faisal road. LULU-Hyper market .7th floor riyadh</t>
  </si>
  <si>
    <t>Jamee Al Tafaseel Trading Est.</t>
  </si>
  <si>
    <t>SV00194</t>
  </si>
  <si>
    <t>Exit 5 – Tafaseel Warehouse</t>
  </si>
  <si>
    <t>ADORA General Trading LLC</t>
  </si>
  <si>
    <t>V00550</t>
  </si>
  <si>
    <t>Shop No 5 Ground Floor, Al fahidi souk , Mina bazaar, Bur dubai</t>
  </si>
  <si>
    <t>Blessings electronics LLC</t>
  </si>
  <si>
    <t>Off101, Al sanabil building, next to baniyas metro station exit no 2, al maktoum hospital road, nasser square dubai UAE</t>
  </si>
  <si>
    <t>SV00196</t>
  </si>
  <si>
    <t>Olaya - General Street – Rosais Trading Center – 4th Floor – Office 403</t>
  </si>
  <si>
    <t>Middle East Optical Company SOR</t>
  </si>
  <si>
    <t>SV00207</t>
  </si>
  <si>
    <t>Al Mosawiq AlArabi Est.</t>
  </si>
  <si>
    <t>SV00201</t>
  </si>
  <si>
    <t>Malaz – Bojad Al Makhazomi – On the left of Obaid Hospital riyadh</t>
  </si>
  <si>
    <t>Holol Al Alamat for Trading Services</t>
  </si>
  <si>
    <t>SV00200</t>
  </si>
  <si>
    <t>Al Malaz – Al Steen street – Behind Al Nahdi Pharmacy riyadh</t>
  </si>
  <si>
    <t>Apparel Group All about watches</t>
  </si>
  <si>
    <t>V00553</t>
  </si>
  <si>
    <t>Sahara Centre</t>
  </si>
  <si>
    <t>BasicXX Trading Limited</t>
  </si>
  <si>
    <t>SV00206</t>
  </si>
  <si>
    <t>Basic Trading Limited CoExit -18 Old al khary road indutrial area 2</t>
  </si>
  <si>
    <t>ICHD General Trading LLC</t>
  </si>
  <si>
    <t>V00560</t>
  </si>
  <si>
    <t>Gulf Air Building Salah al din RD Near metro station Opp to reef mall 7th floor office 704 deira</t>
  </si>
  <si>
    <t>Bassam Awad Shatry Trading EST</t>
  </si>
  <si>
    <t>SV00210</t>
  </si>
  <si>
    <t>Bassam Trading Est Al Tihama Trvels Building, 2nd floor, 30th street, behind KFC, sulaimaniya , riyadh</t>
  </si>
  <si>
    <t>Multaqa Al Qarat Est. for Trading</t>
  </si>
  <si>
    <t>SV00211</t>
  </si>
  <si>
    <t>GHABRA Ghonaimy St Riyadh</t>
  </si>
  <si>
    <t>Deyarco Furniture Factory LLC</t>
  </si>
  <si>
    <t>V00559</t>
  </si>
  <si>
    <t>Will Deliver the porducts at our warehouse</t>
  </si>
  <si>
    <t>Deal Time Middle East Gen Trading LLC</t>
  </si>
  <si>
    <t>V00563</t>
  </si>
  <si>
    <t>Bur Dubai , khalid Bin Waleed Street Bui Building Bank Street</t>
  </si>
  <si>
    <t>Farai Adam Ahmed Marirashi EST</t>
  </si>
  <si>
    <t>SV00209</t>
  </si>
  <si>
    <t>Riyadh Sulai Street Murtafat Saudi Arabia</t>
  </si>
  <si>
    <t>Etronix Middle East General Trading LLC</t>
  </si>
  <si>
    <t>Future Digital Components</t>
  </si>
  <si>
    <t>SV00227</t>
  </si>
  <si>
    <t>Aramex Warehouse, Sulai Between Exit 16 &amp; 18 riyadh</t>
  </si>
  <si>
    <t>Albalad Tech Trading</t>
  </si>
  <si>
    <t>SV00221</t>
  </si>
  <si>
    <t>KSA ,Ar riyadh, ALMURSALAT Area , hisham Bin Abdumalik street, Almursalat Mall</t>
  </si>
  <si>
    <t>SmartPlus Co.</t>
  </si>
  <si>
    <t>SV00226</t>
  </si>
  <si>
    <t>Smart plus Co. King Faisal Road, Near minisitry of interior, riyadh,KSA PO Box 54210 Riyadh 11514</t>
  </si>
  <si>
    <t>Alireza Holding Company</t>
  </si>
  <si>
    <t>SV00213</t>
  </si>
  <si>
    <t>Alirez Holding Company warehouse Between Almajdoui Roundabout &amp; IKEA Warehouse , aff king faisal road</t>
  </si>
  <si>
    <t>Rabyat zahran est</t>
  </si>
  <si>
    <t>SV00216</t>
  </si>
  <si>
    <t>Exit 18, alkharj road - Riyadh</t>
  </si>
  <si>
    <t>SV00215</t>
  </si>
  <si>
    <t>Africa Star LLC</t>
  </si>
  <si>
    <t>V00567</t>
  </si>
  <si>
    <t>Al Mulla Building , Suite 305 , baniyas street, beside rolev twin towers deira</t>
  </si>
  <si>
    <t>Ahmed Omer Bafrat</t>
  </si>
  <si>
    <t>SV00222</t>
  </si>
  <si>
    <t>Batha, Electron Building , Ground floor, Riyadh</t>
  </si>
  <si>
    <t>Adwaa Al shugaa Trading Est</t>
  </si>
  <si>
    <t>SV00217</t>
  </si>
  <si>
    <t>Gulf Commercial Center, 1 Floor No 76 king fahad road , olaya riyadh</t>
  </si>
  <si>
    <t>35+5</t>
  </si>
  <si>
    <t>Amal Awwab Company</t>
  </si>
  <si>
    <t>SV00225</t>
  </si>
  <si>
    <t>Gulf Commercial Center ground floor riyadh</t>
  </si>
  <si>
    <t>Seden Trading LLC</t>
  </si>
  <si>
    <t>V00571</t>
  </si>
  <si>
    <t>Mezzanine Floor Al fardan Centre Buhaira Sharjah</t>
  </si>
  <si>
    <t>Telecom &amp; Technology</t>
  </si>
  <si>
    <t>SV00220</t>
  </si>
  <si>
    <t>Bisma road , electronic center ground floor jeddah</t>
  </si>
  <si>
    <t>Lotus Middle East</t>
  </si>
  <si>
    <t>V00570</t>
  </si>
  <si>
    <t>Awqaf Building flat No. 1002 Behind zulikha hospital nahda second Dubai</t>
  </si>
  <si>
    <t>Al Gardenia Company LTD</t>
  </si>
  <si>
    <t>SV00218</t>
  </si>
  <si>
    <t>Gulf Center , 1 floor office no 68 Olaya riyadh</t>
  </si>
  <si>
    <t>966599431140meraj@gardenia.sa</t>
  </si>
  <si>
    <t>Meteor For Computers</t>
  </si>
  <si>
    <t>SV00219</t>
  </si>
  <si>
    <t>Khaleej Center Computer Market Olaya Riyadh Ground Floor</t>
  </si>
  <si>
    <t>Dubai audio Center LLC</t>
  </si>
  <si>
    <t>V00568</t>
  </si>
  <si>
    <t>Office No. M10, Emgate builing sheikh zayed road PO Box 32836 Dubai</t>
  </si>
  <si>
    <t>Said Ahmed Alajou Corp.</t>
  </si>
  <si>
    <t>SV00233</t>
  </si>
  <si>
    <t>Riyadh Solie Exit 17</t>
  </si>
  <si>
    <t>Opera Trading Est.</t>
  </si>
  <si>
    <t>SV00235</t>
  </si>
  <si>
    <t>Istanbul Street Sulayi Near Aramex office Jeddah</t>
  </si>
  <si>
    <t>SMART VISION EST. FOR TRADING</t>
  </si>
  <si>
    <t>SV00229</t>
  </si>
  <si>
    <t>Eastern Ring Road – Al Quds neighborhood - between exit 10 and 11 - after the winter and summer (Sheta wa Saif) Showroom- above Mugla Optical Center</t>
  </si>
  <si>
    <t>Oqianous Commercial services</t>
  </si>
  <si>
    <t>SV00231</t>
  </si>
  <si>
    <t>Oqianous Commercial services Warehouse #15, Masana Street - New Bin Qassim Market -Hair Road Aziziya - Riadh, babar hussain</t>
  </si>
  <si>
    <t>Abdullah Al IAL Matrood Trading EST</t>
  </si>
  <si>
    <t>SV00234</t>
  </si>
  <si>
    <t>DIRAB Road HAI AL SHIFA</t>
  </si>
  <si>
    <t>Techno Place Est</t>
  </si>
  <si>
    <t>SV00230</t>
  </si>
  <si>
    <t>Al Saif Market , Ground Floor Olaya Riyadh</t>
  </si>
  <si>
    <t>Redwood Retail Furnishing LLC</t>
  </si>
  <si>
    <t>V00584</t>
  </si>
  <si>
    <t>Unik Sources Trading Co (LLC)</t>
  </si>
  <si>
    <t>Al Nasr Plaza, Oud Metha</t>
  </si>
  <si>
    <t>Mashreq International LLC</t>
  </si>
  <si>
    <t>V00578</t>
  </si>
  <si>
    <t>No 7, Street 2B, Community 128, Al khabeisis, deira PO Box 25018 , Dubai</t>
  </si>
  <si>
    <t>Al Zahrani Trading Company</t>
  </si>
  <si>
    <t>SV00236</t>
  </si>
  <si>
    <t>AL Mahjar ST</t>
  </si>
  <si>
    <t>Al Mazahar Electronics Appliances LLC</t>
  </si>
  <si>
    <t>V00574</t>
  </si>
  <si>
    <t>warehouse No 1 , opp to dubai qasisi next to awatar auto garage</t>
  </si>
  <si>
    <t>Computer and Communication System</t>
  </si>
  <si>
    <t>Sulay Exit 18 Istanbul St</t>
  </si>
  <si>
    <t>Ance Computers Center</t>
  </si>
  <si>
    <t>SV00245</t>
  </si>
  <si>
    <t>Gulf Commercial Center 2nd Floor Olaya</t>
  </si>
  <si>
    <t>Soft Magic Systems Computers LLC</t>
  </si>
  <si>
    <t>HQ AL Thouraya Building Showroom #3 Mezzanine floor Sheikh zayed road, dubai UAE</t>
  </si>
  <si>
    <t>Gulf Sources FZCO</t>
  </si>
  <si>
    <t>V00589</t>
  </si>
  <si>
    <t>Transworld Computer technology shop No 273 Capital Apartment al nadha street burdubai near admiral plaza hotel PO box 12417</t>
  </si>
  <si>
    <t>DAR AL Amani Trading LLC</t>
  </si>
  <si>
    <t>V00617</t>
  </si>
  <si>
    <t>Plot No 368-0557, warehouse Al quoz- LAQ 1-M-7</t>
  </si>
  <si>
    <t>Future Power Trading</t>
  </si>
  <si>
    <t>SV00239</t>
  </si>
  <si>
    <t>Riyadh salhia Computers Centre</t>
  </si>
  <si>
    <t>Sunstrike International Limited FZE</t>
  </si>
  <si>
    <t>V00591</t>
  </si>
  <si>
    <t>W-3, 513, DAFZA, DUBAI UAE</t>
  </si>
  <si>
    <t>Hitarth General Trading LLC</t>
  </si>
  <si>
    <t>V00592</t>
  </si>
  <si>
    <t>303 kabul darbar restaurant bldg Opp al fardan exchange khalid bin al waleed street bur dubai PO Box 126871</t>
  </si>
  <si>
    <t>Sanal Alisveris Tuketim Hizmetieri San Ve Tic AS</t>
  </si>
  <si>
    <t>V00586</t>
  </si>
  <si>
    <t>Parzel Express &amp; Logistics Office 2, street5 B AL qouse Indutrial Area PO 3761</t>
  </si>
  <si>
    <t>Bsafe Trading LLC</t>
  </si>
  <si>
    <t>V00599</t>
  </si>
  <si>
    <t>F-10, first floor , Times square center sheikh zyed road</t>
  </si>
  <si>
    <t>Heaven Star Electronics Trading</t>
  </si>
  <si>
    <t>Office #102 Dept of Economic Development Bldg Opp Flora AL souq hotel, next to kabul darbar restorent between sabkha bus stn deira</t>
  </si>
  <si>
    <t>Miss Guzel LLC</t>
  </si>
  <si>
    <t>V00587</t>
  </si>
  <si>
    <t>Yes Business Center, Office 1011, Al Barsha</t>
  </si>
  <si>
    <t>Jubilee store LLC</t>
  </si>
  <si>
    <t>V00605</t>
  </si>
  <si>
    <t>211, Gargash centre, Baniyas Square, Deira Dubai</t>
  </si>
  <si>
    <t>Divine General Trading LLC</t>
  </si>
  <si>
    <t>Regal International LLC al quoz - 3 , Near to time square Mall Dubai United Arab Emirates</t>
  </si>
  <si>
    <t>Dar alamana Electronic Trading LLC</t>
  </si>
  <si>
    <t>V00611</t>
  </si>
  <si>
    <t>Oud Al Arabiya Co.</t>
  </si>
  <si>
    <t>SV00237</t>
  </si>
  <si>
    <t>Dabbab street close to Khurais opposite to Madina Malik Fahad Medical.</t>
  </si>
  <si>
    <t>Zahrat Mesyssan Trading Est.</t>
  </si>
  <si>
    <t>SV00244</t>
  </si>
  <si>
    <t>Olaya St. Opposite to computer market office # 1 5th floor Meezan tower building.</t>
  </si>
  <si>
    <t>IBI Diamonds</t>
  </si>
  <si>
    <t>V00600</t>
  </si>
  <si>
    <t>Jewellery and Gemplex, Building No 1,4th Floor DMCC</t>
  </si>
  <si>
    <t>Al Jadaf Mobiles</t>
  </si>
  <si>
    <t>SV00238</t>
  </si>
  <si>
    <t>Mursalat,mobile market, ground floor beside the 2nd main gate, Riyadh-KSA</t>
  </si>
  <si>
    <t>966-55-0383132</t>
  </si>
  <si>
    <t>Badreig co for trading &amp; industury LTD</t>
  </si>
  <si>
    <t>SV00248</t>
  </si>
  <si>
    <t>Riyadh- El Shimaisi Al Sibala St</t>
  </si>
  <si>
    <t>Al Wamadat AL Thalath trading Establishment</t>
  </si>
  <si>
    <t>SV00240</t>
  </si>
  <si>
    <t>Sulay Exit 21</t>
  </si>
  <si>
    <t>My Cam Coportation</t>
  </si>
  <si>
    <t>SV00247</t>
  </si>
  <si>
    <t>Zubair Bin Alaom Street, opp al Galasm Garden Riyadh</t>
  </si>
  <si>
    <t>Zimmo Trading Co. (Garco.)</t>
  </si>
  <si>
    <t>SV00246</t>
  </si>
  <si>
    <t>Riyadh - Alsulay Haroon Arashid roud</t>
  </si>
  <si>
    <t>Rawa'a Al Nakhbah for Watches</t>
  </si>
  <si>
    <t>SV00241</t>
  </si>
  <si>
    <t>Al Jawhara, near to Aramex, Jeddah</t>
  </si>
  <si>
    <t>966-50-4147470</t>
  </si>
  <si>
    <t>Axiom Telecom Saudi Arabia</t>
  </si>
  <si>
    <t>SV00243</t>
  </si>
  <si>
    <t>Materials will be Delivered to wadi warehouse</t>
  </si>
  <si>
    <t>Sada perfumes</t>
  </si>
  <si>
    <t>SV00249</t>
  </si>
  <si>
    <t>Riyadh Manfoha perfumes Market after al haram</t>
  </si>
  <si>
    <t>Sada perfumes SOR</t>
  </si>
  <si>
    <t>SV00261</t>
  </si>
  <si>
    <t>Passion woodey, Malaysia</t>
  </si>
  <si>
    <t>SV00250</t>
  </si>
  <si>
    <t>Materials will be delivered to your warehouse</t>
  </si>
  <si>
    <t>Todays electronics trading llc</t>
  </si>
  <si>
    <t>V00610</t>
  </si>
  <si>
    <t>Bur dubai</t>
  </si>
  <si>
    <t>Al-Dameer for Communication</t>
  </si>
  <si>
    <t>SV00251</t>
  </si>
  <si>
    <t>Al Batha Riyadh Saudi Arabia</t>
  </si>
  <si>
    <t>966-50-3234343</t>
  </si>
  <si>
    <t>Dream shop</t>
  </si>
  <si>
    <t>SV00254</t>
  </si>
  <si>
    <t>Al Swedi – Abdul Malik Bin Hesham</t>
  </si>
  <si>
    <t>Saudi Arabian Textile Company - Satex</t>
  </si>
  <si>
    <t>SV00253</t>
  </si>
  <si>
    <t>PO Box 40245, Ritadh -11499. Saudi arabia Faisaliyya area, asad al - sunna street, riyadh</t>
  </si>
  <si>
    <t>Wadi KSA</t>
  </si>
  <si>
    <t>V00618</t>
  </si>
  <si>
    <t>8, Jurfiyah Road, As Sulay District, Riyadh</t>
  </si>
  <si>
    <t>Wadi DXB</t>
  </si>
  <si>
    <t>SV00255</t>
  </si>
  <si>
    <t>warehouse 7 Plot 215 -608, 1th street Near Liberty service center Umm ramool, Rashidiya Dubai</t>
  </si>
  <si>
    <t>RCS-Rawabi Al Khaleei Computer Servies</t>
  </si>
  <si>
    <t>SV00260</t>
  </si>
  <si>
    <t>Dabbab Streer, Near saudi hoandi bank HO Riyadh, KSA</t>
  </si>
  <si>
    <t>Ensure Technology</t>
  </si>
  <si>
    <t>SV00270</t>
  </si>
  <si>
    <t>olaya Road - Al Rossais Center 1st Floor Office #18</t>
  </si>
  <si>
    <t>Mohammed Ali Misfer Al Maimouni Est.</t>
  </si>
  <si>
    <t>SV00264</t>
  </si>
  <si>
    <t>C/O Syed Aftab Hussain or Md. Rohul amin. Malaz jarir street, near riyadh Zoo.</t>
  </si>
  <si>
    <t>15+30</t>
  </si>
  <si>
    <t>Alireza Holding Co.</t>
  </si>
  <si>
    <t>SV00259</t>
  </si>
  <si>
    <t>Central Warehouse Between Al Majdoui roundabout &amp; ikea warehouse off king faisal road , al khumra - Jeddah</t>
  </si>
  <si>
    <t>Western International Trd Est</t>
  </si>
  <si>
    <t>SV00256</t>
  </si>
  <si>
    <t>PO Box - 4942, Riyadh 11412 Nesto building margab - Batha</t>
  </si>
  <si>
    <t>Al-Soukya international compay for marketing of coffiee equipments w.l.l</t>
  </si>
  <si>
    <t>SV00257</t>
  </si>
  <si>
    <t>Bin Laden warehouse , express highway to madinah briemen</t>
  </si>
  <si>
    <t>Al EATSAM Al KHALIJI Commercial LTD Co</t>
  </si>
  <si>
    <t>SV00258</t>
  </si>
  <si>
    <t>Al Eatsam AL Khaliji PO Box No 4942 riyadh 11412 Nesto Building Margab Batha</t>
  </si>
  <si>
    <t>Italy Motors DWC-LLC</t>
  </si>
  <si>
    <t>V00620</t>
  </si>
  <si>
    <t>Dubai South business center, Logistics- viation City-PO Box 390667, Dubai UAE</t>
  </si>
  <si>
    <t>Prefetto Trading company LLC</t>
  </si>
  <si>
    <t>V00622</t>
  </si>
  <si>
    <t>DIP1, Bihind Agility warehouse number 5 and 6 building 1, Plot number 598/11556</t>
  </si>
  <si>
    <t>Daymoma General Trading LLD Dubai</t>
  </si>
  <si>
    <t>V00623</t>
  </si>
  <si>
    <t>Shop 502, Building L04, Greece Cluster international City</t>
  </si>
  <si>
    <t>Promate Technologies FZCO</t>
  </si>
  <si>
    <t>V00624</t>
  </si>
  <si>
    <t>Jebel Ali Free Zone- North Jone, Near Conjuction -13, promate Technologies FZCO</t>
  </si>
  <si>
    <t>971-521357635</t>
  </si>
  <si>
    <t>Nachi Trading LLC</t>
  </si>
  <si>
    <t>V00625</t>
  </si>
  <si>
    <t>Nachi Trading LLC, office-216, 2nd floor, gargash center , deira</t>
  </si>
  <si>
    <t>Rawabit Technology Limited</t>
  </si>
  <si>
    <t>SV00263</t>
  </si>
  <si>
    <t>Rawabit Technology limited, Olaya Main Street , Beside AL mousa centre 4th floor, office No 14, Riyadh</t>
  </si>
  <si>
    <t>0112791093-122</t>
  </si>
  <si>
    <t>Blue Lagoon FZC</t>
  </si>
  <si>
    <t>V00627</t>
  </si>
  <si>
    <t>Khalid Bin Walid Road, Behind Aster Pharmacy, PO BOX 113099</t>
  </si>
  <si>
    <t>Back2Back Computer Trading LLC</t>
  </si>
  <si>
    <t>V00628</t>
  </si>
  <si>
    <t>M12, Computer Plaza, Al Ain Center, Bur Dubai</t>
  </si>
  <si>
    <t>United Trading &amp; Marketing Co.</t>
  </si>
  <si>
    <t>SV00262</t>
  </si>
  <si>
    <t>Exit 18, Damam Road</t>
  </si>
  <si>
    <t>Najmat Al Hiba Electronics Trading LLC</t>
  </si>
  <si>
    <t>V00629</t>
  </si>
  <si>
    <t>Anwar li Habib Bldg, Office no MF5, Al Musalla road, opp Karachi Darbar , Deira</t>
  </si>
  <si>
    <t>Harman Middle East</t>
  </si>
  <si>
    <t>V00631</t>
  </si>
  <si>
    <t>Harman House, No. 5 Warehouse, Ras Al Khor, Industrial Area 2, Near Al Abbar Roundabout/ Master Prin</t>
  </si>
  <si>
    <t>Hard Soft Technology</t>
  </si>
  <si>
    <t>V00632</t>
  </si>
  <si>
    <t>Community 369, Street 21 ware house 3 - Al Quoz 4</t>
  </si>
  <si>
    <t>Matay Trading LLC</t>
  </si>
  <si>
    <t>V00633</t>
  </si>
  <si>
    <t>Queen General Trading LLC</t>
  </si>
  <si>
    <t>V00634</t>
  </si>
  <si>
    <t>Apt.508, Building Name Tami 3, Al Nahda</t>
  </si>
  <si>
    <t>Shades Global Trading LLC SOR</t>
  </si>
  <si>
    <t>V00635</t>
  </si>
  <si>
    <t>Office No. 2, Building No. 1, Al Anoohi Building Building, Ayal Bin Nasar Road, Deira</t>
  </si>
  <si>
    <t>Shades Global Trading LLC</t>
  </si>
  <si>
    <t>V00636</t>
  </si>
  <si>
    <t>MARQUES TRADING FZE</t>
  </si>
  <si>
    <t>V00637</t>
  </si>
  <si>
    <t>ROOM NO A3, BUILDING NO 33, AL SHAB COLONY, HOR AL ANZ, ABUHAIL, DUBAI</t>
  </si>
  <si>
    <t>Amoli Middle East FZE SOR</t>
  </si>
  <si>
    <t>V00638</t>
  </si>
  <si>
    <t>Makani # 34964 91421,Warehouse No.4, Near Dubai Duty Free Warehouse, Plot Number 215/209,Umm Ramool,</t>
  </si>
  <si>
    <t>Amoli Middle East FZE</t>
  </si>
  <si>
    <t>V00639</t>
  </si>
  <si>
    <t>Gift Tower General Trading Co.LLC</t>
  </si>
  <si>
    <t>V00641</t>
  </si>
  <si>
    <t>40th Street - Sharjah</t>
  </si>
  <si>
    <t>97106 559 8364</t>
  </si>
  <si>
    <t>Toy Triangle</t>
  </si>
  <si>
    <t>SV00265</t>
  </si>
  <si>
    <t>Riyadh exit 18 Al Sulay</t>
  </si>
  <si>
    <t>Tam Telecom Trading Est.</t>
  </si>
  <si>
    <t>SV00266</t>
  </si>
  <si>
    <t>Al-Rajhi Commercial center 1st Floor.</t>
  </si>
  <si>
    <t>7+3</t>
  </si>
  <si>
    <t>al-Dawliah Electronics Appliances (Fashion)</t>
  </si>
  <si>
    <t>SV00267</t>
  </si>
  <si>
    <t>Tala Mall, exit 5, Al Dawliah Showroom / Marina Mall, Olaya street</t>
  </si>
  <si>
    <t>Timna Electronics &amp; Telecommunication</t>
  </si>
  <si>
    <t>SV00268</t>
  </si>
  <si>
    <t>Al Mashal Building North Ring Road -Exit 4</t>
  </si>
  <si>
    <t>Fiam Trading Establishment</t>
  </si>
  <si>
    <t>SV00269</t>
  </si>
  <si>
    <t>1st floor - 106, Al Mohanna Tower, Dabbab Street</t>
  </si>
  <si>
    <t>GO GREEN FZCO</t>
  </si>
  <si>
    <t>V00642</t>
  </si>
  <si>
    <t>Jumeirah Lake Towers - Cluster Y -Swiss Tower, Office No. 3105</t>
  </si>
  <si>
    <t>Sand International-Saudi Retail Company</t>
  </si>
  <si>
    <t>SV00272</t>
  </si>
  <si>
    <t>Aramex RUH 3PL ware house, Intersection of istanbul and alhambra st.exit 16, sulai</t>
  </si>
  <si>
    <t>40+5</t>
  </si>
  <si>
    <t>aDawliah Electronics Appliances (Electronics)</t>
  </si>
  <si>
    <t>SV00273</t>
  </si>
  <si>
    <t>Saudi Arabia | Riyadh | Haer Road</t>
  </si>
  <si>
    <t>966503 696 325</t>
  </si>
  <si>
    <t>Fasttech technology EST</t>
  </si>
  <si>
    <t>SV00274</t>
  </si>
  <si>
    <t>Azizya Haier rode WH-1</t>
  </si>
  <si>
    <t>Comtel General Trading LLC</t>
  </si>
  <si>
    <t>Warehouse #4, Opposite Choitram Warehouse, Al Khabisi, Deira</t>
  </si>
  <si>
    <t>Jesr Al Reyada for Trading</t>
  </si>
  <si>
    <t>SV00275</t>
  </si>
  <si>
    <t>Abo Baker Al Sadeeq Road, exit 6</t>
  </si>
  <si>
    <t>Al-Asasyah Basic (Fashion)</t>
  </si>
  <si>
    <t>SV00276</t>
  </si>
  <si>
    <t>Batha RD; Al-Oud Street; opposite Al-Oud graveyard; P.O Box 2891 - 11461</t>
  </si>
  <si>
    <t>Sultan Hamd Al Khamili (Trd)</t>
  </si>
  <si>
    <t>SV00277</t>
  </si>
  <si>
    <t>Prince Faisal Bin Turki Street Al Murabba (Beside Lulu Market)</t>
  </si>
  <si>
    <t>Dawapt al Tqnia for trading</t>
  </si>
  <si>
    <t>SV00278</t>
  </si>
  <si>
    <t>Exit 18 New al kharaj road</t>
  </si>
  <si>
    <t>Advanced Information Technology</t>
  </si>
  <si>
    <t>SV00280</t>
  </si>
  <si>
    <t>Olaya Street Before Panda Behind Krama Bakery</t>
  </si>
  <si>
    <t>El Essawi Trading Company</t>
  </si>
  <si>
    <t>SV00281</t>
  </si>
  <si>
    <t>Batha Shara Al - Wazeer Before Shamsia Plaza 4th floor. (Seller Will Drop Up)</t>
  </si>
  <si>
    <t>SV00282</t>
  </si>
  <si>
    <t>Naghi Group</t>
  </si>
  <si>
    <t>SV00283</t>
  </si>
  <si>
    <t>Istanbul Street Sulayi Area</t>
  </si>
  <si>
    <t>Tech Bay Electronics LLC</t>
  </si>
  <si>
    <t>V00650</t>
  </si>
  <si>
    <t>Suite No. 204, Dar Al Raffah Building, Khalid Bin Waleed Road, Bur Dubai</t>
  </si>
  <si>
    <t>Yellow Point Trading LLC</t>
  </si>
  <si>
    <t>V00651</t>
  </si>
  <si>
    <t>Jumeirah Oark, District 4, Street D411, Villa D49</t>
  </si>
  <si>
    <t>East One Trading FZE</t>
  </si>
  <si>
    <t>V00654</t>
  </si>
  <si>
    <t>302, AL Naboodah , Rolla street , bur dubai</t>
  </si>
  <si>
    <t>East One Trading FZE (SOR)</t>
  </si>
  <si>
    <t>V00655</t>
  </si>
  <si>
    <t>Wallet Mart</t>
  </si>
  <si>
    <t>SV00284</t>
  </si>
  <si>
    <t>Exit 8 near Garnata Mall</t>
  </si>
  <si>
    <t>Wallet Mart (SOR)</t>
  </si>
  <si>
    <t>SV00285</t>
  </si>
  <si>
    <t>MEGASTAR TRADING CO LLC</t>
  </si>
  <si>
    <t>V00656</t>
  </si>
  <si>
    <t>WARE HOUSE # 3, RAS AL KHOR, INDUSTRIAL AREA 2, NEXT TO DUBAI LIBRARY DISTRIBUTION</t>
  </si>
  <si>
    <t>Alshmal Saudi Trading</t>
  </si>
  <si>
    <t>SV00286</t>
  </si>
  <si>
    <t>Al awazer street Azizia Building Office 116</t>
  </si>
  <si>
    <t>Advanced Best Company</t>
  </si>
  <si>
    <t>SV00287</t>
  </si>
  <si>
    <t>42 Al amir sultan road - Al Naseem Dist</t>
  </si>
  <si>
    <t>REDINGTON SAUDI ARABIA DISTRIBUTION COMPANY</t>
  </si>
  <si>
    <t>SV00288</t>
  </si>
  <si>
    <t>Redington Saudi Arabia Distribution Co. Exit 16, After Otham Supermarket, Near Kudu Sulay, Riyadh -</t>
  </si>
  <si>
    <t>Hi 5 General Trading LLC</t>
  </si>
  <si>
    <t>V00657</t>
  </si>
  <si>
    <t>Hi 5 General Trading LLC P.O. Box 113897, Al-Qusais, Industrial Area 4. Warehouse no. 4</t>
  </si>
  <si>
    <t>Ehab Siddiq Jinqir Tech Solutions</t>
  </si>
  <si>
    <t>SV00289</t>
  </si>
  <si>
    <t>Prince Abdul Majid Bin Abdul Aziz Hezam Street, Nr. Bank Al Rajhi, Opp. Kudu, Above Sony Service Sta</t>
  </si>
  <si>
    <t>Nabeel Aslam Trading EST (SOR)</t>
  </si>
  <si>
    <t>SV00290</t>
  </si>
  <si>
    <t>Al Muhateb</t>
  </si>
  <si>
    <t>SV00291</t>
  </si>
  <si>
    <t>Exit 26 Tareq Quriash Riyadh</t>
  </si>
  <si>
    <t>966-552765790</t>
  </si>
  <si>
    <t>Sialkot Sports</t>
  </si>
  <si>
    <t>SV00292</t>
  </si>
  <si>
    <t>Hai Al Wazarat Riyadh</t>
  </si>
  <si>
    <t>Al Arqam General Trading LLC</t>
  </si>
  <si>
    <t>V00658</t>
  </si>
  <si>
    <t>Mursheed Bazaar, Al Buteen Center, shop no 2 &amp; 4, Deira</t>
  </si>
  <si>
    <t>Tawzih mobile phone distribution</t>
  </si>
  <si>
    <t>SV00293</t>
  </si>
  <si>
    <t>Exit 6-Abi Bakr El Siddik road</t>
  </si>
  <si>
    <t>Al Mawad Branch Establishment</t>
  </si>
  <si>
    <t>SV00294</t>
  </si>
  <si>
    <t>Abu Qudous Al-Ansar Street, Near to Sulaimania Plaza</t>
  </si>
  <si>
    <t>All Beauty Collections</t>
  </si>
  <si>
    <t>SV00295</t>
  </si>
  <si>
    <t>Dawar Majdoi, Al Khumra</t>
  </si>
  <si>
    <t>Jaseena</t>
  </si>
  <si>
    <t>SV00296</t>
  </si>
  <si>
    <t>Office No. 101.102.103 Banafa Center, Janubia Al Balad, Jumma Abu Shuwaarib Est.</t>
  </si>
  <si>
    <t>Jaseena SOR</t>
  </si>
  <si>
    <t>SV00297</t>
  </si>
  <si>
    <t>E-Max</t>
  </si>
  <si>
    <t>SV00298</t>
  </si>
  <si>
    <t>Khurais Rd, E-Max store</t>
  </si>
  <si>
    <t>966-541534320</t>
  </si>
  <si>
    <t>Televisions</t>
  </si>
  <si>
    <t>SV00301</t>
  </si>
  <si>
    <t>Batha, Rahji Building, Ground floor, Beside the NS.</t>
  </si>
  <si>
    <t>V00660</t>
  </si>
  <si>
    <t>410B; Al Shaali Building; Damascus Street;Al Qusais;Dubai</t>
  </si>
  <si>
    <t>ITALY'S GOT STYLE SRL</t>
  </si>
  <si>
    <t>SV00299</t>
  </si>
  <si>
    <t>3246 Umar ibn Abdulaziz Branch Road Ar Rabwah, 12823-6163 INMA DEVELOPMENT CO.</t>
  </si>
  <si>
    <t>FORAT AL IRAQ TRADING FZE LLC</t>
  </si>
  <si>
    <t>V00661</t>
  </si>
  <si>
    <t>Road 25 Sharjah Industrial area (near national plastic &amp; building materials) UAE P.O box 38867</t>
  </si>
  <si>
    <t>EMAM DISTRIBUTION CO LTD.</t>
  </si>
  <si>
    <t>SV00300</t>
  </si>
  <si>
    <t>Ware House Number 69 ( Al-Hamdan Ware House) Muhammad Ibn Al Bashir Street, Riyadh, Sulay ,</t>
  </si>
  <si>
    <t>Being You</t>
  </si>
  <si>
    <t>V00662</t>
  </si>
  <si>
    <t>REEF TOWER 2, 1606 AL NAHDA</t>
  </si>
  <si>
    <t>New Aliaa Pharmacy</t>
  </si>
  <si>
    <t>V00663</t>
  </si>
  <si>
    <t>New Aliaa Pharmacy, Water view building, Deira</t>
  </si>
  <si>
    <t>VSUN Electronics Trading LLC</t>
  </si>
  <si>
    <t>V00664</t>
  </si>
  <si>
    <t>VSUN Electronics Dubai, 26th Floor,2607, Al Manara Tower, Business bay, Dubai</t>
  </si>
  <si>
    <t>5+25</t>
  </si>
  <si>
    <t>RTEE GENERAL TRADING L.L.C</t>
  </si>
  <si>
    <t>V00665</t>
  </si>
  <si>
    <t>208, Office Court Building, Opp. Oud Metha Metro Station, Oud metha Road, Dubai, U.A.E. P.O Box# 62</t>
  </si>
  <si>
    <t>SV00302</t>
  </si>
  <si>
    <t>Ismail Abudawood Trading CO. (Outright)</t>
  </si>
  <si>
    <t>SV00303</t>
  </si>
  <si>
    <t>Intersection of prince Faisal iben turki ibn Abdul aziz with king Faisal road. LULU-Hyper market .7t</t>
  </si>
  <si>
    <t>MAYMOON GULF TREDING EST (SOR)</t>
  </si>
  <si>
    <t>SV00304</t>
  </si>
  <si>
    <t>Will Deliver the Goods to our warehouse without any additional costs</t>
  </si>
  <si>
    <t>V00666</t>
  </si>
  <si>
    <t>Shop No 1 Alfardan Building , Al Refa street near Reefa Police station , Bur Dubai</t>
  </si>
  <si>
    <t>Simal Technologies Middle East LLC</t>
  </si>
  <si>
    <t>V00667</t>
  </si>
  <si>
    <t>1st Floor, Office No: F2, Souk Al Kabir Building, Bur Dubai, Dubai, United Arab Emirates PO Box: 4</t>
  </si>
  <si>
    <t>Sawabi Electronics Devices Trading</t>
  </si>
  <si>
    <t>V00668</t>
  </si>
  <si>
    <t>Industrial Area 6, Near Macro Market</t>
  </si>
  <si>
    <t>City Game</t>
  </si>
  <si>
    <t>SV00305</t>
  </si>
  <si>
    <t>Batha, Al-Rajhi commercial Building No.2, Shop No. 116, Riyadh</t>
  </si>
  <si>
    <t>Go Gulf Trd. Est</t>
  </si>
  <si>
    <t>SV00306</t>
  </si>
  <si>
    <t>Batha, Al-Rajhi Commercial Building No.2, Ground floor, Riyadh</t>
  </si>
  <si>
    <t>Dar Al Sebaa Trading</t>
  </si>
  <si>
    <t>SV00307</t>
  </si>
  <si>
    <t>Al Sahafa District -Anas Bin Malek St .</t>
  </si>
  <si>
    <t>Al Majarah Corner Trading.Co</t>
  </si>
  <si>
    <t>SV00308</t>
  </si>
  <si>
    <t>Morsalat District Hishma Bin Abdel Malek</t>
  </si>
  <si>
    <t>Derta Trading FZCO</t>
  </si>
  <si>
    <t>V00669</t>
  </si>
  <si>
    <t>ABH-11, Dragon Mart (Come through AB Gate)</t>
  </si>
  <si>
    <t>LDHS General Trading (SOR)</t>
  </si>
  <si>
    <t>V00670</t>
  </si>
  <si>
    <t>1213 Indigo Tower Cluster D</t>
  </si>
  <si>
    <t>LDHS General Trading</t>
  </si>
  <si>
    <t>Bandar mohd. Faqih trading estd</t>
  </si>
  <si>
    <t>SV00310</t>
  </si>
  <si>
    <t>Batha, Ar Riyadh , Saudi Arab</t>
  </si>
  <si>
    <t>SV00311</t>
  </si>
  <si>
    <t>Batha RD; Al-Oud Street; opposite Al-Oud graveyard; P.O Box 2891 Riyadh 11461</t>
  </si>
  <si>
    <t>SV00312</t>
  </si>
  <si>
    <t>4+21</t>
  </si>
  <si>
    <t>Sky Screen</t>
  </si>
  <si>
    <t>Batha, Riyadh Rahji Building, Ground floor.</t>
  </si>
  <si>
    <t>Safwat Al Saraya</t>
  </si>
  <si>
    <t>SV00313</t>
  </si>
  <si>
    <t>Al Rajhi Building Opposite of Sharif Corner Batha, Ar Riyadh , Saudi Arab</t>
  </si>
  <si>
    <t>Sharp Tech</t>
  </si>
  <si>
    <t>SV00314</t>
  </si>
  <si>
    <t>Batha Al Rajhi Building G Floor</t>
  </si>
  <si>
    <t>SV00315</t>
  </si>
  <si>
    <t>AIduk</t>
  </si>
  <si>
    <t>Yahya Ali Abdullah Al-Mahdali Est</t>
  </si>
  <si>
    <t>SV00316</t>
  </si>
  <si>
    <t>Kilo#14 Senddex Werehouse Old Makkah Road</t>
  </si>
  <si>
    <t>SV00317</t>
  </si>
  <si>
    <t>Oud Al Quhl Trad</t>
  </si>
  <si>
    <t>SV00318</t>
  </si>
  <si>
    <t>Batha, Ar Riyadh , Saudi Arabia</t>
  </si>
  <si>
    <t>053-6715001</t>
  </si>
  <si>
    <t>Qaser Al- Tasmeem Est. for Trading</t>
  </si>
  <si>
    <t>SV00319</t>
  </si>
  <si>
    <t>Exit 22 - Al Asakeer Warehouses - Warehouse No. 101</t>
  </si>
  <si>
    <t>Dawaran El Khaleej Trading</t>
  </si>
  <si>
    <t>SV00320</t>
  </si>
  <si>
    <t>Ibn El Sabit Olaya</t>
  </si>
  <si>
    <t>Modern Pluto for Trading Company Limited</t>
  </si>
  <si>
    <t>SV00321</t>
  </si>
  <si>
    <t>Warehouse # 16, Haron Al Rasheed Street South, Riyadh Sulay, PO Box 54620 Riyyadh 11524- KSA</t>
  </si>
  <si>
    <t>Makkah Household Utensils Mfg. Co. Ltd</t>
  </si>
  <si>
    <t>SV00322</t>
  </si>
  <si>
    <t>Suwaidi Beside Panda Al-Saif Building</t>
  </si>
  <si>
    <t>Oud Al Quhl Trading</t>
  </si>
  <si>
    <t>SV00323</t>
  </si>
  <si>
    <t>Batha Sony Building 1st floor (Dropship)</t>
  </si>
  <si>
    <t>Oud Al Quhl Trading(SOR)</t>
  </si>
  <si>
    <t>SV00324</t>
  </si>
  <si>
    <t>Professional Eye</t>
  </si>
  <si>
    <t>SV00325</t>
  </si>
  <si>
    <t>Shahra e Taif, Dirah,</t>
  </si>
  <si>
    <t>Musasat Fifa Star Trading</t>
  </si>
  <si>
    <t>SV00326</t>
  </si>
  <si>
    <t>Exit 17 Faisaliah Furniture Wholesale Market</t>
  </si>
  <si>
    <t>SV00327</t>
  </si>
  <si>
    <t>Sulay Exit 18 Near to NADEC</t>
  </si>
  <si>
    <t>Muasasat Al Riyayat Zahbi Al Tijara</t>
  </si>
  <si>
    <t>SV00328</t>
  </si>
  <si>
    <t>Muasasat Hani Ghazi Mohammed Wafi Tijara</t>
  </si>
  <si>
    <t>SV00329</t>
  </si>
  <si>
    <t>Al Khairat Co Ltd</t>
  </si>
  <si>
    <t>SV00330</t>
  </si>
  <si>
    <t>Joe Horizon Trading</t>
  </si>
  <si>
    <t>SV00331</t>
  </si>
  <si>
    <t>haraj bin gasim</t>
  </si>
  <si>
    <t>FORAT AL IRAQ TRADING FZE LLC (KSA)</t>
  </si>
  <si>
    <t>SV00333</t>
  </si>
  <si>
    <t>Will be delivered to Riyadh Warehouse</t>
  </si>
  <si>
    <t>Al Kunuz General Trading LLC (KSA - SASS)</t>
  </si>
  <si>
    <t>SV00334</t>
  </si>
  <si>
    <t>Will Deliver @ Warehouse</t>
  </si>
  <si>
    <t>Al Kunuz General Trading LLC (KSA - SOR)</t>
  </si>
  <si>
    <t>SV00335</t>
  </si>
  <si>
    <t>Al Kunuz General Trading LLC (KSA - JIT)</t>
  </si>
  <si>
    <t>SV00336</t>
  </si>
  <si>
    <t>Alesayi-Electronics</t>
  </si>
  <si>
    <t>SV00337</t>
  </si>
  <si>
    <t>Jeddah Tahlia Dist . Madina road Opst City Max</t>
  </si>
  <si>
    <t>SHAS CO. FOR TRADING AND MAINT.CJSC</t>
  </si>
  <si>
    <t>SV00338</t>
  </si>
  <si>
    <t>Warehouse No. 8, 9, 10 &amp;amp; 11, Dar-ul- Baida Warehouses Area, Near New Hiraj Bin Qasim,</t>
  </si>
  <si>
    <t>International Hypermarket Supply Co.</t>
  </si>
  <si>
    <t>SV00339</t>
  </si>
  <si>
    <t>Al Haer Road Exit 21 Al Loloah warehouses Block 106</t>
  </si>
  <si>
    <t>MPS Bashir Shakib Al-Jabri &amp; CO. LTD</t>
  </si>
  <si>
    <t>SV00340</t>
  </si>
  <si>
    <t>Al Nakhil Dist. MPS Warehouse.</t>
  </si>
  <si>
    <t>MPS Bashir Shakib Al-Jabri &amp; CO. LTD(SOR)</t>
  </si>
  <si>
    <t>SV00341</t>
  </si>
  <si>
    <t>Al Ammari Gaming</t>
  </si>
  <si>
    <t>SV00342</t>
  </si>
  <si>
    <t>Rajhi 5 Building Batha Riyadh Saudi Arab</t>
  </si>
  <si>
    <t>Ray Al Khaleej Trading</t>
  </si>
  <si>
    <t>SV00344</t>
  </si>
  <si>
    <t>8386-Al Nahda Road - Jarir Riyadh KSA</t>
  </si>
  <si>
    <t>Landmark Group</t>
  </si>
  <si>
    <t>SV00345</t>
  </si>
  <si>
    <t>Riyadh Galary 2nd floor</t>
  </si>
  <si>
    <t>Plot # B136, Jebel Ali-Lahbab Road (E 77 Road) Jebel Ali Industrial Area 3, Dubai, Near Al Tayer Motors PO Box: 3426 Dubai</t>
  </si>
  <si>
    <t>2+3</t>
  </si>
  <si>
    <t>Khoory Electronics LLC - (04-3407201) Al Quoz Industrial Area - 3, Near Dubai Driving Centre.</t>
  </si>
  <si>
    <t>Aura Freight Time Shipping LLC Office No : 315 / 318 Bin Fahd Building No 4 Opp ; Daily Restaurant Damascus Street, Al Qusais, Dubai – UAE</t>
  </si>
  <si>
    <t>Clikon &lt; Techorbit Building , Near Europeian Business Centre DIP-1,Dubai , UAE</t>
  </si>
  <si>
    <t>COMPUTER TIME TRADING L.L.C</t>
  </si>
  <si>
    <t>V00676</t>
  </si>
  <si>
    <t>BUR DUBAI KHALID BIN WALEED ROAD COMPUTER STREET NEAR GATE WAY HOTEL SHOP NO.15</t>
  </si>
  <si>
    <t>LS2 Pluto General Trading LLC</t>
  </si>
  <si>
    <t>V00677</t>
  </si>
  <si>
    <t>Al Mulla Warehouse, Behind EMARAT Gas Distribution,Al Qusais Industrial Area ,1Units C11, Bldg 12</t>
  </si>
  <si>
    <t>11+5</t>
  </si>
  <si>
    <t>Techgeeks M.E. FZC</t>
  </si>
  <si>
    <t>V00679</t>
  </si>
  <si>
    <t>No 202, Al Durrah Building, Karama</t>
  </si>
  <si>
    <t>V00683</t>
  </si>
  <si>
    <t>Suite# 1502 International Business Tower, Business Bay</t>
  </si>
  <si>
    <t>Al Hazam Perfumes</t>
  </si>
  <si>
    <t>V00685</t>
  </si>
  <si>
    <t>Al Badia, Sky business centre, Near coca cola</t>
  </si>
  <si>
    <t>Crea FZ LLC</t>
  </si>
  <si>
    <t>V00686</t>
  </si>
  <si>
    <t>Wadi Warehouse</t>
  </si>
  <si>
    <t>HICOM COMPUTER L.L.C</t>
  </si>
  <si>
    <t>V00687</t>
  </si>
  <si>
    <t>Khalid Bin Waleed Road,Muhammed Abdul Razak Building,Shop No 14-Near Admiral Plaza Hotel â€“Bur Dubai</t>
  </si>
  <si>
    <t>Maxus Coral FZC</t>
  </si>
  <si>
    <t>V00688</t>
  </si>
  <si>
    <t>906, Dubai Pearl Building, Nasser Square, Deira</t>
  </si>
  <si>
    <t>PLATEU GENERAL TRADING LLC</t>
  </si>
  <si>
    <t>V00689</t>
  </si>
  <si>
    <t>Room Number 108, Building Number R114, SHAIKH RASHID BUILDING, Sheikh Zayed Road</t>
  </si>
  <si>
    <t>Newcom Computer System LLC</t>
  </si>
  <si>
    <t>V00694</t>
  </si>
  <si>
    <t>Al- Riffa Plaza -404- Near York International Hotel, Al Fahidi, Bur Dubai</t>
  </si>
  <si>
    <t>Al Taheri Computers LLC</t>
  </si>
  <si>
    <t>V00695</t>
  </si>
  <si>
    <t>Shop # 13A, Computer Plaza, Al Ain Center, Bur Dubai</t>
  </si>
  <si>
    <t>Momentum Dubai</t>
  </si>
  <si>
    <t>V00697</t>
  </si>
  <si>
    <t>Al Hudaiba Awards Building , Al Mina , Block B , 411</t>
  </si>
  <si>
    <t>New Hira Electronics</t>
  </si>
  <si>
    <t>V00698</t>
  </si>
  <si>
    <t>Emirates Hotel, Near sabhka bus station, Diera, Dubai, UAE</t>
  </si>
  <si>
    <t>National Store</t>
  </si>
  <si>
    <t>V00700</t>
  </si>
  <si>
    <t>Khoory Electronics LLC - Al Quoz Industrial Area 3 Near Dubai Driving Cetner</t>
  </si>
  <si>
    <t>Aptec Distribution FZ LLC</t>
  </si>
  <si>
    <t>V00701</t>
  </si>
  <si>
    <t>Warehouse NA-04 to 08, Jebel Ali Free Zone</t>
  </si>
  <si>
    <t>Al Kunuz General Trading LLC (DXB- SOR)</t>
  </si>
  <si>
    <t>V00702</t>
  </si>
  <si>
    <t>PO Box 122450</t>
  </si>
  <si>
    <t>Golden System Electronics</t>
  </si>
  <si>
    <t>V00703</t>
  </si>
  <si>
    <t>M24 AL Ain Computer Plaza Mankool Road</t>
  </si>
  <si>
    <t>Global Computers LLC</t>
  </si>
  <si>
    <t>V00704</t>
  </si>
  <si>
    <t>Global Computers LLC, Next to Sindh Punjab restaurant, Near Astoria Hotel, Bur Dubai</t>
  </si>
  <si>
    <t>MSN General Trading</t>
  </si>
  <si>
    <t>V00705</t>
  </si>
  <si>
    <t>Warehouse # 24 Near Inland Container Depot, Industrial Area # 18, Maleeha Road, Sharjah.</t>
  </si>
  <si>
    <t>LDHS General Trading (mobiles)</t>
  </si>
  <si>
    <t>V00706</t>
  </si>
  <si>
    <t>Wadi Warehsouse, 17 street umm ramool</t>
  </si>
  <si>
    <t>Muhammad Talha General Trading LLC</t>
  </si>
  <si>
    <t>V00708</t>
  </si>
  <si>
    <t>Office No. 304, Al Sabkha Building, Above Jovial Watch Shop, Near Sabkha Bus Station, Deira</t>
  </si>
  <si>
    <t>Harmilap Trading Co. LLC</t>
  </si>
  <si>
    <t>V00709</t>
  </si>
  <si>
    <t>F-303, Bahman Building, Near Naif Police Station, Opposite UAE Exchange, Near car parking building,</t>
  </si>
  <si>
    <t>MEMORY TECHNOLOGY MIDDLE EAST</t>
  </si>
  <si>
    <t>V00710</t>
  </si>
  <si>
    <t>DUBAI â€“ DEIRA â€“ AL KHALEEJ STREET â€“ NEAR AL MASHREQ BANK â€“ EXTREME SHOP</t>
  </si>
  <si>
    <t>HTG Electronics Trdg LLC</t>
  </si>
  <si>
    <t>V00711</t>
  </si>
  <si>
    <t>Opposite Naif Police Station, behing RTA Parking</t>
  </si>
  <si>
    <t>Sumni Communications LLC</t>
  </si>
  <si>
    <t>V00712</t>
  </si>
  <si>
    <t>PObox 92914, Ayyar Nasser Road Deira</t>
  </si>
  <si>
    <t>Alesayi United</t>
  </si>
  <si>
    <t>V00713</t>
  </si>
  <si>
    <t>RA8FG2, PO BOX 16999, Jebel Ali, Dubai , UAE</t>
  </si>
  <si>
    <t>Desert Style LLC</t>
  </si>
  <si>
    <t>V00714</t>
  </si>
  <si>
    <t>Delivery to Warehouse</t>
  </si>
  <si>
    <t>Al Kunuz General Trading LLC (DXB - SASS)</t>
  </si>
  <si>
    <t>V00716</t>
  </si>
  <si>
    <t>Hyperphone LLC (Samsung Mobile +Apple)</t>
  </si>
  <si>
    <t>V00717</t>
  </si>
  <si>
    <t>HYPERPHONE LLC ;MOMAX GALLERIA RESIDENCE; OFFICE # 412/413 HAYATT REGENCY DEIRA; DUBAI UAE</t>
  </si>
  <si>
    <t>V00718</t>
  </si>
  <si>
    <t>M-6, Block A, Al Kazim Building. Near Al Tayer Motors. Al Garhoud</t>
  </si>
  <si>
    <t>House of Brands</t>
  </si>
  <si>
    <t>V00719</t>
  </si>
  <si>
    <t>EONMETALL MENA FZCO, P O Box 17584, FD01 Street N503, North Jafza, UAE</t>
  </si>
  <si>
    <t>Preview General Trading L.L.C</t>
  </si>
  <si>
    <t>V00720</t>
  </si>
  <si>
    <t>Al Zara Building, Shop No. S3 Souq Al Kabeer, Bur Dubai PO Box 172680, Dubai, U.A.E (Tel +971 4 3889</t>
  </si>
  <si>
    <t>Aquacell General Trading LLC</t>
  </si>
  <si>
    <t>V00721</t>
  </si>
  <si>
    <t>303, Al Futtaim Tower, Banias Square, Day to Day Building, Deira</t>
  </si>
  <si>
    <t>Rawaa Al Nakhbah for watches Est.</t>
  </si>
  <si>
    <t>SV00348</t>
  </si>
  <si>
    <t>Al Balad Rawaa Al Nakhbah 9th floor, office no. 86</t>
  </si>
  <si>
    <t>Rawaa Al Nakhbah for watches Est.(SOR)</t>
  </si>
  <si>
    <t>SV00349</t>
  </si>
  <si>
    <t>Deepali General Trading LLC</t>
  </si>
  <si>
    <t>V00724</t>
  </si>
  <si>
    <t>Shop Number 11, Saeed Hashim Building, Meena Bazaar, Bur Dubai</t>
  </si>
  <si>
    <t>FORAT AL IRAQ TRADING FZE LLC KSA SOR</t>
  </si>
  <si>
    <t>SV00350</t>
  </si>
  <si>
    <t>Warehouse</t>
  </si>
  <si>
    <t>VERA PERLA GENERAL TRADING LLC</t>
  </si>
  <si>
    <t>V00725</t>
  </si>
  <si>
    <t>204, AL ATTAR BUILDING, DEIRA GOLD SOUQ, BEHIND THE GOLD LAND</t>
  </si>
  <si>
    <t>TAX Electronics Trading LLC</t>
  </si>
  <si>
    <t>V00726</t>
  </si>
  <si>
    <t>Naif Road, Shop 506, TCHIPS, Ayyal Naseer Road</t>
  </si>
  <si>
    <t>G-Tide Mobile Phone LLc</t>
  </si>
  <si>
    <t>V00727</t>
  </si>
  <si>
    <t>AL Mussalah Road, Near Naif Police Station</t>
  </si>
  <si>
    <t>SV00351</t>
  </si>
  <si>
    <t>Zinati International Establishment</t>
  </si>
  <si>
    <t>SV00352</t>
  </si>
  <si>
    <t>Building #302, Chamber of Commerce Warehouse Al Khumra</t>
  </si>
  <si>
    <t>Green Dome General Trading</t>
  </si>
  <si>
    <t>Item ID2</t>
  </si>
  <si>
    <t>Corporate cotton</t>
  </si>
  <si>
    <t>V00001</t>
  </si>
  <si>
    <t>Nadd Al Hamar Rd; Nadd Al Hamar - إمارة دبيّ - United Arab Emirates</t>
  </si>
  <si>
    <t>Winds Gulf Trading Establishment</t>
  </si>
  <si>
    <t>SV00353</t>
  </si>
  <si>
    <t>Exit 16, Sulay, Behind Dalla Driving School</t>
  </si>
  <si>
    <t>Bassurrah For Home Supplies Co Ltd</t>
  </si>
  <si>
    <t>SV00354</t>
  </si>
  <si>
    <t>Bassurrah for Home Supplies, Imam Muslim Road, Shifa</t>
  </si>
  <si>
    <t>Regal Textiles</t>
  </si>
  <si>
    <t>V00732</t>
  </si>
  <si>
    <t>Regal International LLC, Curve Building, Office # F-49, Al Quoz-1, Opposite Ajmal, Perfumes</t>
  </si>
  <si>
    <t>Muhammed Abdulaziz Adeeb Al-Abbasi Co.</t>
  </si>
  <si>
    <t>SV00355</t>
  </si>
  <si>
    <t>Eastern Ring road - Exit #17 to the west â€“ u-turn from the first traffic light - first right turn (S</t>
  </si>
  <si>
    <t>Microless DMCC</t>
  </si>
  <si>
    <t>V00736</t>
  </si>
  <si>
    <t>Shop 16, Lake Terrace Tower, Cluster D, JLT</t>
  </si>
  <si>
    <t>Advanced Supplies Trading Est.</t>
  </si>
  <si>
    <t>SV00356</t>
  </si>
  <si>
    <t>Dabbab Street Somatco Building 1st Floor</t>
  </si>
  <si>
    <t>Advanced Supplies Trading Est. (SOR)</t>
  </si>
  <si>
    <t>SV00357</t>
  </si>
  <si>
    <t>Sulaiman Alfouzan Center for Household</t>
  </si>
  <si>
    <t>SV00358</t>
  </si>
  <si>
    <t>Alfouzan Center for Household Warehouse, Dar Ul Baiza Area Riyadh</t>
  </si>
  <si>
    <t>Al Eatsam Al Khaliji Comm LTD (Olsenmark)</t>
  </si>
  <si>
    <t>SV00359</t>
  </si>
  <si>
    <t>Al EAtsam Al Khaliji Comm LTD PO Box: 4942, Riyadh: 11412, Nesto Building, Margab- Batha</t>
  </si>
  <si>
    <t>MARGOUN GENERAL TRADING LLC</t>
  </si>
  <si>
    <t>V00737</t>
  </si>
  <si>
    <t>DUBAI, DEIRA, MUSSALAH ROAD, OPPOSITE SHARAF EXCHANGE</t>
  </si>
  <si>
    <t>Prime technology Middle East LLC</t>
  </si>
  <si>
    <t>V00738</t>
  </si>
  <si>
    <t>712 , Atrium center building , Bank Street Area , Al Fahidi , Burdubai , Dubai</t>
  </si>
  <si>
    <t>Adhkari Trading Est</t>
  </si>
  <si>
    <t>SV00363</t>
  </si>
  <si>
    <t>Old Kharj Road, New Sanaya, Al Riyadh</t>
  </si>
  <si>
    <t>14+5</t>
  </si>
  <si>
    <t>Global Marketing Opportunities Co</t>
  </si>
  <si>
    <t>SV00361</t>
  </si>
  <si>
    <t>Shifa Street, Daman Hore, Adnan: 0555686715</t>
  </si>
  <si>
    <t>Moonways International Co.</t>
  </si>
  <si>
    <t>SV00362</t>
  </si>
  <si>
    <t>Warehouse No 06, Al Hair Road, Dar Al Baidah</t>
  </si>
  <si>
    <t>Mossat Adawat al Montaq al Tajara</t>
  </si>
  <si>
    <t>SV00360</t>
  </si>
  <si>
    <t>Dar ul Baida Istanbul Road</t>
  </si>
  <si>
    <t>SEEOF SHOP</t>
  </si>
  <si>
    <t>SV00364</t>
  </si>
  <si>
    <t>Manfouha Riyadh Saudi Arab.</t>
  </si>
  <si>
    <t>AQ Trading</t>
  </si>
  <si>
    <t>SV00365</t>
  </si>
  <si>
    <t>After Rajhi bank, main road, shara aam, As Sanabel, Jeddah</t>
  </si>
  <si>
    <t>Netronics</t>
  </si>
  <si>
    <t>SV00366</t>
  </si>
  <si>
    <t>Hiraj Bin Qasim Exit 21 Manfoha</t>
  </si>
  <si>
    <t>I-Contech</t>
  </si>
  <si>
    <t>SV00367</t>
  </si>
  <si>
    <t>Americana Computer Systems LLC</t>
  </si>
  <si>
    <t>V00744</t>
  </si>
  <si>
    <t>Stocks will be delivered in Wadi warehouse</t>
  </si>
  <si>
    <t>Carbon Tech General Trading LLC</t>
  </si>
  <si>
    <t>V00745</t>
  </si>
  <si>
    <t>Rona Cargo Warehouse No. 6, Industrial Area 18, Sharjah- Kalba</t>
  </si>
  <si>
    <t>Commercial Orient Holding Co. LTD</t>
  </si>
  <si>
    <t>SV00368</t>
  </si>
  <si>
    <t>Al Deera District - Sowelim street</t>
  </si>
  <si>
    <t>Moasasat Kemam Al Masader letejara (Sources Top Trading Est)</t>
  </si>
  <si>
    <t>SV00369</t>
  </si>
  <si>
    <t>Sources Top Trading Est, Exit 21, Makha Road, Darul Baida. Ershad - 0572506259</t>
  </si>
  <si>
    <t>Office 404, 4th Floor, Emaar Square Building No. 6, downtown dubai</t>
  </si>
  <si>
    <t>Abdulaziz Mohammad Uthman Al Obaid Trading</t>
  </si>
  <si>
    <t>Batha Electronic Market</t>
  </si>
  <si>
    <t>ITALY'S GOT STYLE SRL (SOR)</t>
  </si>
  <si>
    <t>SV00387</t>
  </si>
  <si>
    <t>3+4</t>
  </si>
  <si>
    <t>Dawaran El Khaleej Trading SOR</t>
  </si>
  <si>
    <t>SV00370</t>
  </si>
  <si>
    <t>V00754</t>
  </si>
  <si>
    <t>Mushal Saad Al Otaibi Trading Est</t>
  </si>
  <si>
    <t>Mushal Saad Al Otaibi Trading Est(SOR)</t>
  </si>
  <si>
    <t>SV00385</t>
  </si>
  <si>
    <t>V00757</t>
  </si>
  <si>
    <t>Warehouse no C#48 Hamad Warehouse Complex 1th Street - Al Qusais Industrial Area 1 Opp Al Nahda Pond Park &amp;  Zulekha Hospital dubai</t>
  </si>
  <si>
    <t>Hidden Beauty Lingerie (SOR)</t>
  </si>
  <si>
    <t>V00779</t>
  </si>
  <si>
    <t>Dubai Hero,GC-19 , Vox Cineplex Grand Hyatt, Dubai</t>
  </si>
  <si>
    <t>971556518692​</t>
  </si>
  <si>
    <t>4+18</t>
  </si>
  <si>
    <t>Al Hazam Perfumes (SOR)</t>
  </si>
  <si>
    <t>V00774</t>
  </si>
  <si>
    <t>Spinneys Dubai LLC</t>
  </si>
  <si>
    <t>V00748</t>
  </si>
  <si>
    <t>Mercato, jumeirah</t>
  </si>
  <si>
    <t>EnVision Sourcing &amp; Trading F.Z.C</t>
  </si>
  <si>
    <t>V00755</t>
  </si>
  <si>
    <t>P.O Box 932, Suite F 252 C</t>
  </si>
  <si>
    <t>MONSTER MIDDLE EAST FZE</t>
  </si>
  <si>
    <t>NC7 JEBEL ALI FREE ZONE</t>
  </si>
  <si>
    <t>New Phone Land DMCC</t>
  </si>
  <si>
    <t>Shop#15, Phone Land, Cluster B, Lake View Tower, Jumeirah Lakes Towerw</t>
  </si>
  <si>
    <t>Tanushh Electronics</t>
  </si>
  <si>
    <t>V00756</t>
  </si>
  <si>
    <t>15 A, Al Manara Street, Al Quoz 1</t>
  </si>
  <si>
    <t>Muasassat Madina Al Mantagha Tijara (Logic City Trading EST)</t>
  </si>
  <si>
    <t>SV00371</t>
  </si>
  <si>
    <t>Askan No 1, Al Kharj Road, Warehouse No: 332,333, Riyadh, KSA</t>
  </si>
  <si>
    <t>GREEN FUTURE TRADING L.L.C</t>
  </si>
  <si>
    <t>V00760</t>
  </si>
  <si>
    <t>AL QUSAIS DOHA STREET OPPOSITE TO ZULEKHA HOSPITAL NEXT TO SAHAR FOOD WAREHOUSE NO 6 AND 18</t>
  </si>
  <si>
    <t>6+14</t>
  </si>
  <si>
    <t>Sol Micro General Trading LLC</t>
  </si>
  <si>
    <t>V00761</t>
  </si>
  <si>
    <t>Al Futtaim Engineering &amp; Technologies LtD</t>
  </si>
  <si>
    <t>SV00372</t>
  </si>
  <si>
    <t>Sendex Werehouse Istanbul Street</t>
  </si>
  <si>
    <t>Muasassat Sajida Mohid Mahee Rahm Hafiz Trading</t>
  </si>
  <si>
    <t>SV00373</t>
  </si>
  <si>
    <t>7692 Mansuriyah Next to Al Aziziyah Dar al Baida</t>
  </si>
  <si>
    <t>Jalba Trading Office</t>
  </si>
  <si>
    <t>SV00374</t>
  </si>
  <si>
    <t>Kharj Road, Dar-ul-Bayda No 12</t>
  </si>
  <si>
    <t>Tech one</t>
  </si>
  <si>
    <t>SV00375</t>
  </si>
  <si>
    <t>Prince Mamdouh Road Next to Subway</t>
  </si>
  <si>
    <t>Shirkat Shatea Al-Ghadeer Al-Tijara Al-Mukhawalat (Shatea Al-Ghadeer Trading &amp; Construction)</t>
  </si>
  <si>
    <t>SV00376</t>
  </si>
  <si>
    <t>Dar ul Baida Opp New Haraj Warehouse # 7</t>
  </si>
  <si>
    <t>SV00377</t>
  </si>
  <si>
    <t>Alshifa Al yabr Street In Front of Salter House</t>
  </si>
  <si>
    <t>Southwind Telecom co</t>
  </si>
  <si>
    <t>SV00378</t>
  </si>
  <si>
    <t>Olaya 1st floor beside kfc</t>
  </si>
  <si>
    <t>############</t>
  </si>
  <si>
    <t>Alireza Holding Co ( Tokyo Games )</t>
  </si>
  <si>
    <t>SV00379</t>
  </si>
  <si>
    <t>Al Majdoui Roundabout &amp; Ikea Warehouse, Off King Faisal Road, Al Khumra.</t>
  </si>
  <si>
    <t>4+16</t>
  </si>
  <si>
    <t>Bagader Commercial Co. Ltd</t>
  </si>
  <si>
    <t>SV00380</t>
  </si>
  <si>
    <t>Ladins Frames FZE(SOR)</t>
  </si>
  <si>
    <t>V00762</t>
  </si>
  <si>
    <t>Ladins Frames, Warehouse Number BB1, Jebel Ali Free Zone, Dubai, UAE, TEL: 04 8836923</t>
  </si>
  <si>
    <t>Ladins Frames FZE</t>
  </si>
  <si>
    <t>V00763</t>
  </si>
  <si>
    <t>Unik Sources Trading Co (LLC) SOR</t>
  </si>
  <si>
    <t>V00764</t>
  </si>
  <si>
    <t>Kanary Commercial Brokers SOR</t>
  </si>
  <si>
    <t>V00765</t>
  </si>
  <si>
    <t>Al Wifaq Genral Trading LLC SOR</t>
  </si>
  <si>
    <t>V00766</t>
  </si>
  <si>
    <t>Regal Textiles SOR</t>
  </si>
  <si>
    <t>V00767</t>
  </si>
  <si>
    <t>Dar alamana Electronic Trading LLC (SOR)</t>
  </si>
  <si>
    <t>V00768</t>
  </si>
  <si>
    <t>MUSEUM ZONE GENERAL TRADING LLC (SOR)</t>
  </si>
  <si>
    <t>V00769</t>
  </si>
  <si>
    <t>AL WARDA AL ZARQA GENERAL TRADING LLC (SOR)</t>
  </si>
  <si>
    <t>V00770</t>
  </si>
  <si>
    <t>Optoline LLC (SOR)</t>
  </si>
  <si>
    <t>V00771</t>
  </si>
  <si>
    <t>Jubilee store LLC (SOR)</t>
  </si>
  <si>
    <t>V00772</t>
  </si>
  <si>
    <t>COPPER DOME CONTRACTING EST</t>
  </si>
  <si>
    <t>SV00381</t>
  </si>
  <si>
    <t>Riyadh â€“ Khaldeya â€“ Abdul Rahman Shamma Street</t>
  </si>
  <si>
    <t>Matar Mohammed Al-Dossari Trading</t>
  </si>
  <si>
    <t>SV00382</t>
  </si>
  <si>
    <t>ADBULLAH AL ANQRI ROAD Waroud area</t>
  </si>
  <si>
    <t>Technology Scopes Trading</t>
  </si>
  <si>
    <t>SV00383</t>
  </si>
  <si>
    <t>King Abdul Aziz Road- Warood Area</t>
  </si>
  <si>
    <t>Magic Sign</t>
  </si>
  <si>
    <t>SV00384</t>
  </si>
  <si>
    <t>PO BOX 325718 riyadh 11371</t>
  </si>
  <si>
    <t>Daybreak General Trading LLC</t>
  </si>
  <si>
    <t>V00781</t>
  </si>
  <si>
    <t>901, The Light Tower</t>
  </si>
  <si>
    <t>Qaramesh Est. for Trading</t>
  </si>
  <si>
    <t>SV00389</t>
  </si>
  <si>
    <t>Heteen, Al Dereeya Ajaks</t>
  </si>
  <si>
    <t>KHALIFA AL MOHAIRY EST</t>
  </si>
  <si>
    <t>SV00390</t>
  </si>
  <si>
    <t>KHALIFA AL MOHAIRY EST, AL IHSA STREET,</t>
  </si>
  <si>
    <t>TeleWorld FZCO</t>
  </si>
  <si>
    <t>V00786</t>
  </si>
  <si>
    <t>LIU#C16 - Dubai Airport Free Zone</t>
  </si>
  <si>
    <t>Awad Mohammed Al Hadi &amp; Sons Company for Trading</t>
  </si>
  <si>
    <t>SV00391</t>
  </si>
  <si>
    <t>Al Rawda District - Sibawayh Street</t>
  </si>
  <si>
    <t>PC TIME</t>
  </si>
  <si>
    <t>SV00392</t>
  </si>
  <si>
    <t>PC - Time Store, Olaya Computer Market, Beside Marhaba Restaurant</t>
  </si>
  <si>
    <t>Unicom Gulf General Trading LLC</t>
  </si>
  <si>
    <t>V00788</t>
  </si>
  <si>
    <t>Office 205-207 - Bu Shaqer Building - Garhoud</t>
  </si>
  <si>
    <t>EAGLE WORLD CENTER</t>
  </si>
  <si>
    <t>SV00393</t>
  </si>
  <si>
    <t>MALAZ , BADR AL MAZNI ROAD VILLA 28 ,DUBBAT DISTRICT.</t>
  </si>
  <si>
    <t>Advance Developed Technology</t>
  </si>
  <si>
    <t>SV00394</t>
  </si>
  <si>
    <t>AL Balad King Abdul Aziz RD Queens BLD Shop No-86</t>
  </si>
  <si>
    <t>Shift Technology IT EST (KSA)</t>
  </si>
  <si>
    <t>SV00395</t>
  </si>
  <si>
    <t>Shift Technology Briman, Saleh Al Zahri Street, 3rd warehouse, Jeddah, KSA</t>
  </si>
  <si>
    <t>INTEGRATED TECHNOLOGIES CONTRACTING Est</t>
  </si>
  <si>
    <t>SV00396</t>
  </si>
  <si>
    <t>Rawasi Al Bina Office # 4025 2nd floor Olaya View, opposite Kingdom tower.</t>
  </si>
  <si>
    <t>Brilliant Co LTD</t>
  </si>
  <si>
    <t>SV00397</t>
  </si>
  <si>
    <t>Experts Partners Est. for Trading</t>
  </si>
  <si>
    <t>SV00398</t>
  </si>
  <si>
    <t>Um Al Hamam - Prince Nawaf bin AbdulAziz street</t>
  </si>
  <si>
    <t>Run 1</t>
  </si>
  <si>
    <t>Run 2</t>
  </si>
  <si>
    <t>Run 3</t>
  </si>
  <si>
    <t>Bagader Commercial Co. Ltd (SOR)</t>
  </si>
  <si>
    <t>SV00405</t>
  </si>
  <si>
    <t>Malem Al Qursan Est. for Trading</t>
  </si>
  <si>
    <t>SV00399</t>
  </si>
  <si>
    <t>Al Sahafa District - Prince Salman bin Hammd</t>
  </si>
  <si>
    <t>5+20</t>
  </si>
  <si>
    <t>SV00400</t>
  </si>
  <si>
    <t>Olaya Street Next to Zara Riyadh</t>
  </si>
  <si>
    <t>Beauty Box Ltd</t>
  </si>
  <si>
    <t>SV00401</t>
  </si>
  <si>
    <t>Al Hamra District - Arafat Street Building Shahwan Center Floor #2 Office #1</t>
  </si>
  <si>
    <t>Beauty Box Ltd (SOR)</t>
  </si>
  <si>
    <t>SV00402</t>
  </si>
  <si>
    <t>Al Yasra Trading Company LTD</t>
  </si>
  <si>
    <t>SV00403</t>
  </si>
  <si>
    <t>Al Rawdah Dist. Khorais Road Behind Al Ghuthmi Furniture, Prince Haser Bin Abdul Aziz Street 11365 K</t>
  </si>
  <si>
    <t>AMIABLE ELECTRONICS TRADING LLC</t>
  </si>
  <si>
    <t>V00791</t>
  </si>
  <si>
    <t>212, churchill Tower, Business bay</t>
  </si>
  <si>
    <t>UNIVERCELL GENERAL TRADING LLC</t>
  </si>
  <si>
    <t>V00792</t>
  </si>
  <si>
    <t>SHOP NO 6 AYAL NASIR DEIRA DUBAI NAIF AREA</t>
  </si>
  <si>
    <t>Timeless Store FZC</t>
  </si>
  <si>
    <t>V00793</t>
  </si>
  <si>
    <t>305, Al Manara - 3, Al Nahda, Sharjah</t>
  </si>
  <si>
    <t>Estrass Est. for Trading</t>
  </si>
  <si>
    <t>SV00407</t>
  </si>
  <si>
    <t>Ulayya - King Fahad Street - Opposite side of King Fahad Library on the same area of Wadi office</t>
  </si>
  <si>
    <t>Budoor Mazin Establishment for IT &amp; Telecommunication</t>
  </si>
  <si>
    <t>SV00408</t>
  </si>
  <si>
    <t>Hatim-Tai-Street, Al Aziziyah, Jeddah,</t>
  </si>
  <si>
    <t>E-Mart Electronics Marketing Co</t>
  </si>
  <si>
    <t>SV00409</t>
  </si>
  <si>
    <t>Imam Abdullah bin saud Road, Ishbilya</t>
  </si>
  <si>
    <t>MOAZZAM WATCHES TRADING LLC</t>
  </si>
  <si>
    <t>V00794</t>
  </si>
  <si>
    <t>216, 2nd Floor, DXB Businessman Services (Immigration) Building, Near Naif Souq, Deira Street, Deir</t>
  </si>
  <si>
    <t>MOAZZAM WATCHES TRADING LLC (SOR)</t>
  </si>
  <si>
    <t>V00795</t>
  </si>
  <si>
    <t>United Trading &amp; Marketing Co.(SOR)</t>
  </si>
  <si>
    <t>SV00410</t>
  </si>
  <si>
    <t>Abaya, Black</t>
  </si>
  <si>
    <t>Trucare FZC</t>
  </si>
  <si>
    <t>V00797</t>
  </si>
  <si>
    <t>PLAYSMART, Business Bay, Opal Business Tower, 9th Floor, Office # 909</t>
  </si>
  <si>
    <t>10+3</t>
  </si>
  <si>
    <t>Run1</t>
  </si>
  <si>
    <t>route1</t>
  </si>
  <si>
    <t>Muassasat Awal Faqa Tijara</t>
  </si>
  <si>
    <t>SV00411</t>
  </si>
  <si>
    <t>Aziziya District AL Kharaj Road AL Shamiya Street Behind Bawadi Mosque</t>
  </si>
  <si>
    <t>Al Futtaim Watches &amp; Jewellery</t>
  </si>
  <si>
    <t>V00802</t>
  </si>
  <si>
    <t>Lamcy Plaza - Oud Mehtha - Dubai</t>
  </si>
  <si>
    <t>Global Trend Trading Est</t>
  </si>
  <si>
    <t>SV00412</t>
  </si>
  <si>
    <t>Al Sharafiyyah Dst,Saudi Tech Building, Palestine Street</t>
  </si>
  <si>
    <t>Al-Rmaih Trading Est</t>
  </si>
  <si>
    <t>SV00413</t>
  </si>
  <si>
    <t>King Fahad Road Al Aqiq Area Near KIA motors</t>
  </si>
  <si>
    <t>Roumaan E Trading</t>
  </si>
  <si>
    <t>V00803</t>
  </si>
  <si>
    <t>P3, Empire Heights, Business Bay, Dubai</t>
  </si>
  <si>
    <t>Roumaan E Trading(SOR)</t>
  </si>
  <si>
    <t>V00804</t>
  </si>
  <si>
    <t>Dubai Trade Link LLC</t>
  </si>
  <si>
    <t>V00805</t>
  </si>
  <si>
    <t>4th Floor, Office 24, Mighas Jewellery / Cash Express Building, 10 Al Khor Street, Community 112, Al</t>
  </si>
  <si>
    <t>Delta Marketing Company</t>
  </si>
  <si>
    <t>SV00414</t>
  </si>
  <si>
    <t>Olaya District - Olaya Street</t>
  </si>
  <si>
    <t>Delta Marketing Company (SOR)</t>
  </si>
  <si>
    <t>SV00415</t>
  </si>
  <si>
    <t>Perfume Unlimited</t>
  </si>
  <si>
    <t>V00806</t>
  </si>
  <si>
    <t>Perfume Unlimited LLC, Shop No.3, Behind UAE Exchange, Deira Dubai</t>
  </si>
  <si>
    <t>El Emam International Trading</t>
  </si>
  <si>
    <t>V00807</t>
  </si>
  <si>
    <t>Ajman, Rashidya, Falcon Towers, Business Tower B1, Office 301</t>
  </si>
  <si>
    <t>El Emam International Trading (SOR)</t>
  </si>
  <si>
    <t>V00808</t>
  </si>
  <si>
    <t>SMART INFOCOMM FZ LLC (SOR)</t>
  </si>
  <si>
    <t>V00812</t>
  </si>
  <si>
    <t>AL WAKEL FOR TRADING</t>
  </si>
  <si>
    <t>SV00416</t>
  </si>
  <si>
    <t>Jeddah - Haraj Swarikh - Hashim Market - Gate 11</t>
  </si>
  <si>
    <t>Anwan Al Afkar Trading</t>
  </si>
  <si>
    <t>SV00417</t>
  </si>
  <si>
    <t>Prince Sultan St, Humaidi plaza</t>
  </si>
  <si>
    <t>khalaf alenezi trade</t>
  </si>
  <si>
    <t>SV00418</t>
  </si>
  <si>
    <t>8040 alturfah st alnadeem , riyadh</t>
  </si>
  <si>
    <t>Madi International Co. LLC</t>
  </si>
  <si>
    <t>V00813</t>
  </si>
  <si>
    <t>Al Qouz 2, Dubai, Industrial 2, PO Box 56290, Madi International Building</t>
  </si>
  <si>
    <t>Mohammed M Ali Otain Computers EST</t>
  </si>
  <si>
    <t>SV00419</t>
  </si>
  <si>
    <t>Al Dossary Tower Al Khobar</t>
  </si>
  <si>
    <t>Perfume Unlimited(SOR)</t>
  </si>
  <si>
    <t>V00814</t>
  </si>
  <si>
    <t>Mohammad Al Zahid Electronics</t>
  </si>
  <si>
    <t>SV00420</t>
  </si>
  <si>
    <t>Dossary Tower Ground Floor AL Khobar</t>
  </si>
  <si>
    <t>Abdulrehman Lafi Trading</t>
  </si>
  <si>
    <t>SV00421</t>
  </si>
  <si>
    <t>Doseri Cnter- Shop 102 Damam</t>
  </si>
  <si>
    <t>DUTCHKID FZCO</t>
  </si>
  <si>
    <t>V00820</t>
  </si>
  <si>
    <t>Thomson Mercantile And Marine, Jebel Ali FZ South, Near Rerdington. Dubai, UAE</t>
  </si>
  <si>
    <t>9714 323 2500(ext. 112)</t>
  </si>
  <si>
    <t>Noas Trading L.L.C.</t>
  </si>
  <si>
    <t>V00818</t>
  </si>
  <si>
    <t>Oscar Gallery FZ-LLc</t>
  </si>
  <si>
    <t>V00816</t>
  </si>
  <si>
    <t>19a Street, Makateb Building, Office 706, Deira</t>
  </si>
  <si>
    <t>Oscar Gallery FZ-LLc (SOR)</t>
  </si>
  <si>
    <t>V00817</t>
  </si>
  <si>
    <t>Tammam Watches Est. For Trading</t>
  </si>
  <si>
    <t>SV00422</t>
  </si>
  <si>
    <t>Al Balad - Thahab Street</t>
  </si>
  <si>
    <t>Tammam Watches Est. For Trading (SOR)</t>
  </si>
  <si>
    <t>SV00423</t>
  </si>
  <si>
    <t>TELEFLEX GENERAL TRADING LLC</t>
  </si>
  <si>
    <t>V00819</t>
  </si>
  <si>
    <t>210, BADRI BUILDING, BANIYAS SQUARE, B/S RED MOSQUE</t>
  </si>
  <si>
    <t>Qaramesh Est. for Trading(SOR)</t>
  </si>
  <si>
    <t>SV00424</t>
  </si>
  <si>
    <t>Star Dreams General Trading LLC</t>
  </si>
  <si>
    <t>V00821</t>
  </si>
  <si>
    <t>Office No. 107, Art Tower Opposite To Dubai Customs Al Mina Road</t>
  </si>
  <si>
    <t>A&amp;A INTERNATIONAL TRDADING LLC</t>
  </si>
  <si>
    <t>V00822</t>
  </si>
  <si>
    <t>Sabka Bus Station, textile market PO BOX 378315 - DUBAI UAE</t>
  </si>
  <si>
    <t>Gitanjali Jewels</t>
  </si>
  <si>
    <t>V00823</t>
  </si>
  <si>
    <t>33/D, Almas Tower, I Cluster, JLT</t>
  </si>
  <si>
    <t>Anaswara Jewellery L.L.C</t>
  </si>
  <si>
    <t>V00824</t>
  </si>
  <si>
    <t>Sheikh Rashid Colony, Deluxe Building, Shop 4. Al Qusais 04-2639586</t>
  </si>
  <si>
    <t>BRIZ ELECTRONICS</t>
  </si>
  <si>
    <t>V00825</t>
  </si>
  <si>
    <t>POBOX43211 , OPP DEIRA PALACE HOTEL , THANI AL THANI BLDG , OFFICE 204</t>
  </si>
  <si>
    <t>Teleios Luxe General Trading LLC</t>
  </si>
  <si>
    <t>V00826</t>
  </si>
  <si>
    <t>Ayal Nasir Deira Dubai, Hamda Building, Flat M06</t>
  </si>
  <si>
    <t>Teleios Luxe General Trading LLC (SOR)</t>
  </si>
  <si>
    <t>V00827</t>
  </si>
  <si>
    <t>Ali Hamad Bagashi Trading</t>
  </si>
  <si>
    <t>SV00425</t>
  </si>
  <si>
    <t>King Fahad Street Near LG Showroom AL Khobar</t>
  </si>
  <si>
    <t>Mohamed Ibrahim Al Shamasy Est. for Trading</t>
  </si>
  <si>
    <t>SV00426</t>
  </si>
  <si>
    <t>Khalid Ibn Al Waleed Street - Al Hamra District</t>
  </si>
  <si>
    <t>Mohamed Ibrahim Al Shamasy Est. for Trading (SOR)</t>
  </si>
  <si>
    <t>SV00427</t>
  </si>
  <si>
    <t>Logicom Arabia</t>
  </si>
  <si>
    <t>SV00428</t>
  </si>
  <si>
    <t>Olaya King Fahad Road Riyadh</t>
  </si>
  <si>
    <t>Abdul Rehman Shadady For Computer system</t>
  </si>
  <si>
    <t>SV00429</t>
  </si>
  <si>
    <t>Olaya Computer market Riyadh</t>
  </si>
  <si>
    <t>Eltiqa Trading</t>
  </si>
  <si>
    <t>SV00430</t>
  </si>
  <si>
    <t>Riyadh - Almalqa</t>
  </si>
  <si>
    <t>Smart electronics technology</t>
  </si>
  <si>
    <t>SV00431</t>
  </si>
  <si>
    <t>Tahlia street Behind al wazzan restaurant Al Naeem building floor 4 office 38</t>
  </si>
  <si>
    <t>12+3</t>
  </si>
  <si>
    <t>Mediators General Trading</t>
  </si>
  <si>
    <t>V00830</t>
  </si>
  <si>
    <t>Souk Madinat Jumeirah, pear in oyster Kiosk- Main Courtyard</t>
  </si>
  <si>
    <t>55+5</t>
  </si>
  <si>
    <t>Mediators General Trading (SOR)</t>
  </si>
  <si>
    <t>V00831</t>
  </si>
  <si>
    <t>Spectrum Zone Electronics L.L.C</t>
  </si>
  <si>
    <t>V00832</t>
  </si>
  <si>
    <t>213. Lootah H.O. Building, Umm Ramool, Rashidiya, Dubai</t>
  </si>
  <si>
    <t>Wintouch Electronic Technology LLC</t>
  </si>
  <si>
    <t>V00833</t>
  </si>
  <si>
    <t>PO Box 41719 , behind astoria hotel, burdubai, UAE</t>
  </si>
  <si>
    <t>Fun-Alturath Trading</t>
  </si>
  <si>
    <t>SV00432</t>
  </si>
  <si>
    <t>Computer Market Olaya Shop-404</t>
  </si>
  <si>
    <t>Al Barsha Vision Electronics LLC</t>
  </si>
  <si>
    <t>V00835</t>
  </si>
  <si>
    <t>Bur Dubai, Newar Al Ghubaiba Bus Station, Al Moosa Building, Shop No: 907</t>
  </si>
  <si>
    <t>Al Fakhr Perfumes.Co.LTD</t>
  </si>
  <si>
    <t>SV00435</t>
  </si>
  <si>
    <t>King Abdul Aziz Street, Balad, Jeddah, Saudi Arabia</t>
  </si>
  <si>
    <t>Al Fakhr Perfumes.Co.LTD (SOR)</t>
  </si>
  <si>
    <t>SV00436</t>
  </si>
  <si>
    <t>Al Jabr Company (Shirkat Al Jabr)</t>
  </si>
  <si>
    <t>SV00438</t>
  </si>
  <si>
    <t>Exit 6 Besides Deraty Resturant</t>
  </si>
  <si>
    <t>Al-Zahrani Trading (Shirkat Hassan Musfir Al-Zahrani Shirka Khubafat)</t>
  </si>
  <si>
    <t>SV00437</t>
  </si>
  <si>
    <t>Imam Muslem Street, Al Shifa District</t>
  </si>
  <si>
    <t>Imteyaz International Trading Co.</t>
  </si>
  <si>
    <t>SV00434</t>
  </si>
  <si>
    <t>Executive Business Center ( EBC ) Al Batrji Street Alzahra District Office # 5</t>
  </si>
  <si>
    <t>MUSHRIF TRADING EST</t>
  </si>
  <si>
    <t>V00836</t>
  </si>
  <si>
    <t>OFFICE 105, ALI AHMED BUILDING, NEAR KUWAITI MASJID, DEIRA, DUBAI,</t>
  </si>
  <si>
    <t>MUSHRIF TRADING EST (SOR)</t>
  </si>
  <si>
    <t>V00837</t>
  </si>
  <si>
    <t>Shabk Trading EST</t>
  </si>
  <si>
    <t>SV00433</t>
  </si>
  <si>
    <t>Al Khalidiya Ali Bin Abi Talab Road, Beside Zahid Tracter Showroom.</t>
  </si>
  <si>
    <t>Masha Mobile Phones Trading L.L.C</t>
  </si>
  <si>
    <t>V00838</t>
  </si>
  <si>
    <t>Office 404 Malik Khalifa Muhammad Ahmed Attiq Al Maheeri Al Marror</t>
  </si>
  <si>
    <t>Al Masa Telecom</t>
  </si>
  <si>
    <t>SV00439</t>
  </si>
  <si>
    <t>Riyadh City , As Sulay , Istanbul ST</t>
  </si>
  <si>
    <t>GAD ZOOM General Trading LLC</t>
  </si>
  <si>
    <t>V00839</t>
  </si>
  <si>
    <t>Compunics Technologies LLC</t>
  </si>
  <si>
    <t>V00840</t>
  </si>
  <si>
    <t>M-28B, Computer plaza, Al-Ain Centre, Al Mankhool St., P.O. Box: 51369, Bur Dubai, UAE</t>
  </si>
  <si>
    <t>Decalac (Muassassat Kheyout Al Fikrah Tijara)</t>
  </si>
  <si>
    <t>SV00440</t>
  </si>
  <si>
    <t>Hai ul Karawan Sharah Abudllah bin Jabair</t>
  </si>
  <si>
    <t>Ijaz Al Khalej Trading Est</t>
  </si>
  <si>
    <t>SV00441</t>
  </si>
  <si>
    <t>Office No. 108, 11th Floor Balahmar Building Al Balad Jeddah.</t>
  </si>
  <si>
    <t>Ijaz Al Khalej Trading Est (SOR)</t>
  </si>
  <si>
    <t>SV00442</t>
  </si>
  <si>
    <t>Distribution &amp; Marketing Company</t>
  </si>
  <si>
    <t>SV00443</t>
  </si>
  <si>
    <t>Rehmania King Fahad Road Riyadh</t>
  </si>
  <si>
    <t>MAPYR FZE</t>
  </si>
  <si>
    <t>V00841</t>
  </si>
  <si>
    <t>Techno Point Building â€“ Office G05 - Dubai Silicon Oasis</t>
  </si>
  <si>
    <t>BANDAR AL-OBAID FOR TRAD. EST.</t>
  </si>
  <si>
    <t>SV00444</t>
  </si>
  <si>
    <t>FIVE BUILDING, BUILDING NO #1, 2ND FLOUR, AL BATHA STREET, RIYADH,</t>
  </si>
  <si>
    <t>Al Qadi Pharmacy &amp; Est.</t>
  </si>
  <si>
    <t>V00842</t>
  </si>
  <si>
    <t>Al Qadi Pharmacy &amp; Est. Warehouse - Al Qusais Industrial Area 3</t>
  </si>
  <si>
    <t>V00844</t>
  </si>
  <si>
    <t>FETCHR, WAREHOUSE 1, THE BOX STORAGE WAREHOUSE COMPOUND, OPPOSITE AL TAQWA MOSQUE, DUBAI INVESTMENT</t>
  </si>
  <si>
    <t>Tactical Store Trade Est.</t>
  </si>
  <si>
    <t>SV00445</t>
  </si>
  <si>
    <t>3308 King Fahd Suburb - Dammam 32511</t>
  </si>
  <si>
    <t>Desam Telecom &amp; Electric Est (SOR)</t>
  </si>
  <si>
    <t>SV00446</t>
  </si>
  <si>
    <t>Al-Waroud Area - Abdullah Al-Angari Street</t>
  </si>
  <si>
    <t>Desam Telecom &amp; Electric Est</t>
  </si>
  <si>
    <t>SV00447</t>
  </si>
  <si>
    <t>Al Jeel Al Thani Co. Ltd. (SOR)</t>
  </si>
  <si>
    <t>SV00449</t>
  </si>
  <si>
    <t>AL ROWDAH, JEDDAH</t>
  </si>
  <si>
    <t>Al Jeel Al Thani Co. Ltd.</t>
  </si>
  <si>
    <t>SV00450</t>
  </si>
  <si>
    <t>Horizon palace for trading co</t>
  </si>
  <si>
    <t>SV00451</t>
  </si>
  <si>
    <t>showroom no.33 gulf complex king fahad street olaya</t>
  </si>
  <si>
    <t>7+4</t>
  </si>
  <si>
    <t>King of Computers LLC</t>
  </si>
  <si>
    <t>King of Computers LLC , Opp. Royal Ascot Hotel Khalid Bin Al Waleed St. Bur Dubai</t>
  </si>
  <si>
    <t>Al Shula General Trading Co . L.L.C</t>
  </si>
  <si>
    <t>Warehouse # 6, Plot # 598-1156, Sheikh Mohammed Bin Zayed Road (E311 Road), Dubai Investment Park 1</t>
  </si>
  <si>
    <t>Bawaba Alfeen Trading</t>
  </si>
  <si>
    <t>SV00452</t>
  </si>
  <si>
    <t>Dossary Tower- Shop No 121</t>
  </si>
  <si>
    <t>Comtel general trading LLC (Hunting)</t>
  </si>
  <si>
    <t>V00847</t>
  </si>
  <si>
    <t>V00848</t>
  </si>
  <si>
    <t>Mummazone Medical Equipment &amp; Trading LLC</t>
  </si>
  <si>
    <t>V00849</t>
  </si>
  <si>
    <t>Shop no 6, Burj Al Noor Building (Behind Sahara Center), Al Nahda 1</t>
  </si>
  <si>
    <t>Al Saira Electronics Est</t>
  </si>
  <si>
    <t>SV00453</t>
  </si>
  <si>
    <t>King Saud Street PO Box 9416, Dammam 31413</t>
  </si>
  <si>
    <t>Al Saira Electronics Est (SOR)</t>
  </si>
  <si>
    <t>SV00454</t>
  </si>
  <si>
    <t>Golden Toys</t>
  </si>
  <si>
    <t>V00850</t>
  </si>
  <si>
    <t>WAREHOUSE: ALQOUZ INDUSTRIAL AREA, 4 TH INTERCHANGE, SHEIKH ZAYED ROAD, TEL. 04-3470597</t>
  </si>
  <si>
    <t>MAPYR FZE (KSA)</t>
  </si>
  <si>
    <t>SV00455</t>
  </si>
  <si>
    <t>Trucare FZC (KSA)</t>
  </si>
  <si>
    <t>SV00456</t>
  </si>
  <si>
    <t>KERMA VENTURES FZE (KSA)</t>
  </si>
  <si>
    <t>SV00457</t>
  </si>
  <si>
    <t>Perfume Unlimited (KSA)</t>
  </si>
  <si>
    <t>SV00458</t>
  </si>
  <si>
    <t>DUTCHKID FZCO (KSA)</t>
  </si>
  <si>
    <t>SV00459</t>
  </si>
  <si>
    <t>Al Qadi Pharmacy &amp; Est. (KSA)</t>
  </si>
  <si>
    <t>SV00460</t>
  </si>
  <si>
    <t>Golden Toys (KSA)</t>
  </si>
  <si>
    <t>SV00461</t>
  </si>
  <si>
    <t>Chawla Architectural and Consulting Engineers 301 Mirza al fardan Building,PO. Box- 281 Satwa, Dubai Al Bada street</t>
  </si>
  <si>
    <t>Goodhope General Trading</t>
  </si>
  <si>
    <t>V00852</t>
  </si>
  <si>
    <t>OFFICE#303, NGI BUILDING, DEIRA</t>
  </si>
  <si>
    <t>I.M Tech (SOR)</t>
  </si>
  <si>
    <t>V00853</t>
  </si>
  <si>
    <t>403 Sarab Tower, Qasba Street</t>
  </si>
  <si>
    <t>I.M Tech</t>
  </si>
  <si>
    <t>V00854</t>
  </si>
  <si>
    <t>PREECEMAY FZE</t>
  </si>
  <si>
    <t>V00855</t>
  </si>
  <si>
    <t>PO Box 326690, Ras Al Khaimah Free Trade Zone, Island Street</t>
  </si>
  <si>
    <t>Al Technologia Al Maseya Est.</t>
  </si>
  <si>
    <t>SV00462</t>
  </si>
  <si>
    <t>Al Zubair Ibn Al Awam Street, Al Salam District</t>
  </si>
  <si>
    <t>Al Fatheen General Trading LLC</t>
  </si>
  <si>
    <t>V00856</t>
  </si>
  <si>
    <t>Warehouse No 8, 24B St, Al Qusais Industrial Area 5, Dubai</t>
  </si>
  <si>
    <t>Areen East &amp; west LLC (KSA)</t>
  </si>
  <si>
    <t>SV00463</t>
  </si>
  <si>
    <t>Qawafil Aloqiylat</t>
  </si>
  <si>
    <t>SV00464</t>
  </si>
  <si>
    <t>Abubaker St , 52377</t>
  </si>
  <si>
    <t>XFX TECHNOLOGY LLC</t>
  </si>
  <si>
    <t>V00857</t>
  </si>
  <si>
    <t>S103 , MUSALLA TOWER, KHALID BIN WALEED ROAD, BUR DUBAI</t>
  </si>
  <si>
    <t>Olha Telecom Trading FZE</t>
  </si>
  <si>
    <t>V00860</t>
  </si>
  <si>
    <t>Office Number 504 B, 5th Floor, Gargash Centre, Near Banyas Square Metro Station</t>
  </si>
  <si>
    <t>Concept Big Brands General Trading LLC</t>
  </si>
  <si>
    <t>V00861</t>
  </si>
  <si>
    <t>Cosmos Warehouse No.4, 10th Street, Al Quoz Industrial Area 4, DubaI</t>
  </si>
  <si>
    <t>Angelus Trading FZC</t>
  </si>
  <si>
    <t>V00862</t>
  </si>
  <si>
    <t>warehouse No H-02 Dafza</t>
  </si>
  <si>
    <t>Think Distribution FZE</t>
  </si>
  <si>
    <t>V00863</t>
  </si>
  <si>
    <t>Al Warqa, Mirdiff, Ghoroob Building 6B, AP- 302</t>
  </si>
  <si>
    <t>Think Distribution FZE (SOR)</t>
  </si>
  <si>
    <t>V00864</t>
  </si>
  <si>
    <t>Etrends Trading LLC (SOR)</t>
  </si>
  <si>
    <t>V00865</t>
  </si>
  <si>
    <t>Smart Step Shoes Trading LLC (SOR)</t>
  </si>
  <si>
    <t>V00866</t>
  </si>
  <si>
    <t>Denver Woods, Industrial Area Number 13, Shed No. 55, Near Qatar Metal</t>
  </si>
  <si>
    <t>NORAN ALSHARQ TRADING EST</t>
  </si>
  <si>
    <t>SV00465</t>
  </si>
  <si>
    <t>Office No. 9, 2 floor, Aljafal Trade Center, King Fahd Road, Otaiqah.</t>
  </si>
  <si>
    <t>NORAN ALSHARQ TRADING EST(SOR)</t>
  </si>
  <si>
    <t>SV00466</t>
  </si>
  <si>
    <t>Yousef Al Obaidan General Trading</t>
  </si>
  <si>
    <t>V00867</t>
  </si>
  <si>
    <t>W/H No. 124, First Al Khail St Next to Landmark Group Warehouse, Jebel Ali Ind 1</t>
  </si>
  <si>
    <t>GREEN SHEEP GROUP LTD</t>
  </si>
  <si>
    <t>SV00467</t>
  </si>
  <si>
    <t>Will deliver at KSA warehouse</t>
  </si>
  <si>
    <t>#ERROR!</t>
  </si>
  <si>
    <t>Sadana Trading Company</t>
  </si>
  <si>
    <t>SV00468</t>
  </si>
  <si>
    <t>Al Manakh district - Near Cement Factory</t>
  </si>
  <si>
    <t>4+2</t>
  </si>
  <si>
    <t>Saudi Arabain Marketing &amp; agencies (SOR)</t>
  </si>
  <si>
    <t>SV00469</t>
  </si>
  <si>
    <t>Computer Cell</t>
  </si>
  <si>
    <t>SV00470</t>
  </si>
  <si>
    <t>Olaya Computer Market, Near Pizza hut Building</t>
  </si>
  <si>
    <t>Dar Al Basaryat Faisal Shaikh Est. for Trading</t>
  </si>
  <si>
    <t>SV00471</t>
  </si>
  <si>
    <t>Sulumanya district , Abo Baker Al Razi street</t>
  </si>
  <si>
    <t>Talabat Al Maktab Company Limited</t>
  </si>
  <si>
    <t>SV00472</t>
  </si>
  <si>
    <t>Exit 16 Al Sulyah Warehouse Area PO Box # 277109 Riyadh 11314</t>
  </si>
  <si>
    <t>Zia Innvation Trading Company ( Shirkat Zia Al Biktar Tijara Mehdood)</t>
  </si>
  <si>
    <t>SV00473</t>
  </si>
  <si>
    <t>Dar ul Baida Opposite New haraj warehouse No 7</t>
  </si>
  <si>
    <t>Global Business Network</t>
  </si>
  <si>
    <t>SV00474</t>
  </si>
  <si>
    <t>635 Trade Center Drive</t>
  </si>
  <si>
    <t>V00870</t>
  </si>
  <si>
    <t>5+40</t>
  </si>
  <si>
    <t>Radiant Traders(SOR)</t>
  </si>
  <si>
    <t>V00871</t>
  </si>
  <si>
    <t>Office # 402, B8 Building, Al Barsha 1</t>
  </si>
  <si>
    <t>Radiant Traders</t>
  </si>
  <si>
    <t>V00872</t>
  </si>
  <si>
    <t>IKIA Ventures(SOR)</t>
  </si>
  <si>
    <t>V00873</t>
  </si>
  <si>
    <t>Aspect Tower 2604 Po Box 115340 Business Bay Dubai UAE</t>
  </si>
  <si>
    <t>IKIA Ventures</t>
  </si>
  <si>
    <t>V00874</t>
  </si>
  <si>
    <t>Bag Jack</t>
  </si>
  <si>
    <t>V00875</t>
  </si>
  <si>
    <t>Office C- block, Al muhaisnah, behind lulu vill, dewa buil Dubai, Al Qusais</t>
  </si>
  <si>
    <t>ABDUL LATIF JAMEEL ELECTRONICS AND AIR CONDITIONING COMPANY LTD.</t>
  </si>
  <si>
    <t>SV00477</t>
  </si>
  <si>
    <t>ALJ Showroom, King Fahad Road Near Toyota Showroom.</t>
  </si>
  <si>
    <t>Computers Age Co Ltd</t>
  </si>
  <si>
    <t>SV00476</t>
  </si>
  <si>
    <t>Al Khaleej Building 2nd Floor office 202</t>
  </si>
  <si>
    <t>Abdul Wahab Nasser Al Homaidhi</t>
  </si>
  <si>
    <t>King Fahd Road Al Nakbha Market Beside Attiqa Market</t>
  </si>
  <si>
    <t>SV00478</t>
  </si>
  <si>
    <t>SV00479</t>
  </si>
  <si>
    <t>Support Lines Est. For IT(SOR)</t>
  </si>
  <si>
    <t>SV00480</t>
  </si>
  <si>
    <t>5299 Haretha Bin Sahl, Al Mazruiyah, Dammam 32414 7504</t>
  </si>
  <si>
    <t>Support Lines Est. For IT</t>
  </si>
  <si>
    <t>SV00481</t>
  </si>
  <si>
    <t>Asbis Middle East</t>
  </si>
  <si>
    <t>V00877</t>
  </si>
  <si>
    <t>SAM TRADING EST</t>
  </si>
  <si>
    <t>SV00482</t>
  </si>
  <si>
    <t>Al-Dossary Tower king Abdullah road P.O.box - 3012 - Al Khobar -31952</t>
  </si>
  <si>
    <t>Perfume House</t>
  </si>
  <si>
    <t>SV00484</t>
  </si>
  <si>
    <t>Manfoha Perfume Market Riyadh Saudi Arab.</t>
  </si>
  <si>
    <t>Coffee Communications FZE LLC</t>
  </si>
  <si>
    <t>The Lakes, Maeen 2, Villa 90</t>
  </si>
  <si>
    <t>Hasan Rayes Est. for Trading</t>
  </si>
  <si>
    <t>SV00483</t>
  </si>
  <si>
    <t>Al Tameer Trading Center, Gate no. 2 - 2nd Floor - Office 210</t>
  </si>
  <si>
    <t>Vog Woman Trading LLC</t>
  </si>
  <si>
    <t>Unit no. 16, Building 502, Spain Cluster, International City</t>
  </si>
  <si>
    <t>Bugshan</t>
  </si>
  <si>
    <t>SV00485</t>
  </si>
  <si>
    <t>General Olaya St. Olaya Dist.</t>
  </si>
  <si>
    <t>Wojooh (Faces)</t>
  </si>
  <si>
    <t>SV00486</t>
  </si>
  <si>
    <t>Price Mohamed St. Olaya Dist.</t>
  </si>
  <si>
    <t>SV00487</t>
  </si>
  <si>
    <t>Kingdom Center, Olaya Dist.</t>
  </si>
  <si>
    <t>SV00488</t>
  </si>
  <si>
    <t>Olaya St. Ajlan Building</t>
  </si>
  <si>
    <t>Sephorah</t>
  </si>
  <si>
    <t>SV00489</t>
  </si>
  <si>
    <t>Aljazeerah</t>
  </si>
  <si>
    <t>SV00490</t>
  </si>
  <si>
    <t>Al sulamania Dist.</t>
  </si>
  <si>
    <t>V00881</t>
  </si>
  <si>
    <t>V00882</t>
  </si>
  <si>
    <t>Al Nassr Trading LLC</t>
  </si>
  <si>
    <t>SV00491</t>
  </si>
  <si>
    <t>KSA Warehouse</t>
  </si>
  <si>
    <t>V00883</t>
  </si>
  <si>
    <t>Golden Technology Trading Est</t>
  </si>
  <si>
    <t>SV00492</t>
  </si>
  <si>
    <t>Olayah Al Saif Building, Computer Market</t>
  </si>
  <si>
    <t>SODAS TRADING GROUP(SOR)</t>
  </si>
  <si>
    <t>SV00493</t>
  </si>
  <si>
    <t>7438 WADI AL RIKHAM, SULAY. CONTACT NAME: SUDHEER SHA - MOBILE NO: +966 50 419 0702</t>
  </si>
  <si>
    <t>SODAS TRADING GROUP</t>
  </si>
  <si>
    <t>SV00494</t>
  </si>
  <si>
    <t>ENTHUSIASM STAR GENERAL TRADING LLC</t>
  </si>
  <si>
    <t>V00884</t>
  </si>
  <si>
    <t>Warehouse No. 59, Al Khawakeb Compound, Al Quoz Indl. Area 2</t>
  </si>
  <si>
    <t>Choozy Clothes And Shoe Trading</t>
  </si>
  <si>
    <t>V00885</t>
  </si>
  <si>
    <t>Office 218, DBCS Building, Al Garhoud</t>
  </si>
  <si>
    <t>Kamon International DMCC (SOR)</t>
  </si>
  <si>
    <t>V00886</t>
  </si>
  <si>
    <t>SV00475</t>
  </si>
  <si>
    <t>Ali al Mehairi Garments Trading</t>
  </si>
  <si>
    <t>V00887</t>
  </si>
  <si>
    <t>1003, Al Owais Building, Al Barsha 1, Dubai, UAE</t>
  </si>
  <si>
    <t>Milkyway Trading llc</t>
  </si>
  <si>
    <t>V00888</t>
  </si>
  <si>
    <t>97,IT center building.burdubai</t>
  </si>
  <si>
    <t>Qasr Al Awani</t>
  </si>
  <si>
    <t>SV00495</t>
  </si>
  <si>
    <t>Southern Ring Road Brand, Shubra, Riyadh, KSA</t>
  </si>
  <si>
    <t>Al Shetaa Wa Al Saif Company</t>
  </si>
  <si>
    <t>SV00496</t>
  </si>
  <si>
    <t>Heyial Wazirat Near Hyper Panda</t>
  </si>
  <si>
    <t>Fast Telecom LTD Co</t>
  </si>
  <si>
    <t>SV00497</t>
  </si>
  <si>
    <t>Fath Makkah St, Haiern Street Warehouse 40 Behind Petrol Station</t>
  </si>
  <si>
    <t>MAY HOUSE CO</t>
  </si>
  <si>
    <t>SV00498</t>
  </si>
  <si>
    <t>Olaya District - Prince Mohamed bin Abdul Aziz (Tahlia) Street</t>
  </si>
  <si>
    <t>MAY HOUSE CO (SOR)</t>
  </si>
  <si>
    <t>SV00499</t>
  </si>
  <si>
    <t>Abraj Al Ahramat Est.</t>
  </si>
  <si>
    <t>SV00500</t>
  </si>
  <si>
    <t>Al Foota street - Al Wazeer district - 8205</t>
  </si>
  <si>
    <t>Four Directions Communications &amp; IT Company LTD</t>
  </si>
  <si>
    <t>SV00501</t>
  </si>
  <si>
    <t>Zu AI Nurayn Center Office 107, Zu AI Nurayn Street, AI Sharafiya District</t>
  </si>
  <si>
    <t>Shoe Bazar LLC</t>
  </si>
  <si>
    <t>V00890</t>
  </si>
  <si>
    <t>Shoe Bazar, Al Fahidi St, Bur Dubai</t>
  </si>
  <si>
    <t>W1315102009</t>
  </si>
  <si>
    <t>SA854EL25BXA-1286</t>
  </si>
  <si>
    <t>HOS - 1</t>
  </si>
  <si>
    <t>Seller Address</t>
  </si>
  <si>
    <t>Date</t>
  </si>
  <si>
    <t>ID</t>
  </si>
  <si>
    <t>SKU Code</t>
  </si>
  <si>
    <t>Seller SKU</t>
  </si>
  <si>
    <t>PO #</t>
  </si>
  <si>
    <t>Product description</t>
  </si>
  <si>
    <t>Cost</t>
  </si>
  <si>
    <t>Quantity received</t>
  </si>
  <si>
    <t>Remarks(QC/Other)</t>
  </si>
  <si>
    <t>Pickup Boy Signature</t>
  </si>
  <si>
    <t>Seller Signature</t>
  </si>
  <si>
    <t>HOS - 2</t>
  </si>
  <si>
    <t>HOS - 3</t>
  </si>
  <si>
    <t>HOS - 4</t>
  </si>
  <si>
    <t>HOS - 5</t>
  </si>
  <si>
    <t>HOS - 6</t>
  </si>
  <si>
    <t>HOS - 7</t>
  </si>
  <si>
    <t>HOS - 8</t>
  </si>
  <si>
    <t>HOS - 9</t>
  </si>
  <si>
    <t>HOS - 10</t>
  </si>
  <si>
    <t>HOS - 11</t>
  </si>
  <si>
    <t>HOS - 12</t>
  </si>
  <si>
    <t>HOS - 13</t>
  </si>
  <si>
    <t>HOS - 14</t>
  </si>
  <si>
    <t>HOS - 15</t>
  </si>
  <si>
    <t>HOS - 16</t>
  </si>
  <si>
    <t>HOS - 17</t>
  </si>
  <si>
    <t>HOS - 18</t>
  </si>
  <si>
    <t>HOS - 19</t>
  </si>
  <si>
    <t>HOS - 20</t>
  </si>
  <si>
    <t>HOS - 21</t>
  </si>
  <si>
    <t>HOS - 22</t>
  </si>
  <si>
    <t>HOS - 23</t>
  </si>
  <si>
    <t>HOS - 24</t>
  </si>
  <si>
    <t>HOS - 25</t>
  </si>
  <si>
    <t>HOS - 26</t>
  </si>
  <si>
    <t>HOS - 27</t>
  </si>
  <si>
    <t>HOS - 28</t>
  </si>
  <si>
    <t>HOS - 29</t>
  </si>
  <si>
    <t>HOS - 30</t>
  </si>
  <si>
    <t>HOS - 31</t>
  </si>
  <si>
    <t>HOS - 32</t>
  </si>
  <si>
    <t>HOS - 33</t>
  </si>
  <si>
    <t>HOS - 34</t>
  </si>
  <si>
    <t>HOS - 35</t>
  </si>
  <si>
    <t>HOS - 36</t>
  </si>
  <si>
    <t>HOS - 37</t>
  </si>
  <si>
    <t>HOS - 38</t>
  </si>
  <si>
    <t>HOS - 39</t>
  </si>
  <si>
    <t>HOS - 40</t>
  </si>
  <si>
    <t>HOS - 41</t>
  </si>
  <si>
    <t>OSKAR PHONES LLC (KSA)</t>
  </si>
  <si>
    <t>SV00502</t>
  </si>
  <si>
    <t>HOS - 42</t>
  </si>
  <si>
    <t>HOS - 43</t>
  </si>
  <si>
    <t>HOS - 44</t>
  </si>
  <si>
    <t>Nester Trading Est.</t>
  </si>
  <si>
    <t>SV00503</t>
  </si>
  <si>
    <t>Al Masanee District , Sulaime area, 106 Al Aziziyah</t>
  </si>
  <si>
    <t>Gulf express trading company</t>
  </si>
  <si>
    <t>SV00504</t>
  </si>
  <si>
    <t>Al Adamah, 9TH Street â€“ Building 7124, Zip code 32242</t>
  </si>
  <si>
    <t>Khalid Abdullah Al Dossary Trading Est</t>
  </si>
  <si>
    <t>SV00505</t>
  </si>
  <si>
    <t>Shop # 113 Ground Floor, Dossary Tower King Abdullah Street</t>
  </si>
  <si>
    <t>10+15</t>
  </si>
  <si>
    <t>Etihad Atheeb Telecom Company</t>
  </si>
  <si>
    <t>SV00506</t>
  </si>
  <si>
    <t>P.O Box 250398 Riyadh 11391 King Abdul Aziz Road Near old Airport</t>
  </si>
  <si>
    <t>27+4</t>
  </si>
  <si>
    <t>Brosco (SOR)</t>
  </si>
  <si>
    <t>SV00507</t>
  </si>
  <si>
    <t>Al Odama District , Al Asher street - Jubail high way</t>
  </si>
  <si>
    <t>Brosco</t>
  </si>
  <si>
    <t>SV00508</t>
  </si>
  <si>
    <t>&lt;table border="1" cellpadding="2" cellspacing="2" style="font-family: Trebuchet MS; font-size: 11px; width:70%; border-collapse: collapse; text-align:center"&gt;</t>
  </si>
  <si>
    <t>HOS - 45</t>
  </si>
  <si>
    <t>Office No – 203 , 2nd Floor Al Ain Centre , Opp Jumbo Show room Bur Dubai , UAE</t>
  </si>
  <si>
    <t>Ruwad Altarmeez Est.</t>
  </si>
  <si>
    <t>SV00509</t>
  </si>
  <si>
    <t>Prince Moteeb - Moshareefa 6392 23341 - 3566</t>
  </si>
  <si>
    <t>Ruwad Altarmeez Est.(SOR)</t>
  </si>
  <si>
    <t>SV00510</t>
  </si>
  <si>
    <t>ULYSSE INTERNATIONAL TRADING</t>
  </si>
  <si>
    <t>SV00511</t>
  </si>
  <si>
    <t>Windsor Residence, Appt 413, Al-Ain Road, Dubai Land</t>
  </si>
  <si>
    <t>W Fashion SRL</t>
  </si>
  <si>
    <t>Via Taramelli 6</t>
  </si>
  <si>
    <t>Afaq Dubai Trading Establishment</t>
  </si>
  <si>
    <t>SV00512</t>
  </si>
  <si>
    <t>Batha</t>
  </si>
  <si>
    <t>True Value Computers LLC (SOR)</t>
  </si>
  <si>
    <t>V00893</t>
  </si>
  <si>
    <t>House of Brands (AMAZON)</t>
  </si>
  <si>
    <t>Onix Gallery (HT)</t>
  </si>
  <si>
    <t>V00894</t>
  </si>
  <si>
    <t>V00895</t>
  </si>
  <si>
    <t>Babico Trading</t>
  </si>
  <si>
    <t>V00889</t>
  </si>
  <si>
    <t>Industrial Area 18, opposite to Asas Building,Shed no.1 - Babico Trading Sharjah</t>
  </si>
  <si>
    <t>Taqniat Shop Foundation For Telecom And Information Technology</t>
  </si>
  <si>
    <t>SV00513</t>
  </si>
  <si>
    <t>National Address (wasel) : 4482 Ibn Aljawzi Street, Aloraija Alwusta Riyadh 12972 - 7432</t>
  </si>
  <si>
    <t>Irtiqaa Modern Trading</t>
  </si>
  <si>
    <t>SV00514</t>
  </si>
  <si>
    <t>Al rossais Commercial Center 11 floor office 1101</t>
  </si>
  <si>
    <t>Naif Tamer Al Anazi Trading Est</t>
  </si>
  <si>
    <t>SV00515</t>
  </si>
  <si>
    <t>Bin Laden Complex Al farazaq Street Malaz</t>
  </si>
  <si>
    <t>Youssef alhazmi</t>
  </si>
  <si>
    <t>SV00516</t>
  </si>
  <si>
    <t>Al Shohada District , Alahillah mall, near to General Prison</t>
  </si>
  <si>
    <t>Bana</t>
  </si>
  <si>
    <t>SV00517</t>
  </si>
  <si>
    <t>185 Corniche Fleurie Villa Christami, 06200 Nice</t>
  </si>
  <si>
    <t>FAYZAH NASEER AHMED DIN TRADING EST</t>
  </si>
  <si>
    <t>SV00518</t>
  </si>
  <si>
    <t>OFFICE NO 208,SECOND FLOOR,AL ROSSAIS BUILDING.AL DHABAB STREET,RIYADH 11526</t>
  </si>
  <si>
    <t>Jaz Eelectronic Technology EST. (Muasasat jaz Elentronia latatqniyat al maloomat)</t>
  </si>
  <si>
    <t>SV00519</t>
  </si>
  <si>
    <t>Saddah Disterect Exit 16 Shibh Al Jezerrah Street</t>
  </si>
  <si>
    <t>BDL Trading Company Limited</t>
  </si>
  <si>
    <t>SV00520</t>
  </si>
  <si>
    <t>Olayah Computer Market, Seif Building 2nd Floor office # 233</t>
  </si>
  <si>
    <t>Pending</t>
  </si>
  <si>
    <t>Youssef alhazmi (SOR)</t>
  </si>
  <si>
    <t>SV00521</t>
  </si>
  <si>
    <t>SV00522</t>
  </si>
  <si>
    <t>Golden windows est</t>
  </si>
  <si>
    <t>SV00523</t>
  </si>
  <si>
    <t>al massanie al hier road</t>
  </si>
  <si>
    <t>AIGC GROUP ( AL AKRAMEEN INTERNATIONAL GROUP OF COMPANIES)</t>
  </si>
  <si>
    <t>SV00524</t>
  </si>
  <si>
    <t>KHALID BIN WALEED ROAD EXIT 10 BUILDING NUMBER 9</t>
  </si>
  <si>
    <t>Gul Ahmed KSA (Muasassat Faisal Rafiq ud din Sheikh Trading)</t>
  </si>
  <si>
    <t>SV00525</t>
  </si>
  <si>
    <t>Warehouse No 187, Darul Baidah, Haâ€™ir Road,</t>
  </si>
  <si>
    <t>Khaled Marzouq Al Otaibi Est. (SOR)</t>
  </si>
  <si>
    <t>SV00526</t>
  </si>
  <si>
    <t>ALYARMOUK , ALSAHBA STREET VILLA 6</t>
  </si>
  <si>
    <t>Khaled Marzouq Al Otaibi Est.</t>
  </si>
  <si>
    <t>SV00527</t>
  </si>
  <si>
    <t>Badge United Co.(SOR)</t>
  </si>
  <si>
    <t>SV00528</t>
  </si>
  <si>
    <t>Othman Bin Afaan Street, Exit7, Al Falah District, Al JaberBuilding , Office 4 ground floor</t>
  </si>
  <si>
    <t>Badge United Co.</t>
  </si>
  <si>
    <t>SV00529</t>
  </si>
  <si>
    <t>Mohammad Sanad Alhajri EST</t>
  </si>
  <si>
    <t>SV00530</t>
  </si>
  <si>
    <t>Dhahran . DOHA Hills- Al Aqrabia - Al Saada district, office no. 12 second floor</t>
  </si>
  <si>
    <t>Al Rasail</t>
  </si>
  <si>
    <t>SV00531</t>
  </si>
  <si>
    <t>Palestine St. Alrasail store pihind Alam Elasaer</t>
  </si>
  <si>
    <t>SBAQ AL ASR TRADING</t>
  </si>
  <si>
    <t>SV00532</t>
  </si>
  <si>
    <t>EXIT 26, HAMZA BIN ABDUL MUTLAQ STREET, RIYADH</t>
  </si>
  <si>
    <t>Samt AL Koun est.</t>
  </si>
  <si>
    <t>SV00533</t>
  </si>
  <si>
    <t>White Nile st , Dawadmi , Riyadh , Saudi Arabia</t>
  </si>
  <si>
    <t>Controllex</t>
  </si>
  <si>
    <t>SV00534</t>
  </si>
  <si>
    <t>7335 Prince Turki Ibn Abdualziz Al-Awwal Rd. Nakhil, Riyadh 12385</t>
  </si>
  <si>
    <t>Al Yashmac General Trading LLC</t>
  </si>
  <si>
    <t>V00911</t>
  </si>
  <si>
    <t>Al Quasais Industrial, Area No. 5, Al Tasjeel- P.O. Box 51387</t>
  </si>
  <si>
    <t>Abdulaziz Ahmed Baeshen Est</t>
  </si>
  <si>
    <t>SV00535</t>
  </si>
  <si>
    <t>Madinah Road Al Amoudi Sports Center Office 501</t>
  </si>
  <si>
    <t>Abdulaziz Ahmed Baeshen Est (SOR)</t>
  </si>
  <si>
    <t>SV00536</t>
  </si>
  <si>
    <t>Hussain AL Baden Trading</t>
  </si>
  <si>
    <t>SV00537</t>
  </si>
  <si>
    <t>Dossery Tower shop no 201 Khobar</t>
  </si>
  <si>
    <t>Abdulmajeed Ahmed</t>
  </si>
  <si>
    <t>SV00538</t>
  </si>
  <si>
    <t>Ahela Mall ,Wasel 3151 - Villa no 1 - Abdullah, Areef, gate 3 PO box 23743-79</t>
  </si>
  <si>
    <t>Abdulmajeed Ahmed(SOR)</t>
  </si>
  <si>
    <t>SV00539</t>
  </si>
  <si>
    <t>Sela Beauty Institution</t>
  </si>
  <si>
    <t>SV00540</t>
  </si>
  <si>
    <t>Riyadh - badeeah - alnakheel street with Musbah Al Malki building no2</t>
  </si>
  <si>
    <t>Al Ajlan Trading Company Limited</t>
  </si>
  <si>
    <t>SV00541</t>
  </si>
  <si>
    <t>Makkah Road, Olaya District, Near to Azizya Market, first floor, office 1</t>
  </si>
  <si>
    <t>Tejarah Bela Hodod Trading Est.</t>
  </si>
  <si>
    <t>SV00542</t>
  </si>
  <si>
    <t>Assulay, unit 12, Al Jazerah street, store no. 28-8, behind Dalah driving school, Al Mostawdaat Dist</t>
  </si>
  <si>
    <t>Razeen Communication &amp; Information Technologies Est</t>
  </si>
  <si>
    <t>SV00543</t>
  </si>
  <si>
    <t>Al Nada Street, Al Rabwa Area,</t>
  </si>
  <si>
    <t>Al Qadah Trading Co LLC</t>
  </si>
  <si>
    <t>V00919</t>
  </si>
  <si>
    <t>Warehouse #3 Al Qadah, Street 24, Opposite to Al Khail Mall, Al Qouz</t>
  </si>
  <si>
    <t>V00892</t>
  </si>
  <si>
    <t>8+8</t>
  </si>
  <si>
    <t>W1315338156</t>
  </si>
  <si>
    <t>AP771EL49LIS-562867</t>
  </si>
  <si>
    <t>iPhone 7 Plus (256 GB, 4G LTE, Black, With Facetime)</t>
  </si>
  <si>
    <t>AE61711</t>
  </si>
  <si>
    <t>W1315435462</t>
  </si>
  <si>
    <t>BE247BE90VUB-693619</t>
  </si>
  <si>
    <t>Beardo Hair Growth Oil</t>
  </si>
  <si>
    <t>UPO011757</t>
  </si>
  <si>
    <t>AE61679</t>
  </si>
  <si>
    <t>W1315389552</t>
  </si>
  <si>
    <t>LO860BE76SEL-634642</t>
  </si>
  <si>
    <t>L'Oreal Youth Code Youth Boosting Night Cream</t>
  </si>
  <si>
    <t>AE61658</t>
  </si>
  <si>
    <t>W1315210564</t>
  </si>
  <si>
    <t>MR178AT03FXK-382763</t>
  </si>
  <si>
    <t>Mr Button Black T Shirt With Leather Yoke</t>
  </si>
  <si>
    <t>AE61662</t>
  </si>
  <si>
    <t>W1315329949</t>
  </si>
  <si>
    <t>YE659AT62LEJ-562520</t>
  </si>
  <si>
    <t>Claude Muscle Vest, Red</t>
  </si>
  <si>
    <t>AE61663</t>
  </si>
  <si>
    <t>W1315187102</t>
  </si>
  <si>
    <t>TH718AT88OXR-368163</t>
  </si>
  <si>
    <t>THREADCURRY Fishernaut Graphic Printed Tee</t>
  </si>
  <si>
    <t>AE61644</t>
  </si>
  <si>
    <t>W1315316774</t>
  </si>
  <si>
    <t>UN563AC99OAY-522620</t>
  </si>
  <si>
    <t>Hand Crafted Genuine Leather Wallet for Men (UN168, Brown)</t>
  </si>
  <si>
    <t>AE61484</t>
  </si>
  <si>
    <t>W1315391427</t>
  </si>
  <si>
    <t>LO860BE03SHG-634715</t>
  </si>
  <si>
    <t>Faux Cils Superstar Mascara</t>
  </si>
  <si>
    <t>UPO011708</t>
  </si>
  <si>
    <t>W1315255374</t>
  </si>
  <si>
    <t>CA511AC97KKW-455765</t>
  </si>
  <si>
    <t>Analog-Chronograph Rose Gold Dial Watch for Men (MTP-1374L-9AVDF)</t>
  </si>
  <si>
    <t>AE61471</t>
  </si>
  <si>
    <t>W1315440039</t>
  </si>
  <si>
    <t>VA225BE55PPW-689454</t>
  </si>
  <si>
    <t>Vaadi Herbals Saffron-Sandal Facial Kit</t>
  </si>
  <si>
    <t>AE61472</t>
  </si>
  <si>
    <t>W1315439890</t>
  </si>
  <si>
    <t>IR338BE91SJO-691318</t>
  </si>
  <si>
    <t>Iris Amogha Reed Diffuser with 8 Sticks - French Lavender</t>
  </si>
  <si>
    <t>AE61388</t>
  </si>
  <si>
    <t>W1315304768</t>
  </si>
  <si>
    <t>JE080BE78GVH-516560</t>
  </si>
  <si>
    <t>J.Lo Live JNG2010100 for Women (EDP, 100 ml)</t>
  </si>
  <si>
    <t>UPO011691</t>
  </si>
  <si>
    <t>AE61192</t>
  </si>
  <si>
    <t>W1315172821</t>
  </si>
  <si>
    <t>RA736AC39FYY-354540</t>
  </si>
  <si>
    <t>Ray Ban Fleck Round 49-21-145 Unisex Sunglasses - RB2447-901-49</t>
  </si>
  <si>
    <t>UPO011654</t>
  </si>
  <si>
    <t>UPO011571</t>
  </si>
  <si>
    <t>AE60844</t>
  </si>
  <si>
    <t>W1315390651</t>
  </si>
  <si>
    <t>MA096BE44QPJ-633550</t>
  </si>
  <si>
    <t>The Nudes Eyeshadow Palette</t>
  </si>
  <si>
    <t>AE59072</t>
  </si>
  <si>
    <t>W1315263250</t>
  </si>
  <si>
    <t>FU844EL95VFS-467621</t>
  </si>
  <si>
    <t>Instax Mini 8 Instant Camera (Raspberry)</t>
  </si>
  <si>
    <t>UPO011126</t>
  </si>
  <si>
    <t>Universal Holdings, LLC</t>
  </si>
  <si>
    <t>SA815360</t>
  </si>
  <si>
    <t>W1315432998</t>
  </si>
  <si>
    <t>AR532AC72KGT-683473</t>
  </si>
  <si>
    <t>AX2221 Digital Watch for Men (Black)</t>
  </si>
  <si>
    <t>PO040845</t>
  </si>
  <si>
    <t>SA825156</t>
  </si>
  <si>
    <t>W1315375054</t>
  </si>
  <si>
    <t>SK034SH33CZY-607464</t>
  </si>
  <si>
    <t>Sport Men's Energy Afterburn Lace-Up Sneaker, Black</t>
  </si>
  <si>
    <t>PO040987</t>
  </si>
  <si>
    <t>SA833326</t>
  </si>
  <si>
    <t>W1315379321</t>
  </si>
  <si>
    <t>AD476SH90DFL-610331</t>
  </si>
  <si>
    <t>Performance Men's Pureboost ZG Running Shoes, Green</t>
  </si>
  <si>
    <t>PO041457</t>
  </si>
  <si>
    <t>SA842231</t>
  </si>
  <si>
    <t>W1315102389</t>
  </si>
  <si>
    <t>RA736AC20BDZ-778</t>
  </si>
  <si>
    <t>Ray Ban RB3025-003 Aviator Light Blue Shaded Unisex Sunglasses - RB3025-003/3F-58</t>
  </si>
  <si>
    <t>PO042785</t>
  </si>
  <si>
    <t>SA864764</t>
  </si>
  <si>
    <t>W1315370651</t>
  </si>
  <si>
    <t>CA983AC82BDX-604146</t>
  </si>
  <si>
    <t>Round Sunglasses for Men (GRANDPRIX-T4M90, Brown)</t>
  </si>
  <si>
    <t>PO041996</t>
  </si>
  <si>
    <t>SA876267</t>
  </si>
  <si>
    <t>W1315102394</t>
  </si>
  <si>
    <t>RA736AC15BEE-783</t>
  </si>
  <si>
    <t>Ray Ban RB3025-112 Aviator Grey Blue Mirror Unisex Sunglasses - RB3025-112/17-58</t>
  </si>
  <si>
    <t>PO042370</t>
  </si>
  <si>
    <t>SA878886</t>
  </si>
  <si>
    <t>W1315427115</t>
  </si>
  <si>
    <t>DA041EL94HGZ-681317</t>
  </si>
  <si>
    <t>Twins HD Stereo Earbuds with Charging box (White)</t>
  </si>
  <si>
    <t>PO042310</t>
  </si>
  <si>
    <t>W1315389384</t>
  </si>
  <si>
    <t>LA081BE59RTO-634359</t>
  </si>
  <si>
    <t>9 to 5 Black Impact Eye Liner</t>
  </si>
  <si>
    <t>W1315390710</t>
  </si>
  <si>
    <t>MA096BE76PNF-632818</t>
  </si>
  <si>
    <t>Color Show Matte Lipstick - Lively Violet M401</t>
  </si>
  <si>
    <t>PO044388</t>
  </si>
  <si>
    <t>PO042940</t>
  </si>
  <si>
    <t>PO043441</t>
  </si>
  <si>
    <t>SA896553</t>
  </si>
  <si>
    <t>W1315316776</t>
  </si>
  <si>
    <t>UN563AC97OBA-522622</t>
  </si>
  <si>
    <t>Hand Crafted Genuine Leather Wallet for Men (UN173, Black)</t>
  </si>
  <si>
    <t>SA898668</t>
  </si>
  <si>
    <t>W1315437977</t>
  </si>
  <si>
    <t>HI211BE57THY-691952</t>
  </si>
  <si>
    <t>Himalaya Herbals Baby Powder - 200 gm</t>
  </si>
  <si>
    <t>Peplum Scuba Top, Ivory</t>
  </si>
  <si>
    <t>W1315399025</t>
  </si>
  <si>
    <t>SA222AT70CCJ-642944</t>
  </si>
  <si>
    <t>Ikkat Belted Maxi Dress, Black/White</t>
  </si>
  <si>
    <t>Printed V-Neck T-Shirt, Grey</t>
  </si>
  <si>
    <t>SA900847</t>
  </si>
  <si>
    <t>W1315325889</t>
  </si>
  <si>
    <t>AD592AC40DUX-548408</t>
  </si>
  <si>
    <t>Adine Metal Unisex Aviator Sunglasses 3026 SILVER-BLUE</t>
  </si>
  <si>
    <t>PO043078</t>
  </si>
  <si>
    <t>SA903503</t>
  </si>
  <si>
    <t>W1315194284</t>
  </si>
  <si>
    <t>MI534AC33TPA-373227</t>
  </si>
  <si>
    <t>Michael Kors Gold Tone Earring MKJ4044710</t>
  </si>
  <si>
    <t>PO043159</t>
  </si>
  <si>
    <t>Pants, Black</t>
  </si>
  <si>
    <t>W1315277824</t>
  </si>
  <si>
    <t>SA222AT07BOQ-475443</t>
  </si>
  <si>
    <t>Half Shirt, Ivory/Black</t>
  </si>
  <si>
    <t>W1315325304</t>
  </si>
  <si>
    <t>SI601AC93TVE-528505</t>
  </si>
  <si>
    <t>Simaya Fashion Cuff (FB 0280, Gold tone)</t>
  </si>
  <si>
    <t>SA909784</t>
  </si>
  <si>
    <t>W1315412679</t>
  </si>
  <si>
    <t>MU172AT24FAD-678148</t>
  </si>
  <si>
    <t>Dress, White</t>
  </si>
  <si>
    <t>PO043284</t>
  </si>
  <si>
    <t>SA910930</t>
  </si>
  <si>
    <t>W1315380779</t>
  </si>
  <si>
    <t>FA080AT05PAO-631943</t>
  </si>
  <si>
    <t>Casual Track Pants, Grey</t>
  </si>
  <si>
    <t>PO043127</t>
  </si>
  <si>
    <t>SA912167</t>
  </si>
  <si>
    <t>W1315364370</t>
  </si>
  <si>
    <t>ST879AT54SPX-596960</t>
  </si>
  <si>
    <t>Smuptuous Pleated Top, Wine</t>
  </si>
  <si>
    <t>PO043203</t>
  </si>
  <si>
    <t>SA912169</t>
  </si>
  <si>
    <t>SA912170</t>
  </si>
  <si>
    <t>W1315364521</t>
  </si>
  <si>
    <t>ST879AT16SRJ-597111</t>
  </si>
  <si>
    <t>Forever Ebony n Ivory Top, Pink</t>
  </si>
  <si>
    <t>SA912836</t>
  </si>
  <si>
    <t>W1315381280</t>
  </si>
  <si>
    <t>MO687AT13UMO-636742</t>
  </si>
  <si>
    <t>Casual Top, Multicolor</t>
  </si>
  <si>
    <t>SA912865</t>
  </si>
  <si>
    <t>W1315439631</t>
  </si>
  <si>
    <t>MA093BE52RZN-691057</t>
  </si>
  <si>
    <t>Makeup Revolution Eyeshadow - Smokin 2</t>
  </si>
  <si>
    <t>Elbow Patch Shirt, Black</t>
  </si>
  <si>
    <t>SA914070</t>
  </si>
  <si>
    <t>W1315416525</t>
  </si>
  <si>
    <t>MU172AT38YUB-668994</t>
  </si>
  <si>
    <t>Abaya, Navy</t>
  </si>
  <si>
    <t>PO043321</t>
  </si>
  <si>
    <t>SA914071</t>
  </si>
  <si>
    <t>W1315405495</t>
  </si>
  <si>
    <t>MU172AT95WTW-665948</t>
  </si>
  <si>
    <t>W1315436132</t>
  </si>
  <si>
    <t>TH257BE29PJE-689280</t>
  </si>
  <si>
    <t>The Man Company Argan &amp; Geranium Beard Oil</t>
  </si>
  <si>
    <t>SA914260</t>
  </si>
  <si>
    <t>W1315399514</t>
  </si>
  <si>
    <t>SA222AT70CGF-643433</t>
  </si>
  <si>
    <t>Double Breasted Jacket, Navy Blue</t>
  </si>
  <si>
    <t>SA916527</t>
  </si>
  <si>
    <t>W1315399208</t>
  </si>
  <si>
    <t>SA222AT32CDV-643127</t>
  </si>
  <si>
    <t>Laser Cut-Out Top, Navy Blue</t>
  </si>
  <si>
    <t>SA917770</t>
  </si>
  <si>
    <t>W1315399369</t>
  </si>
  <si>
    <t>SA222AT00CFB-643288</t>
  </si>
  <si>
    <t>Peplum Scuba Top, Green</t>
  </si>
  <si>
    <t>PO043389</t>
  </si>
  <si>
    <t>SA918001</t>
  </si>
  <si>
    <t>W1315390586</t>
  </si>
  <si>
    <t>MA093BE71RPG-634223</t>
  </si>
  <si>
    <t>Eyeshadow - Adore Moi</t>
  </si>
  <si>
    <t>SA918308</t>
  </si>
  <si>
    <t>W1315389385</t>
  </si>
  <si>
    <t>LA081BE77RLE-634117</t>
  </si>
  <si>
    <t>Eyeconic Kajal - Black</t>
  </si>
  <si>
    <t>SA918331</t>
  </si>
  <si>
    <t>W1315244129</t>
  </si>
  <si>
    <t>TH106AT00UPF-438466</t>
  </si>
  <si>
    <t>SA919168</t>
  </si>
  <si>
    <t>W1315405215</t>
  </si>
  <si>
    <t>MU172AT05XIW-666837</t>
  </si>
  <si>
    <t>Abaya, Mink</t>
  </si>
  <si>
    <t>SA919697</t>
  </si>
  <si>
    <t>W1315325761</t>
  </si>
  <si>
    <t>SI601AC26UUV-529373</t>
  </si>
  <si>
    <t>Simaya Fashion Hand Harness (FH 0110, Rhodium tone)</t>
  </si>
  <si>
    <t>PO043597</t>
  </si>
  <si>
    <t>SA921641</t>
  </si>
  <si>
    <t>W1315397939</t>
  </si>
  <si>
    <t>CA149AC43BRW-642496</t>
  </si>
  <si>
    <t>Round Unisex Sunglasses (SAG108, Black)</t>
  </si>
  <si>
    <t>SA922618</t>
  </si>
  <si>
    <t>W1315277842</t>
  </si>
  <si>
    <t>SA222AT03BOU-475461</t>
  </si>
  <si>
    <t>Shirts and Blouses, Black/White</t>
  </si>
  <si>
    <t>SA922755</t>
  </si>
  <si>
    <t>W1315399175</t>
  </si>
  <si>
    <t>SA222AT39CDO-643094</t>
  </si>
  <si>
    <t>Midnight Color Block Top, Ivory/Navy/Mustard</t>
  </si>
  <si>
    <t>SA923043</t>
  </si>
  <si>
    <t>W1315334849</t>
  </si>
  <si>
    <t>YE659AT33NDM-567935</t>
  </si>
  <si>
    <t>Garine Culotte, Grey</t>
  </si>
  <si>
    <t>SA924328</t>
  </si>
  <si>
    <t>W1315410560</t>
  </si>
  <si>
    <t>MU172AT32DYX-676623</t>
  </si>
  <si>
    <t>Dress, Brown</t>
  </si>
  <si>
    <t>SA925496</t>
  </si>
  <si>
    <t>W1315327278</t>
  </si>
  <si>
    <t>ST879AT89WEW-530342</t>
  </si>
  <si>
    <t>T-Shirt with Lace (Pack of 2), White &amp; Grey Melange</t>
  </si>
  <si>
    <t>SA925764</t>
  </si>
  <si>
    <t>W1315339334</t>
  </si>
  <si>
    <t>SR372AC21RHQ-573450</t>
  </si>
  <si>
    <t>Clutches for Women (SWB0007TN, Tan)</t>
  </si>
  <si>
    <t>SA925787</t>
  </si>
  <si>
    <t>PO043510</t>
  </si>
  <si>
    <t>SA926451</t>
  </si>
  <si>
    <t>W1315389355</t>
  </si>
  <si>
    <t>LO860BE98RZT-634520</t>
  </si>
  <si>
    <t>True Match Liquid Foundation - Golden Capuccino</t>
  </si>
  <si>
    <t>Multi Print Maxi, Multi</t>
  </si>
  <si>
    <t>PO043914</t>
  </si>
  <si>
    <t>W1315277856</t>
  </si>
  <si>
    <t>SA222AT88BPJ-475487</t>
  </si>
  <si>
    <t>Shoulder Cut Shirt, Maroon</t>
  </si>
  <si>
    <t>SA930055</t>
  </si>
  <si>
    <t>W1315237657</t>
  </si>
  <si>
    <t>CA511AC50VSB-441070</t>
  </si>
  <si>
    <t>PO044641</t>
  </si>
  <si>
    <t>SA930120</t>
  </si>
  <si>
    <t>W1315399707</t>
  </si>
  <si>
    <t>SA222AT31CHS-643626</t>
  </si>
  <si>
    <t>Cuffed Sleeve Blouse, Navy Blue</t>
  </si>
  <si>
    <t>SA931707</t>
  </si>
  <si>
    <t>PO043767</t>
  </si>
  <si>
    <t>PO043822</t>
  </si>
  <si>
    <t>Crew Neck T-Shirt, Black</t>
  </si>
  <si>
    <t>PO043703</t>
  </si>
  <si>
    <t>SA933539</t>
  </si>
  <si>
    <t>W1315278136</t>
  </si>
  <si>
    <t>SA222AT80BTN-475810</t>
  </si>
  <si>
    <t>Long Sleeves Top, Black</t>
  </si>
  <si>
    <t>SA933564</t>
  </si>
  <si>
    <t>W1315347854</t>
  </si>
  <si>
    <t>RI918AT33EXA-583618</t>
  </si>
  <si>
    <t>Pleated Sleve High Neck Blouse, Black</t>
  </si>
  <si>
    <t>SA933744</t>
  </si>
  <si>
    <t>W1315276919</t>
  </si>
  <si>
    <t>SP976AT57NEO-494346</t>
  </si>
  <si>
    <t>Top, White</t>
  </si>
  <si>
    <t>SA934215</t>
  </si>
  <si>
    <t>W1315406630</t>
  </si>
  <si>
    <t>MU172AT85WEW-665038</t>
  </si>
  <si>
    <t>PO044029</t>
  </si>
  <si>
    <t>SA934489</t>
  </si>
  <si>
    <t>W1315381440</t>
  </si>
  <si>
    <t>YE659AC63OFC-630822</t>
  </si>
  <si>
    <t>1912 for Women (Analog Watch, White)</t>
  </si>
  <si>
    <t>SA935518</t>
  </si>
  <si>
    <t>W1315485244</t>
  </si>
  <si>
    <t>CA511AC45MPI-724704</t>
  </si>
  <si>
    <t>PO044087</t>
  </si>
  <si>
    <t>SA935680</t>
  </si>
  <si>
    <t>W1315302527</t>
  </si>
  <si>
    <t>AN087EL53ZTQ-510215</t>
  </si>
  <si>
    <t>10400 mAh Powerbank (PowerCore, Black)</t>
  </si>
  <si>
    <t>PO043750</t>
  </si>
  <si>
    <t>SA935969</t>
  </si>
  <si>
    <t>W1315399352</t>
  </si>
  <si>
    <t>SA222AT03CEY-643271</t>
  </si>
  <si>
    <t>Tie &amp; Dye Crop Top, Green/White</t>
  </si>
  <si>
    <t>SA935991</t>
  </si>
  <si>
    <t>W1315389375</t>
  </si>
  <si>
    <t>MA096BE43SJO-634775</t>
  </si>
  <si>
    <t>Volum Express Hyper Curl Mascara - Waterproof Very Black</t>
  </si>
  <si>
    <t>SA936074</t>
  </si>
  <si>
    <t>W1315153578</t>
  </si>
  <si>
    <t>ST879AT84MCX-97530</t>
  </si>
  <si>
    <t>Stoee Printed Top Light Blue Floral Printed Cotton Top</t>
  </si>
  <si>
    <t>SA936834</t>
  </si>
  <si>
    <t>W1315381424</t>
  </si>
  <si>
    <t>YE659AC94ODX-630749</t>
  </si>
  <si>
    <t>1862 for Women (Analog Watch, Black)</t>
  </si>
  <si>
    <t>SA937435</t>
  </si>
  <si>
    <t>W1315203644</t>
  </si>
  <si>
    <t>CR884AC35INK-387022</t>
  </si>
  <si>
    <t>Crunchy Fashion Veronika Ring (Red) - CFR0165</t>
  </si>
  <si>
    <t>SA937436</t>
  </si>
  <si>
    <t>Polo Shirt, Black</t>
  </si>
  <si>
    <t>SA937700</t>
  </si>
  <si>
    <t>W1315399024</t>
  </si>
  <si>
    <t>SA222AT70CCJ-642943</t>
  </si>
  <si>
    <t>W1315122206</t>
  </si>
  <si>
    <t>VA280BE19GJO-36414</t>
  </si>
  <si>
    <t>SA938067</t>
  </si>
  <si>
    <t>W1315380016</t>
  </si>
  <si>
    <t>SH079AT24OSD-631404</t>
  </si>
  <si>
    <t>Casual Shorts, Black</t>
  </si>
  <si>
    <t>PO043792</t>
  </si>
  <si>
    <t>SA938070</t>
  </si>
  <si>
    <t>W1315380787</t>
  </si>
  <si>
    <t>FA080AT03PAQ-631951</t>
  </si>
  <si>
    <t>Casual Track Pants, Navy</t>
  </si>
  <si>
    <t>SA938568</t>
  </si>
  <si>
    <t>W1315409370</t>
  </si>
  <si>
    <t>MU172AT82WBD-664807</t>
  </si>
  <si>
    <t>Swimwear, Navy</t>
  </si>
  <si>
    <t>SA938618</t>
  </si>
  <si>
    <t>W1315353915</t>
  </si>
  <si>
    <t>AM977AT81QNA-595471</t>
  </si>
  <si>
    <t>Baby doll Nighty Set of 3, Multicolor</t>
  </si>
  <si>
    <t>SA939783</t>
  </si>
  <si>
    <t>W1315397594</t>
  </si>
  <si>
    <t>CA149AC20BLB-642319</t>
  </si>
  <si>
    <t>Aviator Unisex Sunglasses (SA2B, Black)</t>
  </si>
  <si>
    <t>SA939945</t>
  </si>
  <si>
    <t>W1315364570</t>
  </si>
  <si>
    <t>ST879AT04SRV-597160</t>
  </si>
  <si>
    <t>Peppy Ruffle Top, Wine</t>
  </si>
  <si>
    <t>SA940616</t>
  </si>
  <si>
    <t>W1315238017</t>
  </si>
  <si>
    <t>TR435AT68OSP-431975</t>
  </si>
  <si>
    <t>Trend18 Black Multi Printed Top</t>
  </si>
  <si>
    <t>SA940692</t>
  </si>
  <si>
    <t>W1315452805</t>
  </si>
  <si>
    <t>RE047AC48IKP-702561</t>
  </si>
  <si>
    <t>Wallet for Men (RGWL000021, Black)</t>
  </si>
  <si>
    <t>W1315163602</t>
  </si>
  <si>
    <t>CA511AC64DPN-124530</t>
  </si>
  <si>
    <t>MTP-V008B-5BUDF for Men (Analog Watch)</t>
  </si>
  <si>
    <t>SA940960</t>
  </si>
  <si>
    <t>W1315400962</t>
  </si>
  <si>
    <t>MI070AT06DVD-644742</t>
  </si>
  <si>
    <t>Fullsleeve Round Neck Striped Top, Navy/White</t>
  </si>
  <si>
    <t>SA940986</t>
  </si>
  <si>
    <t>W1315397593</t>
  </si>
  <si>
    <t>CA149AC21BLA-642318</t>
  </si>
  <si>
    <t>Aviator Unisex Sunglasses (SA23, Black)</t>
  </si>
  <si>
    <t>SA940987</t>
  </si>
  <si>
    <t>SA941593</t>
  </si>
  <si>
    <t>W1315401442</t>
  </si>
  <si>
    <t>YE659AT61EQC-645596</t>
  </si>
  <si>
    <t>Albie Tracksuit, Grey</t>
  </si>
  <si>
    <t>PO043891</t>
  </si>
  <si>
    <t>SA943449</t>
  </si>
  <si>
    <t>W1315289482</t>
  </si>
  <si>
    <t>ST879AT07NGM-494521</t>
  </si>
  <si>
    <t>Long sleeve T-shirt, Grey Melange</t>
  </si>
  <si>
    <t>SA943751</t>
  </si>
  <si>
    <t>W1315399412</t>
  </si>
  <si>
    <t>SA222AT91CFK-643331</t>
  </si>
  <si>
    <t>Geo Floral Off Shoulder Layered Dress, Blue</t>
  </si>
  <si>
    <t>Layered Front Shirt, Mustard</t>
  </si>
  <si>
    <t>Long Sleeves Top, Navy</t>
  </si>
  <si>
    <t>SA944870</t>
  </si>
  <si>
    <t>Top with Laser Cut Flowers, Powder Pink</t>
  </si>
  <si>
    <t>SA945065</t>
  </si>
  <si>
    <t>W1315347705</t>
  </si>
  <si>
    <t>RI918AT17ETU-583421</t>
  </si>
  <si>
    <t>Black Olive Color Block Shirt, Black &amp; Green</t>
  </si>
  <si>
    <t>W1315278025</t>
  </si>
  <si>
    <t>SA222AT03BSQ-475699</t>
  </si>
  <si>
    <t>Floral Print Blouse, Black/Ivory</t>
  </si>
  <si>
    <t>SA945292</t>
  </si>
  <si>
    <t>W1315316760</t>
  </si>
  <si>
    <t>UN563AC13OAK-522606</t>
  </si>
  <si>
    <t>Hand Crafted Fine Texture Genuine Leather Wallet for Men (UN111, Red)</t>
  </si>
  <si>
    <t>SA945293</t>
  </si>
  <si>
    <t>SA945492</t>
  </si>
  <si>
    <t>W1315452798</t>
  </si>
  <si>
    <t>RE047AC59IKE-702550</t>
  </si>
  <si>
    <t>Wallet for Men (RGWL000014, Camel Brown)</t>
  </si>
  <si>
    <t>W1315399116</t>
  </si>
  <si>
    <t>SA222AT51CDC-643035</t>
  </si>
  <si>
    <t>Shirts and Blouses, Green</t>
  </si>
  <si>
    <t>Layered Beaded Neck Top, Black</t>
  </si>
  <si>
    <t>PO044009</t>
  </si>
  <si>
    <t>W1315462037</t>
  </si>
  <si>
    <t>AN087EL34VDX-711364</t>
  </si>
  <si>
    <t>SoundBuds Sport In Ear Earphones (A32330M1, Black and Green)</t>
  </si>
  <si>
    <t>SA946237</t>
  </si>
  <si>
    <t>W1315364368</t>
  </si>
  <si>
    <t>ST879AT54SPX-596958</t>
  </si>
  <si>
    <t>Geo Floral Cold Shoulder Dress, Pink</t>
  </si>
  <si>
    <t>Maxi Dress, Maroon</t>
  </si>
  <si>
    <t>W1315399113</t>
  </si>
  <si>
    <t>SA222AT51CDC-643032</t>
  </si>
  <si>
    <t>SA947033</t>
  </si>
  <si>
    <t>W1315206881</t>
  </si>
  <si>
    <t>JB997AC52LLR-389334</t>
  </si>
  <si>
    <t>JBW Blue Dial JB997AC53LLQ Diamond Watch For Women</t>
  </si>
  <si>
    <t>Floral Top, Ivory/Pink</t>
  </si>
  <si>
    <t>Night Dress Set of 3, Multicolor</t>
  </si>
  <si>
    <t>SA948189</t>
  </si>
  <si>
    <t>W1315399625</t>
  </si>
  <si>
    <t>SA222AT48CHB-643544</t>
  </si>
  <si>
    <t>Cut Out Shirt, White</t>
  </si>
  <si>
    <t>SA948359</t>
  </si>
  <si>
    <t>W1315402353</t>
  </si>
  <si>
    <t>MU172AT17YNE-668608</t>
  </si>
  <si>
    <t>Abaya, Brown</t>
  </si>
  <si>
    <t>W1315290875</t>
  </si>
  <si>
    <t>AP771EL55SNC-499875</t>
  </si>
  <si>
    <t>Slim Case for iPhone 6s (MMM22, Midnight Blue)</t>
  </si>
  <si>
    <t>Combo of 2 Henley T-shirts, Multi</t>
  </si>
  <si>
    <t>SA948582</t>
  </si>
  <si>
    <t>W1315338324</t>
  </si>
  <si>
    <t>MO687AT35QVO-572944</t>
  </si>
  <si>
    <t>Women's Casual Shirt, Red</t>
  </si>
  <si>
    <t>W1315278088</t>
  </si>
  <si>
    <t>SA222AT90BTD-475762</t>
  </si>
  <si>
    <t>Animal Print Back Zipper Top, Pink/Black</t>
  </si>
  <si>
    <t>SA948587</t>
  </si>
  <si>
    <t>W1315338433</t>
  </si>
  <si>
    <t>JU688AT08QWP-573053</t>
  </si>
  <si>
    <t>Women's Casual Top, Multicolor</t>
  </si>
  <si>
    <t>SA948683</t>
  </si>
  <si>
    <t>W1315316795</t>
  </si>
  <si>
    <t>UN563AC78OBT-522641</t>
  </si>
  <si>
    <t>Hand Crafted Genuine Leather Wallet for Men (UN224, Navy)</t>
  </si>
  <si>
    <t>SA948727</t>
  </si>
  <si>
    <t>W1315396560</t>
  </si>
  <si>
    <t>JO170AT09ZBY-640714</t>
  </si>
  <si>
    <t>Ribbed Vests Pack of 4, White</t>
  </si>
  <si>
    <t>W1315351101</t>
  </si>
  <si>
    <t>HU968AT72NSH-592960</t>
  </si>
  <si>
    <t>Casual Shorts, Navy Blue</t>
  </si>
  <si>
    <t>SA948767</t>
  </si>
  <si>
    <t>W1315187753</t>
  </si>
  <si>
    <t>TH718AT79PBW-368598</t>
  </si>
  <si>
    <t>THREADCURRY Black Graphic Printed Round Neck T Shirt</t>
  </si>
  <si>
    <t>Printed V-Neck T-Shirt, Black</t>
  </si>
  <si>
    <t>SA949292</t>
  </si>
  <si>
    <t>W1315452812</t>
  </si>
  <si>
    <t>RE047AC41IKW-702568</t>
  </si>
  <si>
    <t>Wallet for Men (RGWL000028, Brown)</t>
  </si>
  <si>
    <t>SA949698</t>
  </si>
  <si>
    <t>W1315409826</t>
  </si>
  <si>
    <t>MU172AT10SXH-660486</t>
  </si>
  <si>
    <t>Evening Dress, Blue</t>
  </si>
  <si>
    <t>SA949783</t>
  </si>
  <si>
    <t>W1315187754</t>
  </si>
  <si>
    <t>TH718AT79PBW-368599</t>
  </si>
  <si>
    <t>SA949784</t>
  </si>
  <si>
    <t>W1315187770</t>
  </si>
  <si>
    <t>TH718AT75PCA-368615</t>
  </si>
  <si>
    <t>THREADCURRY Floor Plan Graphic Printed Tee</t>
  </si>
  <si>
    <t>SA949785</t>
  </si>
  <si>
    <t>W1315187130</t>
  </si>
  <si>
    <t>TH718AT81OXY-368191</t>
  </si>
  <si>
    <t>THREADCURRY Night Light Graphic Printed Tee</t>
  </si>
  <si>
    <t>SA949927</t>
  </si>
  <si>
    <t>W1315390143</t>
  </si>
  <si>
    <t>LA081BE05QJE-633389</t>
  </si>
  <si>
    <t>Absolute Gel Addict Eyeliner - Grey Ash</t>
  </si>
  <si>
    <t>SA949930</t>
  </si>
  <si>
    <t>W1315391137</t>
  </si>
  <si>
    <t>OR185BE13PPQ-632881</t>
  </si>
  <si>
    <t>Brazilian Keratin Deffirzzant Shampoo</t>
  </si>
  <si>
    <t>SA950006</t>
  </si>
  <si>
    <t>W1315338287</t>
  </si>
  <si>
    <t>MO687AT42QVH-572907</t>
  </si>
  <si>
    <t>Women's Casual Shirt, Blue &amp; White</t>
  </si>
  <si>
    <t>SA950008</t>
  </si>
  <si>
    <t>PO044242</t>
  </si>
  <si>
    <t>SA950306</t>
  </si>
  <si>
    <t>W1315316777</t>
  </si>
  <si>
    <t>UN563AC96OBB-522623</t>
  </si>
  <si>
    <t>Hand Crafted Genuine Leather Wallet for Men (UN174, Black)</t>
  </si>
  <si>
    <t>SA950309</t>
  </si>
  <si>
    <t>W1315399115</t>
  </si>
  <si>
    <t>SA222AT51CDC-643034</t>
  </si>
  <si>
    <t>W1315399295</t>
  </si>
  <si>
    <t>SA222AT15CEM-643214</t>
  </si>
  <si>
    <t>W1315277736</t>
  </si>
  <si>
    <t>SA222AT25BNY-475355</t>
  </si>
  <si>
    <t>SA950683</t>
  </si>
  <si>
    <t>W1315338452</t>
  </si>
  <si>
    <t>JU688AT02QWV-573072</t>
  </si>
  <si>
    <t>Tier Dress, Multi</t>
  </si>
  <si>
    <t>PO044130</t>
  </si>
  <si>
    <t>Stretchable Jeans, Blue</t>
  </si>
  <si>
    <t>Casual Shorts, Melange Grey</t>
  </si>
  <si>
    <t>SA951400</t>
  </si>
  <si>
    <t>W1315247468</t>
  </si>
  <si>
    <t>RO045AT28UKH-437675</t>
  </si>
  <si>
    <t>Rosaline Cotton Rich Printed Cut n Sew 3-4th Coverage Wirefree Bra- Jade Green</t>
  </si>
  <si>
    <t>W1315349193</t>
  </si>
  <si>
    <t>HO923AT04JYX-587672</t>
  </si>
  <si>
    <t>PO044183</t>
  </si>
  <si>
    <t>W1315381545</t>
  </si>
  <si>
    <t>LE769EL54LCR-627963</t>
  </si>
  <si>
    <t>ThinkPad T540p 20BE00D-AAD (Intel Core i7, 15.0 inches, 1 TB HDD, Windows 10, Black)</t>
  </si>
  <si>
    <t>SA952139</t>
  </si>
  <si>
    <t>W1315121677</t>
  </si>
  <si>
    <t>VE740BE15GCA-36218</t>
  </si>
  <si>
    <t>SA952383</t>
  </si>
  <si>
    <t>W1315316767</t>
  </si>
  <si>
    <t>UN563AC06OAR-522613</t>
  </si>
  <si>
    <t>Hand Crafted Genuine Leather Wallet for Men (UN157, Navy)</t>
  </si>
  <si>
    <t>W1315354105</t>
  </si>
  <si>
    <t>AM977AT27NQE-592846</t>
  </si>
  <si>
    <t>SA952968</t>
  </si>
  <si>
    <t>PO044264</t>
  </si>
  <si>
    <t>SA953280</t>
  </si>
  <si>
    <t>W1315325909</t>
  </si>
  <si>
    <t>AD592AC20DVR-548428</t>
  </si>
  <si>
    <t>Aviator Sunglasses for Unisex (30261GOLDEN-GREEN)</t>
  </si>
  <si>
    <t>SA953281</t>
  </si>
  <si>
    <t>SA953282</t>
  </si>
  <si>
    <t>W1315278141</t>
  </si>
  <si>
    <t>SA222AT79BTO-475815</t>
  </si>
  <si>
    <t>SA953534</t>
  </si>
  <si>
    <t>PO044191</t>
  </si>
  <si>
    <t>W1315172849</t>
  </si>
  <si>
    <t>DI035AC19FOE-354260</t>
  </si>
  <si>
    <t>Diesel Analog Leather Men's Watch DZ1657</t>
  </si>
  <si>
    <t>SA954762</t>
  </si>
  <si>
    <t>SA955213</t>
  </si>
  <si>
    <t>PO044322</t>
  </si>
  <si>
    <t>SA955236</t>
  </si>
  <si>
    <t>W1315186894</t>
  </si>
  <si>
    <t>TH718AT52OBZ-365922</t>
  </si>
  <si>
    <t>SA955250</t>
  </si>
  <si>
    <t>SA955318</t>
  </si>
  <si>
    <t>W1315399252</t>
  </si>
  <si>
    <t>SA222AT24CED-643171</t>
  </si>
  <si>
    <t>Floral Maxi Top, Pink</t>
  </si>
  <si>
    <t>W1315391462</t>
  </si>
  <si>
    <t>CO092BE10QFD-633284</t>
  </si>
  <si>
    <t>H.D Volume Mascara</t>
  </si>
  <si>
    <t>W1315316788</t>
  </si>
  <si>
    <t>UN563AC85OBM-522634</t>
  </si>
  <si>
    <t>Hand Crafted Genuine Leather Wallet for Men (UN208, Bombay Brown)</t>
  </si>
  <si>
    <t>SA955914</t>
  </si>
  <si>
    <t>W1315121052</t>
  </si>
  <si>
    <t>CA811BE14GNP-36519</t>
  </si>
  <si>
    <t>W1315232284</t>
  </si>
  <si>
    <t>AL992AT28KYD-427703</t>
  </si>
  <si>
    <t>A Luv Ya Women's Cotton V Neck Paisley Printed Shirt</t>
  </si>
  <si>
    <t>W1315232279</t>
  </si>
  <si>
    <t>AL992AT29KYC-427698</t>
  </si>
  <si>
    <t>A Luv Ya Women's Cotton Check &amp; Floral Shirt</t>
  </si>
  <si>
    <t>SA956019</t>
  </si>
  <si>
    <t>W1315380652</t>
  </si>
  <si>
    <t>FA080AT16OWH-631667</t>
  </si>
  <si>
    <t>Casual Sweatshirt, Blue Blooded</t>
  </si>
  <si>
    <t>SA956021</t>
  </si>
  <si>
    <t>W1315380666</t>
  </si>
  <si>
    <t>FA080AT11OWM-631681</t>
  </si>
  <si>
    <t>Casual Sweatshirt, Salsa</t>
  </si>
  <si>
    <t>PO044277</t>
  </si>
  <si>
    <t>PO044313</t>
  </si>
  <si>
    <t>SA956609</t>
  </si>
  <si>
    <t>Designer Hooded Sweatshirt, Multi</t>
  </si>
  <si>
    <t>SA956724</t>
  </si>
  <si>
    <t>SA956725</t>
  </si>
  <si>
    <t>W1315186778</t>
  </si>
  <si>
    <t>TH718AT81OAW-365806</t>
  </si>
  <si>
    <t>THREADCURRY White Graphic Printed Round Neck T-Shirt</t>
  </si>
  <si>
    <t>SA956726</t>
  </si>
  <si>
    <t>W1315186305</t>
  </si>
  <si>
    <t>TH718AT25NVI-365232</t>
  </si>
  <si>
    <t>W1315316773</t>
  </si>
  <si>
    <t>UN563AC00OAX-522619</t>
  </si>
  <si>
    <t>Hand Crafted Genuine Leather Wallet for Men (UN167, Brown)</t>
  </si>
  <si>
    <t>W1315351172</t>
  </si>
  <si>
    <t>HU968AT54NSZ-593031</t>
  </si>
  <si>
    <t>SA957407</t>
  </si>
  <si>
    <t>W1315397527</t>
  </si>
  <si>
    <t>NI145AC98ZKB-640941</t>
  </si>
  <si>
    <t>Sunglasses for Men (NYYELL2, Black)</t>
  </si>
  <si>
    <t>W1315325896</t>
  </si>
  <si>
    <t>AD592AC33DVE-548415</t>
  </si>
  <si>
    <t>Aviator Sunglasses for Unisex (10822BROWN-BROWN)</t>
  </si>
  <si>
    <t>W1315397971</t>
  </si>
  <si>
    <t>CA149AC87BUA-642552</t>
  </si>
  <si>
    <t>Butterfly Sunglasses for Women (SCL82, Brown)</t>
  </si>
  <si>
    <t>SA957582</t>
  </si>
  <si>
    <t>W1315374702</t>
  </si>
  <si>
    <t>JU842AC11JVS-627106</t>
  </si>
  <si>
    <t>R7251574502 for Women (Analog Watch, Black)</t>
  </si>
  <si>
    <t>W1315399106</t>
  </si>
  <si>
    <t>SA222AT53CDA-643025</t>
  </si>
  <si>
    <t>W1315216465</t>
  </si>
  <si>
    <t>SR372AC62LAR-427990</t>
  </si>
  <si>
    <t>Srota Women Maroon Handbag</t>
  </si>
  <si>
    <t>SA957883</t>
  </si>
  <si>
    <t>PO044367</t>
  </si>
  <si>
    <t>Front Tie Tunic Dress, Green</t>
  </si>
  <si>
    <t>SA958244</t>
  </si>
  <si>
    <t>W1315293080</t>
  </si>
  <si>
    <t>OU299EL01QJM-498180</t>
  </si>
  <si>
    <t>K4000 Pro (16 GB, 4G LTE, Black Dual SIM)</t>
  </si>
  <si>
    <t>PO044254</t>
  </si>
  <si>
    <t>SA958504</t>
  </si>
  <si>
    <t>SA958517</t>
  </si>
  <si>
    <t>W1315473522</t>
  </si>
  <si>
    <t>MA802AC37RBA-731548</t>
  </si>
  <si>
    <t>Collectable Car Collection (C0859, multicolor)</t>
  </si>
  <si>
    <t>PO044550</t>
  </si>
  <si>
    <t>SA958518</t>
  </si>
  <si>
    <t>SA958519</t>
  </si>
  <si>
    <t>Hooded Chuck Print Sweatshirt, Grey</t>
  </si>
  <si>
    <t>SA958684</t>
  </si>
  <si>
    <t>W1315102404</t>
  </si>
  <si>
    <t>RA736AC05BEO-793</t>
  </si>
  <si>
    <t>Ray Ban RB3449-003 Aviator Grey Shaded Men's Sunglasses - RB3449-003/8G-59</t>
  </si>
  <si>
    <t>PO044317</t>
  </si>
  <si>
    <t>SA958764</t>
  </si>
  <si>
    <t>W1315452785</t>
  </si>
  <si>
    <t>RE047AC72IJR-702537</t>
  </si>
  <si>
    <t>Wallet for Men (RGWL00001, Black)</t>
  </si>
  <si>
    <t>SA958927</t>
  </si>
  <si>
    <t>W1315318321</t>
  </si>
  <si>
    <t>ST879AT74NAZ-521872</t>
  </si>
  <si>
    <t>Pleated Top, Sky Blue</t>
  </si>
  <si>
    <t>SA959534</t>
  </si>
  <si>
    <t>W1315399603</t>
  </si>
  <si>
    <t>SA222AT52CGX-643522</t>
  </si>
  <si>
    <t>Contrast Piping Shirt, Blue/Nude</t>
  </si>
  <si>
    <t>SA959851</t>
  </si>
  <si>
    <t>W1315204229</t>
  </si>
  <si>
    <t>CR884AC79JIU-387578</t>
  </si>
  <si>
    <t>Crunchy Fashion Clover Crystal Jewel Set (Blue) - CFS0111</t>
  </si>
  <si>
    <t>PO044484</t>
  </si>
  <si>
    <t>W1315354101</t>
  </si>
  <si>
    <t>AM977AT31NQA-592842</t>
  </si>
  <si>
    <t>PO044429</t>
  </si>
  <si>
    <t>Night Dress Set of 2, Multicolor</t>
  </si>
  <si>
    <t>SA959987</t>
  </si>
  <si>
    <t>W1315473450</t>
  </si>
  <si>
    <t>HO801AC14QYB-731471</t>
  </si>
  <si>
    <t>Basic Car Clipstrip (N2799, white)</t>
  </si>
  <si>
    <t>W1315473451</t>
  </si>
  <si>
    <t>HO801AC13QYC-731472</t>
  </si>
  <si>
    <t>Bullet Proof Golden Promo Car (DPN12, Gold)</t>
  </si>
  <si>
    <t>SA959989</t>
  </si>
  <si>
    <t>W1315473471</t>
  </si>
  <si>
    <t>HO801AC93QYW-731492</t>
  </si>
  <si>
    <t>Basic Cars Assortment Pack (5785, multicolor)</t>
  </si>
  <si>
    <t>SA959990</t>
  </si>
  <si>
    <t>SA959991</t>
  </si>
  <si>
    <t>W1315473508</t>
  </si>
  <si>
    <t>HO801AC51RAM-731534</t>
  </si>
  <si>
    <t>Hot Wheels Dc Batman Vs Superman Deco Car Asst (DJL47, Multicolor)</t>
  </si>
  <si>
    <t>SA960196</t>
  </si>
  <si>
    <t>PO044378</t>
  </si>
  <si>
    <t>SA960387</t>
  </si>
  <si>
    <t>SA960423</t>
  </si>
  <si>
    <t>SA960467</t>
  </si>
  <si>
    <t>W1315353891</t>
  </si>
  <si>
    <t>AM977AT69OHU-593985</t>
  </si>
  <si>
    <t>Baby doll Nighty Set of 2, Multicolor</t>
  </si>
  <si>
    <t>SA960549</t>
  </si>
  <si>
    <t>W1315399866</t>
  </si>
  <si>
    <t>WE564AT77CCC-642918</t>
  </si>
  <si>
    <t>SA960608</t>
  </si>
  <si>
    <t>SA960749</t>
  </si>
  <si>
    <t>W1315244589</t>
  </si>
  <si>
    <t>TH106AT66UUJ-439002</t>
  </si>
  <si>
    <t>SA960773</t>
  </si>
  <si>
    <t>W1315204934</t>
  </si>
  <si>
    <t>CA511AC23DJG-380414</t>
  </si>
  <si>
    <t>Casio Analog Rubber Women's Watch MRW-S300H-1B2DF</t>
  </si>
  <si>
    <t>PO044363</t>
  </si>
  <si>
    <t>SA960827</t>
  </si>
  <si>
    <t>W1315379758</t>
  </si>
  <si>
    <t>SH079AT77OQC-631144</t>
  </si>
  <si>
    <t>Casual Trousers, Blue</t>
  </si>
  <si>
    <t>SA960940</t>
  </si>
  <si>
    <t>W1315348260</t>
  </si>
  <si>
    <t>BL915AT24EED-582709</t>
  </si>
  <si>
    <t>Cotton Schiffly Frill Dress, Pink</t>
  </si>
  <si>
    <t>SA960941</t>
  </si>
  <si>
    <t>W1315211686</t>
  </si>
  <si>
    <t>MR178AT73GGG-383682</t>
  </si>
  <si>
    <t>Mr Button Blue Cotton Shirt With Mustard Flap Detail</t>
  </si>
  <si>
    <t>SA960942</t>
  </si>
  <si>
    <t>W1315111905</t>
  </si>
  <si>
    <t>NI841EL66ZIZ-31667</t>
  </si>
  <si>
    <t>Nikon Nikkor AF-S 50mm f/1.8G, (Compatible with Nikon DSLR Cameras)</t>
  </si>
  <si>
    <t>W1315328606</t>
  </si>
  <si>
    <t>AN087EL56JVZ-560260</t>
  </si>
  <si>
    <t>Anker Nylon Braided Lightning Cable 1.8m (Gold)</t>
  </si>
  <si>
    <t>PO044364</t>
  </si>
  <si>
    <t>W1315435013</t>
  </si>
  <si>
    <t>SO768EL49EWG-700160</t>
  </si>
  <si>
    <t>Xperia E5 (16 GB, 4G LTE, Black Dual SIM)</t>
  </si>
  <si>
    <t>PO044394</t>
  </si>
  <si>
    <t>SA961499</t>
  </si>
  <si>
    <t>W1315187895</t>
  </si>
  <si>
    <t>TH718AT44PDF-368740</t>
  </si>
  <si>
    <t>SA961631</t>
  </si>
  <si>
    <t>W1315359721</t>
  </si>
  <si>
    <t>FA020AC74UFL-599031</t>
  </si>
  <si>
    <t>Farlin Cot Bedding Set (BF-582, White)</t>
  </si>
  <si>
    <t>PO044557</t>
  </si>
  <si>
    <t>SA961808</t>
  </si>
  <si>
    <t>W1315399155</t>
  </si>
  <si>
    <t>SA222AT43CDK-643074</t>
  </si>
  <si>
    <t>Copper Sequin Beaded Collar Top, Black</t>
  </si>
  <si>
    <t>SA961812</t>
  </si>
  <si>
    <t>SA961813</t>
  </si>
  <si>
    <t>SA961909</t>
  </si>
  <si>
    <t>SA961956</t>
  </si>
  <si>
    <t>SA961966</t>
  </si>
  <si>
    <t>W1315187472</t>
  </si>
  <si>
    <t>TH718AT58OUZ-367885</t>
  </si>
  <si>
    <t>THREADCURRY White Graphic Printed Round Neck T Shirt</t>
  </si>
  <si>
    <t>SA961967</t>
  </si>
  <si>
    <t>W1315350782</t>
  </si>
  <si>
    <t>HU968AT52MKL-591567</t>
  </si>
  <si>
    <t>SA962054</t>
  </si>
  <si>
    <t>W1315430525</t>
  </si>
  <si>
    <t>UP141AT42JLT-703430</t>
  </si>
  <si>
    <t>Denim Shirt, Printed Blue</t>
  </si>
  <si>
    <t>SA962055</t>
  </si>
  <si>
    <t>SA962056</t>
  </si>
  <si>
    <t>W1315278078</t>
  </si>
  <si>
    <t>SA222AT92BTB-475752</t>
  </si>
  <si>
    <t>Tie And Dye Kurta Top, Multi</t>
  </si>
  <si>
    <t>SA962393</t>
  </si>
  <si>
    <t>W1315399364</t>
  </si>
  <si>
    <t>SA222AT01CFA-643283</t>
  </si>
  <si>
    <t>SA962434</t>
  </si>
  <si>
    <t>W1315347805</t>
  </si>
  <si>
    <t>RI918AT57EWC-583557</t>
  </si>
  <si>
    <t>Victorian Ruffle Top, Yellow</t>
  </si>
  <si>
    <t>SA962435</t>
  </si>
  <si>
    <t>SA962444</t>
  </si>
  <si>
    <t>W1315430640</t>
  </si>
  <si>
    <t>UP141AT60EVV-700130</t>
  </si>
  <si>
    <t>Jeans, Blue</t>
  </si>
  <si>
    <t>SA962448</t>
  </si>
  <si>
    <t>W1315350372</t>
  </si>
  <si>
    <t>KE914AT53EDA-582590</t>
  </si>
  <si>
    <t>Men's T-Shirt Pack of 11, Black/Beige/Grey</t>
  </si>
  <si>
    <t>SA962450</t>
  </si>
  <si>
    <t>W1315399798</t>
  </si>
  <si>
    <t>WE564AT95CBK-642850</t>
  </si>
  <si>
    <t>SA962704</t>
  </si>
  <si>
    <t>SA962708</t>
  </si>
  <si>
    <t>W1315471634</t>
  </si>
  <si>
    <t>CA511AC36MPR-724713</t>
  </si>
  <si>
    <t>Analog-Chronograph Black Dial Watch for Men (EFR-539L-1AVUDF)</t>
  </si>
  <si>
    <t>Jerry Trackpant, Green</t>
  </si>
  <si>
    <t>W1315492436</t>
  </si>
  <si>
    <t>MI811EL18SGN-732367</t>
  </si>
  <si>
    <t>Wireless Portable Speaker (X6, Blue/Black)</t>
  </si>
  <si>
    <t>W1315149696</t>
  </si>
  <si>
    <t>EL793AC07DUQ-83923</t>
  </si>
  <si>
    <t>Elizabeth Arden Green Tea Scent Spray for Women - 100 ml - EDP</t>
  </si>
  <si>
    <t>SA962890</t>
  </si>
  <si>
    <t>W1315399181</t>
  </si>
  <si>
    <t>SA222AT38CDP-643100</t>
  </si>
  <si>
    <t>Pastel Color Block Top, Pink/Aqua/Ivory</t>
  </si>
  <si>
    <t>Maxi Dress, Black</t>
  </si>
  <si>
    <t>SA962893</t>
  </si>
  <si>
    <t>W1315278042</t>
  </si>
  <si>
    <t>SA222AT00BST-475716</t>
  </si>
  <si>
    <t>SA962894</t>
  </si>
  <si>
    <t>W1315399619</t>
  </si>
  <si>
    <t>SA222AT49CHA-643538</t>
  </si>
  <si>
    <t>Cut Out Shirt, Black</t>
  </si>
  <si>
    <t>SA962896</t>
  </si>
  <si>
    <t>W1315278131</t>
  </si>
  <si>
    <t>SA222AT81BTM-475805</t>
  </si>
  <si>
    <t>Long Sleeves Top, Red</t>
  </si>
  <si>
    <t>SA962898</t>
  </si>
  <si>
    <t>SA962900</t>
  </si>
  <si>
    <t>W1315277829</t>
  </si>
  <si>
    <t>SA222AT06BOR-475448</t>
  </si>
  <si>
    <t>Chained Pocket Shirt, Black</t>
  </si>
  <si>
    <t>SA962908</t>
  </si>
  <si>
    <t>W1315278061</t>
  </si>
  <si>
    <t>SA222AT96BSX-475735</t>
  </si>
  <si>
    <t>SA962972</t>
  </si>
  <si>
    <t>W1315351109</t>
  </si>
  <si>
    <t>HU968AT70NSJ-592968</t>
  </si>
  <si>
    <t>W1315205028</t>
  </si>
  <si>
    <t>CA511AC36DEX-380301</t>
  </si>
  <si>
    <t>MTP-1374D-1AVDF for Men (Analog Watch, Black)</t>
  </si>
  <si>
    <t>W1315121930</t>
  </si>
  <si>
    <t>JA802BE58GIB-36375</t>
  </si>
  <si>
    <t>PO044383</t>
  </si>
  <si>
    <t>SA963073</t>
  </si>
  <si>
    <t>W1315351173</t>
  </si>
  <si>
    <t>HU968AT54NSZ-593032</t>
  </si>
  <si>
    <t>W1315110777</t>
  </si>
  <si>
    <t>DO962BE51VZC-29382</t>
  </si>
  <si>
    <t>SA963283</t>
  </si>
  <si>
    <t>W1315265924</t>
  </si>
  <si>
    <t>GR933AC54HRL-453734</t>
  </si>
  <si>
    <t>Graco Travel System Stylus Winslet Grey/Blue - 1928315</t>
  </si>
  <si>
    <t>PO044482</t>
  </si>
  <si>
    <t>SA963388</t>
  </si>
  <si>
    <t>W1315325181</t>
  </si>
  <si>
    <t>DA568AC48IVJ-559540</t>
  </si>
  <si>
    <t>0106DW for Men (Analog Watch, Brown)</t>
  </si>
  <si>
    <t>SA963579</t>
  </si>
  <si>
    <t>W1315473382</t>
  </si>
  <si>
    <t>BA225AC02QUR-731383</t>
  </si>
  <si>
    <t>Mini Story Starter Assortment (CFB50, multicolor)</t>
  </si>
  <si>
    <t>SA963580</t>
  </si>
  <si>
    <t>W1315473365</t>
  </si>
  <si>
    <t>BA225AC19QUA-731366</t>
  </si>
  <si>
    <t>Room Doll Assortment (CFB63, multicolor)</t>
  </si>
  <si>
    <t>W1315121746</t>
  </si>
  <si>
    <t>BE422BE90GON-36543</t>
  </si>
  <si>
    <t>SA963706</t>
  </si>
  <si>
    <t>W1315348957</t>
  </si>
  <si>
    <t>FR924AT35LRW-590678</t>
  </si>
  <si>
    <t>Long Jacket with Elasticated Waist, Olive</t>
  </si>
  <si>
    <t>SA963792</t>
  </si>
  <si>
    <t>W1315204262</t>
  </si>
  <si>
    <t>CR884AC46JNX-387711</t>
  </si>
  <si>
    <t>Crunchy Fashion Golden Tear Drop Pendant Set (Gold) - CFS0116</t>
  </si>
  <si>
    <t>SA963793</t>
  </si>
  <si>
    <t>W1315381293</t>
  </si>
  <si>
    <t>MO687AT10UMR-636755</t>
  </si>
  <si>
    <t>Casual Shirt, Multicolor</t>
  </si>
  <si>
    <t>SA963797</t>
  </si>
  <si>
    <t>W1315325306</t>
  </si>
  <si>
    <t>SI601AC91TVG-528507</t>
  </si>
  <si>
    <t>Simaya Fashion Bracelet (FB 0284, Gold tone)</t>
  </si>
  <si>
    <t>SA963833</t>
  </si>
  <si>
    <t>W1315316761</t>
  </si>
  <si>
    <t>UN563AC12OAL-522607</t>
  </si>
  <si>
    <t>Hand Crafted Fine Texture Genuine Leather Wallet for Men (UN113, Maroon)</t>
  </si>
  <si>
    <t>SA963970</t>
  </si>
  <si>
    <t>SA963988</t>
  </si>
  <si>
    <t>W1315230544</t>
  </si>
  <si>
    <t>SA766EL05DSO-412182</t>
  </si>
  <si>
    <t>Galaxy S7 (32 GB, 4G LTE, Silver, Dual SIM)</t>
  </si>
  <si>
    <t>PO044477</t>
  </si>
  <si>
    <t>SA964026</t>
  </si>
  <si>
    <t>W1315399231</t>
  </si>
  <si>
    <t>SA222AT28CDZ-643150</t>
  </si>
  <si>
    <t>Floral Applique Blouse, Maroon</t>
  </si>
  <si>
    <t>SA964027</t>
  </si>
  <si>
    <t>SA964087</t>
  </si>
  <si>
    <t>W1315399180</t>
  </si>
  <si>
    <t>SA222AT38CDP-643099</t>
  </si>
  <si>
    <t>SA964092</t>
  </si>
  <si>
    <t>SA964174</t>
  </si>
  <si>
    <t>W1315384637</t>
  </si>
  <si>
    <t>GP120EL88YJN-640082</t>
  </si>
  <si>
    <t>15000 mAh Powerbank (GPWG503, Black)</t>
  </si>
  <si>
    <t>SA964292</t>
  </si>
  <si>
    <t>W1315277634</t>
  </si>
  <si>
    <t>SA222AT61BMO-475240</t>
  </si>
  <si>
    <t>Pants, Maroon</t>
  </si>
  <si>
    <t>SA964294</t>
  </si>
  <si>
    <t>W1315277449</t>
  </si>
  <si>
    <t>SA222AT01BLA-475055</t>
  </si>
  <si>
    <t>SA964468</t>
  </si>
  <si>
    <t>W1315130258</t>
  </si>
  <si>
    <t>CA511AC76YIP-56225</t>
  </si>
  <si>
    <t>Casio Youth Series (Digital, AW-82D-7AVDF, Men)</t>
  </si>
  <si>
    <t>Classic Fit Mist Blue Polo T-Shirt</t>
  </si>
  <si>
    <t>W1315304753</t>
  </si>
  <si>
    <t>CA959BE91GUU-516547</t>
  </si>
  <si>
    <t>Pour Homme PUH1064 for Men (EDT, 25 ml)</t>
  </si>
  <si>
    <t>W1315121725</t>
  </si>
  <si>
    <t>AM952BE06GNX-36527</t>
  </si>
  <si>
    <t>SA964566</t>
  </si>
  <si>
    <t>W1315325890</t>
  </si>
  <si>
    <t>AD592AC39DUY-548409</t>
  </si>
  <si>
    <t>Wayfarer Sunglasses for Unisex (5001BROWN-BROWN)</t>
  </si>
  <si>
    <t>PO044500</t>
  </si>
  <si>
    <t>SA964568</t>
  </si>
  <si>
    <t>W1315232281</t>
  </si>
  <si>
    <t>AL992AT28KYD-427700</t>
  </si>
  <si>
    <t>SA964885</t>
  </si>
  <si>
    <t>W1315277734</t>
  </si>
  <si>
    <t>SA222AT25BNY-475353</t>
  </si>
  <si>
    <t>SA964887</t>
  </si>
  <si>
    <t>SA964890</t>
  </si>
  <si>
    <t>W1315202980</t>
  </si>
  <si>
    <t>GU094AC97BAS-378321</t>
  </si>
  <si>
    <t>Guess Analog-Chronograph Leather Men's Watch W0380G4</t>
  </si>
  <si>
    <t>W1315402046</t>
  </si>
  <si>
    <t>DE399EL47FNS-646416</t>
  </si>
  <si>
    <t>Karaoke 2nd Generation Mic (Pink)</t>
  </si>
  <si>
    <t>SA965108</t>
  </si>
  <si>
    <t>PO044442</t>
  </si>
  <si>
    <t>SA965179</t>
  </si>
  <si>
    <t>W1315389338</t>
  </si>
  <si>
    <t>MA096BE26QXT-633768</t>
  </si>
  <si>
    <t>Clear Glow Pressed Powder - 4 Sand Beige</t>
  </si>
  <si>
    <t>W1315328605</t>
  </si>
  <si>
    <t>AN087EL57JVY-560259</t>
  </si>
  <si>
    <t>Anker Nylon Braided Lightning Cable 1.8m (Black)</t>
  </si>
  <si>
    <t>SA965230</t>
  </si>
  <si>
    <t>SA965320</t>
  </si>
  <si>
    <t>W1315347723</t>
  </si>
  <si>
    <t>RI918AT01EUK-583451</t>
  </si>
  <si>
    <t>Animal Print Pussy Knot Blouse, Multi</t>
  </si>
  <si>
    <t>SA965437</t>
  </si>
  <si>
    <t>W1315232282</t>
  </si>
  <si>
    <t>AL992AT28KYD-427701</t>
  </si>
  <si>
    <t>W1315121739</t>
  </si>
  <si>
    <t>BE421BE96GOH-36537</t>
  </si>
  <si>
    <t>SA965474</t>
  </si>
  <si>
    <t>W1315316119</t>
  </si>
  <si>
    <t>WE564AT53OCS-522741</t>
  </si>
  <si>
    <t>Men's Printed Round Neck T-Shirt, Black</t>
  </si>
  <si>
    <t>SA965498</t>
  </si>
  <si>
    <t>W1315327411</t>
  </si>
  <si>
    <t>ED203AT68WJN-530541</t>
  </si>
  <si>
    <t>Black with Side Belt Slimfit Casual Shirt</t>
  </si>
  <si>
    <t>SA965499</t>
  </si>
  <si>
    <t>W1315327431</t>
  </si>
  <si>
    <t>ED203AT63WJS-530561</t>
  </si>
  <si>
    <t>Solid Slimfit Casual Shirt, Navy</t>
  </si>
  <si>
    <t>SA965500</t>
  </si>
  <si>
    <t>W1315327427</t>
  </si>
  <si>
    <t>ED203AT64WJR-530557</t>
  </si>
  <si>
    <t>Black Solid Slimfit Casual Shirt, Black</t>
  </si>
  <si>
    <t>SA965563</t>
  </si>
  <si>
    <t>SA965829</t>
  </si>
  <si>
    <t>W1315240201</t>
  </si>
  <si>
    <t>FA020AC57OPE-431760</t>
  </si>
  <si>
    <t>Farlin Wet Wipes For Hand &amp; Mouth - DT-009</t>
  </si>
  <si>
    <t>Double Layered Top, Pink</t>
  </si>
  <si>
    <t>W1315203505</t>
  </si>
  <si>
    <t>CR884AC45KDI-388112</t>
  </si>
  <si>
    <t>Crunchy Fashion Swan Pendant Set (Silver) - CFS0154</t>
  </si>
  <si>
    <t>SA965865</t>
  </si>
  <si>
    <t>W1315244028</t>
  </si>
  <si>
    <t>TH106AT26UOF-438234</t>
  </si>
  <si>
    <t>The Vanca Maxi Dress- Peach</t>
  </si>
  <si>
    <t>SA965969</t>
  </si>
  <si>
    <t>W1315121733</t>
  </si>
  <si>
    <t>AN426BE02GOB-36531</t>
  </si>
  <si>
    <t>SA966268</t>
  </si>
  <si>
    <t>W1315325507</t>
  </si>
  <si>
    <t>SI601AC68UHR-529019</t>
  </si>
  <si>
    <t>Simaya Fashion earring (FE 0696, Gold tone)</t>
  </si>
  <si>
    <t>SA966269</t>
  </si>
  <si>
    <t>W1315325254</t>
  </si>
  <si>
    <t>SI601AC92TRJ-528406</t>
  </si>
  <si>
    <t>Simaya Fashion Bracelet (FB 0128, Gold tone)</t>
  </si>
  <si>
    <t>SA966271</t>
  </si>
  <si>
    <t>W1315325347</t>
  </si>
  <si>
    <t>SI601AC33TXM-528565</t>
  </si>
  <si>
    <t>Simaya Fashion earring (FE 0216, Multi color)</t>
  </si>
  <si>
    <t>W1315339368</t>
  </si>
  <si>
    <t>ST879AT44RGT-573390</t>
  </si>
  <si>
    <t>Top, Wine</t>
  </si>
  <si>
    <t>W1315366196</t>
  </si>
  <si>
    <t>XI296EL25UDM-598980</t>
  </si>
  <si>
    <t>Mi Fitness Band 2 with HR and Display (Black)</t>
  </si>
  <si>
    <t>SA966370</t>
  </si>
  <si>
    <t>W1315351108</t>
  </si>
  <si>
    <t>HU968AT70NSJ-592967</t>
  </si>
  <si>
    <t>SA966372</t>
  </si>
  <si>
    <t>W1315351100</t>
  </si>
  <si>
    <t>HU968AT72NSH-592959</t>
  </si>
  <si>
    <t>SA966375</t>
  </si>
  <si>
    <t>W1315396615</t>
  </si>
  <si>
    <t>KE914AT39ZAU-640637</t>
  </si>
  <si>
    <t>Polo T-Shirt, Grey</t>
  </si>
  <si>
    <t>SA966423</t>
  </si>
  <si>
    <t>SA966535</t>
  </si>
  <si>
    <t>W1315232280</t>
  </si>
  <si>
    <t>AL992AT28KYD-427699</t>
  </si>
  <si>
    <t>SA966571</t>
  </si>
  <si>
    <t>SA966653</t>
  </si>
  <si>
    <t>W1315216251</t>
  </si>
  <si>
    <t>GR933AC38XXH-407179</t>
  </si>
  <si>
    <t>Graco Stadium Du Sport Luxe 6L92SLXE Stroller - 1855707</t>
  </si>
  <si>
    <t>SA966812</t>
  </si>
  <si>
    <t>W1315216166</t>
  </si>
  <si>
    <t>GR933AC23XXW-407194</t>
  </si>
  <si>
    <t>Graco Evo Khaki Stroller - 1882166</t>
  </si>
  <si>
    <t>SA966902</t>
  </si>
  <si>
    <t>W1315350837</t>
  </si>
  <si>
    <t>HU968AT38MKZ-591622</t>
  </si>
  <si>
    <t>SA966927</t>
  </si>
  <si>
    <t>W1315350972</t>
  </si>
  <si>
    <t>HU968AT04MMH-591757</t>
  </si>
  <si>
    <t>SA966928</t>
  </si>
  <si>
    <t>W1315351200</t>
  </si>
  <si>
    <t>HU968AT47NTG-593059</t>
  </si>
  <si>
    <t>SA966929</t>
  </si>
  <si>
    <t>W1315351196</t>
  </si>
  <si>
    <t>HU968AT48NTF-593055</t>
  </si>
  <si>
    <t>SA967036</t>
  </si>
  <si>
    <t>SA967037</t>
  </si>
  <si>
    <t>W1315121017</t>
  </si>
  <si>
    <t>CA787BE47GEQ-36286</t>
  </si>
  <si>
    <t>SA967537</t>
  </si>
  <si>
    <t>W1315380642</t>
  </si>
  <si>
    <t>FA080AT21OWC-631657</t>
  </si>
  <si>
    <t>Casual T-Shirt, White</t>
  </si>
  <si>
    <t>SA967538</t>
  </si>
  <si>
    <t>W1315211391</t>
  </si>
  <si>
    <t>MR178AT71GCM-383290</t>
  </si>
  <si>
    <t>Mr Button Grey V Neck T Shirt With Shark Pocket</t>
  </si>
  <si>
    <t>SA967587</t>
  </si>
  <si>
    <t>W1315278279</t>
  </si>
  <si>
    <t>SA222AT29BVM-475972</t>
  </si>
  <si>
    <t>Lace Insert Top, Brown</t>
  </si>
  <si>
    <t>SA967588</t>
  </si>
  <si>
    <t>W1315399367</t>
  </si>
  <si>
    <t>SA222AT00CFB-643286</t>
  </si>
  <si>
    <t>W1315121681</t>
  </si>
  <si>
    <t>VE740BE12GCD-36221</t>
  </si>
  <si>
    <t>SA967627</t>
  </si>
  <si>
    <t>W1315243635</t>
  </si>
  <si>
    <t>TH106AT02UHL-437282</t>
  </si>
  <si>
    <t>The Vanca Long Dress - Maroon</t>
  </si>
  <si>
    <t>SA967630</t>
  </si>
  <si>
    <t>W1315232292</t>
  </si>
  <si>
    <t>AL992AT26KYF-427711</t>
  </si>
  <si>
    <t>A Luv Ya Women's Poly Crepe Printed Polka dot Camp Shirt</t>
  </si>
  <si>
    <t>SA967631</t>
  </si>
  <si>
    <t>W1315391569</t>
  </si>
  <si>
    <t>MA096BE80SEH-634638</t>
  </si>
  <si>
    <t>Lash Sensational Mascara - Washable Black</t>
  </si>
  <si>
    <t>SA967632</t>
  </si>
  <si>
    <t>SA967633</t>
  </si>
  <si>
    <t>SA967634</t>
  </si>
  <si>
    <t>SA967655</t>
  </si>
  <si>
    <t>W1315351106</t>
  </si>
  <si>
    <t>HU968AT71NSI-592965</t>
  </si>
  <si>
    <t>SA967713</t>
  </si>
  <si>
    <t>W1315390340</t>
  </si>
  <si>
    <t>CO092BE53RAO-633841</t>
  </si>
  <si>
    <t>Kajal Pencil</t>
  </si>
  <si>
    <t>SA967858</t>
  </si>
  <si>
    <t>W1315325850</t>
  </si>
  <si>
    <t>SI601AC15UZC-529490</t>
  </si>
  <si>
    <t>Simaya Fashion Necklace (FN 0456, Gold tone)</t>
  </si>
  <si>
    <t>SA967859</t>
  </si>
  <si>
    <t>W1315390862</t>
  </si>
  <si>
    <t>SO088BE90RON-634204</t>
  </si>
  <si>
    <t>Coldpressed Coconut Pure Natural Carrier Oil</t>
  </si>
  <si>
    <t>SA967860</t>
  </si>
  <si>
    <t>W1315390052</t>
  </si>
  <si>
    <t>AR083BE86QGB-633308</t>
  </si>
  <si>
    <t>Castor Oil</t>
  </si>
  <si>
    <t>W1315384655</t>
  </si>
  <si>
    <t>SA766EL49NES-629685</t>
  </si>
  <si>
    <t>J7 Prime (32 GB, 4G LTE, Black, Dual SIM)</t>
  </si>
  <si>
    <t>W1315122007</t>
  </si>
  <si>
    <t>KH475BE94JJL-38439</t>
  </si>
  <si>
    <t>Tunic, Black</t>
  </si>
  <si>
    <t>SA968326</t>
  </si>
  <si>
    <t>W1315389856</t>
  </si>
  <si>
    <t>SO088BE86QZH-633808</t>
  </si>
  <si>
    <t>A For Anti Aging Soap</t>
  </si>
  <si>
    <t>SA968327</t>
  </si>
  <si>
    <t>SA968391</t>
  </si>
  <si>
    <t>W1315348928</t>
  </si>
  <si>
    <t>FR924AT62LQV-590469</t>
  </si>
  <si>
    <t>Long Shirt, brown</t>
  </si>
  <si>
    <t>SA968531</t>
  </si>
  <si>
    <t>SA968538</t>
  </si>
  <si>
    <t>W1315473491</t>
  </si>
  <si>
    <t>HO801AC68QZV-731517</t>
  </si>
  <si>
    <t>Star Wars Starship Assortment (CGW52, grey)</t>
  </si>
  <si>
    <t>W1315129847</t>
  </si>
  <si>
    <t>WD848EL81UES-52438</t>
  </si>
  <si>
    <t>Element Portable USB 3.0 WDBU6Y0020BBK (2 TB, Black)</t>
  </si>
  <si>
    <t>SA968894</t>
  </si>
  <si>
    <t>W1315436921</t>
  </si>
  <si>
    <t>ES913BE12SMP-691397</t>
  </si>
  <si>
    <t>Essence Lash Princess False Lash Effect Mascara</t>
  </si>
  <si>
    <t>W1315111908</t>
  </si>
  <si>
    <t>NI841EL69HIO-37064</t>
  </si>
  <si>
    <t>Nikon D5500 with 18-55 mm Lens DSLR- Black</t>
  </si>
  <si>
    <t>W1315204739</t>
  </si>
  <si>
    <t>CA511AC67DPG-380570</t>
  </si>
  <si>
    <t>AW-80D-1A2VDF for Men (Analog-Digital Watch)</t>
  </si>
  <si>
    <t>SA969177</t>
  </si>
  <si>
    <t>W1315316077</t>
  </si>
  <si>
    <t>WE564AT63OCI-522699</t>
  </si>
  <si>
    <t>Men's Plain Round Neck T-Shirt, Bottle Green</t>
  </si>
  <si>
    <t>SA969216</t>
  </si>
  <si>
    <t>SA969265</t>
  </si>
  <si>
    <t>W1315473424</t>
  </si>
  <si>
    <t>BA225AC40QXB-731445</t>
  </si>
  <si>
    <t>Barbie Long Hair Chelsea Asst (DKB54, Multicolor)</t>
  </si>
  <si>
    <t>SA969266</t>
  </si>
  <si>
    <t>SA969282</t>
  </si>
  <si>
    <t>W1315439322</t>
  </si>
  <si>
    <t>HE368BE22VSV-693587</t>
  </si>
  <si>
    <t>Healthvit Fatnile Fat Reduction Tea Garcinia, Green Tea, Ginger For Natural Weight Loss</t>
  </si>
  <si>
    <t>SA969283</t>
  </si>
  <si>
    <t>SA969286</t>
  </si>
  <si>
    <t>W1315278049</t>
  </si>
  <si>
    <t>SA222AT98BSV-475723</t>
  </si>
  <si>
    <t>Angel Sleeves Floral Top, Navy Blue</t>
  </si>
  <si>
    <t>SA969288</t>
  </si>
  <si>
    <t>W1315232324</t>
  </si>
  <si>
    <t>AL992AT18KYN-427743</t>
  </si>
  <si>
    <t>A Luv Ya Women's Printed Modal Lace Yoke Top / Tunic</t>
  </si>
  <si>
    <t>W1315102665</t>
  </si>
  <si>
    <t>GU094EL14CBH-1397</t>
  </si>
  <si>
    <t>Guess Analog Blue Dial Watch for Men (W0247G3)</t>
  </si>
  <si>
    <t>SA969558</t>
  </si>
  <si>
    <t>W1315216252</t>
  </si>
  <si>
    <t>GR933AC37XXI-407180</t>
  </si>
  <si>
    <t>Graco Ready2Grow Metropolita2014 6AC99MTPE Stroller (1914034)</t>
  </si>
  <si>
    <t>SA969580</t>
  </si>
  <si>
    <t>PO044481</t>
  </si>
  <si>
    <t>SA969581</t>
  </si>
  <si>
    <t>SA969683</t>
  </si>
  <si>
    <t>W1315311339</t>
  </si>
  <si>
    <t>FA020AC90JPX-519280</t>
  </si>
  <si>
    <t>Farlin Baby Bottle Multicolor - PER-858 (T3)</t>
  </si>
  <si>
    <t>SA969684</t>
  </si>
  <si>
    <t>W1315302534</t>
  </si>
  <si>
    <t>AN087EL60ZTJ-510208</t>
  </si>
  <si>
    <t>Anker Braided Micro USB Cable 3ft - Silver</t>
  </si>
  <si>
    <t>SA969929</t>
  </si>
  <si>
    <t>W1315390277</t>
  </si>
  <si>
    <t>NA091BE01RKG-634093</t>
  </si>
  <si>
    <t>Ageless Organic Rosehip Oil</t>
  </si>
  <si>
    <t>SA970008</t>
  </si>
  <si>
    <t>W1315316766</t>
  </si>
  <si>
    <t>UN563AC07OAQ-522612</t>
  </si>
  <si>
    <t>Hand Crafted Genuine Leather Wallet for Men (UN150, Black)</t>
  </si>
  <si>
    <t>SA970009</t>
  </si>
  <si>
    <t>W1315316765</t>
  </si>
  <si>
    <t>UN563AC08OAP-522611</t>
  </si>
  <si>
    <t>Hand Crafted Genuine Leather Wallet for Men (UN148, Black)</t>
  </si>
  <si>
    <t>SA970020</t>
  </si>
  <si>
    <t>W1315426868</t>
  </si>
  <si>
    <t>FL176AT53HES-681111</t>
  </si>
  <si>
    <t>SA970129</t>
  </si>
  <si>
    <t>W1315249268</t>
  </si>
  <si>
    <t>FA020AC21AMG-445508</t>
  </si>
  <si>
    <t>Farlin Tableware Set - PER-246</t>
  </si>
  <si>
    <t>W1315130505</t>
  </si>
  <si>
    <t>CA511AC86ZUR-57215</t>
  </si>
  <si>
    <t>Casio Classic (Analog, MRW200H-1BV, Men)</t>
  </si>
  <si>
    <t>SA970139</t>
  </si>
  <si>
    <t>SA970145</t>
  </si>
  <si>
    <t>W1315399458</t>
  </si>
  <si>
    <t>SA222AT81CFU-643377</t>
  </si>
  <si>
    <t>Cold Shoulder Scuba Dress, Maroon</t>
  </si>
  <si>
    <t>SA970147</t>
  </si>
  <si>
    <t>W1315349474</t>
  </si>
  <si>
    <t>HO923AT19KNS-588279</t>
  </si>
  <si>
    <t>SA970148</t>
  </si>
  <si>
    <t>W1315399031</t>
  </si>
  <si>
    <t>SA222AT68CCL-642950</t>
  </si>
  <si>
    <t>Bodycon Cape Dress, Maroon</t>
  </si>
  <si>
    <t>SA970187</t>
  </si>
  <si>
    <t>W1315353885</t>
  </si>
  <si>
    <t>AM977AT75OHO-593979</t>
  </si>
  <si>
    <t>Baby doll Nighty, Multicolor</t>
  </si>
  <si>
    <t>SA970207</t>
  </si>
  <si>
    <t>SA970208</t>
  </si>
  <si>
    <t>SA970209</t>
  </si>
  <si>
    <t>SA970227</t>
  </si>
  <si>
    <t>W1315353920</t>
  </si>
  <si>
    <t>AM977AT76QNF-595476</t>
  </si>
  <si>
    <t>SA970228</t>
  </si>
  <si>
    <t>PO044617</t>
  </si>
  <si>
    <t>SA970361</t>
  </si>
  <si>
    <t>W1315278089</t>
  </si>
  <si>
    <t>SA222AT90BTD-475763</t>
  </si>
  <si>
    <t>SA970481</t>
  </si>
  <si>
    <t>W1315462036</t>
  </si>
  <si>
    <t>AN087EL35VDW-711363</t>
  </si>
  <si>
    <t>SoundBuds Sport In Ear Earphones (A32330J1, Black and Blue)</t>
  </si>
  <si>
    <t>SA970493</t>
  </si>
  <si>
    <t>W1315435849</t>
  </si>
  <si>
    <t>BE247BE79VUM-693630</t>
  </si>
  <si>
    <t>Beardo Beard &amp; Mustache Wax</t>
  </si>
  <si>
    <t>SA970494</t>
  </si>
  <si>
    <t>W1315437077</t>
  </si>
  <si>
    <t>HE368BE71PWY-689638</t>
  </si>
  <si>
    <t>Healthvit Beard Facial Hair Supplement for Thicker and Fuller Beard Hair (60 Tablets)</t>
  </si>
  <si>
    <t>W1315130713</t>
  </si>
  <si>
    <t>CA511AC30AAR-57371</t>
  </si>
  <si>
    <t>Casio Analog Leather Men's Watch MTP-V001L-7BUDF</t>
  </si>
  <si>
    <t>SA970523</t>
  </si>
  <si>
    <t>SA970587</t>
  </si>
  <si>
    <t>W1315216211</t>
  </si>
  <si>
    <t>GR933AC78XVT-407139</t>
  </si>
  <si>
    <t>Graco STh Sys Gldr Finland Swing - 1896394</t>
  </si>
  <si>
    <t>SA970638</t>
  </si>
  <si>
    <t>W1315121042</t>
  </si>
  <si>
    <t>CA787BE37GFA-36296</t>
  </si>
  <si>
    <t>PO044559</t>
  </si>
  <si>
    <t>SA970676</t>
  </si>
  <si>
    <t>W1315381426</t>
  </si>
  <si>
    <t>YE659AC92ODZ-630751</t>
  </si>
  <si>
    <t>1873 for Women (Analog Watch, Black)</t>
  </si>
  <si>
    <t>SA970687</t>
  </si>
  <si>
    <t>PO044634</t>
  </si>
  <si>
    <t>SA970696</t>
  </si>
  <si>
    <t>W1315121224</t>
  </si>
  <si>
    <t>EL793BE23GRC-36610</t>
  </si>
  <si>
    <t>SA970713</t>
  </si>
  <si>
    <t>W1315389643</t>
  </si>
  <si>
    <t>LO860BE47SBS-634571</t>
  </si>
  <si>
    <t>True Match BB Cream - Honey</t>
  </si>
  <si>
    <t>SA970716</t>
  </si>
  <si>
    <t>W1315436804</t>
  </si>
  <si>
    <t>HI211BE36UFV-692573</t>
  </si>
  <si>
    <t>Himalaya Herbals Fairness Kesar Face Pack - 50gm</t>
  </si>
  <si>
    <t>SA970732</t>
  </si>
  <si>
    <t>W1315406783</t>
  </si>
  <si>
    <t>MU172AT29YMS-668574</t>
  </si>
  <si>
    <t>PO044564</t>
  </si>
  <si>
    <t>SA970755</t>
  </si>
  <si>
    <t>W1315337244</t>
  </si>
  <si>
    <t>GR933AC24OML-571156</t>
  </si>
  <si>
    <t>SporTS Evo XT Storm Stroller Black</t>
  </si>
  <si>
    <t>SA970841</t>
  </si>
  <si>
    <t>W1315462042</t>
  </si>
  <si>
    <t>AN087EL29VEC-711369</t>
  </si>
  <si>
    <t>SoundCore Bluetooth Portable Speakers (A3102011, Black)</t>
  </si>
  <si>
    <t>PO044587</t>
  </si>
  <si>
    <t>W1315100217</t>
  </si>
  <si>
    <t>AP771EL49ARI-449</t>
  </si>
  <si>
    <t>iPad Air 2 (WiFi 64 GB Space Grey)</t>
  </si>
  <si>
    <t>SA970998</t>
  </si>
  <si>
    <t>SA971022</t>
  </si>
  <si>
    <t>W1315337535</t>
  </si>
  <si>
    <t>AU677EL03RQA-573668</t>
  </si>
  <si>
    <t>Max-5U Speakers (Black)</t>
  </si>
  <si>
    <t>PO044562</t>
  </si>
  <si>
    <t>W1315240176</t>
  </si>
  <si>
    <t>FA020AC08ONF-431709</t>
  </si>
  <si>
    <t>Farlin 3 Stage Baby Oral Hygiene Set - BDT-005-E</t>
  </si>
  <si>
    <t>SA971227</t>
  </si>
  <si>
    <t>W1315240215</t>
  </si>
  <si>
    <t>FA020AC93ONU-431724</t>
  </si>
  <si>
    <t>Farlin Chu Chu Pacifier 0+ - BAC-004-S</t>
  </si>
  <si>
    <t>SA971228</t>
  </si>
  <si>
    <t>W1315322140</t>
  </si>
  <si>
    <t>FA020AC09HVY-558861</t>
  </si>
  <si>
    <t>Farlin Baby Feeding Bottle Wash (BF-200)</t>
  </si>
  <si>
    <t>SA971231</t>
  </si>
  <si>
    <t>SA971345</t>
  </si>
  <si>
    <t>PO044635</t>
  </si>
  <si>
    <t>SA971412</t>
  </si>
  <si>
    <t>SA971485</t>
  </si>
  <si>
    <t>W1315216174</t>
  </si>
  <si>
    <t>GR933AC15XYE-407202</t>
  </si>
  <si>
    <t>Graco Sky Stroller Black Night Stroller - 1879074</t>
  </si>
  <si>
    <t>SA971499</t>
  </si>
  <si>
    <t>W1315249198</t>
  </si>
  <si>
    <t>CA511AC30YAJ-508580</t>
  </si>
  <si>
    <t>SA971531</t>
  </si>
  <si>
    <t>W1315367988</t>
  </si>
  <si>
    <t>PU020AC20AFJ-603508</t>
  </si>
  <si>
    <t>PU103211031 for Men (Analog Watch, Blue)</t>
  </si>
  <si>
    <t>SA971542</t>
  </si>
  <si>
    <t>SA971691</t>
  </si>
  <si>
    <t>SA971696</t>
  </si>
  <si>
    <t>W1315390130</t>
  </si>
  <si>
    <t>AR089BE56PVR-633038</t>
  </si>
  <si>
    <t>Frankincense Pure Essential Oil</t>
  </si>
  <si>
    <t>SA971736</t>
  </si>
  <si>
    <t>W1315311420</t>
  </si>
  <si>
    <t>GR933AC70SWB-574502</t>
  </si>
  <si>
    <t>Graco Evo Sand Stroller (Beige)</t>
  </si>
  <si>
    <t>SA971761</t>
  </si>
  <si>
    <t>W1315224889</t>
  </si>
  <si>
    <t>SO768EL86WEB-507139</t>
  </si>
  <si>
    <t>Xperia M5 (16 GB, 4G LTE, Gold Dual SIM)</t>
  </si>
  <si>
    <t>SA971774</t>
  </si>
  <si>
    <t>SA971775</t>
  </si>
  <si>
    <t>W1315473362</t>
  </si>
  <si>
    <t>BA225AC22QTX-731363</t>
  </si>
  <si>
    <t>Long Hair Princess Assortment (DKB56, multicolor)</t>
  </si>
  <si>
    <t>SA971776</t>
  </si>
  <si>
    <t>W1315473408</t>
  </si>
  <si>
    <t>BA225AC67QWA-731418</t>
  </si>
  <si>
    <t>Pack of 3 Brand Chic Dolls (T7439, multicolor)</t>
  </si>
  <si>
    <t>SA971777</t>
  </si>
  <si>
    <t>W1315473417</t>
  </si>
  <si>
    <t>BA225AC47QWU-731438</t>
  </si>
  <si>
    <t>Barbie Fairy Asst (DHM50, Multicolor)</t>
  </si>
  <si>
    <t>W1315338145</t>
  </si>
  <si>
    <t>AP771EL60LIH-562856</t>
  </si>
  <si>
    <t>iPhone 7 Plus (32 GB, 4G LTE, Rose Gold, With Facetime)</t>
  </si>
  <si>
    <t>SA971847</t>
  </si>
  <si>
    <t>W1315216178</t>
  </si>
  <si>
    <t>GR933AC11XYI-407206</t>
  </si>
  <si>
    <t>Graco Sky Purple Shadow Stroller - 1879048</t>
  </si>
  <si>
    <t>SA971893</t>
  </si>
  <si>
    <t>W1315390496</t>
  </si>
  <si>
    <t>LO860BE58SIZ-634760</t>
  </si>
  <si>
    <t>Super Liner Gel Intenza 36H - Diamond Black</t>
  </si>
  <si>
    <t>SA971894</t>
  </si>
  <si>
    <t>W1315390344</t>
  </si>
  <si>
    <t>CO092BE05QNA-633489</t>
  </si>
  <si>
    <t>Lip Liner Pencil- Red Brick</t>
  </si>
  <si>
    <t>SA971895</t>
  </si>
  <si>
    <t>W1315389889</t>
  </si>
  <si>
    <t>LA081BE96PXZ-633098</t>
  </si>
  <si>
    <t>9 To 5 Lip Liner - Fine Wine</t>
  </si>
  <si>
    <t>SA972057</t>
  </si>
  <si>
    <t>SA972060</t>
  </si>
  <si>
    <t>W1315302671</t>
  </si>
  <si>
    <t>AL992AT75BUQ-512102</t>
  </si>
  <si>
    <t>Shirt, Multicolour</t>
  </si>
  <si>
    <t>SA972061</t>
  </si>
  <si>
    <t>W1315242081</t>
  </si>
  <si>
    <t>MI070AT72YXV-444186</t>
  </si>
  <si>
    <t>Top, Navy Blue and White</t>
  </si>
  <si>
    <t>SA972062</t>
  </si>
  <si>
    <t>W1315232296</t>
  </si>
  <si>
    <t>AL992AT25KYG-427715</t>
  </si>
  <si>
    <t>A Luv Ya Women's Cotton Printed Polka dot Camp Shirt</t>
  </si>
  <si>
    <t>SA972063</t>
  </si>
  <si>
    <t>SA972099</t>
  </si>
  <si>
    <t>W1315390246</t>
  </si>
  <si>
    <t>LO860BE06SHD-634712</t>
  </si>
  <si>
    <t>Excellence Creme Hair Color - 1 Black</t>
  </si>
  <si>
    <t>SA972119</t>
  </si>
  <si>
    <t>W1315473356</t>
  </si>
  <si>
    <t>BA225AC28QTR-731357</t>
  </si>
  <si>
    <t>Barbie Glam Bicycle and Doll (DJR54, Multicolor)</t>
  </si>
  <si>
    <t>SA972120</t>
  </si>
  <si>
    <t>W1315473412</t>
  </si>
  <si>
    <t>BA225AC63QWE-731422</t>
  </si>
  <si>
    <t>Barbie Chelsea Doll Asst (CMY16, Multicolor)</t>
  </si>
  <si>
    <t>SA972121</t>
  </si>
  <si>
    <t>SA972122</t>
  </si>
  <si>
    <t>SA972123</t>
  </si>
  <si>
    <t>SA972145</t>
  </si>
  <si>
    <t>SA972146</t>
  </si>
  <si>
    <t>W1315130280</t>
  </si>
  <si>
    <t>CA511AC56YJJ-56245</t>
  </si>
  <si>
    <t>Casio Digital Clock DQ-750F-7DF</t>
  </si>
  <si>
    <t>SA972216</t>
  </si>
  <si>
    <t>W1315280033</t>
  </si>
  <si>
    <t>MR178AC45AQC-474394</t>
  </si>
  <si>
    <t>The Choco Faux Leather Laptop Sleeve (BGLAPMB04, Brandy Brown)</t>
  </si>
  <si>
    <t>W1315121609</t>
  </si>
  <si>
    <t>RO030BE33GBI-36200</t>
  </si>
  <si>
    <t>W1315327606</t>
  </si>
  <si>
    <t>HU814EL03DWI-548445</t>
  </si>
  <si>
    <t>13000 mAh Powerbank for All Phones and Tablets (AP007, Silver)</t>
  </si>
  <si>
    <t>SA972412</t>
  </si>
  <si>
    <t>W1315391547</t>
  </si>
  <si>
    <t>NY094BE73PRE-632921</t>
  </si>
  <si>
    <t>So Matte Lipstick - Taupe Thrill 12 M</t>
  </si>
  <si>
    <t>SA972415</t>
  </si>
  <si>
    <t>W1315390054</t>
  </si>
  <si>
    <t>AR083BE50RMF-634144</t>
  </si>
  <si>
    <t>Olive Oil</t>
  </si>
  <si>
    <t>SA972416</t>
  </si>
  <si>
    <t>W1315390788</t>
  </si>
  <si>
    <t>NY094BE17SCW-634601</t>
  </si>
  <si>
    <t>Pastel Nail Enamel - Marshmallow Dream, No. 83</t>
  </si>
  <si>
    <t>SA972434</t>
  </si>
  <si>
    <t>SA972435</t>
  </si>
  <si>
    <t>W1315232276</t>
  </si>
  <si>
    <t>AL992AT29KYC-427695</t>
  </si>
  <si>
    <t>SA972436</t>
  </si>
  <si>
    <t>W1315399228</t>
  </si>
  <si>
    <t>SA222AT28CDZ-643147</t>
  </si>
  <si>
    <t>SA972437</t>
  </si>
  <si>
    <t>W1315399178</t>
  </si>
  <si>
    <t>SA222AT38CDP-643097</t>
  </si>
  <si>
    <t>SA972444</t>
  </si>
  <si>
    <t>W1315437479</t>
  </si>
  <si>
    <t>LA412BE78RBL-690431</t>
  </si>
  <si>
    <t>L.A. Girl Mark My Eyes Eyeliner</t>
  </si>
  <si>
    <t>SA972553</t>
  </si>
  <si>
    <t>W1315354088</t>
  </si>
  <si>
    <t>AM977AT55NPC-592818</t>
  </si>
  <si>
    <t>SA972632</t>
  </si>
  <si>
    <t>W1315114133</t>
  </si>
  <si>
    <t>PH088EL45XEC-30188</t>
  </si>
  <si>
    <t>Phottix 7 in 1 Light Multi Collapsible Reflector 107 CM, Lighting &amp; Studio (Compatible with Any Camera)</t>
  </si>
  <si>
    <t>PO044573</t>
  </si>
  <si>
    <t>SA972673</t>
  </si>
  <si>
    <t>SA972858</t>
  </si>
  <si>
    <t>W1315351424</t>
  </si>
  <si>
    <t>HU968AT93NVI-593283</t>
  </si>
  <si>
    <t>Printed Round Neck T-Shirt, Orange</t>
  </si>
  <si>
    <t>SA972914</t>
  </si>
  <si>
    <t>W1315385130</t>
  </si>
  <si>
    <t>WA974AC87SXG-635131</t>
  </si>
  <si>
    <t>WMAL-0006 for Men (Analog Watch, Black)</t>
  </si>
  <si>
    <t>SA973014</t>
  </si>
  <si>
    <t>W1315353923</t>
  </si>
  <si>
    <t>AM977AT30NIJ-592643</t>
  </si>
  <si>
    <t>Night Dress, Blue</t>
  </si>
  <si>
    <t>SA973539</t>
  </si>
  <si>
    <t>SA973540</t>
  </si>
  <si>
    <t>W1315240231</t>
  </si>
  <si>
    <t>FA020AC77OOK-431740</t>
  </si>
  <si>
    <t>Farlin Baby Eva Bib - BF-378-1</t>
  </si>
  <si>
    <t>SA973541</t>
  </si>
  <si>
    <t>W1315240207</t>
  </si>
  <si>
    <t>FA020AC01ONM-431716</t>
  </si>
  <si>
    <t>Farlin Free Powder Puff - BF-170B</t>
  </si>
  <si>
    <t>SA973542</t>
  </si>
  <si>
    <t>W1315286301</t>
  </si>
  <si>
    <t>FA020AC35OKE-495931</t>
  </si>
  <si>
    <t>Farlin Baby Transparent Soap Gold - BF-174</t>
  </si>
  <si>
    <t>SA973543</t>
  </si>
  <si>
    <t>W1315240218</t>
  </si>
  <si>
    <t>FA020AC90ONX-431727</t>
  </si>
  <si>
    <t>Farlin Saffety Scissors With Filer - BF-160A-1</t>
  </si>
  <si>
    <t>SA973546</t>
  </si>
  <si>
    <t>W1315240183</t>
  </si>
  <si>
    <t>FA020AC75OOM-431742</t>
  </si>
  <si>
    <t>Farlin Pulpy Food Spoon - BF-237</t>
  </si>
  <si>
    <t>SA973547</t>
  </si>
  <si>
    <t>W1315311363</t>
  </si>
  <si>
    <t>FA020AC63JQY-519307</t>
  </si>
  <si>
    <t>Farlin Cooling Gum Soother Green - BF-14501</t>
  </si>
  <si>
    <t>SA973548</t>
  </si>
  <si>
    <t>SA973549</t>
  </si>
  <si>
    <t>W1315249267</t>
  </si>
  <si>
    <t>FA020AC22AMF-445507</t>
  </si>
  <si>
    <t>Farlin Flexible Digital Thermometer - BF-169A</t>
  </si>
  <si>
    <t>SA973550</t>
  </si>
  <si>
    <t>SA973555</t>
  </si>
  <si>
    <t>W1315240202</t>
  </si>
  <si>
    <t>FA020AC56OPF-431761</t>
  </si>
  <si>
    <t>Farlin Baby Clothing Detergent 1000ml. - BF-300</t>
  </si>
  <si>
    <t>SA973556</t>
  </si>
  <si>
    <t>W1315240159</t>
  </si>
  <si>
    <t>FA020AC28OML-431689</t>
  </si>
  <si>
    <t>Farlin Squeeze Toy (Beige) - TOY-46</t>
  </si>
  <si>
    <t>SA973557</t>
  </si>
  <si>
    <t>W1315240227</t>
  </si>
  <si>
    <t>FA020AC81OOG-431736</t>
  </si>
  <si>
    <t>Farlin Non-Spill Magic Cup Spot - AET-CP011-B</t>
  </si>
  <si>
    <t>SA973631</t>
  </si>
  <si>
    <t>W1315111520</t>
  </si>
  <si>
    <t>DI035AC18WPT-29815</t>
  </si>
  <si>
    <t>Diesel Starship Analog Leather Men's Watch DZ1674</t>
  </si>
  <si>
    <t>SA973748</t>
  </si>
  <si>
    <t>W1315402045</t>
  </si>
  <si>
    <t>DE399EL48FNR-646415</t>
  </si>
  <si>
    <t>Karaoke 2nd Generation Mic (Gold)</t>
  </si>
  <si>
    <t>W1315277120</t>
  </si>
  <si>
    <t>LE769EL28YLB-472084</t>
  </si>
  <si>
    <t>Vibe C A2020 (16 GB, 4G LTE, Black Dual SIM)</t>
  </si>
  <si>
    <t>W1315185160</t>
  </si>
  <si>
    <t>RA736AC33NNI-365018</t>
  </si>
  <si>
    <t>Ray Ban Justin Wayfarer Polarized Men's Sunglasses - RB4165-622/T3-55</t>
  </si>
  <si>
    <t>SA974617</t>
  </si>
  <si>
    <t>W1315196075</t>
  </si>
  <si>
    <t>SA766EL25WGO-375058</t>
  </si>
  <si>
    <t>Galaxy Note 5 N9208(32 GB, 4G, Gold Dual SIM)</t>
  </si>
  <si>
    <t>PO044662</t>
  </si>
  <si>
    <t>W1315337528</t>
  </si>
  <si>
    <t>AU677EL31OME-571149</t>
  </si>
  <si>
    <t>Listen &amp; Talk In-Ear Earphones (LT-487, White/Black)</t>
  </si>
  <si>
    <t>SA974664</t>
  </si>
  <si>
    <t>W1315121763</t>
  </si>
  <si>
    <t>BU784BE77GPA-36556</t>
  </si>
  <si>
    <t>SA974745</t>
  </si>
  <si>
    <t>W1315109134</t>
  </si>
  <si>
    <t>AP771EL28UBZ-28105</t>
  </si>
  <si>
    <t>W1315283167</t>
  </si>
  <si>
    <t>AP771EL99RRG-462984</t>
  </si>
  <si>
    <t>MacBook Air MMGG2 (Intel Core i5,13.3 inches, 256 GB SSD, Mac OS X Yosemite, Silver)</t>
  </si>
  <si>
    <t>SA974943</t>
  </si>
  <si>
    <t>W1315329015</t>
  </si>
  <si>
    <t>LE769EL38JSV-560178</t>
  </si>
  <si>
    <t>Vibe K5 Note (32 GB, 4G LTE, Gold Dual SIM)</t>
  </si>
  <si>
    <t>SA974966</t>
  </si>
  <si>
    <t>W1315121516</t>
  </si>
  <si>
    <t>LA807BE29FMC-35804</t>
  </si>
  <si>
    <t>SA975150</t>
  </si>
  <si>
    <t>SA975218</t>
  </si>
  <si>
    <t>PO044580</t>
  </si>
  <si>
    <t>SA975255</t>
  </si>
  <si>
    <t>SA975256</t>
  </si>
  <si>
    <t>SA975257</t>
  </si>
  <si>
    <t>SA975617</t>
  </si>
  <si>
    <t>W1315242397</t>
  </si>
  <si>
    <t>AP771EL96TOL-435558</t>
  </si>
  <si>
    <t>iPad Pro (256 GB, 9.7 Inch, Wifi+Cellular-Space Grey)</t>
  </si>
  <si>
    <t>PO044602</t>
  </si>
  <si>
    <t>SA975639</t>
  </si>
  <si>
    <t>SA976243</t>
  </si>
  <si>
    <t>W1315130343</t>
  </si>
  <si>
    <t>CA511AC17YKW-56284</t>
  </si>
  <si>
    <t>Casio Quartz Classic Analog Stainless Steel Women's Watch LTP-1191A-2CDF</t>
  </si>
  <si>
    <t>W1315216285</t>
  </si>
  <si>
    <t>MI794EL96BFN-409444</t>
  </si>
  <si>
    <t>Microsoft Surface Pro 4 (12.3 Inches, Intel Core i5, 128GB, WiFi, Windows 10 Pro, Silver)</t>
  </si>
  <si>
    <t>SA976442</t>
  </si>
  <si>
    <t>SA976837</t>
  </si>
  <si>
    <t>W1315121610</t>
  </si>
  <si>
    <t>RO030BE32GBJ-36201</t>
  </si>
  <si>
    <t>SA976933</t>
  </si>
  <si>
    <t>W1315130337</t>
  </si>
  <si>
    <t>CA511AC23YKQ-56278</t>
  </si>
  <si>
    <t>Casio Quartz Classic Analog Women's Watch (LTP-1169N-7ARDF)</t>
  </si>
  <si>
    <t>SA977084</t>
  </si>
  <si>
    <t>SA977410</t>
  </si>
  <si>
    <t>W1315383340</t>
  </si>
  <si>
    <t>MO774EL43MLS-629172</t>
  </si>
  <si>
    <t>Pulse 2 On ear Headphones (White)</t>
  </si>
  <si>
    <t>SA977839</t>
  </si>
  <si>
    <t>PO044660</t>
  </si>
  <si>
    <t>SA978481</t>
  </si>
  <si>
    <t>W1315237670</t>
  </si>
  <si>
    <t>CA511AC37VSO-441083</t>
  </si>
  <si>
    <t>PO040845,PO040987,PO041457</t>
  </si>
  <si>
    <t>PO042785,PO041996,PO042370</t>
  </si>
  <si>
    <t>HOS - 46</t>
  </si>
  <si>
    <t>HOS - 47</t>
  </si>
  <si>
    <t>HOS - 48</t>
  </si>
  <si>
    <t>5+22</t>
  </si>
  <si>
    <t>Tariq Haroon Balkhuyoor EST.</t>
  </si>
  <si>
    <t>SV00544</t>
  </si>
  <si>
    <t>Khalid Bin Waleed. P.O Box 34054, 21468</t>
  </si>
  <si>
    <t>The Advanced Store Est.</t>
  </si>
  <si>
    <t>SV00545</t>
  </si>
  <si>
    <t>6655 AlMurje , AlHamra Distric (Land Mark : ALHuker Land) , Riyadh , Saudi Arabia</t>
  </si>
  <si>
    <t>HANI SAEED AL MANAMEEN EST TRADING</t>
  </si>
  <si>
    <t>SV00546</t>
  </si>
  <si>
    <t>King khaled St - Eastern Province - Dammam PO box 534 ZIP code 31911</t>
  </si>
  <si>
    <t>Abdan Al Abdan trading est.</t>
  </si>
  <si>
    <t>SV00547</t>
  </si>
  <si>
    <t>Riyadh- Sahafah district - king Fahad Rd whit Imam saud Bin Faisal Rd behind WAS building no 3</t>
  </si>
  <si>
    <t>SV00548</t>
  </si>
  <si>
    <t>Al Sulai District, DMC warehouse behind Al Najem warehouse - King Khalid Street</t>
  </si>
  <si>
    <t>Distribution &amp; Marketing Company (SOR)</t>
  </si>
  <si>
    <t>SV00549</t>
  </si>
  <si>
    <t>First Allied Trading EST</t>
  </si>
  <si>
    <t>SV00550</t>
  </si>
  <si>
    <t>Mohammad Ibn Al Bashir Intersection with Ash Shabaniya Street Sulaye</t>
  </si>
  <si>
    <t>Regent Global Trading Co FZC</t>
  </si>
  <si>
    <t>V00920</t>
  </si>
  <si>
    <t>1911 Al Musalla Tower, Khalid Bin Waleed St, Bur Dubai</t>
  </si>
  <si>
    <t>Muassasat Qasr al Mizaj Tijara</t>
  </si>
  <si>
    <t>SV00551</t>
  </si>
  <si>
    <t>Tareeq -e-Qassim</t>
  </si>
  <si>
    <t>IKIA Ventures (HTAT)</t>
  </si>
  <si>
    <t>V00921</t>
  </si>
  <si>
    <t>Opera Trading Est.(SOR)</t>
  </si>
  <si>
    <t>SV00552</t>
  </si>
  <si>
    <t>Deals For Less General Trading LLC</t>
  </si>
  <si>
    <t>V00922</t>
  </si>
  <si>
    <t>Jebel Ali, Veneto, Office 13</t>
  </si>
  <si>
    <t>Hadaya Al Raed Trading Est.</t>
  </si>
  <si>
    <t>SV00553</t>
  </si>
  <si>
    <t>AL Malaz District - Al Motanabi Street - Malaz Tower - office 25</t>
  </si>
  <si>
    <t>Hadaya Al Raed Trading Est.(SOR)</t>
  </si>
  <si>
    <t>SV00554</t>
  </si>
  <si>
    <t>AE62104</t>
  </si>
  <si>
    <t>W1315201513</t>
  </si>
  <si>
    <t>SO768EL95KYM-388955</t>
  </si>
  <si>
    <t>Sony PlayStation 4 (500GB, Black, Extra Wireless Controllers, PS4 Camera ,GTA V)</t>
  </si>
  <si>
    <t>UPO011863</t>
  </si>
  <si>
    <t>AE62098</t>
  </si>
  <si>
    <t>W1315131122</t>
  </si>
  <si>
    <t>CR961BE32ZHJ-56869</t>
  </si>
  <si>
    <t>Creed Aventus for Men - 120 ml - EDP</t>
  </si>
  <si>
    <t>UPO011870</t>
  </si>
  <si>
    <t>AE62063</t>
  </si>
  <si>
    <t>W1315438743</t>
  </si>
  <si>
    <t>ES913BE25QZQ-690384</t>
  </si>
  <si>
    <t>Essence I Love Extreme Crazy Volume Mascara</t>
  </si>
  <si>
    <t>UPO011861</t>
  </si>
  <si>
    <t>AE62057</t>
  </si>
  <si>
    <t>W1315390810</t>
  </si>
  <si>
    <t>MA096BE81RLA-634113</t>
  </si>
  <si>
    <t>White Super Fresh Compact - Shell</t>
  </si>
  <si>
    <t>AE62033</t>
  </si>
  <si>
    <t>W1315131086</t>
  </si>
  <si>
    <t>CA811BE83ZFK-56818</t>
  </si>
  <si>
    <t>Carolina Herrera 212 Sexy for women - 100 ml - EDP</t>
  </si>
  <si>
    <t>UPO011857</t>
  </si>
  <si>
    <t>AE62034</t>
  </si>
  <si>
    <t>W1315213095</t>
  </si>
  <si>
    <t>EM989AC96DPB-412091</t>
  </si>
  <si>
    <t>Emporio Armani Sportivo AR5905 Watch for Men</t>
  </si>
  <si>
    <t>UPO011856</t>
  </si>
  <si>
    <t>AE62035</t>
  </si>
  <si>
    <t>W1315110762</t>
  </si>
  <si>
    <t>CA787AC00WEX-29533</t>
  </si>
  <si>
    <t>Calvin Klein Euphoria Liquid Gold for Men - 100 ml -EDP</t>
  </si>
  <si>
    <t>UPO011854</t>
  </si>
  <si>
    <t>AE62018</t>
  </si>
  <si>
    <t>UPO011868</t>
  </si>
  <si>
    <t>AE62015</t>
  </si>
  <si>
    <t>W1315123540</t>
  </si>
  <si>
    <t>XB396EL24OUP-48775</t>
  </si>
  <si>
    <t>Naruto Shippuden Ultimate Ninja Storm 3 Full Bu for Xbox 360</t>
  </si>
  <si>
    <t>UPO011833</t>
  </si>
  <si>
    <t>AE62005</t>
  </si>
  <si>
    <t>W1315380535</t>
  </si>
  <si>
    <t>FA080AT99OTC-631490</t>
  </si>
  <si>
    <t>Casual Jacket, Golden Rock/Blue Blooded</t>
  </si>
  <si>
    <t>AE62006</t>
  </si>
  <si>
    <t>UPO011840</t>
  </si>
  <si>
    <t>AE62003</t>
  </si>
  <si>
    <t>W1315390342</t>
  </si>
  <si>
    <t>CO092BE87RKU-634107</t>
  </si>
  <si>
    <t>High Definition Loose Powder - Ivory Beige FP2</t>
  </si>
  <si>
    <t>AE62004</t>
  </si>
  <si>
    <t>W1315389386</t>
  </si>
  <si>
    <t>LA081BE15SCY-634603</t>
  </si>
  <si>
    <t>Insta Liner Eye Liner, Black, 9 ml</t>
  </si>
  <si>
    <t>AE61995</t>
  </si>
  <si>
    <t>W1315304517</t>
  </si>
  <si>
    <t>AM977AT26FSN-514915</t>
  </si>
  <si>
    <t>Bottoms, Grey, Black</t>
  </si>
  <si>
    <t>AE61984</t>
  </si>
  <si>
    <t>W1315117138</t>
  </si>
  <si>
    <t>PS264EL76CTB-33957</t>
  </si>
  <si>
    <t>Watch Dogs for PS3</t>
  </si>
  <si>
    <t>UPO011852</t>
  </si>
  <si>
    <t>AE61970</t>
  </si>
  <si>
    <t>W1315389425</t>
  </si>
  <si>
    <t>LA081BE72RPF-634222</t>
  </si>
  <si>
    <t>Face Magic Skin Tints Souffle - Marble</t>
  </si>
  <si>
    <t>AE61963</t>
  </si>
  <si>
    <t>W1315322405</t>
  </si>
  <si>
    <t>LE769EL80SBN-526121</t>
  </si>
  <si>
    <t>Ideapad 310 (Intel Core I3, 15.6 inches, 1 TB HDD, Windows 10, Silver)</t>
  </si>
  <si>
    <t>UPO011865</t>
  </si>
  <si>
    <t>AE61955</t>
  </si>
  <si>
    <t>AE61952</t>
  </si>
  <si>
    <t>W1315121356</t>
  </si>
  <si>
    <t>GU798BE06FYN-36127</t>
  </si>
  <si>
    <t>Guerlain Habit Rouge for Men - 100 ml - EDP</t>
  </si>
  <si>
    <t>UPO011820</t>
  </si>
  <si>
    <t>AE61947</t>
  </si>
  <si>
    <t>UPO011809</t>
  </si>
  <si>
    <t>AE61948</t>
  </si>
  <si>
    <t>UPO011866</t>
  </si>
  <si>
    <t>AE61944</t>
  </si>
  <si>
    <t>W1315347061</t>
  </si>
  <si>
    <t>SA766EL34UJX-575542</t>
  </si>
  <si>
    <t>Samsung 55 inches SUHD Curved Smart LED TV (55KS8500)</t>
  </si>
  <si>
    <t>UPO011847</t>
  </si>
  <si>
    <t>AE61897</t>
  </si>
  <si>
    <t>W1315325307</t>
  </si>
  <si>
    <t>SI601AC90TVH-528508</t>
  </si>
  <si>
    <t>Simaya Fashion Bracelet (FB 0286, Gold tone)</t>
  </si>
  <si>
    <t>AE61896</t>
  </si>
  <si>
    <t>W1315160329</t>
  </si>
  <si>
    <t>JB927AC15YUM-121195</t>
  </si>
  <si>
    <t>JBL Flip 3 Portable Wireless Speaker - Black</t>
  </si>
  <si>
    <t>UPO011814</t>
  </si>
  <si>
    <t>AE61894</t>
  </si>
  <si>
    <t>AE61890</t>
  </si>
  <si>
    <t>W1315492242</t>
  </si>
  <si>
    <t>TO790EL01NVU-725736</t>
  </si>
  <si>
    <t>TouchMate Magnetic Universal Mobile Car Holder (TM-CH100M, Black)</t>
  </si>
  <si>
    <t>UPO011836</t>
  </si>
  <si>
    <t>AE61865</t>
  </si>
  <si>
    <t>W1315141019</t>
  </si>
  <si>
    <t>HO339EL83PQI-72285</t>
  </si>
  <si>
    <t>Hoya Kit Lens Filters 77MM UV + PLC + ND8, Filters (Compatible with Cameras &amp; Camcorders Lenses.)</t>
  </si>
  <si>
    <t>UPO011813</t>
  </si>
  <si>
    <t>AE61858</t>
  </si>
  <si>
    <t>W1315391367</t>
  </si>
  <si>
    <t>MA096BE34RBH-633860</t>
  </si>
  <si>
    <t>The Blushed Nudes Palette</t>
  </si>
  <si>
    <t>UPO011790</t>
  </si>
  <si>
    <t>AE61819</t>
  </si>
  <si>
    <t>AE61791</t>
  </si>
  <si>
    <t>W1315242054</t>
  </si>
  <si>
    <t>MI070AT78YXP-444159</t>
  </si>
  <si>
    <t>AE61755</t>
  </si>
  <si>
    <t>W1315430522</t>
  </si>
  <si>
    <t>UP141AT81EVA-700045</t>
  </si>
  <si>
    <t>Jeans, Ice Blue</t>
  </si>
  <si>
    <t>AE61427</t>
  </si>
  <si>
    <t>W1315327084</t>
  </si>
  <si>
    <t>CI983AC61BHQ-580225</t>
  </si>
  <si>
    <t>EQ0591-56A for Women (Analog Watch, Silver)</t>
  </si>
  <si>
    <t>UPO011869</t>
  </si>
  <si>
    <t>SA916634</t>
  </si>
  <si>
    <t>W1315250306</t>
  </si>
  <si>
    <t>GU797AC61BLQ-446377</t>
  </si>
  <si>
    <t>Sync YA137104 for Men (Analog Watch, Blue)</t>
  </si>
  <si>
    <t>PO044734</t>
  </si>
  <si>
    <t>The Vanca Maxi Dress In Black Color With Printed Body Part Detail - Black</t>
  </si>
  <si>
    <t>Edifice EFR-534SG-1AVDF For Men (Analog-Chronograph Watch White)</t>
  </si>
  <si>
    <t>Digital Grey Dial Watch for Men (G-8900A-7DR)</t>
  </si>
  <si>
    <t>Versace Eros for men - 50 ml - EDT</t>
  </si>
  <si>
    <t>PO044833</t>
  </si>
  <si>
    <t>Carolina Herrera 212 Summer for women - 60 ml - EDT</t>
  </si>
  <si>
    <t>SA957691</t>
  </si>
  <si>
    <t>W1315374707</t>
  </si>
  <si>
    <t>JU842AC01JZY-627216</t>
  </si>
  <si>
    <t>R7253215507 for Women (Analog Watch, Silver)</t>
  </si>
  <si>
    <t>Sandisk 16 GB Ultra Dual USB Flash Drive SDDD-016G-G46 - Black</t>
  </si>
  <si>
    <t>SA960474</t>
  </si>
  <si>
    <t>W1315338057</t>
  </si>
  <si>
    <t>AP771EL23NHS-568464</t>
  </si>
  <si>
    <t>iPhone 6 (64 GB, 4G LTE, Space Gray)</t>
  </si>
  <si>
    <t>PO045013</t>
  </si>
  <si>
    <t>The Vanca Casual Shirt - Marsala</t>
  </si>
  <si>
    <t>SA961220</t>
  </si>
  <si>
    <t>W1315338075</t>
  </si>
  <si>
    <t>AP771EL05NIK-568482</t>
  </si>
  <si>
    <t>iPhone 6s Plus with FaceTime (64 GB, 4G LTE, Gold)</t>
  </si>
  <si>
    <t>PO045011</t>
  </si>
  <si>
    <t>SA961314</t>
  </si>
  <si>
    <t>SA961524</t>
  </si>
  <si>
    <t>W1315338055</t>
  </si>
  <si>
    <t>AP771EL25NHQ-568462</t>
  </si>
  <si>
    <t>iPhone 6 (64 GB, 4G LTE, Gold)</t>
  </si>
  <si>
    <t>PO045015</t>
  </si>
  <si>
    <t>SA961538</t>
  </si>
  <si>
    <t>SA961624</t>
  </si>
  <si>
    <t>W1315436359</t>
  </si>
  <si>
    <t>OR227BE14SYB-691695</t>
  </si>
  <si>
    <t>Organic India Triphala</t>
  </si>
  <si>
    <t>PO044697</t>
  </si>
  <si>
    <t>SA961625</t>
  </si>
  <si>
    <t>SA961626</t>
  </si>
  <si>
    <t>W1315436227</t>
  </si>
  <si>
    <t>OR227BE51SSU-691558</t>
  </si>
  <si>
    <t>Organic India Ashwagandha</t>
  </si>
  <si>
    <t>SA961627</t>
  </si>
  <si>
    <t>W1315436048</t>
  </si>
  <si>
    <t>OR227BE94RUB-690915</t>
  </si>
  <si>
    <t>Organic India Turmeric Formula</t>
  </si>
  <si>
    <t>SA961692</t>
  </si>
  <si>
    <t>SA961815</t>
  </si>
  <si>
    <t>SA962106</t>
  </si>
  <si>
    <t>PO044987</t>
  </si>
  <si>
    <t>SA962132</t>
  </si>
  <si>
    <t>SA963065</t>
  </si>
  <si>
    <t>W1315338065</t>
  </si>
  <si>
    <t>AP771EL15NIA-568472</t>
  </si>
  <si>
    <t>iPhone 6 Plus (64 GB, 4G LTE, Silver)</t>
  </si>
  <si>
    <t>PO045014</t>
  </si>
  <si>
    <t>SA963676</t>
  </si>
  <si>
    <t>SA963694</t>
  </si>
  <si>
    <t>SA964012</t>
  </si>
  <si>
    <t>W1315191901</t>
  </si>
  <si>
    <t>MI534AC24SSH-372598</t>
  </si>
  <si>
    <t>Michael Kors MK3179 Watch for Women (Analog, Gold)</t>
  </si>
  <si>
    <t>PO044959</t>
  </si>
  <si>
    <t>SA965599</t>
  </si>
  <si>
    <t>Angel Schlesser Essential for women - 100 ml - EDP</t>
  </si>
  <si>
    <t>SA966632</t>
  </si>
  <si>
    <t>W1315338089</t>
  </si>
  <si>
    <t>AP771EL75NJO-568577</t>
  </si>
  <si>
    <t>iPhone 6s with FaceTime (64 GB, 4G LTE, Rose Gold)</t>
  </si>
  <si>
    <t>PO045012</t>
  </si>
  <si>
    <t>SA967281</t>
  </si>
  <si>
    <t>W1315374839</t>
  </si>
  <si>
    <t>MA669AC77KES-627340</t>
  </si>
  <si>
    <t>R8821108002 for Men (Analog Watch, Black)</t>
  </si>
  <si>
    <t>PO044852</t>
  </si>
  <si>
    <t>SA968770</t>
  </si>
  <si>
    <t>SA969205</t>
  </si>
  <si>
    <t>SA969403</t>
  </si>
  <si>
    <t>PO044858</t>
  </si>
  <si>
    <t>SA969545</t>
  </si>
  <si>
    <t>SA969779</t>
  </si>
  <si>
    <t>W1315311368</t>
  </si>
  <si>
    <t>FA020AC58JRD-519312</t>
  </si>
  <si>
    <t>Farlin Safty Cotton Buds White - TOP-113-3</t>
  </si>
  <si>
    <t>PO044830</t>
  </si>
  <si>
    <t>SA969984</t>
  </si>
  <si>
    <t>SA970251</t>
  </si>
  <si>
    <t>W1315454569</t>
  </si>
  <si>
    <t>CA511AC12DIH-718486</t>
  </si>
  <si>
    <t>Casio Analog Black Dial Watch for Men (MTP-V001GL-1BUDF)</t>
  </si>
  <si>
    <t>PO045029</t>
  </si>
  <si>
    <t>PO044892</t>
  </si>
  <si>
    <t>Calvin Klein One Shock For Him for men - 200 ml - EDT</t>
  </si>
  <si>
    <t>PO044951</t>
  </si>
  <si>
    <t>Valentino Valentino Uomo for men - 50 ml - EDT</t>
  </si>
  <si>
    <t>Elizabeth Arden True Love for Women - 100 ml - EDT</t>
  </si>
  <si>
    <t>SA970928</t>
  </si>
  <si>
    <t>PO044870</t>
  </si>
  <si>
    <t>SA971329</t>
  </si>
  <si>
    <t>SA971397</t>
  </si>
  <si>
    <t>W1315338088</t>
  </si>
  <si>
    <t>AP771EL76NJN-568576</t>
  </si>
  <si>
    <t>iPhone 6s with FaceTime (64 GB, 4G LTE, Gold)</t>
  </si>
  <si>
    <t>Edifice EF-129D-7AVUDF for Men (Analog-Chronograph Watch Silver)</t>
  </si>
  <si>
    <t>SA971868</t>
  </si>
  <si>
    <t>W1315338064</t>
  </si>
  <si>
    <t>AP771EL16NHZ-568471</t>
  </si>
  <si>
    <t>iPhone 6 Plus (64 GB, 4G LTE, Gold)</t>
  </si>
  <si>
    <t>PO045009</t>
  </si>
  <si>
    <t>SA971925</t>
  </si>
  <si>
    <t>W1315197627</t>
  </si>
  <si>
    <t>HU814EL25YMG-376574</t>
  </si>
  <si>
    <t>Huawei MediaPad T1 8.0 (3G, 8 inches, 8 GB)- Silver</t>
  </si>
  <si>
    <t>PO044777</t>
  </si>
  <si>
    <t>SA972160</t>
  </si>
  <si>
    <t>PO045006</t>
  </si>
  <si>
    <t>SA972428</t>
  </si>
  <si>
    <t>SA972708</t>
  </si>
  <si>
    <t>W1315326404</t>
  </si>
  <si>
    <t>GU094AC21WDQ-530304</t>
  </si>
  <si>
    <t>W0864G1 for Men (Analog-Chronograph Watch, Grey)</t>
  </si>
  <si>
    <t>PO044681</t>
  </si>
  <si>
    <t>SA972756</t>
  </si>
  <si>
    <t>W1315216597</t>
  </si>
  <si>
    <t>SR372AT19LCI-428122</t>
  </si>
  <si>
    <t>Srota Camel Trousers</t>
  </si>
  <si>
    <t>SA972888</t>
  </si>
  <si>
    <t>PO044855</t>
  </si>
  <si>
    <t>SA973129</t>
  </si>
  <si>
    <t>W1315302775</t>
  </si>
  <si>
    <t>VM386AT83ZDC-509759</t>
  </si>
  <si>
    <t>SA973226</t>
  </si>
  <si>
    <t>SA973311</t>
  </si>
  <si>
    <t>W1315350409</t>
  </si>
  <si>
    <t>TE077AT94DTT-582234</t>
  </si>
  <si>
    <t>Men's Leather Jacket, Tan</t>
  </si>
  <si>
    <t>SA973373</t>
  </si>
  <si>
    <t>SA973504</t>
  </si>
  <si>
    <t>SA973544</t>
  </si>
  <si>
    <t>W1315359662</t>
  </si>
  <si>
    <t>FA020AC23UDO-598982</t>
  </si>
  <si>
    <t>Farlin Cap and Screw (CAP-1, Blue)</t>
  </si>
  <si>
    <t>SA973545</t>
  </si>
  <si>
    <t>W1315311374</t>
  </si>
  <si>
    <t>FA020AC52JRJ-519318</t>
  </si>
  <si>
    <t>Farlin Baby Diaper Pants XL White - BF-310 XL</t>
  </si>
  <si>
    <t>SA973596</t>
  </si>
  <si>
    <t>W1315396914</t>
  </si>
  <si>
    <t>CA149AC37ANI-641702</t>
  </si>
  <si>
    <t>WW15W for Women (Analog Watch, Silver)</t>
  </si>
  <si>
    <t>SA973597</t>
  </si>
  <si>
    <t>SA973598</t>
  </si>
  <si>
    <t>SA973628</t>
  </si>
  <si>
    <t>W1315391219</t>
  </si>
  <si>
    <t>LA412BE73RPE-634221</t>
  </si>
  <si>
    <t>Pro Conceal HD - Orange</t>
  </si>
  <si>
    <t>SA973701</t>
  </si>
  <si>
    <t>W1315399095</t>
  </si>
  <si>
    <t>SA222AT55CCY-643014</t>
  </si>
  <si>
    <t>Organza Frill Shirt, Maroon</t>
  </si>
  <si>
    <t>SA973702</t>
  </si>
  <si>
    <t>W1315464333</t>
  </si>
  <si>
    <t>ST879AT37CKG-717881</t>
  </si>
  <si>
    <t>Contrast Trim Shirt, Black &amp; Ivory</t>
  </si>
  <si>
    <t>SA973703</t>
  </si>
  <si>
    <t>SA973704</t>
  </si>
  <si>
    <t>W1315245498</t>
  </si>
  <si>
    <t>TH106AT52VGL-440417</t>
  </si>
  <si>
    <t>The Vanca Casual Top - Multicolor</t>
  </si>
  <si>
    <t>SA973706</t>
  </si>
  <si>
    <t>W1315336099</t>
  </si>
  <si>
    <t>YE659AT48NOL-569236</t>
  </si>
  <si>
    <t>Rosa Stripes Top, Coral</t>
  </si>
  <si>
    <t>SA973707</t>
  </si>
  <si>
    <t>W1315464329</t>
  </si>
  <si>
    <t>ST879AT38CKF-717760</t>
  </si>
  <si>
    <t>Contrast Trim Shirt, Red &amp; Black</t>
  </si>
  <si>
    <t>SA973708</t>
  </si>
  <si>
    <t>SA973712</t>
  </si>
  <si>
    <t>W1315165762</t>
  </si>
  <si>
    <t>ST879AT37DQO-124610</t>
  </si>
  <si>
    <t>Stoee Playsuit for Women STPS10815 Multicolor</t>
  </si>
  <si>
    <t>SA973714</t>
  </si>
  <si>
    <t>W1315390736</t>
  </si>
  <si>
    <t>LA081BE95QJO-633399</t>
  </si>
  <si>
    <t>Enrich Satin Lipstick - P163</t>
  </si>
  <si>
    <t>SA973716</t>
  </si>
  <si>
    <t>W1315334487</t>
  </si>
  <si>
    <t>YE659AT99NAY-567571</t>
  </si>
  <si>
    <t>Ellise Party Leggings, Black &amp; Maroon</t>
  </si>
  <si>
    <t>SA973719</t>
  </si>
  <si>
    <t>W1315334587</t>
  </si>
  <si>
    <t>YE659AT80NBR-567673</t>
  </si>
  <si>
    <t>Iggy Striped Leggings, Black</t>
  </si>
  <si>
    <t>SA973750</t>
  </si>
  <si>
    <t>W1315316775</t>
  </si>
  <si>
    <t>UN563AC98OAZ-522621</t>
  </si>
  <si>
    <t>Hand Crafted Genuine Leather Wallet for Men (UN172, Black)</t>
  </si>
  <si>
    <t>SA973751</t>
  </si>
  <si>
    <t>SA973753</t>
  </si>
  <si>
    <t>W1315397989</t>
  </si>
  <si>
    <t>CA149AC57BVE-642582</t>
  </si>
  <si>
    <t>Aviator Unisex Sunglasses (SOW112, Black)</t>
  </si>
  <si>
    <t>SA973772</t>
  </si>
  <si>
    <t>W1315227512</t>
  </si>
  <si>
    <t>SP976AT38JWV-426060</t>
  </si>
  <si>
    <t>Splendent Peach Colored Formal Top SPF16622 S</t>
  </si>
  <si>
    <t>SA973797</t>
  </si>
  <si>
    <t>W1315204135</t>
  </si>
  <si>
    <t>CR884AC48JGD-387509</t>
  </si>
  <si>
    <t>Crunchy Fashion Dual Heart Pendant Set (Gold) - CFS0101</t>
  </si>
  <si>
    <t>SA973816</t>
  </si>
  <si>
    <t>W1315347735</t>
  </si>
  <si>
    <t>RI918AT98EUN-583463</t>
  </si>
  <si>
    <t>SA973869</t>
  </si>
  <si>
    <t>SA973870</t>
  </si>
  <si>
    <t>W1315277741</t>
  </si>
  <si>
    <t>SA222AT24BNZ-475360</t>
  </si>
  <si>
    <t>Shirts and Blouses, Maroon</t>
  </si>
  <si>
    <t>SA973933</t>
  </si>
  <si>
    <t>SA973938</t>
  </si>
  <si>
    <t>W1315473505</t>
  </si>
  <si>
    <t>HO801AC54RAJ-731531</t>
  </si>
  <si>
    <t>Mega Hauler Truck (CKC09, multicolor)</t>
  </si>
  <si>
    <t>PO044727</t>
  </si>
  <si>
    <t>SA973939</t>
  </si>
  <si>
    <t>SA973949</t>
  </si>
  <si>
    <t>PO044978</t>
  </si>
  <si>
    <t>SA974024</t>
  </si>
  <si>
    <t>SA974025</t>
  </si>
  <si>
    <t>W1315336427</t>
  </si>
  <si>
    <t>YE659AT82NQZ-569564</t>
  </si>
  <si>
    <t>Tiffany Asymmetrical Top, Cream &amp; Blue</t>
  </si>
  <si>
    <t>SA974033</t>
  </si>
  <si>
    <t>W1315311340</t>
  </si>
  <si>
    <t>FA020AC89JPY-519281</t>
  </si>
  <si>
    <t>Farlin Feeding Bottle 600CC Clear - NF-205(T3)</t>
  </si>
  <si>
    <t>SA974034</t>
  </si>
  <si>
    <t>SA974036</t>
  </si>
  <si>
    <t>SA974037</t>
  </si>
  <si>
    <t>SA974038</t>
  </si>
  <si>
    <t>SA974040</t>
  </si>
  <si>
    <t>W1315399249</t>
  </si>
  <si>
    <t>SA222AT24CED-643168</t>
  </si>
  <si>
    <t>SA974043</t>
  </si>
  <si>
    <t>W1315325692</t>
  </si>
  <si>
    <t>SI601AC95USE-529304</t>
  </si>
  <si>
    <t>Simaya Fashion earring (FE 1136, Gold tone)</t>
  </si>
  <si>
    <t>SA974044</t>
  </si>
  <si>
    <t>W1315325337</t>
  </si>
  <si>
    <t>SI601AC43TXC-528555</t>
  </si>
  <si>
    <t>Simaya Fashion earring (FE 0160, Multi color)</t>
  </si>
  <si>
    <t>SA974045</t>
  </si>
  <si>
    <t>W1315325227</t>
  </si>
  <si>
    <t>SI601AC19TQI-528379</t>
  </si>
  <si>
    <t>Simaya Fashion Bracelet (FB 0042, Multi color)</t>
  </si>
  <si>
    <t>SA974081</t>
  </si>
  <si>
    <t>W1315354109</t>
  </si>
  <si>
    <t>AM977AT23NQI-592850</t>
  </si>
  <si>
    <t>SA974125</t>
  </si>
  <si>
    <t>W1315333410</t>
  </si>
  <si>
    <t>YE659AT62MQV-566445</t>
  </si>
  <si>
    <t>Tracy Flare Dress, Blue &amp; Brown</t>
  </si>
  <si>
    <t>SA974126</t>
  </si>
  <si>
    <t>SA974127</t>
  </si>
  <si>
    <t>W1315276977</t>
  </si>
  <si>
    <t>SP976AT37NFI-494404</t>
  </si>
  <si>
    <t>Dress, Multi Colored</t>
  </si>
  <si>
    <t>SA974128</t>
  </si>
  <si>
    <t>W1315339366</t>
  </si>
  <si>
    <t>ST879AT44RGT-573388</t>
  </si>
  <si>
    <t>SA974160</t>
  </si>
  <si>
    <t>SA974396</t>
  </si>
  <si>
    <t>SA974500</t>
  </si>
  <si>
    <t>PO045021</t>
  </si>
  <si>
    <t>SA974513</t>
  </si>
  <si>
    <t>W1315464446</t>
  </si>
  <si>
    <t>ST879AT09CLI-717874</t>
  </si>
  <si>
    <t>SA974514</t>
  </si>
  <si>
    <t>W1315400957</t>
  </si>
  <si>
    <t>MI070AT07DVC-644737</t>
  </si>
  <si>
    <t>Shoulder Cut Out Full Sleeve Round Neck Top, Black</t>
  </si>
  <si>
    <t>SA974555</t>
  </si>
  <si>
    <t>W1315389532</t>
  </si>
  <si>
    <t>MA096BE12PPR-632882</t>
  </si>
  <si>
    <t>Baby Lips Color Balm - Cherry Kiss</t>
  </si>
  <si>
    <t>SA974642</t>
  </si>
  <si>
    <t>W1315399210</t>
  </si>
  <si>
    <t>SA222AT32CDV-643129</t>
  </si>
  <si>
    <t>Bebe Nouveau for women - 100 ml - EDP</t>
  </si>
  <si>
    <t>SA974715</t>
  </si>
  <si>
    <t>Apple Lightning Digital AV Adapter MD826 (Compatible with Mobile Phones)</t>
  </si>
  <si>
    <t>SA974801</t>
  </si>
  <si>
    <t>SA974830</t>
  </si>
  <si>
    <t>W1315439774</t>
  </si>
  <si>
    <t>BE247BE59VZC-693750</t>
  </si>
  <si>
    <t>Beardo Beard Wash - The Blood &amp; Sand</t>
  </si>
  <si>
    <t>SA974831</t>
  </si>
  <si>
    <t>W1315439899</t>
  </si>
  <si>
    <t>SA302BE57VZE-693752</t>
  </si>
  <si>
    <t>Saint Beard Brush Boar Bristle</t>
  </si>
  <si>
    <t>SA974832</t>
  </si>
  <si>
    <t>W1315438097</t>
  </si>
  <si>
    <t>US246BE20VWT-693689</t>
  </si>
  <si>
    <t>Ustraa Woody Beard Softener</t>
  </si>
  <si>
    <t>SA974833</t>
  </si>
  <si>
    <t>W1315438283</t>
  </si>
  <si>
    <t>SA302BE08VXF-693701</t>
  </si>
  <si>
    <t>Saint Beard &amp; Moustache Wax</t>
  </si>
  <si>
    <t>SA974838</t>
  </si>
  <si>
    <t>W1315381138</t>
  </si>
  <si>
    <t>MO687AT83UJW-636560</t>
  </si>
  <si>
    <t>Casual Capri, Dark Blue</t>
  </si>
  <si>
    <t>SA974839</t>
  </si>
  <si>
    <t>W1315241972</t>
  </si>
  <si>
    <t>MI070AT95YWY-444077</t>
  </si>
  <si>
    <t>Top, Orange</t>
  </si>
  <si>
    <t>SA974842</t>
  </si>
  <si>
    <t>W1315153482</t>
  </si>
  <si>
    <t>ST879AT19MBO-97434</t>
  </si>
  <si>
    <t>Stoee Women's Top STWF15TPP0101 MultiColored</t>
  </si>
  <si>
    <t>SA974880</t>
  </si>
  <si>
    <t>PO044775</t>
  </si>
  <si>
    <t>SA974947</t>
  </si>
  <si>
    <t>W1315210301</t>
  </si>
  <si>
    <t>MR178AT69FUW-382500</t>
  </si>
  <si>
    <t>Mr Button Black Cotton Solid Shirt</t>
  </si>
  <si>
    <t>SA974958</t>
  </si>
  <si>
    <t>W1315397641</t>
  </si>
  <si>
    <t>CA149AC25BOS-642414</t>
  </si>
  <si>
    <t>Round Unisex Sunglasses (SAG39Us, Silver)</t>
  </si>
  <si>
    <t>Lanvin Eau De Lacoste Sensuelle for women - 100 ml - EDP</t>
  </si>
  <si>
    <t>SA975022</t>
  </si>
  <si>
    <t>PO044680</t>
  </si>
  <si>
    <t>SA975029</t>
  </si>
  <si>
    <t>SA975036</t>
  </si>
  <si>
    <t>SA975061</t>
  </si>
  <si>
    <t>W1315391570</t>
  </si>
  <si>
    <t>MA096BE79SEI-634639</t>
  </si>
  <si>
    <t>Lash Sensational Mascara - Waterproof Black</t>
  </si>
  <si>
    <t>SA975108</t>
  </si>
  <si>
    <t>W1315302817</t>
  </si>
  <si>
    <t>CA842EL78BUN-512098</t>
  </si>
  <si>
    <t>EOS 80D DSLR Kit with 18-55 mm Lens (24.2 MP, Black)</t>
  </si>
  <si>
    <t>PO044725</t>
  </si>
  <si>
    <t>SA975164</t>
  </si>
  <si>
    <t>W1315186893</t>
  </si>
  <si>
    <t>TH718AT52OBZ-365921</t>
  </si>
  <si>
    <t>SA975202</t>
  </si>
  <si>
    <t>W1315367310</t>
  </si>
  <si>
    <t>MI794EL99CTO-606394</t>
  </si>
  <si>
    <t>Xbox One + Battlefield 1 (500 GB, Black)</t>
  </si>
  <si>
    <t>PO044969</t>
  </si>
  <si>
    <t>Calvin Klein Encounter for men - 50 ml - EDT</t>
  </si>
  <si>
    <t>SA975261</t>
  </si>
  <si>
    <t>SA975350</t>
  </si>
  <si>
    <t>W1315353941</t>
  </si>
  <si>
    <t>AM977AT02NJL-592671</t>
  </si>
  <si>
    <t>Night Dress, Maroon</t>
  </si>
  <si>
    <t>SA975370</t>
  </si>
  <si>
    <t>W1315210653</t>
  </si>
  <si>
    <t>MR178AT81FYG-382852</t>
  </si>
  <si>
    <t>Mr Button Black Cotton Trouser</t>
  </si>
  <si>
    <t>SA975392</t>
  </si>
  <si>
    <t>SA975393</t>
  </si>
  <si>
    <t>SA975394</t>
  </si>
  <si>
    <t>SA975396</t>
  </si>
  <si>
    <t>SA975397</t>
  </si>
  <si>
    <t>W1315277737</t>
  </si>
  <si>
    <t>SA222AT25BNY-475356</t>
  </si>
  <si>
    <t>SA975461</t>
  </si>
  <si>
    <t>W1315249197</t>
  </si>
  <si>
    <t>CA511AC31YAI-508579</t>
  </si>
  <si>
    <t>Edifice EF-129D-1AVUDF for Men (Analog-Chronograph Watch Black)</t>
  </si>
  <si>
    <t>PO044764</t>
  </si>
  <si>
    <t>SA975481</t>
  </si>
  <si>
    <t>W1315204141</t>
  </si>
  <si>
    <t>CR884AC42JGJ-387515</t>
  </si>
  <si>
    <t>Crunchy Fashion Waves of Wonder Pendant Ring Set (White ) - CFS0102</t>
  </si>
  <si>
    <t>SA975545</t>
  </si>
  <si>
    <t>W1315390058</t>
  </si>
  <si>
    <t>MA096BE63SQM-634955</t>
  </si>
  <si>
    <t>Color Show Glitter Mania Nail Lacquer - 601 All that Glitters</t>
  </si>
  <si>
    <t>SA975550</t>
  </si>
  <si>
    <t>W1315389762</t>
  </si>
  <si>
    <t>MA096BE67SQI-634951</t>
  </si>
  <si>
    <t>Color Show Nail Lacquer - Crazy Berry</t>
  </si>
  <si>
    <t>SA975608</t>
  </si>
  <si>
    <t>W1315492456</t>
  </si>
  <si>
    <t>MI811EL99SHG-732386</t>
  </si>
  <si>
    <t>Wireless Portable Speaker (LC-168, Black)</t>
  </si>
  <si>
    <t>PO044738</t>
  </si>
  <si>
    <t>SA975658</t>
  </si>
  <si>
    <t>SA975718</t>
  </si>
  <si>
    <t>SA975761</t>
  </si>
  <si>
    <t>W1315216259</t>
  </si>
  <si>
    <t>GR933AC99XUY-407118</t>
  </si>
  <si>
    <t>Graco TS FaSTaction Fold - Dolce Stroller - 1895891</t>
  </si>
  <si>
    <t>SA975842</t>
  </si>
  <si>
    <t>SA975864</t>
  </si>
  <si>
    <t>W1315379918</t>
  </si>
  <si>
    <t>SH079AT41ORM-631306</t>
  </si>
  <si>
    <t>Casual Trousers, Browns</t>
  </si>
  <si>
    <t>SA975948</t>
  </si>
  <si>
    <t>PO044922</t>
  </si>
  <si>
    <t>SA976088</t>
  </si>
  <si>
    <t>W1315318322</t>
  </si>
  <si>
    <t>ST879AT74NAZ-521873</t>
  </si>
  <si>
    <t>SA976091</t>
  </si>
  <si>
    <t>W1315464186</t>
  </si>
  <si>
    <t>ST879AT92CID-717599</t>
  </si>
  <si>
    <t>Victorian Top, Grey</t>
  </si>
  <si>
    <t>SA976092</t>
  </si>
  <si>
    <t>W1315232338</t>
  </si>
  <si>
    <t>AL992AT16KYP-427757</t>
  </si>
  <si>
    <t>A Luv Ya Women's Polyester Crepe Bird Print Top</t>
  </si>
  <si>
    <t>SA976096</t>
  </si>
  <si>
    <t>W1315364418</t>
  </si>
  <si>
    <t>ST879AT42SQJ-597008</t>
  </si>
  <si>
    <t>Scarf Detailed Shirt, Wine</t>
  </si>
  <si>
    <t>SA976097</t>
  </si>
  <si>
    <t>W1315348781</t>
  </si>
  <si>
    <t>FR924AT57LJI-590050</t>
  </si>
  <si>
    <t>Embellished Top with Long Sleeves, Peach</t>
  </si>
  <si>
    <t>SA976155</t>
  </si>
  <si>
    <t>SA976156</t>
  </si>
  <si>
    <t>SA976245</t>
  </si>
  <si>
    <t>W1315192023</t>
  </si>
  <si>
    <t>MI534AC02SWZ-372720</t>
  </si>
  <si>
    <t>Michael Kors Analog MK3405 Women's Watch</t>
  </si>
  <si>
    <t>SA976270</t>
  </si>
  <si>
    <t>W1315204153</t>
  </si>
  <si>
    <t>CR884AC55JJS-387602</t>
  </si>
  <si>
    <t>Crunchy Fashion Rose Gold Dual Heart Pendant Necklace (Gold) - CFN0400</t>
  </si>
  <si>
    <t>SA976288</t>
  </si>
  <si>
    <t>W1315473369</t>
  </si>
  <si>
    <t>BA225AC15QUE-731370</t>
  </si>
  <si>
    <t>Barbie Spy Squad - Ken Doll (DHF19, Multicolor)</t>
  </si>
  <si>
    <t>SA976290</t>
  </si>
  <si>
    <t>W1315473717</t>
  </si>
  <si>
    <t>FI983AC13RJQ-731772</t>
  </si>
  <si>
    <t>Bm DC - 12" Figure Heroes Asst (CDM61 Multicolor)</t>
  </si>
  <si>
    <t>SA976294</t>
  </si>
  <si>
    <t>W1315473737</t>
  </si>
  <si>
    <t>FI983AC93RKK-731792</t>
  </si>
  <si>
    <t>Football Line-Elite 12 Ronaldo (DYK83 Multicolor)</t>
  </si>
  <si>
    <t>SA976295</t>
  </si>
  <si>
    <t>W1315473715</t>
  </si>
  <si>
    <t>FI983AC15RJO-731770</t>
  </si>
  <si>
    <t>Bm 6" Basic Figure Assortment (DJG28 Multicolor)</t>
  </si>
  <si>
    <t>SA976338</t>
  </si>
  <si>
    <t>SA976339</t>
  </si>
  <si>
    <t>W1315364569</t>
  </si>
  <si>
    <t>ST879AT04SRV-597159</t>
  </si>
  <si>
    <t>SA976340</t>
  </si>
  <si>
    <t>W1315436453</t>
  </si>
  <si>
    <t>BL253BE75SGI-691234</t>
  </si>
  <si>
    <t>Blue Heaven Xpression Make Up Stick 100% water Proof - Blush 02</t>
  </si>
  <si>
    <t>SA976413</t>
  </si>
  <si>
    <t>W1315210433</t>
  </si>
  <si>
    <t>MR178AT36FWD-382632</t>
  </si>
  <si>
    <t>Mr Button Wine Cotton Sleeveless Jacket With Leather Detail</t>
  </si>
  <si>
    <t>SA976609</t>
  </si>
  <si>
    <t>W1315316762</t>
  </si>
  <si>
    <t>UN563AC11OAM-522608</t>
  </si>
  <si>
    <t>Hand Crafted Fine Texture Genuine Leather Wallet for Men (UN114, Red)</t>
  </si>
  <si>
    <t>SA976727</t>
  </si>
  <si>
    <t>W1315349945</t>
  </si>
  <si>
    <t>AD981AT45DZM-582411</t>
  </si>
  <si>
    <t>Geometric Print Women's Gathered Skirt, Powder blue</t>
  </si>
  <si>
    <t>SA976740</t>
  </si>
  <si>
    <t>W1315311360</t>
  </si>
  <si>
    <t>FA020AC66JQV-519304</t>
  </si>
  <si>
    <t>Farlin Glow In Dark Pacifier Clear - BF-002S</t>
  </si>
  <si>
    <t>SA976741</t>
  </si>
  <si>
    <t>SA976798</t>
  </si>
  <si>
    <t>W1315278236</t>
  </si>
  <si>
    <t>SA222AT57BUK-475910</t>
  </si>
  <si>
    <t>Floral Silk Crop Top, Pink</t>
  </si>
  <si>
    <t>SA976800</t>
  </si>
  <si>
    <t>W1315464443</t>
  </si>
  <si>
    <t>ST879AT09CLI-717871</t>
  </si>
  <si>
    <t>Roberto Cavalli Just Cavalli for men - 90 ml - EDt</t>
  </si>
  <si>
    <t>Amouage Interlude for women - 100 ml - EDP</t>
  </si>
  <si>
    <t>SA976976</t>
  </si>
  <si>
    <t>SA977080</t>
  </si>
  <si>
    <t>SA977121</t>
  </si>
  <si>
    <t>SA977221</t>
  </si>
  <si>
    <t>SA977225</t>
  </si>
  <si>
    <t>W1315351103</t>
  </si>
  <si>
    <t>HU968AT71NSI-592962</t>
  </si>
  <si>
    <t>SA977307</t>
  </si>
  <si>
    <t>SA977320</t>
  </si>
  <si>
    <t>W1315316772</t>
  </si>
  <si>
    <t>UN563AC01OAW-522618</t>
  </si>
  <si>
    <t>Hand Crafted Genuine Leather Wallet for Men (UN165, Black)</t>
  </si>
  <si>
    <t>SA977347</t>
  </si>
  <si>
    <t>W1315332143</t>
  </si>
  <si>
    <t>YE659AT22LZD-564815</t>
  </si>
  <si>
    <t>Sponge Dab Digital Print Tee, Grey</t>
  </si>
  <si>
    <t>SA977348</t>
  </si>
  <si>
    <t>W1315510409</t>
  </si>
  <si>
    <t>CA787AT64VLJ-734862</t>
  </si>
  <si>
    <t>Round Neck Cotton T-Shirt, Black</t>
  </si>
  <si>
    <t>PO044694</t>
  </si>
  <si>
    <t>SA977414</t>
  </si>
  <si>
    <t>SA977462</t>
  </si>
  <si>
    <t>SA977530</t>
  </si>
  <si>
    <t>SA977557</t>
  </si>
  <si>
    <t>SA977665</t>
  </si>
  <si>
    <t>W1315353918</t>
  </si>
  <si>
    <t>AM977AT78QND-595474</t>
  </si>
  <si>
    <t>SA977691</t>
  </si>
  <si>
    <t>PO045018</t>
  </si>
  <si>
    <t>SA977694</t>
  </si>
  <si>
    <t>PO044875</t>
  </si>
  <si>
    <t>SA977698</t>
  </si>
  <si>
    <t>SA977700</t>
  </si>
  <si>
    <t>W1315396618</t>
  </si>
  <si>
    <t>KE914AT38ZAV-640640</t>
  </si>
  <si>
    <t>Polo T-Shirt, White</t>
  </si>
  <si>
    <t>SA977740</t>
  </si>
  <si>
    <t>W1315399548</t>
  </si>
  <si>
    <t>SA222AT63CGM-643467</t>
  </si>
  <si>
    <t>Peplum Jacket, Green</t>
  </si>
  <si>
    <t>SA977742</t>
  </si>
  <si>
    <t>W1315277349</t>
  </si>
  <si>
    <t>SA222AT61BIS-474918</t>
  </si>
  <si>
    <t>Maxi Dress, Blue</t>
  </si>
  <si>
    <t>SA977843</t>
  </si>
  <si>
    <t>W1315240200</t>
  </si>
  <si>
    <t>FA020AC58OPD-431759</t>
  </si>
  <si>
    <t>Farlin Easy Feeder - BF-193A</t>
  </si>
  <si>
    <t>SA977848</t>
  </si>
  <si>
    <t>W1315240203</t>
  </si>
  <si>
    <t>FA020AC55OPG-431762</t>
  </si>
  <si>
    <t>Farlin Wet Wipes For Hand &amp; Mouth - DT-001</t>
  </si>
  <si>
    <t>SA977849</t>
  </si>
  <si>
    <t>SA977949</t>
  </si>
  <si>
    <t>W1315391018</t>
  </si>
  <si>
    <t>LO860BE06SKZ-634812</t>
  </si>
  <si>
    <t>Kajal Magique Bold</t>
  </si>
  <si>
    <t>SA977954</t>
  </si>
  <si>
    <t>W1315473340</t>
  </si>
  <si>
    <t>FI983AC53QSS-731332</t>
  </si>
  <si>
    <t>BG - Deluxe Bouncer Rainforest Friends (BCG48 Multicolor)</t>
  </si>
  <si>
    <t>SA977971</t>
  </si>
  <si>
    <t>SA977978</t>
  </si>
  <si>
    <t>W1315473484</t>
  </si>
  <si>
    <t>HO801AC80QZJ-731505</t>
  </si>
  <si>
    <t>Marvel's Heroes Car Assortment (BDM71, multicolor)</t>
  </si>
  <si>
    <t>SA977979</t>
  </si>
  <si>
    <t>SA977980</t>
  </si>
  <si>
    <t>W1315473523</t>
  </si>
  <si>
    <t>MA802AC36RBB-731549</t>
  </si>
  <si>
    <t>3-Pack Assortment (C3713, multicolor)</t>
  </si>
  <si>
    <t>SA977983</t>
  </si>
  <si>
    <t>W1315473464</t>
  </si>
  <si>
    <t>HO801AC00QYP-731485</t>
  </si>
  <si>
    <t>Basic Car Pack of 5 (DJG23, multicolor)</t>
  </si>
  <si>
    <t>SA977984</t>
  </si>
  <si>
    <t>SA977990</t>
  </si>
  <si>
    <t>W1315351386</t>
  </si>
  <si>
    <t>HU968AT03NUY-593245</t>
  </si>
  <si>
    <t>Printed Round Neck T-Shirt, Dark Blue</t>
  </si>
  <si>
    <t>SA977991</t>
  </si>
  <si>
    <t>W1315432228</t>
  </si>
  <si>
    <t>ED203AT29ETE-699818</t>
  </si>
  <si>
    <t>Printed Slim Fit Shirt, Maroon</t>
  </si>
  <si>
    <t>SA977992</t>
  </si>
  <si>
    <t>SA977993</t>
  </si>
  <si>
    <t>W1315396627</t>
  </si>
  <si>
    <t>KE914AT35ZAY-640649</t>
  </si>
  <si>
    <t>SA977995</t>
  </si>
  <si>
    <t>W1315396663</t>
  </si>
  <si>
    <t>KE914AT18ZBP-640690</t>
  </si>
  <si>
    <t>Sweatshirt with Hoodie, Black/Red</t>
  </si>
  <si>
    <t>SA978109</t>
  </si>
  <si>
    <t>Dolce &amp; Gabbana Pour Femme for Women - 100 ml - EDP</t>
  </si>
  <si>
    <t>PO044683</t>
  </si>
  <si>
    <t>SA978233</t>
  </si>
  <si>
    <t>SA978252</t>
  </si>
  <si>
    <t>W1315438104</t>
  </si>
  <si>
    <t>SA302BE17VWW-693692</t>
  </si>
  <si>
    <t>Saint Beard Oil Forest Rustle</t>
  </si>
  <si>
    <t>SA978388</t>
  </si>
  <si>
    <t>SA978460</t>
  </si>
  <si>
    <t>W1315211312</t>
  </si>
  <si>
    <t>MR178AT91GJK-384008</t>
  </si>
  <si>
    <t>Mr Button Blue Denim Pinteck Trouser With Cuff</t>
  </si>
  <si>
    <t>SA978461</t>
  </si>
  <si>
    <t>W1315211516</t>
  </si>
  <si>
    <t>MR178AT23GEI-383480</t>
  </si>
  <si>
    <t>Mr Button Blue Cotton Bandhgala</t>
  </si>
  <si>
    <t>Edifice EFR-549SG-1AVUDF For Men (Analog-Chronograph Watch Black)</t>
  </si>
  <si>
    <t>SA978482</t>
  </si>
  <si>
    <t>W1315181404</t>
  </si>
  <si>
    <t>MI534AC15GLK-354877</t>
  </si>
  <si>
    <t>Michael Kors Analog Stainless Steel Women's Watch MK3222</t>
  </si>
  <si>
    <t>SA978491</t>
  </si>
  <si>
    <t>W1315206960</t>
  </si>
  <si>
    <t>JB997AC73LOS-389413</t>
  </si>
  <si>
    <t>JBW Black Stainless Black Dial Classic for Men J6287K</t>
  </si>
  <si>
    <t>SA978559</t>
  </si>
  <si>
    <t>W1315325379</t>
  </si>
  <si>
    <t>SI601AC97TYW-528601</t>
  </si>
  <si>
    <t>Simaya Fashion earring (FE 0324, Multi color)</t>
  </si>
  <si>
    <t>SA978578</t>
  </si>
  <si>
    <t>SA978616</t>
  </si>
  <si>
    <t>W1315302803</t>
  </si>
  <si>
    <t>VM386AT76ZDJ-509787</t>
  </si>
  <si>
    <t>SA978632</t>
  </si>
  <si>
    <t>W1315332998</t>
  </si>
  <si>
    <t>YE659AT07MLG-565814</t>
  </si>
  <si>
    <t>SA978633</t>
  </si>
  <si>
    <t>W1315332993</t>
  </si>
  <si>
    <t>YE659AT08MLF-565809</t>
  </si>
  <si>
    <t>Jerry Trackpant, Blue</t>
  </si>
  <si>
    <t>SA978634</t>
  </si>
  <si>
    <t>W1315332907</t>
  </si>
  <si>
    <t>YE659AT25MKO-565723</t>
  </si>
  <si>
    <t>Riocard Trackpants, Blue</t>
  </si>
  <si>
    <t>SA978636</t>
  </si>
  <si>
    <t>W1315333033</t>
  </si>
  <si>
    <t>YE659AT00MLN-565849</t>
  </si>
  <si>
    <t>Walfred Trackpants, Green</t>
  </si>
  <si>
    <t>SA978831</t>
  </si>
  <si>
    <t>W1315390711</t>
  </si>
  <si>
    <t>MA096BE51QHK-633343</t>
  </si>
  <si>
    <t>Color Show Matte Lipstick - Madly Magenta M402</t>
  </si>
  <si>
    <t>SA978861</t>
  </si>
  <si>
    <t>Versace Pour Homme for men - 50 ml - EDT</t>
  </si>
  <si>
    <t>SA978863</t>
  </si>
  <si>
    <t>W1315389436</t>
  </si>
  <si>
    <t>LA081BE89QCC-633205</t>
  </si>
  <si>
    <t>9 to 5 Pure Rouge Blusher - Rose Crush</t>
  </si>
  <si>
    <t>SA978871</t>
  </si>
  <si>
    <t>SA978990</t>
  </si>
  <si>
    <t>W1315236128</t>
  </si>
  <si>
    <t>JB997AC68VRJ-441052</t>
  </si>
  <si>
    <t>Victory JB-6210-160-C For Women (Analog-Chronograph Watch, Pink)</t>
  </si>
  <si>
    <t>SA979023</t>
  </si>
  <si>
    <t>W1315102275</t>
  </si>
  <si>
    <t>CA511EL29BWW-1282</t>
  </si>
  <si>
    <t>Edifice EF-558D-1AV</t>
  </si>
  <si>
    <t>PO044785</t>
  </si>
  <si>
    <t>SA979121</t>
  </si>
  <si>
    <t>W1315383126</t>
  </si>
  <si>
    <t>YE659AC46OJP-630939</t>
  </si>
  <si>
    <t>2437 for Men (Analog-Chronograph Watch, Black)</t>
  </si>
  <si>
    <t>SA979125</t>
  </si>
  <si>
    <t>W1315428542</t>
  </si>
  <si>
    <t>ON399EL50VWN-712135</t>
  </si>
  <si>
    <t>Z7 (16 GB, 3G, Rose Gold Dual SIM)</t>
  </si>
  <si>
    <t>PO044769</t>
  </si>
  <si>
    <t>SA979153</t>
  </si>
  <si>
    <t>SA979154</t>
  </si>
  <si>
    <t>SA979159</t>
  </si>
  <si>
    <t>W1315359678</t>
  </si>
  <si>
    <t>FA020AC07UEE-598998</t>
  </si>
  <si>
    <t>Farlin Anatomical Orthodontic Pacifier (TOP-109, Transparent)</t>
  </si>
  <si>
    <t>SA979166</t>
  </si>
  <si>
    <t>SA979198</t>
  </si>
  <si>
    <t>SA979237</t>
  </si>
  <si>
    <t>SA979238</t>
  </si>
  <si>
    <t>SA979285</t>
  </si>
  <si>
    <t>SA979288</t>
  </si>
  <si>
    <t>SA979291</t>
  </si>
  <si>
    <t>SA979336</t>
  </si>
  <si>
    <t>SA979337</t>
  </si>
  <si>
    <t>SA979373</t>
  </si>
  <si>
    <t>W1315228367</t>
  </si>
  <si>
    <t>AD981AT24JPR-425684</t>
  </si>
  <si>
    <t>Addyvero Women's Floral Print Casual Shirt</t>
  </si>
  <si>
    <t>SA979387</t>
  </si>
  <si>
    <t>W1315436918</t>
  </si>
  <si>
    <t>EN364BE80RJB-690629</t>
  </si>
  <si>
    <t>Envy Women Perfume Blush</t>
  </si>
  <si>
    <t>SA979388</t>
  </si>
  <si>
    <t>SA979522</t>
  </si>
  <si>
    <t>SA979523</t>
  </si>
  <si>
    <t>W1315397353</t>
  </si>
  <si>
    <t>CA149AC90AWV-641949</t>
  </si>
  <si>
    <t>CWL799 for Women (Analog Watch, Black)</t>
  </si>
  <si>
    <t>SA979549</t>
  </si>
  <si>
    <t>W1315381443</t>
  </si>
  <si>
    <t>YE659AC60OFF-630825</t>
  </si>
  <si>
    <t>1917 for Women (Analog Watch, Black)</t>
  </si>
  <si>
    <t>SA979622</t>
  </si>
  <si>
    <t>W1315400576</t>
  </si>
  <si>
    <t>CI983AC90ESV-645868</t>
  </si>
  <si>
    <t>EM0252-06A for Women (Analog Watch, Beige)</t>
  </si>
  <si>
    <t>SA979716</t>
  </si>
  <si>
    <t>W1315121046</t>
  </si>
  <si>
    <t>CA787BE35GFC-36298</t>
  </si>
  <si>
    <t>Calvin Klein Truth for men - 100 ml - EDT</t>
  </si>
  <si>
    <t>SA979745</t>
  </si>
  <si>
    <t>W1315438038</t>
  </si>
  <si>
    <t>GA254BE07PCI-689102</t>
  </si>
  <si>
    <t>Gala Of London Liquid Line (Eye Liner) - Brown</t>
  </si>
  <si>
    <t>SA979746</t>
  </si>
  <si>
    <t>W1315435266</t>
  </si>
  <si>
    <t>BI230BE92VMH-693417</t>
  </si>
  <si>
    <t>Biotique Kaajal Nourishing &amp; Conditioning Eye Liner With Almond Oil</t>
  </si>
  <si>
    <t>SA979747</t>
  </si>
  <si>
    <t>W1315436506</t>
  </si>
  <si>
    <t>CO092BE75OSA-688834</t>
  </si>
  <si>
    <t>Coloressence Ink Stylo Eyeliner Pen - Black</t>
  </si>
  <si>
    <t>SA979748</t>
  </si>
  <si>
    <t>W1315390701</t>
  </si>
  <si>
    <t>MA096BE94QYZ-633800</t>
  </si>
  <si>
    <t>Color Show Matte Lipstick - Pop of Pink M102</t>
  </si>
  <si>
    <t>SA979800</t>
  </si>
  <si>
    <t>SA979835</t>
  </si>
  <si>
    <t>W1315402171</t>
  </si>
  <si>
    <t>AD592AC80FQH-646483</t>
  </si>
  <si>
    <t>Wayfarer Unisex Sunglasses (AD-71203, Black/Purple)</t>
  </si>
  <si>
    <t>SA979892</t>
  </si>
  <si>
    <t>PO044942</t>
  </si>
  <si>
    <t>SA979899</t>
  </si>
  <si>
    <t>SA979900</t>
  </si>
  <si>
    <t>W1315473470</t>
  </si>
  <si>
    <t>HO801AC94QYV-731491</t>
  </si>
  <si>
    <t>Hot Wheels Themed Car Soccer Asst (DJL38, Multicolor)</t>
  </si>
  <si>
    <t>SA979901</t>
  </si>
  <si>
    <t>SA979949</t>
  </si>
  <si>
    <t>SA979975</t>
  </si>
  <si>
    <t>PO044696</t>
  </si>
  <si>
    <t>SA979994</t>
  </si>
  <si>
    <t>W1315216456</t>
  </si>
  <si>
    <t>SR372AC71LAI-427981</t>
  </si>
  <si>
    <t>Srota Men Duffel Bag</t>
  </si>
  <si>
    <t>SA979995</t>
  </si>
  <si>
    <t>SA980021</t>
  </si>
  <si>
    <t>W1315391078</t>
  </si>
  <si>
    <t>MA096BE33SRQ-634985</t>
  </si>
  <si>
    <t>Color Show Big Apple Nail Paint - 204 Juicy Red</t>
  </si>
  <si>
    <t>SA980036</t>
  </si>
  <si>
    <t>W1315204783</t>
  </si>
  <si>
    <t>CA511AC86DON-380551</t>
  </si>
  <si>
    <t>Casio Digital Resin Women's Watch LDF-52-4ADR</t>
  </si>
  <si>
    <t>SA980055</t>
  </si>
  <si>
    <t>SA980083</t>
  </si>
  <si>
    <t>PO044821</t>
  </si>
  <si>
    <t>SA980103</t>
  </si>
  <si>
    <t>SA980134</t>
  </si>
  <si>
    <t>W1315383132</t>
  </si>
  <si>
    <t>YE659AC40OJV-630945</t>
  </si>
  <si>
    <t>2444 for Men (Analog-Chronograph Watch, Green)</t>
  </si>
  <si>
    <t>SA980135</t>
  </si>
  <si>
    <t>SA980140</t>
  </si>
  <si>
    <t>W1315325908</t>
  </si>
  <si>
    <t>AD592AC21DVQ-548427</t>
  </si>
  <si>
    <t>Wayfarer Sunglasses for Unisex (19230WHITE-BLACK)</t>
  </si>
  <si>
    <t>SA980143</t>
  </si>
  <si>
    <t>W1315325302</t>
  </si>
  <si>
    <t>SI601AC95TVC-528503</t>
  </si>
  <si>
    <t>Simaya Fashion Bracelet (FB 0276, Gold tone)</t>
  </si>
  <si>
    <t>SA980220</t>
  </si>
  <si>
    <t>SA980221</t>
  </si>
  <si>
    <t>SA980240</t>
  </si>
  <si>
    <t>W1315121853</t>
  </si>
  <si>
    <t>ES795BE16NIL-47783</t>
  </si>
  <si>
    <t>Estee Lauder Pleasures for women - 50 ml - EDP</t>
  </si>
  <si>
    <t>SA980269</t>
  </si>
  <si>
    <t>W1315473479</t>
  </si>
  <si>
    <t>HO801AC85QZE-731500</t>
  </si>
  <si>
    <t>Crashing Big Rigs Set (Y1868, multicolor)</t>
  </si>
  <si>
    <t>SA980274</t>
  </si>
  <si>
    <t>SA980290</t>
  </si>
  <si>
    <t>W1315464067</t>
  </si>
  <si>
    <t>FU379AT79CEU-717386</t>
  </si>
  <si>
    <t>Lace Accented Neoprene Bralette, Black</t>
  </si>
  <si>
    <t>SA980292</t>
  </si>
  <si>
    <t>W1315506647</t>
  </si>
  <si>
    <t>MI070AT07VVG-735912</t>
  </si>
  <si>
    <t>Mini Bardot Dress, Red</t>
  </si>
  <si>
    <t>SA980314</t>
  </si>
  <si>
    <t>SA980315</t>
  </si>
  <si>
    <t>SA980317</t>
  </si>
  <si>
    <t>SA980318</t>
  </si>
  <si>
    <t>SA980340</t>
  </si>
  <si>
    <t>W1315473653</t>
  </si>
  <si>
    <t>FI983AC75RHG-731710</t>
  </si>
  <si>
    <t>Thomas &amp; Friends - Cargo Car Assortment (BHR85 Multicolor)</t>
  </si>
  <si>
    <t>SA980341</t>
  </si>
  <si>
    <t>SA980343</t>
  </si>
  <si>
    <t>W1315334640</t>
  </si>
  <si>
    <t>YE659AT71NCA-567726</t>
  </si>
  <si>
    <t>Perry Leggings, Grey &amp; Green</t>
  </si>
  <si>
    <t>SA980352</t>
  </si>
  <si>
    <t>SA980356</t>
  </si>
  <si>
    <t>W1315473377</t>
  </si>
  <si>
    <t>BA225AC07QUM-731378</t>
  </si>
  <si>
    <t>Volkswagen Beetle and Doll Playset (BJP37, pink)</t>
  </si>
  <si>
    <t>SA980377</t>
  </si>
  <si>
    <t>W1315341390</t>
  </si>
  <si>
    <t>CO916AC80EVF-583506</t>
  </si>
  <si>
    <t>5-COL197 Unisex Watch (Analog-Chronograph Watch, Gold)</t>
  </si>
  <si>
    <t>SA980380</t>
  </si>
  <si>
    <t>PO044848</t>
  </si>
  <si>
    <t>SA980391</t>
  </si>
  <si>
    <t>SA980425</t>
  </si>
  <si>
    <t>SA980426</t>
  </si>
  <si>
    <t>SA980428</t>
  </si>
  <si>
    <t>W1315473647</t>
  </si>
  <si>
    <t>FI983AC81RHA-731704</t>
  </si>
  <si>
    <t>Thomas and Friends Collectible Railway Ecl - Starter Set Assortment (BLN89, Multicolor)</t>
  </si>
  <si>
    <t>SA980445</t>
  </si>
  <si>
    <t>W1315130308</t>
  </si>
  <si>
    <t>CA511AC46ZSJ-57155</t>
  </si>
  <si>
    <t>Casio Casual Analog Rubber Women's Watch LQ-139EMV-7ALDF</t>
  </si>
  <si>
    <t>SA980447</t>
  </si>
  <si>
    <t>W1315130304</t>
  </si>
  <si>
    <t>CA511AC50ZSF-57151</t>
  </si>
  <si>
    <t>LQ-139AMV-1LDF for Women (Analog Watch, Black)</t>
  </si>
  <si>
    <t>SA980456</t>
  </si>
  <si>
    <t>SA980457</t>
  </si>
  <si>
    <t>SA980458</t>
  </si>
  <si>
    <t>SA980480</t>
  </si>
  <si>
    <t>W1315430148</t>
  </si>
  <si>
    <t>ZI491AT21MZY-686151</t>
  </si>
  <si>
    <t>Premium Cotton Low Rise Bikini Brief Pack of 2, Yellow Green Stripe</t>
  </si>
  <si>
    <t>SA980481</t>
  </si>
  <si>
    <t>W1315430164</t>
  </si>
  <si>
    <t>ZI491AT22MZX-686145</t>
  </si>
  <si>
    <t>Premium Cotton Medium Rise Bikini Brief Pack of 2, White Grey Print</t>
  </si>
  <si>
    <t>SA980482</t>
  </si>
  <si>
    <t>W1315430137</t>
  </si>
  <si>
    <t>ZI491AT52MUX-685788</t>
  </si>
  <si>
    <t>Premium Cotton Low Rise Hipster Brief Pack of 2, Pink Chevron</t>
  </si>
  <si>
    <t>SA980486</t>
  </si>
  <si>
    <t>W1315316793</t>
  </si>
  <si>
    <t>UN563AC80OBR-522639</t>
  </si>
  <si>
    <t>Hand Crafted Genuine Leather Wallet for Men (UN220, Navy)</t>
  </si>
  <si>
    <t>SA980523</t>
  </si>
  <si>
    <t>W1315242079</t>
  </si>
  <si>
    <t>MI070AT73YXU-444184</t>
  </si>
  <si>
    <t>Top, Black and White</t>
  </si>
  <si>
    <t>SA980526</t>
  </si>
  <si>
    <t>SA980529</t>
  </si>
  <si>
    <t>W1315392222</t>
  </si>
  <si>
    <t>AP771EL47TZS-635907</t>
  </si>
  <si>
    <t>MacBook Pro MLH32 ZP/A (Intel Core i7, 15.4 inches, 256 GB SSD, Mac OS, Grey)</t>
  </si>
  <si>
    <t>PO044998</t>
  </si>
  <si>
    <t>SA980536</t>
  </si>
  <si>
    <t>SA980537</t>
  </si>
  <si>
    <t>SA980579</t>
  </si>
  <si>
    <t>SA980581</t>
  </si>
  <si>
    <t>SA980583</t>
  </si>
  <si>
    <t>SA980584</t>
  </si>
  <si>
    <t>W1315246343</t>
  </si>
  <si>
    <t>PE989AT83TWQ-435855</t>
  </si>
  <si>
    <t>Penny No Panty Line Laser Cut Animal Print N Solid Thong Briefs (Pack of 2)</t>
  </si>
  <si>
    <t>SA980585</t>
  </si>
  <si>
    <t>W1315159777</t>
  </si>
  <si>
    <t>LE769EL41CAC-123369</t>
  </si>
  <si>
    <t>Lenovo A2010 (8 GB, 4G, White)</t>
  </si>
  <si>
    <t>PO044914</t>
  </si>
  <si>
    <t>SA980602</t>
  </si>
  <si>
    <t>W1315389837</t>
  </si>
  <si>
    <t>SO088BE37QPQ-633557</t>
  </si>
  <si>
    <t>Castor Carrier Oil - Coldpressed</t>
  </si>
  <si>
    <t>SA980607</t>
  </si>
  <si>
    <t>W1315191935</t>
  </si>
  <si>
    <t>MI534AC90STP-372632</t>
  </si>
  <si>
    <t>Michael Kors Analog-Chronograph MK5076 Women's Watch</t>
  </si>
  <si>
    <t>SA980615</t>
  </si>
  <si>
    <t>SA980616</t>
  </si>
  <si>
    <t>SA980649</t>
  </si>
  <si>
    <t>W1315399154</t>
  </si>
  <si>
    <t>SA222AT43CDK-643073</t>
  </si>
  <si>
    <t>SA980650</t>
  </si>
  <si>
    <t>W1315245373</t>
  </si>
  <si>
    <t>TH106AT66VCB-439787</t>
  </si>
  <si>
    <t>The Vanca Top - Offwhite</t>
  </si>
  <si>
    <t>SA980652</t>
  </si>
  <si>
    <t>W1315464184</t>
  </si>
  <si>
    <t>ST879AT92CID-717597</t>
  </si>
  <si>
    <t>SA980654</t>
  </si>
  <si>
    <t>W1315302637</t>
  </si>
  <si>
    <t>AL992AT63BVC-512154</t>
  </si>
  <si>
    <t>Long Sleeve Top, White</t>
  </si>
  <si>
    <t>SA980681</t>
  </si>
  <si>
    <t>W1315464773</t>
  </si>
  <si>
    <t>CO745EL31TOQ-733266</t>
  </si>
  <si>
    <t>Carbide Series 500R Mid-Tower Case (CC9011013-WW, White)</t>
  </si>
  <si>
    <t>PO044706</t>
  </si>
  <si>
    <t>SA980687</t>
  </si>
  <si>
    <t>W1315336874</t>
  </si>
  <si>
    <t>YE659AT93NUK-570011</t>
  </si>
  <si>
    <t>Anabelle Crop Top, Blue</t>
  </si>
  <si>
    <t>SA980693</t>
  </si>
  <si>
    <t>W1315473613</t>
  </si>
  <si>
    <t>FI983AC23RFK-731662</t>
  </si>
  <si>
    <t>Laugh and Learn - Smart Stages Grey Tablet (CDG33, Multicolor)</t>
  </si>
  <si>
    <t>SA980726</t>
  </si>
  <si>
    <t>W1315278325</t>
  </si>
  <si>
    <t>SA222AT17BVY-476020</t>
  </si>
  <si>
    <t>Blingy Neck Top, Ivory</t>
  </si>
  <si>
    <t>SA980757</t>
  </si>
  <si>
    <t>W1315365862</t>
  </si>
  <si>
    <t>AD981AT38TRL-598575</t>
  </si>
  <si>
    <t>Dress, Snow White</t>
  </si>
  <si>
    <t>SA980759</t>
  </si>
  <si>
    <t>W1315325467</t>
  </si>
  <si>
    <t>SI601AC14UFX-528955</t>
  </si>
  <si>
    <t>Simaya Fashion Cuff Earring (FE 0604, Gold tone)</t>
  </si>
  <si>
    <t>SA980816</t>
  </si>
  <si>
    <t>W1315192004</t>
  </si>
  <si>
    <t>MI534AC21SWG-372701</t>
  </si>
  <si>
    <t>Michael Kors Analog-Chronograph MK8309 Men's Watch</t>
  </si>
  <si>
    <t>SA980817</t>
  </si>
  <si>
    <t>W1315316059</t>
  </si>
  <si>
    <t>WE564AT68OCD-522681</t>
  </si>
  <si>
    <t>Men's Plain Round Neck T-Shirt, Black</t>
  </si>
  <si>
    <t>SA980826</t>
  </si>
  <si>
    <t>SA980837</t>
  </si>
  <si>
    <t>SA980839</t>
  </si>
  <si>
    <t>W1315399708</t>
  </si>
  <si>
    <t>SA222AT31CHS-643627</t>
  </si>
  <si>
    <t>SA980840</t>
  </si>
  <si>
    <t>W1315244308</t>
  </si>
  <si>
    <t>TH106AT36URR-438721</t>
  </si>
  <si>
    <t>The Vanca Blue Shirt In Denim With Emblishment At Collar</t>
  </si>
  <si>
    <t>SA980841</t>
  </si>
  <si>
    <t>W1315278326</t>
  </si>
  <si>
    <t>SA222AT17BVY-476021</t>
  </si>
  <si>
    <t>SA980890</t>
  </si>
  <si>
    <t>SA980925</t>
  </si>
  <si>
    <t>SA980927</t>
  </si>
  <si>
    <t>W1315391491</t>
  </si>
  <si>
    <t>LA081BE50QLH-633444</t>
  </si>
  <si>
    <t>Enrich Satin Lip Color - R368</t>
  </si>
  <si>
    <t>SA980952</t>
  </si>
  <si>
    <t>SA980953</t>
  </si>
  <si>
    <t>SA980962</t>
  </si>
  <si>
    <t>W1315391127</t>
  </si>
  <si>
    <t>NY094BE35SNS-634883</t>
  </si>
  <si>
    <t>Pastel Nail Enamel - Lilac Cupcake, No.73</t>
  </si>
  <si>
    <t>SA980963</t>
  </si>
  <si>
    <t>SA980964</t>
  </si>
  <si>
    <t>W1315390891</t>
  </si>
  <si>
    <t>MA096BE24PWX-633070</t>
  </si>
  <si>
    <t>Fit Me Blush # Medium Nude 208</t>
  </si>
  <si>
    <t>SA980965</t>
  </si>
  <si>
    <t>W1315390369</t>
  </si>
  <si>
    <t>CO092BE35POU-632859</t>
  </si>
  <si>
    <t>Satin Smooth Highlighter Blusher SH-3</t>
  </si>
  <si>
    <t>SA980966</t>
  </si>
  <si>
    <t>W1315390787</t>
  </si>
  <si>
    <t>NY094BE11SOQ-634907</t>
  </si>
  <si>
    <t>Pastel Nail Enamel - Lychee Delight, No. 82</t>
  </si>
  <si>
    <t>SA980971</t>
  </si>
  <si>
    <t>SA980972</t>
  </si>
  <si>
    <t>SA980995</t>
  </si>
  <si>
    <t>SA980997</t>
  </si>
  <si>
    <t>SA980999</t>
  </si>
  <si>
    <t>W1315350945</t>
  </si>
  <si>
    <t>HU968AT11MMA-591730</t>
  </si>
  <si>
    <t>Printed V-Neck T-Shirt, Navy</t>
  </si>
  <si>
    <t>SA981000</t>
  </si>
  <si>
    <t>SA981001</t>
  </si>
  <si>
    <t>W1315169261</t>
  </si>
  <si>
    <t>MI534AC55PXC-147021</t>
  </si>
  <si>
    <t>Michael Kors Chronograph Stainless Steel Men's Watch MK8096</t>
  </si>
  <si>
    <t>SA981003</t>
  </si>
  <si>
    <t>W1315350953</t>
  </si>
  <si>
    <t>HU968AT09MMC-591738</t>
  </si>
  <si>
    <t>SA981024</t>
  </si>
  <si>
    <t>SA981053</t>
  </si>
  <si>
    <t>SA981054</t>
  </si>
  <si>
    <t>W1315390598</t>
  </si>
  <si>
    <t>MA093BE02QBP-633192</t>
  </si>
  <si>
    <t>Euphoria Palette - Bare</t>
  </si>
  <si>
    <t>SA981056</t>
  </si>
  <si>
    <t>W1315390568</t>
  </si>
  <si>
    <t>LA081BE81RDI-633913</t>
  </si>
  <si>
    <t>Enrich Satin Lipstick - P152</t>
  </si>
  <si>
    <t>SA981075</t>
  </si>
  <si>
    <t>W1315339339</t>
  </si>
  <si>
    <t>SR372AC16RHV-573455</t>
  </si>
  <si>
    <t>Clutches for Women (SWB00019BR, Brown)</t>
  </si>
  <si>
    <t>SA981120</t>
  </si>
  <si>
    <t>SA981181</t>
  </si>
  <si>
    <t>W1315216253</t>
  </si>
  <si>
    <t>GR933AC36XXJ-407181</t>
  </si>
  <si>
    <t>Graco Ready2Grow Chilli Sport 6AC98CPTE Stroller (1913563)</t>
  </si>
  <si>
    <t>SA981211</t>
  </si>
  <si>
    <t>PO044883</t>
  </si>
  <si>
    <t>SA981218</t>
  </si>
  <si>
    <t>W1315351110</t>
  </si>
  <si>
    <t>HU968AT70NSJ-592969</t>
  </si>
  <si>
    <t>SA981220</t>
  </si>
  <si>
    <t>W1315351435</t>
  </si>
  <si>
    <t>HU968AT91NVK-593294</t>
  </si>
  <si>
    <t>Printed Round Neck T-Shirt, Grey</t>
  </si>
  <si>
    <t>SA981221</t>
  </si>
  <si>
    <t>W1315396631</t>
  </si>
  <si>
    <t>KE914AT34ZAZ-640653</t>
  </si>
  <si>
    <t>SA981317</t>
  </si>
  <si>
    <t>SA981335</t>
  </si>
  <si>
    <t>SA981362</t>
  </si>
  <si>
    <t>SA981363</t>
  </si>
  <si>
    <t>SA981422</t>
  </si>
  <si>
    <t>W1315399403</t>
  </si>
  <si>
    <t>SA222AT92CFJ-643322</t>
  </si>
  <si>
    <t>SA981450</t>
  </si>
  <si>
    <t>Burberry Brit for women - 50 ml - EDP</t>
  </si>
  <si>
    <t>SA981519</t>
  </si>
  <si>
    <t>SA981528</t>
  </si>
  <si>
    <t>W1315390894</t>
  </si>
  <si>
    <t>MA096BE82SEF-634636</t>
  </si>
  <si>
    <t>Fit Me Concealer # 25 Medium</t>
  </si>
  <si>
    <t>SA981559</t>
  </si>
  <si>
    <t>SA981561</t>
  </si>
  <si>
    <t>W1315364454</t>
  </si>
  <si>
    <t>ST879AT33SQS-597044</t>
  </si>
  <si>
    <t>Ravishing Ruffle Top, White</t>
  </si>
  <si>
    <t>SA981597</t>
  </si>
  <si>
    <t>W1315121169</t>
  </si>
  <si>
    <t>DI035BE80FVR-36053</t>
  </si>
  <si>
    <t>Diesel Only the Brave for Men - 125 ml - EDT</t>
  </si>
  <si>
    <t>SA981625</t>
  </si>
  <si>
    <t>SA981626</t>
  </si>
  <si>
    <t>SA981627</t>
  </si>
  <si>
    <t>SA981791</t>
  </si>
  <si>
    <t>W1315463868</t>
  </si>
  <si>
    <t>IV186EL77CMO-717912</t>
  </si>
  <si>
    <t>Iview Projector Trolly (Black)</t>
  </si>
  <si>
    <t>PO044918</t>
  </si>
  <si>
    <t>SA981804</t>
  </si>
  <si>
    <t>SA981807</t>
  </si>
  <si>
    <t>W1315389838</t>
  </si>
  <si>
    <t>SO088BE72RDR-633922</t>
  </si>
  <si>
    <t>Pure Natural Bhringraj Oil</t>
  </si>
  <si>
    <t>SA981808</t>
  </si>
  <si>
    <t>SA981813</t>
  </si>
  <si>
    <t>W1315350836</t>
  </si>
  <si>
    <t>HU968AT38MKZ-591621</t>
  </si>
  <si>
    <t>SA981817</t>
  </si>
  <si>
    <t>W1315350952</t>
  </si>
  <si>
    <t>HU968AT09MMC-591737</t>
  </si>
  <si>
    <t>SA981818</t>
  </si>
  <si>
    <t>SA981823</t>
  </si>
  <si>
    <t>W1315485196</t>
  </si>
  <si>
    <t>CA511AC15MMQ-724634</t>
  </si>
  <si>
    <t>Analog-Digital Gold Dial Watch for Women (BGA-160-1BDR)</t>
  </si>
  <si>
    <t>PO044960</t>
  </si>
  <si>
    <t>SA981827</t>
  </si>
  <si>
    <t>SA981831</t>
  </si>
  <si>
    <t>W1315122092</t>
  </si>
  <si>
    <t>MO809BE38HFX-36995</t>
  </si>
  <si>
    <t>Moschino Cheap &amp; Chic for women - 100 ml - EDT</t>
  </si>
  <si>
    <t>SA981885</t>
  </si>
  <si>
    <t>SA981887</t>
  </si>
  <si>
    <t>W1315473472</t>
  </si>
  <si>
    <t>HO801AC92QYX-731493</t>
  </si>
  <si>
    <t>Basic Car Assortment Pack of 3 (K5904, multicolor)</t>
  </si>
  <si>
    <t>SA981888</t>
  </si>
  <si>
    <t>SA981889</t>
  </si>
  <si>
    <t>W1315240162</t>
  </si>
  <si>
    <t>FA020AC25OMO-431692</t>
  </si>
  <si>
    <t>Farlin Squeeze Toy (Green) - TOY-1</t>
  </si>
  <si>
    <t>SA981890</t>
  </si>
  <si>
    <t>W1315240160</t>
  </si>
  <si>
    <t>FA020AC27OMM-431690</t>
  </si>
  <si>
    <t>Farlin Squeeze Toy (Orange) - TOY-45</t>
  </si>
  <si>
    <t>SA981979</t>
  </si>
  <si>
    <t>SA981986</t>
  </si>
  <si>
    <t>SA981987</t>
  </si>
  <si>
    <t>SA981988</t>
  </si>
  <si>
    <t>SA981990</t>
  </si>
  <si>
    <t>SA982018</t>
  </si>
  <si>
    <t>W1315203545</t>
  </si>
  <si>
    <t>CR884AC04KBB-388053</t>
  </si>
  <si>
    <t>Crunchy Fashion Pendant Necklace (Silver) - CFN0466</t>
  </si>
  <si>
    <t>SA982035</t>
  </si>
  <si>
    <t>W1315121758</t>
  </si>
  <si>
    <t>BU784BE82GOV-36551</t>
  </si>
  <si>
    <t>Burberry Body for women - 85 ml - EDP</t>
  </si>
  <si>
    <t>SA982059</t>
  </si>
  <si>
    <t>W1315338429</t>
  </si>
  <si>
    <t>JU688AT09QWO-573049</t>
  </si>
  <si>
    <t>SA982146</t>
  </si>
  <si>
    <t>SA982147</t>
  </si>
  <si>
    <t>SA982151</t>
  </si>
  <si>
    <t>SA982152</t>
  </si>
  <si>
    <t>SA982182</t>
  </si>
  <si>
    <t>SA982200</t>
  </si>
  <si>
    <t>W1315349602</t>
  </si>
  <si>
    <t>HO923AT91KOU-588407</t>
  </si>
  <si>
    <t>Amanda Top, Navy Blue</t>
  </si>
  <si>
    <t>SA982332</t>
  </si>
  <si>
    <t>W1315121966</t>
  </si>
  <si>
    <t>JO434BE75GWU-36758</t>
  </si>
  <si>
    <t>John Richmond Viva Rock for women - 100 ml - EDT</t>
  </si>
  <si>
    <t>SA982340</t>
  </si>
  <si>
    <t>PO044838</t>
  </si>
  <si>
    <t>SA982366</t>
  </si>
  <si>
    <t>W1315301911</t>
  </si>
  <si>
    <t>KA662AT58GOJ-516314</t>
  </si>
  <si>
    <t>PO044836</t>
  </si>
  <si>
    <t>SA982368</t>
  </si>
  <si>
    <t>W1315399891</t>
  </si>
  <si>
    <t>WE564AT15CII-643666</t>
  </si>
  <si>
    <t>SA982414</t>
  </si>
  <si>
    <t>SA982449</t>
  </si>
  <si>
    <t>W1315117188</t>
  </si>
  <si>
    <t>XB395EL26CJL-33707</t>
  </si>
  <si>
    <t>Definitive Edition for XBOX ONE</t>
  </si>
  <si>
    <t>PO044809</t>
  </si>
  <si>
    <t>SA982547</t>
  </si>
  <si>
    <t>W1315391965</t>
  </si>
  <si>
    <t>JB997AC21UQC-636919</t>
  </si>
  <si>
    <t>J6336B for Men (Analog-Chronograph Watch, Gold)</t>
  </si>
  <si>
    <t>SA982567</t>
  </si>
  <si>
    <t>W1315390082</t>
  </si>
  <si>
    <t>NI863BE67QKQ-633427</t>
  </si>
  <si>
    <t>Fruity Shine Lip Balm - Strawberry</t>
  </si>
  <si>
    <t>SA982578</t>
  </si>
  <si>
    <t>W1315473611</t>
  </si>
  <si>
    <t>FI983AC25RFI-731660</t>
  </si>
  <si>
    <t>Laugh and Learn - Grey Smart Stages Laptop (CHP03, Multicolor)</t>
  </si>
  <si>
    <t>SA982601</t>
  </si>
  <si>
    <t>W1315206824</t>
  </si>
  <si>
    <t>JB997AC09LJM-389277</t>
  </si>
  <si>
    <t>JBW Black Dial JB-6225-J Casual Watch For Men</t>
  </si>
  <si>
    <t>SA982654</t>
  </si>
  <si>
    <t>W1315390416</t>
  </si>
  <si>
    <t>LA081BE09QBI-633185</t>
  </si>
  <si>
    <t>9 To 5 Matte Lip Color - Burgundy Business</t>
  </si>
  <si>
    <t>SA982686</t>
  </si>
  <si>
    <t>W1315203574</t>
  </si>
  <si>
    <t>CR884AC11KEQ-388146</t>
  </si>
  <si>
    <t>Crunchy Fashion Pearl Handbag Chain (White) - CFN0160</t>
  </si>
  <si>
    <t>SA982691</t>
  </si>
  <si>
    <t>W1315204045</t>
  </si>
  <si>
    <t>CR884AC38JCR-387419</t>
  </si>
  <si>
    <t>Crunchy Fashion Sparkling Butterfly Necklace (Red &amp; Blue &amp; Green) - CFN0361</t>
  </si>
  <si>
    <t>SA982703</t>
  </si>
  <si>
    <t>W1315510320</t>
  </si>
  <si>
    <t>GU094AC02WDD-736437</t>
  </si>
  <si>
    <t>Analog White Dial Watch for Women (W0826L2)</t>
  </si>
  <si>
    <t>SA982773</t>
  </si>
  <si>
    <t>SA982824</t>
  </si>
  <si>
    <t>SA982878</t>
  </si>
  <si>
    <t>W1315100724</t>
  </si>
  <si>
    <t>CA842EL79LSQ-22454</t>
  </si>
  <si>
    <t>Canon EF 50MM f/1.8 II</t>
  </si>
  <si>
    <t>PO044802</t>
  </si>
  <si>
    <t>SA982965</t>
  </si>
  <si>
    <t>W1315390042</t>
  </si>
  <si>
    <t>AR083BE90PUJ-633004</t>
  </si>
  <si>
    <t>Aloe Vera Sunscreen Gel - 50ml</t>
  </si>
  <si>
    <t>SA982970</t>
  </si>
  <si>
    <t>W1315341009</t>
  </si>
  <si>
    <t>DE788EL79QUU-595693</t>
  </si>
  <si>
    <t>Inspiron 3168-INS-0996-GRY (Intel Celeron, 11.6 inches, 32 GB HDD, Windows 10, Grey)</t>
  </si>
  <si>
    <t>PO044901</t>
  </si>
  <si>
    <t>SA983021</t>
  </si>
  <si>
    <t>SA983028</t>
  </si>
  <si>
    <t>SA983069</t>
  </si>
  <si>
    <t>W1315348677</t>
  </si>
  <si>
    <t>FR924AT77KTE-588810</t>
  </si>
  <si>
    <t>Multi Color Top with Peplum Effect, Multicolor</t>
  </si>
  <si>
    <t>SA983070</t>
  </si>
  <si>
    <t>W1315244585</t>
  </si>
  <si>
    <t>TH106AT67UUI-438998</t>
  </si>
  <si>
    <t>The Vanca Casual Shirt - Peach</t>
  </si>
  <si>
    <t>SA983075</t>
  </si>
  <si>
    <t>W1315245455</t>
  </si>
  <si>
    <t>TH106AT46VCV-439869</t>
  </si>
  <si>
    <t>The Vanca Casual Top - White</t>
  </si>
  <si>
    <t>SA983076</t>
  </si>
  <si>
    <t>W1315396581</t>
  </si>
  <si>
    <t>HU814EL50ZEF-640789</t>
  </si>
  <si>
    <t>Y3 II (8 GB, 4G LTE, White Dual SIM)</t>
  </si>
  <si>
    <t>PO044790</t>
  </si>
  <si>
    <t>SA983146</t>
  </si>
  <si>
    <t>W1315121045</t>
  </si>
  <si>
    <t>CA787BE17GNM-36516</t>
  </si>
  <si>
    <t>Calvin Klein Truth for women - 100 ml - EDP</t>
  </si>
  <si>
    <t>SA983152</t>
  </si>
  <si>
    <t>W1315391420</t>
  </si>
  <si>
    <t>LA412BE42QPL-633552</t>
  </si>
  <si>
    <t>L.A Girl Line Art Matte Eyeliner Pen - Espresso</t>
  </si>
  <si>
    <t>SA983153</t>
  </si>
  <si>
    <t>SA983158</t>
  </si>
  <si>
    <t>SA983169</t>
  </si>
  <si>
    <t>SA983171</t>
  </si>
  <si>
    <t>SA983251</t>
  </si>
  <si>
    <t>W1315238007</t>
  </si>
  <si>
    <t>TH145AT70OSN-431965</t>
  </si>
  <si>
    <t>The Gud Look Lura Printed Maxi Dress</t>
  </si>
  <si>
    <t>SA983262</t>
  </si>
  <si>
    <t>SA983269</t>
  </si>
  <si>
    <t>W1315338427</t>
  </si>
  <si>
    <t>JU688AT09QWO-573047</t>
  </si>
  <si>
    <t>SA983272</t>
  </si>
  <si>
    <t>W1315243909</t>
  </si>
  <si>
    <t>TH106AT71UMM-438052</t>
  </si>
  <si>
    <t>The Vanca Maxi Dress - Peach</t>
  </si>
  <si>
    <t>SA983299</t>
  </si>
  <si>
    <t>W1315389374</t>
  </si>
  <si>
    <t>MA096BE53RXQ-634465</t>
  </si>
  <si>
    <t>The Colossal Volum Express Mascara Washable - 2 Washable Black</t>
  </si>
  <si>
    <t>SA983367</t>
  </si>
  <si>
    <t>SA983339</t>
  </si>
  <si>
    <t>SA983340</t>
  </si>
  <si>
    <t>SA983368</t>
  </si>
  <si>
    <t>SA983369</t>
  </si>
  <si>
    <t>SA983370</t>
  </si>
  <si>
    <t>SA983401</t>
  </si>
  <si>
    <t>SA983476</t>
  </si>
  <si>
    <t>SA983477</t>
  </si>
  <si>
    <t>SA983588</t>
  </si>
  <si>
    <t>SA983593</t>
  </si>
  <si>
    <t>PO044885</t>
  </si>
  <si>
    <t>SA983595</t>
  </si>
  <si>
    <t>W1315172948</t>
  </si>
  <si>
    <t>DI035AC57FQO-354322</t>
  </si>
  <si>
    <t>Diesel Analog Stainless Steel Women's Watch DZ5473</t>
  </si>
  <si>
    <t>SA983638</t>
  </si>
  <si>
    <t>W1315311346</t>
  </si>
  <si>
    <t>FA020AC83JQE-519287</t>
  </si>
  <si>
    <t>Farlin Sterilization Tongs Pink - BF-233</t>
  </si>
  <si>
    <t>SA983661</t>
  </si>
  <si>
    <t>SA983698</t>
  </si>
  <si>
    <t>SA983761</t>
  </si>
  <si>
    <t>W1315255453</t>
  </si>
  <si>
    <t>GU094AC70BPD-446468</t>
  </si>
  <si>
    <t>Guess Sunrise Analog-Chronograph Gold Dial Watch for Women (W0330L2)</t>
  </si>
  <si>
    <t>PO044890</t>
  </si>
  <si>
    <t>SA983780</t>
  </si>
  <si>
    <t>PO044814</t>
  </si>
  <si>
    <t>SA983790</t>
  </si>
  <si>
    <t>SA983809</t>
  </si>
  <si>
    <t>W1315391585</t>
  </si>
  <si>
    <t>NY094BE12SKT-634806</t>
  </si>
  <si>
    <t>Floral Carnival Nail Enamel - Arabian Night Rose 127</t>
  </si>
  <si>
    <t>SA983842</t>
  </si>
  <si>
    <t>SA983851</t>
  </si>
  <si>
    <t>SA983853</t>
  </si>
  <si>
    <t>SA983893</t>
  </si>
  <si>
    <t>SA983929</t>
  </si>
  <si>
    <t>SA983940</t>
  </si>
  <si>
    <t>SA983941</t>
  </si>
  <si>
    <t>SA983948</t>
  </si>
  <si>
    <t>W1315399733</t>
  </si>
  <si>
    <t>WE564AT11CAU-642785</t>
  </si>
  <si>
    <t>Hooded Printed Sweatshirt, Navy</t>
  </si>
  <si>
    <t>SA983983</t>
  </si>
  <si>
    <t>W1315216212</t>
  </si>
  <si>
    <t>GR933AC77XVU-407140</t>
  </si>
  <si>
    <t>Graco PNP Cuddlecove Lx Brompton Cot - 1842962</t>
  </si>
  <si>
    <t>SA983992</t>
  </si>
  <si>
    <t>W1315191946</t>
  </si>
  <si>
    <t>MI534AC79SUA-372643</t>
  </si>
  <si>
    <t>Michael Kors Analog-Chronograph MK5626 Women's Watch</t>
  </si>
  <si>
    <t>SA984083</t>
  </si>
  <si>
    <t>W1315326619</t>
  </si>
  <si>
    <t>CI983AC15AXW-579971</t>
  </si>
  <si>
    <t>AG8357-55A for Men (Analog-Chronograph Watch, Silver)</t>
  </si>
  <si>
    <t>SA984105</t>
  </si>
  <si>
    <t>SA984106</t>
  </si>
  <si>
    <t>Khloe And Lamar Unbreakable Bond for Unisex - 100 ml - EDT</t>
  </si>
  <si>
    <t>SA984107</t>
  </si>
  <si>
    <t>Beyonce Midnight Heat for women - 100 ml - EDP</t>
  </si>
  <si>
    <t>SA984129</t>
  </si>
  <si>
    <t>PO044887</t>
  </si>
  <si>
    <t>SA984143</t>
  </si>
  <si>
    <t>W1315121329</t>
  </si>
  <si>
    <t>GU797BE37HRM-37296</t>
  </si>
  <si>
    <t>GUCCI Envy Me for women - 50 ml - EDT</t>
  </si>
  <si>
    <t>PO044961</t>
  </si>
  <si>
    <t>SA984156</t>
  </si>
  <si>
    <t>SA984157</t>
  </si>
  <si>
    <t>SA984158</t>
  </si>
  <si>
    <t>SA984262</t>
  </si>
  <si>
    <t>SA984321</t>
  </si>
  <si>
    <t>SA984323</t>
  </si>
  <si>
    <t>SA984349</t>
  </si>
  <si>
    <t>W1315338158</t>
  </si>
  <si>
    <t>AP771EL47LIU-562869</t>
  </si>
  <si>
    <t>iPhone 7 Plus (256 GB, 4G LTE, Jet Black, With Facetime)</t>
  </si>
  <si>
    <t>PO044861</t>
  </si>
  <si>
    <t>SA984370</t>
  </si>
  <si>
    <t>SA984415</t>
  </si>
  <si>
    <t>Jaguar Men Evolution for Men - 100 ml - EDT</t>
  </si>
  <si>
    <t>SA984462</t>
  </si>
  <si>
    <t>W1315121495</t>
  </si>
  <si>
    <t>LA282BE48FLJ-35785</t>
  </si>
  <si>
    <t>Lalique Nilang for women - 100 ml - EDP</t>
  </si>
  <si>
    <t>SA984464</t>
  </si>
  <si>
    <t>SA984505</t>
  </si>
  <si>
    <t>W1315401233</t>
  </si>
  <si>
    <t>SA766EL71EAI-645069</t>
  </si>
  <si>
    <t>J1 Mini Prime J106 HD (8 GB, 3G, White, Dual SIM)</t>
  </si>
  <si>
    <t>PO044810</t>
  </si>
  <si>
    <t>SA984573</t>
  </si>
  <si>
    <t>W1315461878</t>
  </si>
  <si>
    <t>SP810EL09WRI-712676</t>
  </si>
  <si>
    <t>Wallet Case for iPhone 7 (042CS20546, Brown)</t>
  </si>
  <si>
    <t>PO044920</t>
  </si>
  <si>
    <t>SA984676</t>
  </si>
  <si>
    <t>SA984678</t>
  </si>
  <si>
    <t>SA984679</t>
  </si>
  <si>
    <t>W1315391552</t>
  </si>
  <si>
    <t>SC724BE11QUM-633683</t>
  </si>
  <si>
    <t>Taft All Weather Shine Gel Wax</t>
  </si>
  <si>
    <t>SA984713</t>
  </si>
  <si>
    <t>W1315390789</t>
  </si>
  <si>
    <t>NY094BE15RVG-634403</t>
  </si>
  <si>
    <t>Top Coat Nail Enamel - Sugar Syrup, No. 105</t>
  </si>
  <si>
    <t>SA984714</t>
  </si>
  <si>
    <t>W1315473478</t>
  </si>
  <si>
    <t>HO801AC86QZD-731499</t>
  </si>
  <si>
    <t>Hot Wheels Playsets/City Theme - Color Shifters Sharkport Show (BGK04, Multicolor)</t>
  </si>
  <si>
    <t>SA984717</t>
  </si>
  <si>
    <t>W1315473302</t>
  </si>
  <si>
    <t>FI983AC63QSI-731322</t>
  </si>
  <si>
    <t>Brilliant Basics Stroll-Along Walker (M9523 Multicolor)</t>
  </si>
  <si>
    <t>SA984738</t>
  </si>
  <si>
    <t>SA984774</t>
  </si>
  <si>
    <t>SA984925</t>
  </si>
  <si>
    <t>W1315438455</t>
  </si>
  <si>
    <t>OR263BE00PZR-689709</t>
  </si>
  <si>
    <t>Organistick Lipstick - Earthy</t>
  </si>
  <si>
    <t>SA984971</t>
  </si>
  <si>
    <t>SA985059</t>
  </si>
  <si>
    <t>PO044789</t>
  </si>
  <si>
    <t>SA985066</t>
  </si>
  <si>
    <t>PO044948</t>
  </si>
  <si>
    <t>SA985085</t>
  </si>
  <si>
    <t>SA985135</t>
  </si>
  <si>
    <t>SA985136</t>
  </si>
  <si>
    <t>W1315249232</t>
  </si>
  <si>
    <t>CA511AC00YBN-508610</t>
  </si>
  <si>
    <t>Edifice EFR-539BK-1AVUDF for Men (Analog-Chronograph Watch Black)</t>
  </si>
  <si>
    <t>SA985139</t>
  </si>
  <si>
    <t>PO044929</t>
  </si>
  <si>
    <t>SA985153</t>
  </si>
  <si>
    <t>W1315187103</t>
  </si>
  <si>
    <t>TH718AT88OXR-368164</t>
  </si>
  <si>
    <t>SA985161</t>
  </si>
  <si>
    <t>W1315436635</t>
  </si>
  <si>
    <t>CO203BE12VHR-693297</t>
  </si>
  <si>
    <t>Colorbar Skin Care Hydra White Anti-spot Serum</t>
  </si>
  <si>
    <t>SA985162</t>
  </si>
  <si>
    <t>W1315436885</t>
  </si>
  <si>
    <t>GA858BE66OWF-688943</t>
  </si>
  <si>
    <t>Garnier Sun Control Daily Moisturiser UVA - SPF 15</t>
  </si>
  <si>
    <t>SA985163</t>
  </si>
  <si>
    <t>W1315390358</t>
  </si>
  <si>
    <t>LO860BE23SOE-634895</t>
  </si>
  <si>
    <t>Age 20+ Skin Perfect Facial Foam</t>
  </si>
  <si>
    <t>SA985222</t>
  </si>
  <si>
    <t>W1315114215</t>
  </si>
  <si>
    <t>JO329EL69XHA-30264</t>
  </si>
  <si>
    <t>Joby Gorillapod SLR-Zoom + Ballhead, Tripods &amp; Monopods (Compatible with DSLRs with Zoom Lenses, Camcorders, Mics, Off-Camera Flashes)</t>
  </si>
  <si>
    <t>PO044869</t>
  </si>
  <si>
    <t>SA985228</t>
  </si>
  <si>
    <t>W1315505851</t>
  </si>
  <si>
    <t>AP771EL46WQV-736793</t>
  </si>
  <si>
    <t>iPhone 7 Special Edition by SWITCH (32 GB, Gold Highlights, Without Facetime)</t>
  </si>
  <si>
    <t>SA985264</t>
  </si>
  <si>
    <t>SA985347</t>
  </si>
  <si>
    <t>W1315436960</t>
  </si>
  <si>
    <t>CO092BE60VRJ-693549</t>
  </si>
  <si>
    <t>Coloressence Satin Eye Shades - Earthly Tone</t>
  </si>
  <si>
    <t>SA985368</t>
  </si>
  <si>
    <t>SA985375</t>
  </si>
  <si>
    <t>SA985392</t>
  </si>
  <si>
    <t>SA985422</t>
  </si>
  <si>
    <t>SA985426</t>
  </si>
  <si>
    <t>W1315240204</t>
  </si>
  <si>
    <t>FA020AC54OPH-431763</t>
  </si>
  <si>
    <t>Farlin Bottle &amp; Nipple Brushes Set - BF-257</t>
  </si>
  <si>
    <t>SA985471</t>
  </si>
  <si>
    <t>W1315146252</t>
  </si>
  <si>
    <t>NO765EL88ZJZ-79829</t>
  </si>
  <si>
    <t>Nokia 105 DS RM-1133 (4 MB, 2G, Cyan, Dual SIM)</t>
  </si>
  <si>
    <t>SA985481</t>
  </si>
  <si>
    <t>W1315237894</t>
  </si>
  <si>
    <t>TH145AT93ORQ-431852</t>
  </si>
  <si>
    <t>The Gud Look Stretch Legging</t>
  </si>
  <si>
    <t>SA985492</t>
  </si>
  <si>
    <t>SA985524</t>
  </si>
  <si>
    <t>SA985585</t>
  </si>
  <si>
    <t>W1315102250</t>
  </si>
  <si>
    <t>CA511EL54BVX-1257</t>
  </si>
  <si>
    <t>Casio Edifice EF-328D-1AVUDF for Men (Analog Watch Silver)</t>
  </si>
  <si>
    <t>PO044888</t>
  </si>
  <si>
    <t>SA985588</t>
  </si>
  <si>
    <t>SA985589</t>
  </si>
  <si>
    <t>SA985598</t>
  </si>
  <si>
    <t>W1315130398</t>
  </si>
  <si>
    <t>CA511AC63YMY-56338</t>
  </si>
  <si>
    <t>Casio Quartz Classic Analog Stainless Steel Women's Watch LTP-1314D-5AV</t>
  </si>
  <si>
    <t>PO045024</t>
  </si>
  <si>
    <t>SA985612</t>
  </si>
  <si>
    <t>W1315434403</t>
  </si>
  <si>
    <t>UL555EL20OET-688101</t>
  </si>
  <si>
    <t>BOOM 2 Bluetooth Waterproof Speakers (Bubbly)</t>
  </si>
  <si>
    <t>PO044924</t>
  </si>
  <si>
    <t>SA985689</t>
  </si>
  <si>
    <t>W1315328634</t>
  </si>
  <si>
    <t>CA511AC41KTQ-561732</t>
  </si>
  <si>
    <t>AE-1000W-1A3VDF for Men (Digital Watch, Black)</t>
  </si>
  <si>
    <t>SA985690</t>
  </si>
  <si>
    <t>SA985691</t>
  </si>
  <si>
    <t>SA985713</t>
  </si>
  <si>
    <t>SA985714</t>
  </si>
  <si>
    <t>W1315105082</t>
  </si>
  <si>
    <t>TI948AC49OSS-24484</t>
  </si>
  <si>
    <t>tissot Tradition T0636373603700</t>
  </si>
  <si>
    <t>PO044957</t>
  </si>
  <si>
    <t>SA985731</t>
  </si>
  <si>
    <t>SA985786</t>
  </si>
  <si>
    <t>SA985887</t>
  </si>
  <si>
    <t>W1315103716</t>
  </si>
  <si>
    <t>CA511AC88OVB-24545</t>
  </si>
  <si>
    <t>Casio MRW-200HC-7BVDF Standard Watch for Men (Analog, White)</t>
  </si>
  <si>
    <t>SA985933</t>
  </si>
  <si>
    <t>W1315339031</t>
  </si>
  <si>
    <t>AP771EL44QZB-573176</t>
  </si>
  <si>
    <t>Watch Series 2 42mm Space Black Stainless Steel Case with Black Sport Band (MP4A2)</t>
  </si>
  <si>
    <t>PO044991</t>
  </si>
  <si>
    <t>SA985934</t>
  </si>
  <si>
    <t>W1315154267</t>
  </si>
  <si>
    <t>SA766EL65NAS-98170</t>
  </si>
  <si>
    <t>Samsung Galaxy Tab 3 Lite T116 (3G, 7 inches, 8 GB) - White</t>
  </si>
  <si>
    <t>PO044862</t>
  </si>
  <si>
    <t>SA985945</t>
  </si>
  <si>
    <t>SA985949</t>
  </si>
  <si>
    <t>PO045001</t>
  </si>
  <si>
    <t>SA985954</t>
  </si>
  <si>
    <t>PO044934</t>
  </si>
  <si>
    <t>SA985959</t>
  </si>
  <si>
    <t>SA986008</t>
  </si>
  <si>
    <t>W1315435029</t>
  </si>
  <si>
    <t>NY144BE03UOU-692806</t>
  </si>
  <si>
    <t>NYX Soft Matte Lip Cream - Copenhagen</t>
  </si>
  <si>
    <t>SA986009</t>
  </si>
  <si>
    <t>SA986010</t>
  </si>
  <si>
    <t>SA986012</t>
  </si>
  <si>
    <t>W1315391188</t>
  </si>
  <si>
    <t>LA412BE56QHF-633338</t>
  </si>
  <si>
    <t>Matte Flat Finish Pigment Gloss - Secret</t>
  </si>
  <si>
    <t>SA986014</t>
  </si>
  <si>
    <t>SA986023</t>
  </si>
  <si>
    <t>SA986029</t>
  </si>
  <si>
    <t>SA986030</t>
  </si>
  <si>
    <t>SA986062</t>
  </si>
  <si>
    <t>W1315485168</t>
  </si>
  <si>
    <t>CA511AC45MLM-724604</t>
  </si>
  <si>
    <t>Analog-Digital Black Dial Watch for Men (AW-591BB-1ADR)</t>
  </si>
  <si>
    <t>SA986078</t>
  </si>
  <si>
    <t>W1315391601</t>
  </si>
  <si>
    <t>NE157BE99SDO-634619</t>
  </si>
  <si>
    <t>UltraSheer Dry Touch Sunblock SPF 50+</t>
  </si>
  <si>
    <t>SA986112</t>
  </si>
  <si>
    <t>SA986113</t>
  </si>
  <si>
    <t>SA986121</t>
  </si>
  <si>
    <t>PO044919</t>
  </si>
  <si>
    <t>SA986135</t>
  </si>
  <si>
    <t>SA986138</t>
  </si>
  <si>
    <t>SA986141</t>
  </si>
  <si>
    <t>W1315293731</t>
  </si>
  <si>
    <t>FI498EL48SJN-499782</t>
  </si>
  <si>
    <t>Fitbit Blaze Smart Fitness Watch</t>
  </si>
  <si>
    <t>PO044965</t>
  </si>
  <si>
    <t>SA986142</t>
  </si>
  <si>
    <t>SA986143</t>
  </si>
  <si>
    <t>SA986194</t>
  </si>
  <si>
    <t>W1315105197</t>
  </si>
  <si>
    <t>GU798AC01PCG-24732</t>
  </si>
  <si>
    <t>Guerlain Idylle for Women - 100 ml - EDP</t>
  </si>
  <si>
    <t>SA986206</t>
  </si>
  <si>
    <t>W1315100321</t>
  </si>
  <si>
    <t>ES795BE10ADL-89</t>
  </si>
  <si>
    <t>Estee Lauder Pleasures for Women - 100 ml - EDP</t>
  </si>
  <si>
    <t>PO045031</t>
  </si>
  <si>
    <t>SA986235</t>
  </si>
  <si>
    <t>SA986261</t>
  </si>
  <si>
    <t>SA986262</t>
  </si>
  <si>
    <t>SA986266</t>
  </si>
  <si>
    <t>W1315370200</t>
  </si>
  <si>
    <t>CA511AC83BLO-604402</t>
  </si>
  <si>
    <t>LQ-142LB-4A2DF for Women (Analog Watch, Pink)</t>
  </si>
  <si>
    <t>SA986271</t>
  </si>
  <si>
    <t>W1315268524</t>
  </si>
  <si>
    <t>LE769EL75WPC-469412</t>
  </si>
  <si>
    <t>Ideapad 80R2001JAX-B+A3300 (Intel Atom, 11.6 inches, 32 GB HDD, Windows 10, Blue)</t>
  </si>
  <si>
    <t>SA986272</t>
  </si>
  <si>
    <t>W1315396585</t>
  </si>
  <si>
    <t>HU814EL46ZEJ-640793</t>
  </si>
  <si>
    <t>Y5 II (8 GB, 4G LTE, Gold Dual SIM)</t>
  </si>
  <si>
    <t>SA986298</t>
  </si>
  <si>
    <t>SA986300</t>
  </si>
  <si>
    <t>W1315326774</t>
  </si>
  <si>
    <t>CI983AC61BLM-580325</t>
  </si>
  <si>
    <t>BF2013-05P for Men (Analog Watch, Browns)</t>
  </si>
  <si>
    <t>SA986306</t>
  </si>
  <si>
    <t>SA986307</t>
  </si>
  <si>
    <t>SA986308</t>
  </si>
  <si>
    <t>SA986398</t>
  </si>
  <si>
    <t>SA986399</t>
  </si>
  <si>
    <t>SA986400</t>
  </si>
  <si>
    <t>SA986406</t>
  </si>
  <si>
    <t>PO044975</t>
  </si>
  <si>
    <t>SA986407</t>
  </si>
  <si>
    <t>SA986414</t>
  </si>
  <si>
    <t>SA986415</t>
  </si>
  <si>
    <t>SA986485</t>
  </si>
  <si>
    <t>SA986537</t>
  </si>
  <si>
    <t>W1315374179</t>
  </si>
  <si>
    <t>CA511AC46DWN-611593</t>
  </si>
  <si>
    <t>MW-240-1BVDF for Men (Analog Watch, Black)</t>
  </si>
  <si>
    <t>SA986540</t>
  </si>
  <si>
    <t>W1315131889</t>
  </si>
  <si>
    <t>KA662AT17IAW-63230</t>
  </si>
  <si>
    <t>Kal Jacobs Blue Cotton and Elastane Classic Polo T Shirt</t>
  </si>
  <si>
    <t>PO044952</t>
  </si>
  <si>
    <t>SA986547</t>
  </si>
  <si>
    <t>PO044954</t>
  </si>
  <si>
    <t>SA986593</t>
  </si>
  <si>
    <t>SA986641</t>
  </si>
  <si>
    <t>W1315326400</t>
  </si>
  <si>
    <t>GU094AC25WDM-530300</t>
  </si>
  <si>
    <t>Analog Blue Watch for Women (W0836L1)</t>
  </si>
  <si>
    <t>SA986643</t>
  </si>
  <si>
    <t>PO044938</t>
  </si>
  <si>
    <t>SA986657</t>
  </si>
  <si>
    <t>SA986713</t>
  </si>
  <si>
    <t>W1315102399</t>
  </si>
  <si>
    <t>RA736AC10BEJ-788</t>
  </si>
  <si>
    <t>Ray Ban RB3447 Round Grey Green Unisex Sunglasses - RB3447-001-50</t>
  </si>
  <si>
    <t>PO044953</t>
  </si>
  <si>
    <t>SA986801</t>
  </si>
  <si>
    <t>PO044940</t>
  </si>
  <si>
    <t>SA986812</t>
  </si>
  <si>
    <t>W1315359689</t>
  </si>
  <si>
    <t>FA020AC01UEK-599004</t>
  </si>
  <si>
    <t>Farlin Floss Toothpick 100 Pcs (BF-116-3, White)</t>
  </si>
  <si>
    <t>SA986813</t>
  </si>
  <si>
    <t>W1315311426</t>
  </si>
  <si>
    <t>GR933AC63SWI-574509</t>
  </si>
  <si>
    <t>Graco Travel System Evo Stroller (Black)</t>
  </si>
  <si>
    <t>SA986830</t>
  </si>
  <si>
    <t>W1315243912</t>
  </si>
  <si>
    <t>TH106AT71UMM-438055</t>
  </si>
  <si>
    <t>SA986837</t>
  </si>
  <si>
    <t>W1315390211</t>
  </si>
  <si>
    <t>BB090BE29PWS-633065</t>
  </si>
  <si>
    <t>Blown Away, Volumizing Leave-In Spray</t>
  </si>
  <si>
    <t>SA986841</t>
  </si>
  <si>
    <t>W1315399751</t>
  </si>
  <si>
    <t>WE564AT07CAY-642803</t>
  </si>
  <si>
    <t>SA986843</t>
  </si>
  <si>
    <t>W1315390215</t>
  </si>
  <si>
    <t>BB090BE11RRO-634307</t>
  </si>
  <si>
    <t>One Night Stand Temporary Hair Colour, Copper</t>
  </si>
  <si>
    <t>SA986855</t>
  </si>
  <si>
    <t>SA986894</t>
  </si>
  <si>
    <t>SA986905</t>
  </si>
  <si>
    <t>SA986937</t>
  </si>
  <si>
    <t>W1315370779</t>
  </si>
  <si>
    <t>HP795EL08BGT-604277</t>
  </si>
  <si>
    <t>Pavilion x360 13-u100nl (Intel Core i3, 13.3 inches, 500 GB HDD, Windows 10, Gold)</t>
  </si>
  <si>
    <t>SA986941</t>
  </si>
  <si>
    <t>SA987138</t>
  </si>
  <si>
    <t>SA987142</t>
  </si>
  <si>
    <t>SA987151</t>
  </si>
  <si>
    <t>SA987155</t>
  </si>
  <si>
    <t>W1315249221</t>
  </si>
  <si>
    <t>CA511AC10YBD-508600</t>
  </si>
  <si>
    <t>Edifice EFR-534BKG-1AVDF for Men (Analog-Chronograph Watch Black)</t>
  </si>
  <si>
    <t>SA987158</t>
  </si>
  <si>
    <t>SA987172</t>
  </si>
  <si>
    <t>SA987174</t>
  </si>
  <si>
    <t>SA987175</t>
  </si>
  <si>
    <t>SA987176</t>
  </si>
  <si>
    <t>SA987177</t>
  </si>
  <si>
    <t>SA987238</t>
  </si>
  <si>
    <t>W1315318577</t>
  </si>
  <si>
    <t>FE270AC46OAB-570575</t>
  </si>
  <si>
    <t>Cat Eye Sunglasses for Women (FN-0136/S-NY151HD)</t>
  </si>
  <si>
    <t>SA987313</t>
  </si>
  <si>
    <t>SA987360</t>
  </si>
  <si>
    <t>SA987361</t>
  </si>
  <si>
    <t>W1315390127</t>
  </si>
  <si>
    <t>AR089BE33RFE-633961</t>
  </si>
  <si>
    <t>Lavender Pure Essential Oil</t>
  </si>
  <si>
    <t>SA987376</t>
  </si>
  <si>
    <t>SA987408</t>
  </si>
  <si>
    <t>Roberto Cavalli Just Cavalli for men - 50 ml - EDT</t>
  </si>
  <si>
    <t>SA987506</t>
  </si>
  <si>
    <t>SA987550</t>
  </si>
  <si>
    <t>W1315391073</t>
  </si>
  <si>
    <t>LO860BE14RZD-634504</t>
  </si>
  <si>
    <t>Mat Magique All-In-One Pressed Powder N2 Nude Vanilla</t>
  </si>
  <si>
    <t>SA987552</t>
  </si>
  <si>
    <t>W1315390680</t>
  </si>
  <si>
    <t>MA096BE46QLL-633448</t>
  </si>
  <si>
    <t>Fashion Brow Duo Shaper - Brown</t>
  </si>
  <si>
    <t>SA987648</t>
  </si>
  <si>
    <t>SA987672</t>
  </si>
  <si>
    <t>SA987687</t>
  </si>
  <si>
    <t>W1315120999</t>
  </si>
  <si>
    <t>BV737BE40GMP-36493</t>
  </si>
  <si>
    <t>Bvlgari Rose Essentielle for women (EDP, 50 ml)</t>
  </si>
  <si>
    <t>SA987695</t>
  </si>
  <si>
    <t>SA987702</t>
  </si>
  <si>
    <t>SA987709</t>
  </si>
  <si>
    <t>W1315122172</t>
  </si>
  <si>
    <t>TE972BE47GUA-36686</t>
  </si>
  <si>
    <t>Ted Lapidus Creation for women - 100 ml - EDT</t>
  </si>
  <si>
    <t>SA987735</t>
  </si>
  <si>
    <t>SA987740</t>
  </si>
  <si>
    <t>SA987751</t>
  </si>
  <si>
    <t>W1315408917</t>
  </si>
  <si>
    <t>MU172AT36VJR-663834</t>
  </si>
  <si>
    <t>Coat, Multicolor</t>
  </si>
  <si>
    <t>SA987752</t>
  </si>
  <si>
    <t>W1315406695</t>
  </si>
  <si>
    <t>MU172AT19URC-662663</t>
  </si>
  <si>
    <t>Coat, White</t>
  </si>
  <si>
    <t>SA987781</t>
  </si>
  <si>
    <t>SA987787</t>
  </si>
  <si>
    <t>SA987808</t>
  </si>
  <si>
    <t>SA987836</t>
  </si>
  <si>
    <t>W1315393165</t>
  </si>
  <si>
    <t>AL775EL33XOO-639189</t>
  </si>
  <si>
    <t>1054D (4 MB, 2G, GSM, Grey, Dual SIM)</t>
  </si>
  <si>
    <t>SA987847</t>
  </si>
  <si>
    <t>W1315130732</t>
  </si>
  <si>
    <t>CA511AC11ABK-57390</t>
  </si>
  <si>
    <t>Casio Enticer (Analog, MW-59-1EVDF, Men)</t>
  </si>
  <si>
    <t>SA987908</t>
  </si>
  <si>
    <t>SA987913</t>
  </si>
  <si>
    <t>W1315121914</t>
  </si>
  <si>
    <t>HE078BE69GHQ-36364</t>
  </si>
  <si>
    <t>Hermes Terre D' Hermes for Men - 100 ml - EDT</t>
  </si>
  <si>
    <t>SA987927</t>
  </si>
  <si>
    <t>PO045028</t>
  </si>
  <si>
    <t>SA987948</t>
  </si>
  <si>
    <t>SA987963</t>
  </si>
  <si>
    <t>SA987964</t>
  </si>
  <si>
    <t>W1315311341</t>
  </si>
  <si>
    <t>FA020AC88JPZ-519282</t>
  </si>
  <si>
    <t>Farlin Feeding Bottle 250CC Clear - NF-767 (H1)</t>
  </si>
  <si>
    <t>SA987965</t>
  </si>
  <si>
    <t>SA987997</t>
  </si>
  <si>
    <t>SA988065</t>
  </si>
  <si>
    <t>W1315349518</t>
  </si>
  <si>
    <t>HO923AT10KOB-588323</t>
  </si>
  <si>
    <t>Janifer Dress, Pink</t>
  </si>
  <si>
    <t>SA988092</t>
  </si>
  <si>
    <t>SA988136</t>
  </si>
  <si>
    <t>SA988188</t>
  </si>
  <si>
    <t>SA988201</t>
  </si>
  <si>
    <t>W1315107920</t>
  </si>
  <si>
    <t>IT236EL89TCO-27444</t>
  </si>
  <si>
    <t>Itech My Voice 315m</t>
  </si>
  <si>
    <t>PO044973</t>
  </si>
  <si>
    <t>SA988238</t>
  </si>
  <si>
    <t>SA988249</t>
  </si>
  <si>
    <t>SA988281</t>
  </si>
  <si>
    <t>W1315114298</t>
  </si>
  <si>
    <t>SE330EL82XOF-30451</t>
  </si>
  <si>
    <t>Sevenoak Steadycam Pro-Small Size SK-SW03, Tripods &amp; Monopods (Compatible with Digital Cameras)</t>
  </si>
  <si>
    <t>PO044899</t>
  </si>
  <si>
    <t>SA988291</t>
  </si>
  <si>
    <t>W1315373953</t>
  </si>
  <si>
    <t>CA511AC34DHP-611205</t>
  </si>
  <si>
    <t>AW-49HE-7AVDF for Men (Analog-Digital Watch, Black)</t>
  </si>
  <si>
    <t>SA988327</t>
  </si>
  <si>
    <t>W1315301719</t>
  </si>
  <si>
    <t>KA662AT81GNM-516122</t>
  </si>
  <si>
    <t>Regular Fit White Pinpoint Oxford Cotton Shirt</t>
  </si>
  <si>
    <t>SA986616</t>
  </si>
  <si>
    <t>W1315138399</t>
  </si>
  <si>
    <t>NO765EL72IOD-63848</t>
  </si>
  <si>
    <t>130 DS RM-1035 (2G, 1.8 inches, Dual Sim) - Black</t>
  </si>
  <si>
    <t>PO045000</t>
  </si>
  <si>
    <t>SA988361</t>
  </si>
  <si>
    <t>SA988375</t>
  </si>
  <si>
    <t>SA988428</t>
  </si>
  <si>
    <t>PO044980</t>
  </si>
  <si>
    <t>SA988475</t>
  </si>
  <si>
    <t>SA988491</t>
  </si>
  <si>
    <t>SA988503</t>
  </si>
  <si>
    <t>SA988653</t>
  </si>
  <si>
    <t>SA988675</t>
  </si>
  <si>
    <t>SA988703</t>
  </si>
  <si>
    <t>W1315316044</t>
  </si>
  <si>
    <t>WE564AT71OCA-522666</t>
  </si>
  <si>
    <t>Men's Plain Polo Neck T-Shirt, Maroon</t>
  </si>
  <si>
    <t>SA988705</t>
  </si>
  <si>
    <t>W1315316052</t>
  </si>
  <si>
    <t>WE564AT69OCC-522674</t>
  </si>
  <si>
    <t>Men's Plain Polo Neck T-Shirt, Grey</t>
  </si>
  <si>
    <t>SA988719</t>
  </si>
  <si>
    <t>SA988788</t>
  </si>
  <si>
    <t>SA988789</t>
  </si>
  <si>
    <t>W1315390548</t>
  </si>
  <si>
    <t>MA096BE46POJ-632848</t>
  </si>
  <si>
    <t>Baby Lips Spiced Up - Berry Sherbet</t>
  </si>
  <si>
    <t>SA988790</t>
  </si>
  <si>
    <t>W1315389505</t>
  </si>
  <si>
    <t>MA096BE18PXD-633076</t>
  </si>
  <si>
    <t>Baby Lips Color Balm - Pink Lolita</t>
  </si>
  <si>
    <t>SA988803</t>
  </si>
  <si>
    <t>W1315204464</t>
  </si>
  <si>
    <t>RO885AC42JRX-387815</t>
  </si>
  <si>
    <t>Royal Bling Esoteric Fushia multi chain Jewel Set (Gold) - RBS0002</t>
  </si>
  <si>
    <t>SA988804</t>
  </si>
  <si>
    <t>W1315204581</t>
  </si>
  <si>
    <t>RO885AC20JWP-387937</t>
  </si>
  <si>
    <t>Royal Bling Milky Charm Precious Jewel Set (Gold) - RAS0016</t>
  </si>
  <si>
    <t>SA988806</t>
  </si>
  <si>
    <t>SA988848</t>
  </si>
  <si>
    <t>SA988862</t>
  </si>
  <si>
    <t>W1315393166</t>
  </si>
  <si>
    <t>AL775EL32XOP-639190</t>
  </si>
  <si>
    <t>1054D (4 MB, 2G, GSM, White, Dual SIM)</t>
  </si>
  <si>
    <t>SA988882</t>
  </si>
  <si>
    <t>W1315194455</t>
  </si>
  <si>
    <t>AS777EL47WBW-374937</t>
  </si>
  <si>
    <t>ZenFone 2 ZE551ML (64 GB, 4G , Dual SIM)</t>
  </si>
  <si>
    <t>PO044968</t>
  </si>
  <si>
    <t>SA988931</t>
  </si>
  <si>
    <t>W1315400626</t>
  </si>
  <si>
    <t>CI983AC56EUD-645902</t>
  </si>
  <si>
    <t>AU1077-83H for Men (Analog Watch, Black)</t>
  </si>
  <si>
    <t>SA988932</t>
  </si>
  <si>
    <t>W1315400770</t>
  </si>
  <si>
    <t>CI983AC16EGH-645222</t>
  </si>
  <si>
    <t>BH1671-04E for Men (Analog Watch, Black)</t>
  </si>
  <si>
    <t>SA988937</t>
  </si>
  <si>
    <t>W1315121087</t>
  </si>
  <si>
    <t>CH269BE13FIW-35720</t>
  </si>
  <si>
    <t>Chanel Coco for women - 100 ml - EDT</t>
  </si>
  <si>
    <t>SA988751</t>
  </si>
  <si>
    <t>W1315454543</t>
  </si>
  <si>
    <t>CA511AC51DGU-718449</t>
  </si>
  <si>
    <t>Casio Analog Pink Dial Watch for Women (LTP-1165A-4CDF)</t>
  </si>
  <si>
    <t>SA989026</t>
  </si>
  <si>
    <t>W1315154992</t>
  </si>
  <si>
    <t>AP771EL73NEG-98262</t>
  </si>
  <si>
    <t>Apple iPhone 6s Plus 64 GB, Space gray</t>
  </si>
  <si>
    <t>SA989027</t>
  </si>
  <si>
    <t>SA989031</t>
  </si>
  <si>
    <t>W1315258545</t>
  </si>
  <si>
    <t>HT767EL56HBZ-453292</t>
  </si>
  <si>
    <t>Desire 828 (16 GB, 4G LTE, Grey/Rose Gold Dual SIM)</t>
  </si>
  <si>
    <t>SA989061</t>
  </si>
  <si>
    <t>SA989062</t>
  </si>
  <si>
    <t>SA989078</t>
  </si>
  <si>
    <t>SA989189</t>
  </si>
  <si>
    <t>W1315399004</t>
  </si>
  <si>
    <t>AU677EL99CIY-643700</t>
  </si>
  <si>
    <t>Portable Speaker (REX-10, Black)</t>
  </si>
  <si>
    <t>PO045004</t>
  </si>
  <si>
    <t>SA989216</t>
  </si>
  <si>
    <t>SA989229</t>
  </si>
  <si>
    <t>W1315293646</t>
  </si>
  <si>
    <t>RT312AC75TNG-501042</t>
  </si>
  <si>
    <t>Wallet for Men (RTWBRW 001, Brown)</t>
  </si>
  <si>
    <t>PO045022</t>
  </si>
  <si>
    <t>SA989263</t>
  </si>
  <si>
    <t>W1315103608</t>
  </si>
  <si>
    <t>CA511AC38QNH-25695</t>
  </si>
  <si>
    <t>Casio Youth Series AW-80V-3BVDF</t>
  </si>
  <si>
    <t>SA989281</t>
  </si>
  <si>
    <t>SA989288</t>
  </si>
  <si>
    <t>W1315165810</t>
  </si>
  <si>
    <t>BL770EL32LEX-140527</t>
  </si>
  <si>
    <t>Blackberry Torch 9810 (8 GB, 3G Wifi, Grey, Arabic Keypad)</t>
  </si>
  <si>
    <t>PO044995</t>
  </si>
  <si>
    <t>SA989289</t>
  </si>
  <si>
    <t>SA989290</t>
  </si>
  <si>
    <t>SA989291</t>
  </si>
  <si>
    <t>W1315165806</t>
  </si>
  <si>
    <t>BL770EL36LET-140523</t>
  </si>
  <si>
    <t>Blackberry Torch 9810 (8 GB, 3G Wifi, Black, Arabic Keypad)</t>
  </si>
  <si>
    <t>SA989292</t>
  </si>
  <si>
    <t>SA989293</t>
  </si>
  <si>
    <t>SA989299</t>
  </si>
  <si>
    <t>SA989323</t>
  </si>
  <si>
    <t>W1315204317</t>
  </si>
  <si>
    <t>CR884AC67JNC-387690</t>
  </si>
  <si>
    <t>Crunchy Fashion Madly in Love Pendant Necklace (Gold) - CFN0453</t>
  </si>
  <si>
    <t>SA989338</t>
  </si>
  <si>
    <t>W1315102406</t>
  </si>
  <si>
    <t>RA736AC04BEP-794</t>
  </si>
  <si>
    <t>Ray Ban RB4125-601 Aviator Grey Shaded Unisex Sunglasses - RB4125-601/32-59</t>
  </si>
  <si>
    <t>PO045030</t>
  </si>
  <si>
    <t>SA989353</t>
  </si>
  <si>
    <t>W1315421625</t>
  </si>
  <si>
    <t>LE769EL24NCT-656147</t>
  </si>
  <si>
    <t>A6020 (16 GB, 4G LTE, Silver Dual SIM)</t>
  </si>
  <si>
    <t>SA989361</t>
  </si>
  <si>
    <t>W1315390180</t>
  </si>
  <si>
    <t>LO860BE52SFJ-634666</t>
  </si>
  <si>
    <t>Voluminous Butterfly Waterproof Mascara</t>
  </si>
  <si>
    <t>SA989362</t>
  </si>
  <si>
    <t>W1315390695</t>
  </si>
  <si>
    <t>RE065BE21SSC-634997</t>
  </si>
  <si>
    <t>Nail Enamel - Matt Top Coat</t>
  </si>
  <si>
    <t>SA989371</t>
  </si>
  <si>
    <t>SA989373</t>
  </si>
  <si>
    <t>W1315337511</t>
  </si>
  <si>
    <t>AU677EL46OLP-571134</t>
  </si>
  <si>
    <t>Glance Speakers (G-5, Black)</t>
  </si>
  <si>
    <t>SA989375</t>
  </si>
  <si>
    <t>PO045025</t>
  </si>
  <si>
    <t>SA989376</t>
  </si>
  <si>
    <t>SA989390</t>
  </si>
  <si>
    <t>PO044985</t>
  </si>
  <si>
    <t>SA989429</t>
  </si>
  <si>
    <t>W1315149293</t>
  </si>
  <si>
    <t>VI802AC99CIM-82831</t>
  </si>
  <si>
    <t>Viva New York Briefcase Soft Bag (Size: 39X9X29.5cm, Colour: Black) - NY-1001</t>
  </si>
  <si>
    <t>SA989444</t>
  </si>
  <si>
    <t>SA989446</t>
  </si>
  <si>
    <t>SA989448</t>
  </si>
  <si>
    <t>SA989451</t>
  </si>
  <si>
    <t>W1315240214</t>
  </si>
  <si>
    <t>FA020AC94ONT-431723</t>
  </si>
  <si>
    <t>Farlin Fish Shaped Nail Cutter - BF-160D</t>
  </si>
  <si>
    <t>SA989452</t>
  </si>
  <si>
    <t>SA989453</t>
  </si>
  <si>
    <t>SA989614</t>
  </si>
  <si>
    <t>W1315327321</t>
  </si>
  <si>
    <t>CA511AC77WFI-530370</t>
  </si>
  <si>
    <t>His &amp; Her Watch Set MTP V004G -9B + LTP V004G -9B (Analog Watch, Gold)</t>
  </si>
  <si>
    <t>PO045013,PO045012,PO044914,PO044814,PO044940,PO044995</t>
  </si>
  <si>
    <t>PO044388,PO044363,PO044394,PO044442,PO044481,PO044587,UPO011814,PO045015,PO045021,PO044785,PO044861,PO044991,PO044938</t>
  </si>
  <si>
    <t>PO044254,PO044580</t>
  </si>
  <si>
    <t>PO043750,PO044264,PO044322,PO044617,UPO011868,PO044987,PO044892,PO045006,PO044775,PO044821,PO044848</t>
  </si>
  <si>
    <t>PO044660,PO044764,PO045001,PO044954</t>
  </si>
  <si>
    <t>PO044383,PO044559,PO044634,UPO011854,UPO011820,PO044833,PO044951,PO044680,PO044887,PO045028</t>
  </si>
  <si>
    <t>PO044562,PO045004</t>
  </si>
  <si>
    <t>UPO011833,UPO011852,PO044809</t>
  </si>
  <si>
    <t>PO044573,UPO011813,PO044869,PO044899</t>
  </si>
  <si>
    <t>UPO011757,UPO011708,UPO011571,PO042940,PO043441,PO043078,PO043284,PO043127,PO043203,PO043321,PO043389,PO043597,PO043510,PO043914,PO043767,PO043822,PO043703,PO044029,PO043792,PO043891,PO044242,PO044130,PO044183,PO044191,PO044313,PO044367,PO044429,PO044500,PO044564,UPO011861,UPO011790,PO044697,PO044978</t>
  </si>
  <si>
    <t>PO044378,PO045018</t>
  </si>
  <si>
    <t>UPO011654,PO044317,UPO011840,PO044838,PO044953,PO045030</t>
  </si>
  <si>
    <t>PO044477,PO044777,PO044810,PO044862,PO044968</t>
  </si>
  <si>
    <t>PO043159,PO044009,PO044277,PO044484,UPO011856,PO044734,PO044852,PO044957</t>
  </si>
  <si>
    <t>UPO011866,PO045009,PO044789,PO045000</t>
  </si>
  <si>
    <t>PO044641,PO044883,PO045024</t>
  </si>
  <si>
    <t>UPO011691,UPO011870,UPO011857,PO044683,PO044961,PO045031</t>
  </si>
  <si>
    <t>PO044087,PO044960</t>
  </si>
  <si>
    <t>PO044875,PO044929,PO044985</t>
  </si>
  <si>
    <t>UPO011869,PO045029,PO044681,PO044855,PO044890</t>
  </si>
  <si>
    <t>PO042310,PO044922</t>
  </si>
  <si>
    <t>PO044364,PO044769,PO044696,PO044934</t>
  </si>
  <si>
    <t>UPO011809,PO044858,PO044790,PO044975</t>
  </si>
  <si>
    <t>UPO011865,PO044870,PO044901</t>
  </si>
  <si>
    <t>PO044557,PO044482,PO044830,PO044885,PO044948,PO045025</t>
  </si>
  <si>
    <t>UPO011863,PO045011,PO045014,PO044969</t>
  </si>
  <si>
    <t>PO044725,PO044802</t>
  </si>
  <si>
    <t>PO044550,PO044727,PO044942</t>
  </si>
  <si>
    <t>PO044919,PO044980</t>
  </si>
  <si>
    <t>PO044836,PO044952</t>
  </si>
  <si>
    <t>PO044635,PO044959,PO044888</t>
  </si>
  <si>
    <t>HOS1-SA983780</t>
  </si>
  <si>
    <t>HOS1-SA986801</t>
  </si>
  <si>
    <t>HOS1-SA960474</t>
  </si>
  <si>
    <t>HOS1-SA961314</t>
  </si>
  <si>
    <t>HOS1-SA961538</t>
  </si>
  <si>
    <t>HOS1-SA961815</t>
  </si>
  <si>
    <t>HOS1-SA962132</t>
  </si>
  <si>
    <t>HOS1-SA966632</t>
  </si>
  <si>
    <t>HOS1-SA969984</t>
  </si>
  <si>
    <t>HOS1-SA971329</t>
  </si>
  <si>
    <t>HOS1-SA973373</t>
  </si>
  <si>
    <t>HOS1-SA971397</t>
  </si>
  <si>
    <t>HOS1-SA980585</t>
  </si>
  <si>
    <t>HOS1-SA989288</t>
  </si>
  <si>
    <t>HOS1-SA989289</t>
  </si>
  <si>
    <t>HOS1-SA989290</t>
  </si>
  <si>
    <t>HOS1-SA989291</t>
  </si>
  <si>
    <t>HOS1-SA989292</t>
  </si>
  <si>
    <t>HOS1-SA989293</t>
  </si>
  <si>
    <t>HOS2-SA960387</t>
  </si>
  <si>
    <t>HOS2-SA960423</t>
  </si>
  <si>
    <t>HOS2-SA965230</t>
  </si>
  <si>
    <t>HOS2-SA968327</t>
  </si>
  <si>
    <t>HOS2-SA972673</t>
  </si>
  <si>
    <t>HOS2-SA970998</t>
  </si>
  <si>
    <t>HOS2-SA971412</t>
  </si>
  <si>
    <t>HOS2-SA960773</t>
  </si>
  <si>
    <t>HOS2-SA977410</t>
  </si>
  <si>
    <t>HOS2-SA962708</t>
  </si>
  <si>
    <t>HOS2-SA969580</t>
  </si>
  <si>
    <t>HOS2-SA969581</t>
  </si>
  <si>
    <t>HOS2-SA989299</t>
  </si>
  <si>
    <t>HOS2-SA974500</t>
  </si>
  <si>
    <t>HOS2-SA971761</t>
  </si>
  <si>
    <t>HOS2-SA989061</t>
  </si>
  <si>
    <t>HOS2-SA989062</t>
  </si>
  <si>
    <t>HOS2-AE61896</t>
  </si>
  <si>
    <t>HOS2-AE61894</t>
  </si>
  <si>
    <t>HOS2-SA961524</t>
  </si>
  <si>
    <t>HOS2-SA961692</t>
  </si>
  <si>
    <t>HOS2-SA968770</t>
  </si>
  <si>
    <t>HOS2-SA969545</t>
  </si>
  <si>
    <t>HOS2-SA979023</t>
  </si>
  <si>
    <t>HOS2-SA980036</t>
  </si>
  <si>
    <t>HOS2-SA984349</t>
  </si>
  <si>
    <t>HOS2-SA984774</t>
  </si>
  <si>
    <t>HOS2-SA985492</t>
  </si>
  <si>
    <t>HOS2-SA986643</t>
  </si>
  <si>
    <t>HOS2-SA985933</t>
  </si>
  <si>
    <t>HOS2-SA988751</t>
  </si>
  <si>
    <t>HOS2-SA989026</t>
  </si>
  <si>
    <t>HOS2-SA989263</t>
  </si>
  <si>
    <t>HOS2-SA989614</t>
  </si>
  <si>
    <t>HOS3-SA958244</t>
  </si>
  <si>
    <t>HOS3-SA975218</t>
  </si>
  <si>
    <t>HOS4-SA935680</t>
  </si>
  <si>
    <t>HOS4-SA958927</t>
  </si>
  <si>
    <t>HOS4-SA974943</t>
  </si>
  <si>
    <t>HOS4-SA975150</t>
  </si>
  <si>
    <t>HOS4-SA975639</t>
  </si>
  <si>
    <t>HOS4-SA974880</t>
  </si>
  <si>
    <t>HOS4-SA979166</t>
  </si>
  <si>
    <t>HOS4-SA979336</t>
  </si>
  <si>
    <t>HOS4-SA980314</t>
  </si>
  <si>
    <t>HOS4-SA980425</t>
  </si>
  <si>
    <t>HOS4-SA981519</t>
  </si>
  <si>
    <t>HOS4-SA983661</t>
  </si>
  <si>
    <t>HOS4-SA983851</t>
  </si>
  <si>
    <t>HOS4-SA955213</t>
  </si>
  <si>
    <t>HOS4-SA972160</t>
  </si>
  <si>
    <t>HOS4-SA979949</t>
  </si>
  <si>
    <t>HOS4-SA980837</t>
  </si>
  <si>
    <t>HOS4-SA983401</t>
  </si>
  <si>
    <t>HOS4-SA983698</t>
  </si>
  <si>
    <t>HOS4-SA985392</t>
  </si>
  <si>
    <t>HOS4-SA985588</t>
  </si>
  <si>
    <t>HOS4-SA985589</t>
  </si>
  <si>
    <t>HOS4-SA986262</t>
  </si>
  <si>
    <t>HOS4-SA986398</t>
  </si>
  <si>
    <t>HOS4-SA986399</t>
  </si>
  <si>
    <t>HOS4-SA986400</t>
  </si>
  <si>
    <t>HOS4-SA986414</t>
  </si>
  <si>
    <t>HOS4-SA986415</t>
  </si>
  <si>
    <t>HOS4-SA986657</t>
  </si>
  <si>
    <t>HOS4-SA986855</t>
  </si>
  <si>
    <t>HOS4-SA987376</t>
  </si>
  <si>
    <t>HOS4-SA987740</t>
  </si>
  <si>
    <t>HOS4-SA987787</t>
  </si>
  <si>
    <t>HOS4-SA987808</t>
  </si>
  <si>
    <t>HOS4-SA988491</t>
  </si>
  <si>
    <t>HOS4-SA989216</t>
  </si>
  <si>
    <t>HOS4-SA989281</t>
  </si>
  <si>
    <t>HOS4-SA980083</t>
  </si>
  <si>
    <t>HOS4-SA980352</t>
  </si>
  <si>
    <t>HOS4-SA980391</t>
  </si>
  <si>
    <t>HOS4-SA980426</t>
  </si>
  <si>
    <t>HOS4-SA980456</t>
  </si>
  <si>
    <t>HOS4-SA980457</t>
  </si>
  <si>
    <t>HOS4-SA980458</t>
  </si>
  <si>
    <t>HOS4-SA980536</t>
  </si>
  <si>
    <t>HOS4-SA980537</t>
  </si>
  <si>
    <t>HOS4-SA980826</t>
  </si>
  <si>
    <t>HOS4-SA980952</t>
  </si>
  <si>
    <t>HOS4-SA980963</t>
  </si>
  <si>
    <t>HOS4-SA980971</t>
  </si>
  <si>
    <t>HOS4-SA980972</t>
  </si>
  <si>
    <t>HOS4-SA981625</t>
  </si>
  <si>
    <t>HOS4-SA981626</t>
  </si>
  <si>
    <t>HOS4-SA981627</t>
  </si>
  <si>
    <t>HOS4-SA981827</t>
  </si>
  <si>
    <t>HOS4-SA982182</t>
  </si>
  <si>
    <t>HOS4-SA982414</t>
  </si>
  <si>
    <t>HOS4-SA983262</t>
  </si>
  <si>
    <t>HOS4-SA983340</t>
  </si>
  <si>
    <t>HOS4-SA983370</t>
  </si>
  <si>
    <t>HOS4-SA983476</t>
  </si>
  <si>
    <t>HOS4-SA983477</t>
  </si>
  <si>
    <t>HOS4-SA984323</t>
  </si>
  <si>
    <t>HOS4-SA984464</t>
  </si>
  <si>
    <t>HOS4-SA984678</t>
  </si>
  <si>
    <t>HOS4-SA984738</t>
  </si>
  <si>
    <t>HOS4-SA985085</t>
  </si>
  <si>
    <t>HOS4-SA985135</t>
  </si>
  <si>
    <t>HOS4-AE62018</t>
  </si>
  <si>
    <t>HOS4-SA985422</t>
  </si>
  <si>
    <t>HOS4-SA985524</t>
  </si>
  <si>
    <t>HOS4-SA987997</t>
  </si>
  <si>
    <t>HOS4-SA983021</t>
  </si>
  <si>
    <t>HOS4-SA983028</t>
  </si>
  <si>
    <t>HOS4-SA983339</t>
  </si>
  <si>
    <t>HOS4-SA983368</t>
  </si>
  <si>
    <t>HOS4-SA983369</t>
  </si>
  <si>
    <t>HOS4-SA983853</t>
  </si>
  <si>
    <t>HOS4-SA983940</t>
  </si>
  <si>
    <t>HOS4-SA983941</t>
  </si>
  <si>
    <t>HOS4-SA984156</t>
  </si>
  <si>
    <t>HOS4-SA984157</t>
  </si>
  <si>
    <t>HOS4-SA984158</t>
  </si>
  <si>
    <t>HOS4-SA984321</t>
  </si>
  <si>
    <t>HOS4-SA984676</t>
  </si>
  <si>
    <t>HOS4-SA962106</t>
  </si>
  <si>
    <t>HOS4-SA974396</t>
  </si>
  <si>
    <t>HOS4-SA976155</t>
  </si>
  <si>
    <t>HOS4-SA976156</t>
  </si>
  <si>
    <t>HOS4-SA970481</t>
  </si>
  <si>
    <t>HOS4-SA973748</t>
  </si>
  <si>
    <t>HOS4-SA970841</t>
  </si>
  <si>
    <t>HOS4-SA977839</t>
  </si>
  <si>
    <t>HOS4-SA980380</t>
  </si>
  <si>
    <t>HOS4-SA984262</t>
  </si>
  <si>
    <t>HOS4-SA986261</t>
  </si>
  <si>
    <t>HOS4-SA985375</t>
  </si>
  <si>
    <t>HOS4-SA974745</t>
  </si>
  <si>
    <t>HOS5-SA985949</t>
  </si>
  <si>
    <t>HOS5-SA986547</t>
  </si>
  <si>
    <t>HOS5-SA988375</t>
  </si>
  <si>
    <t>HOS5-SA978481</t>
  </si>
  <si>
    <t>HOS5-SA975461</t>
  </si>
  <si>
    <t>HOS6-SA970687</t>
  </si>
  <si>
    <t>HOS6-SA975022</t>
  </si>
  <si>
    <t>HOS6-SA984129</t>
  </si>
  <si>
    <t>HOS6-SA985368</t>
  </si>
  <si>
    <t>HOS6-SA952139</t>
  </si>
  <si>
    <t>HOS6-SA955250</t>
  </si>
  <si>
    <t>HOS6-SA956724</t>
  </si>
  <si>
    <t>HOS6-SA955914</t>
  </si>
  <si>
    <t>HOS6-SA984415</t>
  </si>
  <si>
    <t>HOS6-SA984107</t>
  </si>
  <si>
    <t>HOS6-SA986593</t>
  </si>
  <si>
    <t>HOS6-SA976933</t>
  </si>
  <si>
    <t>HOS6-SA988188</t>
  </si>
  <si>
    <t>HOS6-SA974664</t>
  </si>
  <si>
    <t>HOS6-SA980615</t>
  </si>
  <si>
    <t>HOS6-SA983169</t>
  </si>
  <si>
    <t>HOS6-SA983842</t>
  </si>
  <si>
    <t>HOS6-SA965969</t>
  </si>
  <si>
    <t>HOS6-SA975255</t>
  </si>
  <si>
    <t>HOS6-SA975256</t>
  </si>
  <si>
    <t>HOS6-SA975257</t>
  </si>
  <si>
    <t>HOS6-SA979198</t>
  </si>
  <si>
    <t>HOS6-SA980616</t>
  </si>
  <si>
    <t>HOS6-SA984370</t>
  </si>
  <si>
    <t>HOS6-SA978861</t>
  </si>
  <si>
    <t>HOS6-SA984971</t>
  </si>
  <si>
    <t>HOS6-SA984106</t>
  </si>
  <si>
    <t>HOS6-SA985786</t>
  </si>
  <si>
    <t>HOS6-SA987927</t>
  </si>
  <si>
    <t>HOS6-SA989027</t>
  </si>
  <si>
    <t>HOS6-SA983367</t>
  </si>
  <si>
    <t>HOS6-SA970638</t>
  </si>
  <si>
    <t>HOS6-SA973631</t>
  </si>
  <si>
    <t>HOS6-SA970696</t>
  </si>
  <si>
    <t>HOS6-SA976442</t>
  </si>
  <si>
    <t>HOS6-SA983171</t>
  </si>
  <si>
    <t>HOS6-SA985945</t>
  </si>
  <si>
    <t>HOS6-SA987408</t>
  </si>
  <si>
    <t>HOS6-SA981450</t>
  </si>
  <si>
    <t>HOS6-SA986905</t>
  </si>
  <si>
    <t>HOS6-SA974966</t>
  </si>
  <si>
    <t>HOS6-SA977084</t>
  </si>
  <si>
    <t>HOS6-SA976837</t>
  </si>
  <si>
    <t>HOS6-AE62035</t>
  </si>
  <si>
    <t>HOS6-AE61952</t>
  </si>
  <si>
    <t>HOS6-SA980055</t>
  </si>
  <si>
    <t>HOS6-SA979716</t>
  </si>
  <si>
    <t>HOS6-SA980240</t>
  </si>
  <si>
    <t>HOS6-SA981597</t>
  </si>
  <si>
    <t>HOS6-SA981831</t>
  </si>
  <si>
    <t>HOS6-SA982035</t>
  </si>
  <si>
    <t>HOS6-SA987781</t>
  </si>
  <si>
    <t>HOS6-SA987948</t>
  </si>
  <si>
    <t>HOS6-SA982332</t>
  </si>
  <si>
    <t>HOS6-SA984105</t>
  </si>
  <si>
    <t>HOS6-SA982824</t>
  </si>
  <si>
    <t>HOS6-SA983146</t>
  </si>
  <si>
    <t>HOS6-SA984462</t>
  </si>
  <si>
    <t>HOS6-SA987687</t>
  </si>
  <si>
    <t>HOS6-SA988937</t>
  </si>
  <si>
    <t>HOS7-SA971022</t>
  </si>
  <si>
    <t>HOS7-SA989371</t>
  </si>
  <si>
    <t>HOS7-SA989189</t>
  </si>
  <si>
    <t>HOS7-SA989373</t>
  </si>
  <si>
    <t>HOS7-SA989453</t>
  </si>
  <si>
    <t>HOS8-AE62015</t>
  </si>
  <si>
    <t>HOS8-AE61984</t>
  </si>
  <si>
    <t>HOS8-SA982449</t>
  </si>
  <si>
    <t>HOS9-SA972632</t>
  </si>
  <si>
    <t>HOS9-AE61865</t>
  </si>
  <si>
    <t>HOS9-SA985222</t>
  </si>
  <si>
    <t>HOS9-SA988281</t>
  </si>
  <si>
    <t>HOS10-AE61711</t>
  </si>
  <si>
    <t>HOS10-SA981120</t>
  </si>
  <si>
    <t>HOS10-AE61679</t>
  </si>
  <si>
    <t>HOS10-AE61658</t>
  </si>
  <si>
    <t>HOS10-AE61662</t>
  </si>
  <si>
    <t>HOS10-AE61663</t>
  </si>
  <si>
    <t>HOS10-AE61644</t>
  </si>
  <si>
    <t>HOS10-SA944870</t>
  </si>
  <si>
    <t>HOS10-SA963970</t>
  </si>
  <si>
    <t>HOS10-SA978578</t>
  </si>
  <si>
    <t>HOS10-AE61484</t>
  </si>
  <si>
    <t>HOS10-AE61471</t>
  </si>
  <si>
    <t>HOS10-AE61472</t>
  </si>
  <si>
    <t>HOS10-AE60844</t>
  </si>
  <si>
    <t>HOS10-SA961909</t>
  </si>
  <si>
    <t>HOS10-SA961956</t>
  </si>
  <si>
    <t>HOS10-SA973949</t>
  </si>
  <si>
    <t>HOS10-AE61955</t>
  </si>
  <si>
    <t>HOS10-SA977307</t>
  </si>
  <si>
    <t>HOS10-SA988238</t>
  </si>
  <si>
    <t>HOS10-SA896553</t>
  </si>
  <si>
    <t>HOS10-SA898668</t>
  </si>
  <si>
    <t>HOS10-SA974160</t>
  </si>
  <si>
    <t>HOS10-SA900847</t>
  </si>
  <si>
    <t>HOS10-SA912169</t>
  </si>
  <si>
    <t>HOS10-SA976976</t>
  </si>
  <si>
    <t>HOS10-SA909784</t>
  </si>
  <si>
    <t>HOS10-SA910930</t>
  </si>
  <si>
    <t>HOS10-SA912167</t>
  </si>
  <si>
    <t>HOS10-SA912170</t>
  </si>
  <si>
    <t>HOS10-SA912836</t>
  </si>
  <si>
    <t>HOS10-SA912865</t>
  </si>
  <si>
    <t>HOS10-SA914070</t>
  </si>
  <si>
    <t>HOS10-SA914071</t>
  </si>
  <si>
    <t>HOS10-SA957883</t>
  </si>
  <si>
    <t>HOS10-SA914260</t>
  </si>
  <si>
    <t>HOS10-SA916527</t>
  </si>
  <si>
    <t>HOS10-SA917770</t>
  </si>
  <si>
    <t>HOS10-SA918001</t>
  </si>
  <si>
    <t>HOS10-SA918308</t>
  </si>
  <si>
    <t>HOS10-SA918331</t>
  </si>
  <si>
    <t>HOS10-SA919168</t>
  </si>
  <si>
    <t>HOS10-SA919697</t>
  </si>
  <si>
    <t>HOS10-SA921641</t>
  </si>
  <si>
    <t>HOS10-SA922618</t>
  </si>
  <si>
    <t>HOS10-SA922755</t>
  </si>
  <si>
    <t>HOS10-SA925787</t>
  </si>
  <si>
    <t>HOS10-SA923043</t>
  </si>
  <si>
    <t>HOS10-SA924328</t>
  </si>
  <si>
    <t>HOS10-SA925496</t>
  </si>
  <si>
    <t>HOS10-SA925764</t>
  </si>
  <si>
    <t>HOS10-SA931707</t>
  </si>
  <si>
    <t>HOS10-SA926451</t>
  </si>
  <si>
    <t>HOS10-SA974126</t>
  </si>
  <si>
    <t>HOS10-SA930120</t>
  </si>
  <si>
    <t>HOS10-SA950008</t>
  </si>
  <si>
    <t>HOS10-SA933539</t>
  </si>
  <si>
    <t>HOS10-SA933564</t>
  </si>
  <si>
    <t>HOS10-SA933744</t>
  </si>
  <si>
    <t>HOS10-SA934215</t>
  </si>
  <si>
    <t>HOS10-SA934489</t>
  </si>
  <si>
    <t>HOS10-SA935969</t>
  </si>
  <si>
    <t>HOS10-SA935991</t>
  </si>
  <si>
    <t>HOS10-SA936074</t>
  </si>
  <si>
    <t>HOS10-SA936834</t>
  </si>
  <si>
    <t>HOS10-SA937435</t>
  </si>
  <si>
    <t>HOS10-SA937436</t>
  </si>
  <si>
    <t>HOS10-SA937700</t>
  </si>
  <si>
    <t>HOS10-SA938067</t>
  </si>
  <si>
    <t>HOS10-SA938070</t>
  </si>
  <si>
    <t>HOS10-SA938568</t>
  </si>
  <si>
    <t>HOS10-SA938618</t>
  </si>
  <si>
    <t>HOS10-SA939783</t>
  </si>
  <si>
    <t>HOS10-SA940987</t>
  </si>
  <si>
    <t>HOS10-SA939945</t>
  </si>
  <si>
    <t>HOS10-SA940616</t>
  </si>
  <si>
    <t>HOS10-SA940692</t>
  </si>
  <si>
    <t>HOS10-SA940960</t>
  </si>
  <si>
    <t>HOS10-SA940986</t>
  </si>
  <si>
    <t>HOS10-SA941593</t>
  </si>
  <si>
    <t>HOS10-SA943449</t>
  </si>
  <si>
    <t>HOS10-SA943751</t>
  </si>
  <si>
    <t>HOS10-SA945065</t>
  </si>
  <si>
    <t>HOS10-SA954762</t>
  </si>
  <si>
    <t>HOS10-SA945292</t>
  </si>
  <si>
    <t>HOS10-SA945293</t>
  </si>
  <si>
    <t>HOS10-SA945492</t>
  </si>
  <si>
    <t>HOS10-SA962704</t>
  </si>
  <si>
    <t>HOS10-SA962898</t>
  </si>
  <si>
    <t>HOS10-SA964027</t>
  </si>
  <si>
    <t>HOS10-SA946237</t>
  </si>
  <si>
    <t>HOS10-SA972434</t>
  </si>
  <si>
    <t>HOS10-SA948189</t>
  </si>
  <si>
    <t>HOS10-SA948359</t>
  </si>
  <si>
    <t>HOS10-SA948582</t>
  </si>
  <si>
    <t>HOS10-SA962435</t>
  </si>
  <si>
    <t>HOS10-SA948587</t>
  </si>
  <si>
    <t>HOS10-SA948683</t>
  </si>
  <si>
    <t>HOS10-SA948727</t>
  </si>
  <si>
    <t>HOS10-SA977698</t>
  </si>
  <si>
    <t>HOS10-SA948767</t>
  </si>
  <si>
    <t>HOS10-SA949292</t>
  </si>
  <si>
    <t>HOS10-SA949698</t>
  </si>
  <si>
    <t>HOS10-SA949783</t>
  </si>
  <si>
    <t>HOS10-SA952968</t>
  </si>
  <si>
    <t>HOS10-SA949784</t>
  </si>
  <si>
    <t>HOS10-SA949785</t>
  </si>
  <si>
    <t>HOS10-SA949927</t>
  </si>
  <si>
    <t>HOS10-SA949930</t>
  </si>
  <si>
    <t>HOS10-SA966571</t>
  </si>
  <si>
    <t>HOS10-SA950006</t>
  </si>
  <si>
    <t>HOS10-SA950306</t>
  </si>
  <si>
    <t>HOS10-SA950309</t>
  </si>
  <si>
    <t>HOS10-SA953534</t>
  </si>
  <si>
    <t>HOS10-SA961813</t>
  </si>
  <si>
    <t>HOS10-SA964092</t>
  </si>
  <si>
    <t>HOS10-SA960942</t>
  </si>
  <si>
    <t>HOS10-SA973226</t>
  </si>
  <si>
    <t>HOS10-SA973708</t>
  </si>
  <si>
    <t>HOS10-SA973869</t>
  </si>
  <si>
    <t>HOS10-SA950683</t>
  </si>
  <si>
    <t>HOS10-SA951400</t>
  </si>
  <si>
    <t>HOS10-SA970139</t>
  </si>
  <si>
    <t>HOS10-SA956609</t>
  </si>
  <si>
    <t>HOS10-SA952383</t>
  </si>
  <si>
    <t>HOS10-SA973933</t>
  </si>
  <si>
    <t>HOS10-SA974024</t>
  </si>
  <si>
    <t>HOS10-SA978233</t>
  </si>
  <si>
    <t>HOS10-SA953280</t>
  </si>
  <si>
    <t>HOS10-SA953281</t>
  </si>
  <si>
    <t>HOS10-SA953282</t>
  </si>
  <si>
    <t>HOS10-SA962055</t>
  </si>
  <si>
    <t>HOS10-SA955236</t>
  </si>
  <si>
    <t>HOS10-SA955318</t>
  </si>
  <si>
    <t>HOS10-SA986010</t>
  </si>
  <si>
    <t>HOS10-SA958504</t>
  </si>
  <si>
    <t>HOS10-SA979337</t>
  </si>
  <si>
    <t>HOS10-SA965108</t>
  </si>
  <si>
    <t>HOS10-SA975393</t>
  </si>
  <si>
    <t>HOS10-SA975394</t>
  </si>
  <si>
    <t>HOS10-SA975396</t>
  </si>
  <si>
    <t>HOS10-SA956019</t>
  </si>
  <si>
    <t>HOS10-SA956021</t>
  </si>
  <si>
    <t>HOS10-SA956725</t>
  </si>
  <si>
    <t>HOS10-SA956726</t>
  </si>
  <si>
    <t>HOS10-SA960608</t>
  </si>
  <si>
    <t>HOS10-SA977530</t>
  </si>
  <si>
    <t>HOS10-SA981818</t>
  </si>
  <si>
    <t>HOS10-SA957407</t>
  </si>
  <si>
    <t>HOS10-SA977080</t>
  </si>
  <si>
    <t>HOS10-SA972063</t>
  </si>
  <si>
    <t>HOS10-SA979291</t>
  </si>
  <si>
    <t>HOS10-SA980526</t>
  </si>
  <si>
    <t>HOS10-SA979800</t>
  </si>
  <si>
    <t>HOS10-SA958764</t>
  </si>
  <si>
    <t>HOS10-SA973703</t>
  </si>
  <si>
    <t>HOS10-SA959534</t>
  </si>
  <si>
    <t>HOS10-SA961812</t>
  </si>
  <si>
    <t>HOS10-SA959851</t>
  </si>
  <si>
    <t>HOS10-SA966423</t>
  </si>
  <si>
    <t>HOS10-SA960467</t>
  </si>
  <si>
    <t>HOS10-SA960549</t>
  </si>
  <si>
    <t>HOS10-SA960749</t>
  </si>
  <si>
    <t>HOS10-SA960827</t>
  </si>
  <si>
    <t>HOS10-SA960940</t>
  </si>
  <si>
    <t>HOS10-SA960941</t>
  </si>
  <si>
    <t>HOS10-SA961499</t>
  </si>
  <si>
    <t>HOS10-SA961808</t>
  </si>
  <si>
    <t>HOS10-SA961966</t>
  </si>
  <si>
    <t>HOS10-SA961967</t>
  </si>
  <si>
    <t>HOS10-SA962054</t>
  </si>
  <si>
    <t>HOS10-SA975392</t>
  </si>
  <si>
    <t>HOS10-SA962056</t>
  </si>
  <si>
    <t>HOS10-SA962393</t>
  </si>
  <si>
    <t>HOS10-SA962434</t>
  </si>
  <si>
    <t>HOS10-SA962444</t>
  </si>
  <si>
    <t>HOS10-SA962448</t>
  </si>
  <si>
    <t>HOS10-SA962450</t>
  </si>
  <si>
    <t>HOS10-SA962890</t>
  </si>
  <si>
    <t>HOS10-SA962893</t>
  </si>
  <si>
    <t>HOS10-SA962894</t>
  </si>
  <si>
    <t>HOS10-SA962896</t>
  </si>
  <si>
    <t>HOS10-SA962900</t>
  </si>
  <si>
    <t>HOS10-SA962908</t>
  </si>
  <si>
    <t>HOS10-SA962972</t>
  </si>
  <si>
    <t>HOS10-SA963073</t>
  </si>
  <si>
    <t>HOS10-SA963706</t>
  </si>
  <si>
    <t>HOS10-SA963792</t>
  </si>
  <si>
    <t>HOS10-SA988806</t>
  </si>
  <si>
    <t>HOS10-SA963793</t>
  </si>
  <si>
    <t>HOS10-SA963797</t>
  </si>
  <si>
    <t>HOS10-SA977462</t>
  </si>
  <si>
    <t>HOS10-SA980581</t>
  </si>
  <si>
    <t>HOS10-SA963833</t>
  </si>
  <si>
    <t>HOS10-SA979285</t>
  </si>
  <si>
    <t>HOS10-SA964026</t>
  </si>
  <si>
    <t>HOS10-SA964087</t>
  </si>
  <si>
    <t>HOS10-SA964292</t>
  </si>
  <si>
    <t>HOS10-SA964294</t>
  </si>
  <si>
    <t>HOS10-SA964566</t>
  </si>
  <si>
    <t>HOS10-SA964887</t>
  </si>
  <si>
    <t>HOS10-SA964568</t>
  </si>
  <si>
    <t>HOS10-SA964890</t>
  </si>
  <si>
    <t>HOS10-SA972057</t>
  </si>
  <si>
    <t>HOS10-SA964885</t>
  </si>
  <si>
    <t>HOS10-SA965179</t>
  </si>
  <si>
    <t>HOS10-SA965320</t>
  </si>
  <si>
    <t>HOS10-SA965437</t>
  </si>
  <si>
    <t>HOS10-SA965474</t>
  </si>
  <si>
    <t>HOS10-SA965498</t>
  </si>
  <si>
    <t>HOS10-SA965499</t>
  </si>
  <si>
    <t>HOS10-SA965500</t>
  </si>
  <si>
    <t>HOS10-SA978388</t>
  </si>
  <si>
    <t>HOS10-SA979522</t>
  </si>
  <si>
    <t>HOS10-SA965865</t>
  </si>
  <si>
    <t>HOS10-SA966268</t>
  </si>
  <si>
    <t>HOS10-SA966269</t>
  </si>
  <si>
    <t>HOS10-SA966271</t>
  </si>
  <si>
    <t>HOS10-SA977221</t>
  </si>
  <si>
    <t>HOS10-SA980953</t>
  </si>
  <si>
    <t>HOS10-SA966370</t>
  </si>
  <si>
    <t>HOS10-SA966372</t>
  </si>
  <si>
    <t>HOS10-SA966375</t>
  </si>
  <si>
    <t>HOS10-SA966535</t>
  </si>
  <si>
    <t>HOS10-SA971231</t>
  </si>
  <si>
    <t>HOS10-SA966902</t>
  </si>
  <si>
    <t>HOS10-SA981000</t>
  </si>
  <si>
    <t>HOS10-SA966927</t>
  </si>
  <si>
    <t>HOS10-SA966928</t>
  </si>
  <si>
    <t>HOS10-SA966929</t>
  </si>
  <si>
    <t>HOS10-SA967537</t>
  </si>
  <si>
    <t>HOS10-SA967538</t>
  </si>
  <si>
    <t>HOS10-SA967587</t>
  </si>
  <si>
    <t>HOS10-SA967588</t>
  </si>
  <si>
    <t>HOS10-SA967627</t>
  </si>
  <si>
    <t>HOS10-SA967630</t>
  </si>
  <si>
    <t>HOS10-SA967631</t>
  </si>
  <si>
    <t>HOS10-SA969216</t>
  </si>
  <si>
    <t>HOS10-SA967655</t>
  </si>
  <si>
    <t>HOS10-SA973504</t>
  </si>
  <si>
    <t>HOS10-SA975261</t>
  </si>
  <si>
    <t>HOS10-SA986138</t>
  </si>
  <si>
    <t>HOS10-SA967713</t>
  </si>
  <si>
    <t>HOS10-SA978871</t>
  </si>
  <si>
    <t>HOS10-SA986485</t>
  </si>
  <si>
    <t>HOS10-SA967858</t>
  </si>
  <si>
    <t>HOS10-SA967859</t>
  </si>
  <si>
    <t>HOS10-SA967860</t>
  </si>
  <si>
    <t>HOS10-SA981053</t>
  </si>
  <si>
    <t>HOS10-SA981804</t>
  </si>
  <si>
    <t>HOS10-SA968326</t>
  </si>
  <si>
    <t>HOS10-SA968391</t>
  </si>
  <si>
    <t>HOS10-SA968894</t>
  </si>
  <si>
    <t>HOS10-SA969177</t>
  </si>
  <si>
    <t>HOS10-SA969282</t>
  </si>
  <si>
    <t>HOS10-SA969283</t>
  </si>
  <si>
    <t>HOS10-SA969286</t>
  </si>
  <si>
    <t>HOS10-SA969288</t>
  </si>
  <si>
    <t>HOS10-SA969929</t>
  </si>
  <si>
    <t>HOS10-SA970008</t>
  </si>
  <si>
    <t>HOS10-SA970009</t>
  </si>
  <si>
    <t>HOS10-SA970020</t>
  </si>
  <si>
    <t>HOS10-SA970145</t>
  </si>
  <si>
    <t>HOS10-SA970147</t>
  </si>
  <si>
    <t>HOS10-SA970148</t>
  </si>
  <si>
    <t>HOS10-SA970187</t>
  </si>
  <si>
    <t>HOS10-SA970227</t>
  </si>
  <si>
    <t>HOS10-SA970228</t>
  </si>
  <si>
    <t>HOS10-SA970361</t>
  </si>
  <si>
    <t>HOS10-SA970493</t>
  </si>
  <si>
    <t>HOS10-SA970494</t>
  </si>
  <si>
    <t>HOS10-SA970676</t>
  </si>
  <si>
    <t>HOS10-SA970713</t>
  </si>
  <si>
    <t>HOS10-SA970716</t>
  </si>
  <si>
    <t>HOS10-SA970732</t>
  </si>
  <si>
    <t>HOS10-SA971531</t>
  </si>
  <si>
    <t>HOS10-SA971696</t>
  </si>
  <si>
    <t>HOS10-SA971893</t>
  </si>
  <si>
    <t>HOS10-SA971894</t>
  </si>
  <si>
    <t>HOS10-SA971895</t>
  </si>
  <si>
    <t>HOS10-SA980103</t>
  </si>
  <si>
    <t>HOS10-SA972060</t>
  </si>
  <si>
    <t>HOS10-SA972061</t>
  </si>
  <si>
    <t>HOS10-SA972062</t>
  </si>
  <si>
    <t>HOS10-SA972099</t>
  </si>
  <si>
    <t>HOS10-SA972216</t>
  </si>
  <si>
    <t>HOS10-SA972412</t>
  </si>
  <si>
    <t>HOS10-SA972415</t>
  </si>
  <si>
    <t>HOS10-SA972416</t>
  </si>
  <si>
    <t>HOS10-SA972435</t>
  </si>
  <si>
    <t>HOS10-SA972436</t>
  </si>
  <si>
    <t>HOS10-SA972437</t>
  </si>
  <si>
    <t>HOS10-SA972444</t>
  </si>
  <si>
    <t>HOS10-SA972553</t>
  </si>
  <si>
    <t>HOS10-SA972858</t>
  </si>
  <si>
    <t>HOS10-SA972914</t>
  </si>
  <si>
    <t>HOS10-SA973014</t>
  </si>
  <si>
    <t>HOS10-AE62063</t>
  </si>
  <si>
    <t>HOS10-AE62057</t>
  </si>
  <si>
    <t>HOS10-AE62005</t>
  </si>
  <si>
    <t>HOS10-AE62003</t>
  </si>
  <si>
    <t>HOS10-AE62004</t>
  </si>
  <si>
    <t>HOS10-AE61995</t>
  </si>
  <si>
    <t>HOS10-AE61970</t>
  </si>
  <si>
    <t>HOS10-AE61897</t>
  </si>
  <si>
    <t>HOS10-AE61819</t>
  </si>
  <si>
    <t>HOS10-SA980583</t>
  </si>
  <si>
    <t>HOS10-AE61858</t>
  </si>
  <si>
    <t>HOS10-AE61791</t>
  </si>
  <si>
    <t>HOS10-AE61755</t>
  </si>
  <si>
    <t>HOS10-SA961624</t>
  </si>
  <si>
    <t>HOS10-SA961625</t>
  </si>
  <si>
    <t>HOS10-SA961626</t>
  </si>
  <si>
    <t>HOS10-SA961627</t>
  </si>
  <si>
    <t>HOS10-SA972756</t>
  </si>
  <si>
    <t>HOS10-SA973129</t>
  </si>
  <si>
    <t>HOS10-SA973311</t>
  </si>
  <si>
    <t>HOS10-SA973596</t>
  </si>
  <si>
    <t>HOS10-SA973597</t>
  </si>
  <si>
    <t>HOS10-SA973598</t>
  </si>
  <si>
    <t>HOS10-SA973628</t>
  </si>
  <si>
    <t>HOS10-SA973701</t>
  </si>
  <si>
    <t>HOS10-SA973702</t>
  </si>
  <si>
    <t>HOS10-SA973704</t>
  </si>
  <si>
    <t>HOS10-SA973706</t>
  </si>
  <si>
    <t>HOS10-SA973707</t>
  </si>
  <si>
    <t>HOS10-SA973712</t>
  </si>
  <si>
    <t>HOS10-SA973714</t>
  </si>
  <si>
    <t>HOS10-SA973716</t>
  </si>
  <si>
    <t>HOS10-SA973719</t>
  </si>
  <si>
    <t>HOS10-SA973750</t>
  </si>
  <si>
    <t>HOS10-SA973751</t>
  </si>
  <si>
    <t>HOS10-SA981335</t>
  </si>
  <si>
    <t>HOS10-SA973753</t>
  </si>
  <si>
    <t>HOS10-SA973772</t>
  </si>
  <si>
    <t>HOS10-SA973797</t>
  </si>
  <si>
    <t>HOS10-SA973816</t>
  </si>
  <si>
    <t>HOS10-SA973870</t>
  </si>
  <si>
    <t>HOS10-SA974025</t>
  </si>
  <si>
    <t>HOS10-SA974040</t>
  </si>
  <si>
    <t>HOS10-SA974043</t>
  </si>
  <si>
    <t>HOS10-SA974044</t>
  </si>
  <si>
    <t>HOS10-SA974045</t>
  </si>
  <si>
    <t>HOS10-SA974081</t>
  </si>
  <si>
    <t>HOS10-SA974125</t>
  </si>
  <si>
    <t>HOS10-SA974127</t>
  </si>
  <si>
    <t>HOS10-SA974128</t>
  </si>
  <si>
    <t>HOS10-SA974513</t>
  </si>
  <si>
    <t>HOS10-SA974514</t>
  </si>
  <si>
    <t>HOS10-SA974555</t>
  </si>
  <si>
    <t>HOS10-SA980997</t>
  </si>
  <si>
    <t>HOS10-SA988788</t>
  </si>
  <si>
    <t>HOS10-SA974642</t>
  </si>
  <si>
    <t>HOS10-SA974830</t>
  </si>
  <si>
    <t>HOS10-SA974831</t>
  </si>
  <si>
    <t>HOS10-SA974832</t>
  </si>
  <si>
    <t>HOS10-SA974833</t>
  </si>
  <si>
    <t>HOS10-SA974838</t>
  </si>
  <si>
    <t>HOS10-SA974839</t>
  </si>
  <si>
    <t>HOS10-SA974842</t>
  </si>
  <si>
    <t>HOS10-SA974947</t>
  </si>
  <si>
    <t>HOS10-SA974958</t>
  </si>
  <si>
    <t>HOS10-SA975061</t>
  </si>
  <si>
    <t>HOS10-SA977414</t>
  </si>
  <si>
    <t>HOS10-SA983158</t>
  </si>
  <si>
    <t>HOS10-SA975164</t>
  </si>
  <si>
    <t>HOS10-SA975350</t>
  </si>
  <si>
    <t>HOS10-SA975370</t>
  </si>
  <si>
    <t>HOS10-SA975397</t>
  </si>
  <si>
    <t>HOS10-SA976338</t>
  </si>
  <si>
    <t>HOS10-SA981559</t>
  </si>
  <si>
    <t>HOS10-SA975481</t>
  </si>
  <si>
    <t>HOS10-SA987702</t>
  </si>
  <si>
    <t>HOS10-SA975545</t>
  </si>
  <si>
    <t>HOS10-SA975550</t>
  </si>
  <si>
    <t>HOS10-SA975864</t>
  </si>
  <si>
    <t>HOS10-SA976088</t>
  </si>
  <si>
    <t>HOS10-SA976091</t>
  </si>
  <si>
    <t>HOS10-SA976092</t>
  </si>
  <si>
    <t>HOS10-SA976096</t>
  </si>
  <si>
    <t>HOS10-SA976097</t>
  </si>
  <si>
    <t>HOS10-SA976270</t>
  </si>
  <si>
    <t>HOS10-SA976339</t>
  </si>
  <si>
    <t>HOS10-SA976340</t>
  </si>
  <si>
    <t>HOS10-SA976413</t>
  </si>
  <si>
    <t>HOS10-SA976609</t>
  </si>
  <si>
    <t>HOS10-SA980579</t>
  </si>
  <si>
    <t>HOS10-SA976727</t>
  </si>
  <si>
    <t>HOS10-SA976798</t>
  </si>
  <si>
    <t>HOS10-SA976800</t>
  </si>
  <si>
    <t>HOS10-SA977225</t>
  </si>
  <si>
    <t>HOS10-SA977320</t>
  </si>
  <si>
    <t>HOS10-SA977347</t>
  </si>
  <si>
    <t>HOS10-SA977665</t>
  </si>
  <si>
    <t>HOS10-SA977700</t>
  </si>
  <si>
    <t>HOS10-SA977740</t>
  </si>
  <si>
    <t>HOS10-SA977742</t>
  </si>
  <si>
    <t>HOS10-SA977949</t>
  </si>
  <si>
    <t>HOS10-SA980995</t>
  </si>
  <si>
    <t>HOS10-SA982773</t>
  </si>
  <si>
    <t>HOS10-SA977990</t>
  </si>
  <si>
    <t>HOS10-SA977991</t>
  </si>
  <si>
    <t>HOS10-SA977992</t>
  </si>
  <si>
    <t>HOS10-SA977993</t>
  </si>
  <si>
    <t>HOS10-SA977995</t>
  </si>
  <si>
    <t>HOS10-SA978252</t>
  </si>
  <si>
    <t>HOS10-SA978460</t>
  </si>
  <si>
    <t>HOS10-SA978461</t>
  </si>
  <si>
    <t>HOS10-SA978559</t>
  </si>
  <si>
    <t>HOS10-SA978616</t>
  </si>
  <si>
    <t>HOS10-SA978632</t>
  </si>
  <si>
    <t>HOS10-SA978633</t>
  </si>
  <si>
    <t>HOS10-SA978634</t>
  </si>
  <si>
    <t>HOS10-SA978636</t>
  </si>
  <si>
    <t>HOS10-SA978831</t>
  </si>
  <si>
    <t>HOS10-SA980925</t>
  </si>
  <si>
    <t>HOS10-SA978863</t>
  </si>
  <si>
    <t>HOS10-SA979121</t>
  </si>
  <si>
    <t>HOS10-SA979373</t>
  </si>
  <si>
    <t>HOS10-SA979387</t>
  </si>
  <si>
    <t>HOS10-SA979388</t>
  </si>
  <si>
    <t>HOS10-SA979523</t>
  </si>
  <si>
    <t>HOS10-SA979549</t>
  </si>
  <si>
    <t>HOS10-SA979745</t>
  </si>
  <si>
    <t>HOS10-SA979746</t>
  </si>
  <si>
    <t>HOS10-SA979747</t>
  </si>
  <si>
    <t>HOS10-SA986009</t>
  </si>
  <si>
    <t>HOS10-SA979748</t>
  </si>
  <si>
    <t>HOS10-SA979835</t>
  </si>
  <si>
    <t>HOS10-SA979994</t>
  </si>
  <si>
    <t>HOS10-SA979995</t>
  </si>
  <si>
    <t>HOS10-SA980021</t>
  </si>
  <si>
    <t>HOS10-SA980134</t>
  </si>
  <si>
    <t>HOS10-SA980135</t>
  </si>
  <si>
    <t>HOS10-SA980140</t>
  </si>
  <si>
    <t>HOS10-SA980143</t>
  </si>
  <si>
    <t>HOS10-SA980290</t>
  </si>
  <si>
    <t>HOS10-SA980292</t>
  </si>
  <si>
    <t>HOS10-SA980343</t>
  </si>
  <si>
    <t>HOS10-SA980480</t>
  </si>
  <si>
    <t>HOS10-SA980481</t>
  </si>
  <si>
    <t>HOS10-SA980482</t>
  </si>
  <si>
    <t>HOS10-SA980486</t>
  </si>
  <si>
    <t>HOS10-SA980523</t>
  </si>
  <si>
    <t>HOS10-SA980584</t>
  </si>
  <si>
    <t>HOS10-SA980602</t>
  </si>
  <si>
    <t>HOS10-SA981808</t>
  </si>
  <si>
    <t>HOS10-SA980649</t>
  </si>
  <si>
    <t>HOS10-SA980650</t>
  </si>
  <si>
    <t>HOS10-SA980652</t>
  </si>
  <si>
    <t>HOS10-SA980654</t>
  </si>
  <si>
    <t>HOS10-SA980687</t>
  </si>
  <si>
    <t>HOS10-SA980726</t>
  </si>
  <si>
    <t>HOS10-SA980757</t>
  </si>
  <si>
    <t>HOS10-SA980759</t>
  </si>
  <si>
    <t>HOS10-SA980817</t>
  </si>
  <si>
    <t>HOS10-SA980839</t>
  </si>
  <si>
    <t>HOS10-SA980840</t>
  </si>
  <si>
    <t>HOS10-SA980841</t>
  </si>
  <si>
    <t>HOS10-SA980927</t>
  </si>
  <si>
    <t>HOS10-SA980962</t>
  </si>
  <si>
    <t>HOS10-SA980964</t>
  </si>
  <si>
    <t>HOS10-SA980965</t>
  </si>
  <si>
    <t>HOS10-SA980966</t>
  </si>
  <si>
    <t>HOS10-SA980999</t>
  </si>
  <si>
    <t>HOS10-SA981003</t>
  </si>
  <si>
    <t>HOS10-SA981054</t>
  </si>
  <si>
    <t>HOS10-SA981056</t>
  </si>
  <si>
    <t>HOS10-SA981075</t>
  </si>
  <si>
    <t>HOS10-SA981218</t>
  </si>
  <si>
    <t>HOS10-SA981220</t>
  </si>
  <si>
    <t>HOS10-SA981221</t>
  </si>
  <si>
    <t>HOS10-SA981422</t>
  </si>
  <si>
    <t>HOS10-SA981528</t>
  </si>
  <si>
    <t>HOS10-SA981561</t>
  </si>
  <si>
    <t>HOS10-SA981807</t>
  </si>
  <si>
    <t>HOS10-SA981813</t>
  </si>
  <si>
    <t>HOS10-SA981817</t>
  </si>
  <si>
    <t>HOS10-SA982018</t>
  </si>
  <si>
    <t>HOS10-SA982059</t>
  </si>
  <si>
    <t>HOS10-SA982200</t>
  </si>
  <si>
    <t>HOS10-SA982368</t>
  </si>
  <si>
    <t>HOS10-SA982567</t>
  </si>
  <si>
    <t>HOS10-SA982654</t>
  </si>
  <si>
    <t>HOS10-SA982686</t>
  </si>
  <si>
    <t>HOS10-SA982691</t>
  </si>
  <si>
    <t>HOS10-SA982965</t>
  </si>
  <si>
    <t>HOS10-SA983069</t>
  </si>
  <si>
    <t>HOS10-SA983070</t>
  </si>
  <si>
    <t>HOS10-SA983075</t>
  </si>
  <si>
    <t>HOS10-SA983152</t>
  </si>
  <si>
    <t>HOS10-SA983153</t>
  </si>
  <si>
    <t>HOS10-SA983251</t>
  </si>
  <si>
    <t>HOS10-SA983269</t>
  </si>
  <si>
    <t>HOS10-SA983272</t>
  </si>
  <si>
    <t>HOS10-SA983299</t>
  </si>
  <si>
    <t>HOS10-SA983809</t>
  </si>
  <si>
    <t>HOS10-SA983948</t>
  </si>
  <si>
    <t>HOS10-SA984679</t>
  </si>
  <si>
    <t>HOS10-SA984713</t>
  </si>
  <si>
    <t>HOS10-SA984925</t>
  </si>
  <si>
    <t>HOS10-SA985153</t>
  </si>
  <si>
    <t>HOS10-SA985161</t>
  </si>
  <si>
    <t>HOS10-SA985162</t>
  </si>
  <si>
    <t>HOS10-SA985163</t>
  </si>
  <si>
    <t>HOS10-SA985347</t>
  </si>
  <si>
    <t>HOS10-SA985481</t>
  </si>
  <si>
    <t>HOS10-SA986008</t>
  </si>
  <si>
    <t>HOS10-SA986012</t>
  </si>
  <si>
    <t>HOS10-SA986078</t>
  </si>
  <si>
    <t>HOS10-SA986830</t>
  </si>
  <si>
    <t>HOS10-SA986837</t>
  </si>
  <si>
    <t>HOS10-SA986841</t>
  </si>
  <si>
    <t>HOS10-SA986843</t>
  </si>
  <si>
    <t>HOS10-SA987361</t>
  </si>
  <si>
    <t>HOS10-SA987550</t>
  </si>
  <si>
    <t>HOS10-SA987552</t>
  </si>
  <si>
    <t>HOS10-SA987751</t>
  </si>
  <si>
    <t>HOS10-SA987752</t>
  </si>
  <si>
    <t>HOS10-SA988065</t>
  </si>
  <si>
    <t>HOS10-SA988703</t>
  </si>
  <si>
    <t>HOS10-SA988705</t>
  </si>
  <si>
    <t>HOS10-SA988789</t>
  </si>
  <si>
    <t>HOS10-SA988790</t>
  </si>
  <si>
    <t>HOS10-SA988803</t>
  </si>
  <si>
    <t>HOS10-SA988804</t>
  </si>
  <si>
    <t>HOS10-SA989323</t>
  </si>
  <si>
    <t>HOS10-SA989361</t>
  </si>
  <si>
    <t>HOS10-SA989362</t>
  </si>
  <si>
    <t>HOS11-SA960196</t>
  </si>
  <si>
    <t>HOS11-SA980890</t>
  </si>
  <si>
    <t>HOS11-SA977691</t>
  </si>
  <si>
    <t>HOS11-SA988249</t>
  </si>
  <si>
    <t>HOS12-AE61192</t>
  </si>
  <si>
    <t>HOS12-SA982340</t>
  </si>
  <si>
    <t>HOS12-SA958684</t>
  </si>
  <si>
    <t>HOS12-AE62006</t>
  </si>
  <si>
    <t>HOS12-SA983790</t>
  </si>
  <si>
    <t>HOS12-SA986713</t>
  </si>
  <si>
    <t>HOS12-SA987238</t>
  </si>
  <si>
    <t>HOS12-SA989338</t>
  </si>
  <si>
    <t>HOS13-AE61944</t>
  </si>
  <si>
    <t>HOS14-SA963988</t>
  </si>
  <si>
    <t>HOS14-SA971925</t>
  </si>
  <si>
    <t>HOS14-SA984505</t>
  </si>
  <si>
    <t>HOS14-SA985934</t>
  </si>
  <si>
    <t>HOS14-SA988882</t>
  </si>
  <si>
    <t>HOS14-SA989031</t>
  </si>
  <si>
    <t>HOS15-SA903503</t>
  </si>
  <si>
    <t>HOS15-SA947033</t>
  </si>
  <si>
    <t>HOS15-SA957582</t>
  </si>
  <si>
    <t>HOS15-SA963388</t>
  </si>
  <si>
    <t>HOS15-SA988475</t>
  </si>
  <si>
    <t>HOS15-AE62034</t>
  </si>
  <si>
    <t>HOS15-SA916634</t>
  </si>
  <si>
    <t>HOS15-SA957691</t>
  </si>
  <si>
    <t>HOS15-SA964012</t>
  </si>
  <si>
    <t>HOS15-SA967281</t>
  </si>
  <si>
    <t>HOS15-SA978482</t>
  </si>
  <si>
    <t>HOS15-SA978491</t>
  </si>
  <si>
    <t>HOS15-SA978990</t>
  </si>
  <si>
    <t>HOS15-SA980377</t>
  </si>
  <si>
    <t>HOS15-SA980607</t>
  </si>
  <si>
    <t>HOS15-SA980816</t>
  </si>
  <si>
    <t>HOS15-SA981001</t>
  </si>
  <si>
    <t>HOS15-SA982547</t>
  </si>
  <si>
    <t>HOS15-SA983893</t>
  </si>
  <si>
    <t>HOS15-SA982601</t>
  </si>
  <si>
    <t>HOS15-SA985714</t>
  </si>
  <si>
    <t>HOS16-SA985059</t>
  </si>
  <si>
    <t>HOS16-AE61948</t>
  </si>
  <si>
    <t>HOS16-SA971868</t>
  </si>
  <si>
    <t>HOS16-SA986616</t>
  </si>
  <si>
    <t>HOS17-SA986141</t>
  </si>
  <si>
    <t>HOS18-SA987151</t>
  </si>
  <si>
    <t>HOS18-SA930055</t>
  </si>
  <si>
    <t>HOS18-SA981211</t>
  </si>
  <si>
    <t>HOS18-SA983929</t>
  </si>
  <si>
    <t>HOS18-SA986135</t>
  </si>
  <si>
    <t>HOS18-SA988848</t>
  </si>
  <si>
    <t>HOS18-SA987158</t>
  </si>
  <si>
    <t>HOS18-SA985598</t>
  </si>
  <si>
    <t>HOS18-SA985689</t>
  </si>
  <si>
    <t>HOS18-SA985690</t>
  </si>
  <si>
    <t>HOS18-SA985691</t>
  </si>
  <si>
    <t>HOS18-SA986266</t>
  </si>
  <si>
    <t>HOS18-SA988291</t>
  </si>
  <si>
    <t>HOS19-AE61388</t>
  </si>
  <si>
    <t>HOS19-SA987138</t>
  </si>
  <si>
    <t>HOS19-SA978109</t>
  </si>
  <si>
    <t>HOS19-SA987313</t>
  </si>
  <si>
    <t>HOS19-AE62098</t>
  </si>
  <si>
    <t>HOS19-AE62033</t>
  </si>
  <si>
    <t>HOS19-SA984143</t>
  </si>
  <si>
    <t>HOS19-SA986194</t>
  </si>
  <si>
    <t>HOS19-SA988361</t>
  </si>
  <si>
    <t>HOS19-SA986206</t>
  </si>
  <si>
    <t>HOS19-SA987709</t>
  </si>
  <si>
    <t>HOS19-SA987913</t>
  </si>
  <si>
    <t>HOS19-SA989429</t>
  </si>
  <si>
    <t>HOS20-SA935518</t>
  </si>
  <si>
    <t>HOS20-SA981823</t>
  </si>
  <si>
    <t>HOS20-SA986062</t>
  </si>
  <si>
    <t>HOS21-SA985139</t>
  </si>
  <si>
    <t>HOS21-SA985959</t>
  </si>
  <si>
    <t>HOS21-SA986023</t>
  </si>
  <si>
    <t>HOS21-SA986142</t>
  </si>
  <si>
    <t>HOS21-SA986143</t>
  </si>
  <si>
    <t>HOS21-SA986235</t>
  </si>
  <si>
    <t>HOS21-SA986306</t>
  </si>
  <si>
    <t>HOS21-SA986307</t>
  </si>
  <si>
    <t>HOS21-SA986308</t>
  </si>
  <si>
    <t>HOS21-SA987142</t>
  </si>
  <si>
    <t>HOS21-SA987735</t>
  </si>
  <si>
    <t>HOS21-SA988503</t>
  </si>
  <si>
    <t>HOS21-SA989390</t>
  </si>
  <si>
    <t>HOS21-SA977694</t>
  </si>
  <si>
    <t>HOS22-SA988719</t>
  </si>
  <si>
    <t>HOS22-SA987672</t>
  </si>
  <si>
    <t>HOS22-SA972888</t>
  </si>
  <si>
    <t>HOS22-AE61427</t>
  </si>
  <si>
    <t>HOS22-SA970251</t>
  </si>
  <si>
    <t>HOS22-SA972708</t>
  </si>
  <si>
    <t>HOS22-SA976245</t>
  </si>
  <si>
    <t>HOS22-SA979622</t>
  </si>
  <si>
    <t>HOS22-SA982703</t>
  </si>
  <si>
    <t>HOS22-SA983595</t>
  </si>
  <si>
    <t>HOS22-SA983761</t>
  </si>
  <si>
    <t>HOS22-SA983992</t>
  </si>
  <si>
    <t>HOS22-SA984083</t>
  </si>
  <si>
    <t>HOS22-SA986300</t>
  </si>
  <si>
    <t>HOS22-SA986537</t>
  </si>
  <si>
    <t>HOS22-SA986641</t>
  </si>
  <si>
    <t>HOS22-SA988931</t>
  </si>
  <si>
    <t>HOS22-SA988932</t>
  </si>
  <si>
    <t>HOS23-AE59072</t>
  </si>
  <si>
    <t>HOS24-SA815360</t>
  </si>
  <si>
    <t>HOS24-SA825156</t>
  </si>
  <si>
    <t>HOS24-SA833326</t>
  </si>
  <si>
    <t>HOS25-SA842231</t>
  </si>
  <si>
    <t>HOS25-SA864764</t>
  </si>
  <si>
    <t>HOS25-SA876267</t>
  </si>
  <si>
    <t>HOS26-SA878886</t>
  </si>
  <si>
    <t>HOS26-SA975948</t>
  </si>
  <si>
    <t>HOS27-SA964174</t>
  </si>
  <si>
    <t>HOS27-SA985954</t>
  </si>
  <si>
    <t>HOS27-SA979975</t>
  </si>
  <si>
    <t>HOS27-SA980220</t>
  </si>
  <si>
    <t>HOS27-SA980221</t>
  </si>
  <si>
    <t>HOS27-SA981024</t>
  </si>
  <si>
    <t>HOS27-SA987506</t>
  </si>
  <si>
    <t>HOS27-SA988653</t>
  </si>
  <si>
    <t>HOS27-SA979125</t>
  </si>
  <si>
    <t>HOS28-AE61947</t>
  </si>
  <si>
    <t>HOS28-SA969403</t>
  </si>
  <si>
    <t>HOS28-SA986014</t>
  </si>
  <si>
    <t>HOS28-SA986112</t>
  </si>
  <si>
    <t>HOS28-SA986113</t>
  </si>
  <si>
    <t>HOS28-SA986406</t>
  </si>
  <si>
    <t>HOS28-SA986407</t>
  </si>
  <si>
    <t>HOS28-SA983076</t>
  </si>
  <si>
    <t>HOS28-SA985228</t>
  </si>
  <si>
    <t>HOS28-SA985713</t>
  </si>
  <si>
    <t>HOS28-SA985471</t>
  </si>
  <si>
    <t>HOS28-SA986272</t>
  </si>
  <si>
    <t>HOS28-SA987695</t>
  </si>
  <si>
    <t>HOS28-SA987836</t>
  </si>
  <si>
    <t>HOS28-SA988862</t>
  </si>
  <si>
    <t>HOS28-SA989353</t>
  </si>
  <si>
    <t>HOS29-SA989229</t>
  </si>
  <si>
    <t>HOS30-SA980681</t>
  </si>
  <si>
    <t>HOS31-SA986941</t>
  </si>
  <si>
    <t>HOS31-AE61963</t>
  </si>
  <si>
    <t>HOS31-SA970928</t>
  </si>
  <si>
    <t>HOS31-SA975036</t>
  </si>
  <si>
    <t>HOS31-SA982970</t>
  </si>
  <si>
    <t>HOS31-SA983588</t>
  </si>
  <si>
    <t>HOS31-SA986271</t>
  </si>
  <si>
    <t>HOS31-SA986937</t>
  </si>
  <si>
    <t>HOS32-SA961631</t>
  </si>
  <si>
    <t>HOS32-SA969684</t>
  </si>
  <si>
    <t>HOS32-SA963283</t>
  </si>
  <si>
    <t>HOS32-SA965829</t>
  </si>
  <si>
    <t>HOS32-SA967632</t>
  </si>
  <si>
    <t>HOS32-SA967633</t>
  </si>
  <si>
    <t>HOS32-SA967634</t>
  </si>
  <si>
    <t>HOS32-SA970209</t>
  </si>
  <si>
    <t>HOS32-SA987965</t>
  </si>
  <si>
    <t>HOS32-SA989375</t>
  </si>
  <si>
    <t>HOS32-SA989376</t>
  </si>
  <si>
    <t>HOS32-SA966653</t>
  </si>
  <si>
    <t>HOS32-SA972145</t>
  </si>
  <si>
    <t>HOS32-SA974801</t>
  </si>
  <si>
    <t>HOS32-SA979288</t>
  </si>
  <si>
    <t>HOS32-SA985264</t>
  </si>
  <si>
    <t>HOS32-SA966812</t>
  </si>
  <si>
    <t>HOS32-SA969558</t>
  </si>
  <si>
    <t>HOS32-SA976741</t>
  </si>
  <si>
    <t>HOS32-SA983593</t>
  </si>
  <si>
    <t>HOS32-SA969683</t>
  </si>
  <si>
    <t>HOS32-SA973539</t>
  </si>
  <si>
    <t>HOS32-SA970129</t>
  </si>
  <si>
    <t>HOS32-SA970207</t>
  </si>
  <si>
    <t>HOS32-SA970208</t>
  </si>
  <si>
    <t>HOS32-SA974038</t>
  </si>
  <si>
    <t>HOS32-SA979153</t>
  </si>
  <si>
    <t>HOS32-SA988675</t>
  </si>
  <si>
    <t>HOS32-SA970587</t>
  </si>
  <si>
    <t>HOS32-SA970755</t>
  </si>
  <si>
    <t>HOS32-SA974037</t>
  </si>
  <si>
    <t>HOS32-SA980315</t>
  </si>
  <si>
    <t>HOS32-SA981362</t>
  </si>
  <si>
    <t>HOS32-SA987172</t>
  </si>
  <si>
    <t>HOS32-SA971227</t>
  </si>
  <si>
    <t>HOS32-SA981986</t>
  </si>
  <si>
    <t>HOS32-SA981987</t>
  </si>
  <si>
    <t>HOS32-SA971228</t>
  </si>
  <si>
    <t>HOS32-SA971542</t>
  </si>
  <si>
    <t>HOS32-SA973548</t>
  </si>
  <si>
    <t>HOS32-SA981979</t>
  </si>
  <si>
    <t>HOS32-SA989446</t>
  </si>
  <si>
    <t>HOS32-SA971485</t>
  </si>
  <si>
    <t>HOS32-SA971736</t>
  </si>
  <si>
    <t>HOS32-SA971847</t>
  </si>
  <si>
    <t>HOS32-SA973540</t>
  </si>
  <si>
    <t>HOS32-SA974034</t>
  </si>
  <si>
    <t>HOS32-SA981317</t>
  </si>
  <si>
    <t>HOS32-SA981988</t>
  </si>
  <si>
    <t>HOS32-SA982152</t>
  </si>
  <si>
    <t>HOS32-SA973541</t>
  </si>
  <si>
    <t>HOS32-SA973542</t>
  </si>
  <si>
    <t>HOS32-SA973543</t>
  </si>
  <si>
    <t>HOS32-SA973546</t>
  </si>
  <si>
    <t>HOS32-SA974036</t>
  </si>
  <si>
    <t>HOS32-SA973547</t>
  </si>
  <si>
    <t>HOS32-SA975842</t>
  </si>
  <si>
    <t>HOS32-SA987648</t>
  </si>
  <si>
    <t>HOS32-SA973549</t>
  </si>
  <si>
    <t>HOS32-SA977121</t>
  </si>
  <si>
    <t>HOS32-SA988136</t>
  </si>
  <si>
    <t>HOS32-SA973555</t>
  </si>
  <si>
    <t>HOS32-SA982151</t>
  </si>
  <si>
    <t>HOS32-SA985066</t>
  </si>
  <si>
    <t>HOS32-SA986029</t>
  </si>
  <si>
    <t>HOS32-SA986030</t>
  </si>
  <si>
    <t>HOS32-SA987963</t>
  </si>
  <si>
    <t>HOS32-SA989452</t>
  </si>
  <si>
    <t>HOS32-SA973556</t>
  </si>
  <si>
    <t>HOS32-SA981888</t>
  </si>
  <si>
    <t>HOS32-SA973557</t>
  </si>
  <si>
    <t>HOS32-SA979154</t>
  </si>
  <si>
    <t>HOS32-SA981363</t>
  </si>
  <si>
    <t>HOS32-SA987174</t>
  </si>
  <si>
    <t>HOS32-SA969779</t>
  </si>
  <si>
    <t>HOS32-SA973544</t>
  </si>
  <si>
    <t>HOS32-SA973545</t>
  </si>
  <si>
    <t>HOS32-SA987175</t>
  </si>
  <si>
    <t>HOS32-SA987176</t>
  </si>
  <si>
    <t>HOS32-SA987177</t>
  </si>
  <si>
    <t>HOS32-SA974033</t>
  </si>
  <si>
    <t>HOS32-SA977557</t>
  </si>
  <si>
    <t>HOS32-SA975761</t>
  </si>
  <si>
    <t>HOS32-SA976740</t>
  </si>
  <si>
    <t>HOS32-SA980274</t>
  </si>
  <si>
    <t>HOS32-SA980318</t>
  </si>
  <si>
    <t>HOS32-SA977843</t>
  </si>
  <si>
    <t>HOS32-SA982146</t>
  </si>
  <si>
    <t>HOS32-SA982147</t>
  </si>
  <si>
    <t>HOS32-SA977848</t>
  </si>
  <si>
    <t>HOS32-SA977849</t>
  </si>
  <si>
    <t>HOS32-SA979159</t>
  </si>
  <si>
    <t>HOS32-SA980317</t>
  </si>
  <si>
    <t>HOS32-SA981181</t>
  </si>
  <si>
    <t>HOS32-SA981889</t>
  </si>
  <si>
    <t>HOS32-SA989448</t>
  </si>
  <si>
    <t>HOS32-SA981890</t>
  </si>
  <si>
    <t>HOS32-SA989444</t>
  </si>
  <si>
    <t>HOS32-SA983638</t>
  </si>
  <si>
    <t>HOS32-SA983983</t>
  </si>
  <si>
    <t>HOS32-SA985426</t>
  </si>
  <si>
    <t>HOS32-SA985731</t>
  </si>
  <si>
    <t>HOS32-SA986812</t>
  </si>
  <si>
    <t>HOS32-SA988092</t>
  </si>
  <si>
    <t>HOS32-SA986813</t>
  </si>
  <si>
    <t>HOS32-SA987908</t>
  </si>
  <si>
    <t>HOS32-SA987964</t>
  </si>
  <si>
    <t>HOS32-SA989451</t>
  </si>
  <si>
    <t>HOS33-AE61890</t>
  </si>
  <si>
    <t>HOS34-AE62104</t>
  </si>
  <si>
    <t>HOS34-SA961220</t>
  </si>
  <si>
    <t>HOS34-SA963676</t>
  </si>
  <si>
    <t>HOS34-SA963694</t>
  </si>
  <si>
    <t>HOS34-SA965599</t>
  </si>
  <si>
    <t>HOS34-SA963065</t>
  </si>
  <si>
    <t>HOS34-SA969205</t>
  </si>
  <si>
    <t>HOS34-SA972428</t>
  </si>
  <si>
    <t>HOS34-SA975202</t>
  </si>
  <si>
    <t>HOS35-SA975108</t>
  </si>
  <si>
    <t>HOS35-SA982878</t>
  </si>
  <si>
    <t>HOS36-SA958517</t>
  </si>
  <si>
    <t>HOS36-SA958518</t>
  </si>
  <si>
    <t>HOS36-SA958519</t>
  </si>
  <si>
    <t>HOS36-SA959990</t>
  </si>
  <si>
    <t>HOS36-SA967036</t>
  </si>
  <si>
    <t>HOS36-SA959987</t>
  </si>
  <si>
    <t>HOS36-SA965563</t>
  </si>
  <si>
    <t>HOS36-SA968531</t>
  </si>
  <si>
    <t>HOS36-SA970523</t>
  </si>
  <si>
    <t>HOS36-SA971691</t>
  </si>
  <si>
    <t>HOS36-SA977971</t>
  </si>
  <si>
    <t>HOS36-SA981885</t>
  </si>
  <si>
    <t>HOS36-SA959989</t>
  </si>
  <si>
    <t>HOS36-SA973550</t>
  </si>
  <si>
    <t>HOS36-SA975029</t>
  </si>
  <si>
    <t>HOS36-SA975718</t>
  </si>
  <si>
    <t>HOS36-SA977979</t>
  </si>
  <si>
    <t>HOS36-SA959991</t>
  </si>
  <si>
    <t>HOS36-SA977984</t>
  </si>
  <si>
    <t>HOS36-SA979237</t>
  </si>
  <si>
    <t>HOS36-SA979238</t>
  </si>
  <si>
    <t>HOS36-SA979901</t>
  </si>
  <si>
    <t>HOS36-SA963579</t>
  </si>
  <si>
    <t>HOS36-SA967037</t>
  </si>
  <si>
    <t>HOS36-SA971774</t>
  </si>
  <si>
    <t>HOS36-SA963580</t>
  </si>
  <si>
    <t>HOS36-SA968538</t>
  </si>
  <si>
    <t>HOS36-SA969265</t>
  </si>
  <si>
    <t>HOS36-SA969266</t>
  </si>
  <si>
    <t>HOS36-SA972122</t>
  </si>
  <si>
    <t>HOS36-SA972123</t>
  </si>
  <si>
    <t>HOS36-SA971775</t>
  </si>
  <si>
    <t>HOS36-SA971776</t>
  </si>
  <si>
    <t>HOS36-SA974715</t>
  </si>
  <si>
    <t>HOS36-SA979892</t>
  </si>
  <si>
    <t>HOS36-SA971777</t>
  </si>
  <si>
    <t>HOS36-SA972119</t>
  </si>
  <si>
    <t>HOS36-SA972120</t>
  </si>
  <si>
    <t>HOS36-SA972121</t>
  </si>
  <si>
    <t>HOS36-SA973938</t>
  </si>
  <si>
    <t>HOS36-SA973939</t>
  </si>
  <si>
    <t>HOS36-SA981990</t>
  </si>
  <si>
    <t>HOS36-SA976288</t>
  </si>
  <si>
    <t>HOS36-SA976290</t>
  </si>
  <si>
    <t>HOS36-SA976294</t>
  </si>
  <si>
    <t>HOS36-SA976295</t>
  </si>
  <si>
    <t>HOS36-SA977954</t>
  </si>
  <si>
    <t>HOS36-SA977978</t>
  </si>
  <si>
    <t>HOS36-SA979899</t>
  </si>
  <si>
    <t>HOS36-SA977980</t>
  </si>
  <si>
    <t>HOS36-SA977983</t>
  </si>
  <si>
    <t>HOS36-SA979900</t>
  </si>
  <si>
    <t>HOS36-SA980269</t>
  </si>
  <si>
    <t>HOS36-SA980340</t>
  </si>
  <si>
    <t>HOS36-SA980341</t>
  </si>
  <si>
    <t>HOS36-SA980356</t>
  </si>
  <si>
    <t>HOS36-SA980428</t>
  </si>
  <si>
    <t>HOS36-SA980693</t>
  </si>
  <si>
    <t>HOS36-SA981887</t>
  </si>
  <si>
    <t>HOS36-SA982578</t>
  </si>
  <si>
    <t>HOS36-SA984714</t>
  </si>
  <si>
    <t>HOS36-SA984717</t>
  </si>
  <si>
    <t>HOS37-SA975658</t>
  </si>
  <si>
    <t>HOS37-SA975608</t>
  </si>
  <si>
    <t>HOS38-SA988428</t>
  </si>
  <si>
    <t>HOS38-SA986121</t>
  </si>
  <si>
    <t>HOS39-SA982366</t>
  </si>
  <si>
    <t>HOS39-SA986540</t>
  </si>
  <si>
    <t>HOS39-SA988327</t>
  </si>
  <si>
    <t>HOS40-SA985612</t>
  </si>
  <si>
    <t>HOS41-SA971345</t>
  </si>
  <si>
    <t>HOS41-SA964468</t>
  </si>
  <si>
    <t>HOS41-SA971499</t>
  </si>
  <si>
    <t>HOS41-SA986298</t>
  </si>
  <si>
    <t>HOS41-SA972146</t>
  </si>
  <si>
    <t>HOS41-SA976243</t>
  </si>
  <si>
    <t>HOS41-SA986894</t>
  </si>
  <si>
    <t>HOS41-SA980445</t>
  </si>
  <si>
    <t>HOS41-SA980447</t>
  </si>
  <si>
    <t>HOS41-SA985136</t>
  </si>
  <si>
    <t>HOS41-SA987360</t>
  </si>
  <si>
    <t>HOS41-SA985585</t>
  </si>
  <si>
    <t>HOS41-SA985887</t>
  </si>
  <si>
    <t>HOS41-SA987155</t>
  </si>
  <si>
    <t>HOS41-SA987847</t>
  </si>
  <si>
    <t>HOS42-SA974617</t>
  </si>
  <si>
    <t>HOS43-SA989078</t>
  </si>
  <si>
    <t>HOS43-SA980529</t>
  </si>
  <si>
    <t>HOS44-SA975617</t>
  </si>
  <si>
    <t>HOS45-SA977348</t>
  </si>
  <si>
    <t>HOS46-SA981791</t>
  </si>
  <si>
    <t>HOS47-SA984573</t>
  </si>
  <si>
    <t>HOS48-SA988201</t>
  </si>
  <si>
    <t>MULTI OPTIONS GENERAL TRADING LLC</t>
  </si>
  <si>
    <t>V00923</t>
  </si>
  <si>
    <t>201 PIZZA CORNER BUILD, ROLL STREET BURDUBAI</t>
  </si>
  <si>
    <t>Cyber Space</t>
  </si>
  <si>
    <t>SV00555</t>
  </si>
  <si>
    <t>Al-Sharafia Dist-Khaled Bin Al-Waleed St</t>
  </si>
  <si>
    <t>ADWAA AL-JAZZERAH TRD.</t>
  </si>
  <si>
    <t>SV00556</t>
  </si>
  <si>
    <t>Bin Shihoon Center, Alghorabi Street, Jeddah</t>
  </si>
  <si>
    <t>Golden Care General Trading LLC</t>
  </si>
  <si>
    <t>V00924</t>
  </si>
  <si>
    <t>34 A street, Golden Care General Trading LLC, next to Karachi Darbar Restaurant, Hor Al Anz, Dubai</t>
  </si>
  <si>
    <t>Al- Saiedah Al Anikah Exh. (SOR)</t>
  </si>
  <si>
    <t>SV00557</t>
  </si>
  <si>
    <t>Shaybah Street -King Abdul Aziz district, building 5, office 17</t>
  </si>
  <si>
    <t>LEADER INVESTMENT COMPANY</t>
  </si>
  <si>
    <t>SV00558</t>
  </si>
  <si>
    <t>Olayah Area, Olayah Main Road Near Computer Market</t>
  </si>
  <si>
    <t>Almaa Almoalaj</t>
  </si>
  <si>
    <t>SV00559</t>
  </si>
  <si>
    <t>Jeddah-Al Maeem district- Abu Otbah Al Kholani Street bild.no 21 - 1st floor office no 1</t>
  </si>
  <si>
    <t>Madni Abdulhaq Mustafa Trading</t>
  </si>
  <si>
    <t>SV00560</t>
  </si>
  <si>
    <t>Al Rehab, Al Khaskiya Balad, P.O.Box No. 1246, Jeddah 21431,</t>
  </si>
  <si>
    <t>Areej Al Arab</t>
  </si>
  <si>
    <t>SV00561</t>
  </si>
  <si>
    <t>Oroba St. near king abdulaziz rd Areej Al Salam bild. Al Arab store no. 3</t>
  </si>
  <si>
    <t>Al Olayan Trading (Majmua Saleh Al Olayan Al Hamar Al Olayan Tijara)</t>
  </si>
  <si>
    <t>SV00562</t>
  </si>
  <si>
    <t>Rimal Ahmed Bin Mutarif Street</t>
  </si>
  <si>
    <t>Golden Gala</t>
  </si>
  <si>
    <t>SV00563</t>
  </si>
  <si>
    <t>Dist. Yamamah St.Saqr Quraish Street, Al Salamah, 23436 Jeddah</t>
  </si>
  <si>
    <t>MATERIALS WORLD TRADING EST</t>
  </si>
  <si>
    <t>SV00564</t>
  </si>
  <si>
    <t>7341 Street 4, Ghirnatah</t>
  </si>
  <si>
    <t>Hathi Abdul Moli Electronics Marketing Est</t>
  </si>
  <si>
    <t>SV00565</t>
  </si>
  <si>
    <t>aljubail industrial area 31961</t>
  </si>
  <si>
    <t>MAK TECH</t>
  </si>
  <si>
    <t>SV00566</t>
  </si>
  <si>
    <t>Khaled Bin Alwalid St. Sharafiyah District P.O Box number 30926</t>
  </si>
  <si>
    <t>Ibrahim Ibrahim Hasan Bahary Est</t>
  </si>
  <si>
    <t>SV00567</t>
  </si>
  <si>
    <t>Office 24, floor 4, Al-Rawda Street, Nora Building, Near square bridage</t>
  </si>
  <si>
    <t>HADEER ALYAQUT TRADING EST</t>
  </si>
  <si>
    <t>SV00568</t>
  </si>
  <si>
    <t>23 AJMANST - QURTOBA DISTRICT</t>
  </si>
  <si>
    <t>Ahmed Suleiman - AWAMID EST</t>
  </si>
  <si>
    <t>SV00569</t>
  </si>
  <si>
    <t>Riyadh Eastern Ring Exit 12</t>
  </si>
  <si>
    <t>eXtraVisions</t>
  </si>
  <si>
    <t>SV00570</t>
  </si>
  <si>
    <t>PO Box: 65184, Mushrifa Dist, near Ittihad Club</t>
  </si>
  <si>
    <t>AlEstikmal Trading Est</t>
  </si>
  <si>
    <t>SV00571</t>
  </si>
  <si>
    <t>KHALID BIN WALEED , P.O Box No. 18277, Palestine street, Behind Bridgestone building</t>
  </si>
  <si>
    <t>Mubkar Electronics (SOR)</t>
  </si>
  <si>
    <t>SV00572</t>
  </si>
  <si>
    <t>Al-Khobar King AbdulAziiz Rd. Cross 24</t>
  </si>
  <si>
    <t>Maryam Naser Al Kahtani cosmetic Est.</t>
  </si>
  <si>
    <t>SV00573</t>
  </si>
  <si>
    <t>Jaddah -Al Rahili district beside Sanabel Al salam confectionery store no 3</t>
  </si>
  <si>
    <t>Magic Flooring Est</t>
  </si>
  <si>
    <t>SV00574</t>
  </si>
  <si>
    <t>Khodarya Area - Behind Fozan Building Materials</t>
  </si>
  <si>
    <t>International Trading Est.</t>
  </si>
  <si>
    <t>SV00575</t>
  </si>
  <si>
    <t>Al Othman Center, Al Baladyah Street, Aziziyah Dist., Jeddah street.</t>
  </si>
  <si>
    <t>Muassasat Aim AlYamam Tijara (Dove Lights)</t>
  </si>
  <si>
    <t>SV00576</t>
  </si>
  <si>
    <t>AL Yasmin Area - Anic Bin Mailke Road</t>
  </si>
  <si>
    <t>Kanz Al Mostagbal Co. Ltd. For Trading</t>
  </si>
  <si>
    <t>SV00577</t>
  </si>
  <si>
    <t>Al Azizia exit No. 22 Al Worood District, Kaz Al Mostagbal Building 1st floor, office 4</t>
  </si>
  <si>
    <t>Kanz Al Mostagbal Co. Ltd. For Trading (SOR)</t>
  </si>
  <si>
    <t>SV00578</t>
  </si>
  <si>
    <t>AlRamly Trading Compnay</t>
  </si>
  <si>
    <t>SV00579</t>
  </si>
  <si>
    <t>Al Mugrazat ,Jarir Bin Abdullah Al Bijli St. Building 6805 Office 6. PO Box 286 213 Riyadh,11323</t>
  </si>
  <si>
    <t>Ikaf Company</t>
  </si>
  <si>
    <t>SV00580</t>
  </si>
  <si>
    <t>Riyadh - Shifa, Senaeya District - Imam Malik street, Ikaf building ground floor IT &amp; Marketing depa</t>
  </si>
  <si>
    <t>Ikaf Company (SOR)</t>
  </si>
  <si>
    <t>SV00581</t>
  </si>
  <si>
    <t>CITY SHOES TRADING LLC</t>
  </si>
  <si>
    <t>V00925</t>
  </si>
  <si>
    <t>Unit 15, Blue Building Warehouse, Opposite Enoc Petrol Station, Latifa Bint Hamdan Street, Al Quoz 4</t>
  </si>
  <si>
    <t>Saud Rasheed Al Osimi comp.</t>
  </si>
  <si>
    <t>SV00582</t>
  </si>
  <si>
    <t>AL dammam- bader district- Al khwarismi street - Hoor center -Saud pharmacy</t>
  </si>
  <si>
    <t>Anwar Al-Sayouf Co</t>
  </si>
  <si>
    <t>SV00583</t>
  </si>
  <si>
    <t>Riyadh - Al Faisalia district -Exit 18 behaind Abu haitham coffee warehouse no 8</t>
  </si>
  <si>
    <t>Electric Avenue Trading Company LLC</t>
  </si>
  <si>
    <t>V00926</t>
  </si>
  <si>
    <t>Electric Avenue Trading Company LLC Lootah Warehouse Marrakish Street Umm Ramool, Al Rashidiya L</t>
  </si>
  <si>
    <t>Middle East Corner For Electric Est</t>
  </si>
  <si>
    <t>SV00584</t>
  </si>
  <si>
    <t>Hay al amal, Shara Asad bin Alfraat</t>
  </si>
  <si>
    <t>SRAYA ALWAHA FOR TRADING</t>
  </si>
  <si>
    <t>SV00585</t>
  </si>
  <si>
    <t>Al Riyadh -Ù6945 Al Ameen Abdullah Al Ali Al Naeem Street, Al Malaz - office no 1</t>
  </si>
  <si>
    <t>Ozone Modern Establishment (SOR)</t>
  </si>
  <si>
    <t>SV00586</t>
  </si>
  <si>
    <t>Makkah Old Road , Kilo 12 , Beside Saba Poly Clinic bild no 203</t>
  </si>
  <si>
    <t>50+10</t>
  </si>
  <si>
    <t>Ozone Modern Establishment</t>
  </si>
  <si>
    <t>SV00587</t>
  </si>
  <si>
    <t>ofoq Media</t>
  </si>
  <si>
    <t>SV00588</t>
  </si>
  <si>
    <t>Amir Mit'ab Street Al Safa Area P.O.Box 54731</t>
  </si>
  <si>
    <t>Zinc Distribution FZE</t>
  </si>
  <si>
    <t>V00930</t>
  </si>
  <si>
    <t>904, Zamzam Typing Building Al Nahda 2, Behind Zulekha Hospial</t>
  </si>
  <si>
    <t>Time House Trading LLC</t>
  </si>
  <si>
    <t>V00931</t>
  </si>
  <si>
    <t>Industrail Area 13, Near National paints behind Al Wasit Machinery</t>
  </si>
  <si>
    <t>Alamat Al Fakhama Trading Est.</t>
  </si>
  <si>
    <t>SV00589</t>
  </si>
  <si>
    <t>Abi Bakr As Siddiq Branch Rd, Al Mursalat Riyadh 12462, Mursalat Building first floor office 10</t>
  </si>
  <si>
    <t>Dar Samra Computers LLC</t>
  </si>
  <si>
    <t>V00933</t>
  </si>
  <si>
    <t>Shop No 3 Jalad "Jabal Arafat" Building, King Faisal Road, Al Majaz 1 Area, PO Box: 31449, Sharjah</t>
  </si>
  <si>
    <t>Jana Trading Est. (SOR)</t>
  </si>
  <si>
    <t>SV00590</t>
  </si>
  <si>
    <t>Al Faisalia District , Al Nahda Street, Exit 18, Roaa Est. for logistics warehouse near to the Dorye</t>
  </si>
  <si>
    <t>45+5</t>
  </si>
  <si>
    <t>Jana Trading Est.</t>
  </si>
  <si>
    <t>SV00591</t>
  </si>
  <si>
    <t>Beauty Views Est.</t>
  </si>
  <si>
    <t>SV00592</t>
  </si>
  <si>
    <t>Riyadh - King Fahad Rod. Al Taameer center office 13041</t>
  </si>
  <si>
    <t>Fatemah Ali Hosain Abdali</t>
  </si>
  <si>
    <t>SV00593</t>
  </si>
  <si>
    <t>Dammam - Extension of Dhahran Street - opposite Sama Sama Supermarket Fatema Al Abdali Store</t>
  </si>
  <si>
    <t>rawaa alhader</t>
  </si>
  <si>
    <t>SV00594</t>
  </si>
  <si>
    <t>riyadh - westren ring road exit 28 beside Al Haram center office</t>
  </si>
  <si>
    <t>Al Sadhan Stores</t>
  </si>
  <si>
    <t>SV00595</t>
  </si>
  <si>
    <t>Panda Retail Company</t>
  </si>
  <si>
    <t>SV00596</t>
  </si>
  <si>
    <t>Abdullah AlOthaim Markets</t>
  </si>
  <si>
    <t>SV00597</t>
  </si>
  <si>
    <t>Al Raya Supermarket</t>
  </si>
  <si>
    <t>SV00598</t>
  </si>
  <si>
    <t>Jeddah</t>
  </si>
  <si>
    <t>Manuel Supermarket</t>
  </si>
  <si>
    <t>SV00599</t>
  </si>
  <si>
    <t>Danube Company</t>
  </si>
  <si>
    <t>SV00600</t>
  </si>
  <si>
    <t>Lulu Hypermarket</t>
  </si>
  <si>
    <t>SV00601</t>
  </si>
  <si>
    <t>Dammam</t>
  </si>
  <si>
    <t>Nesto Hypermarket</t>
  </si>
  <si>
    <t>SV00602</t>
  </si>
  <si>
    <t>Fast Buy Garments Trading LLC</t>
  </si>
  <si>
    <t>V00934</t>
  </si>
  <si>
    <t>No. 4, Alpha DATA, Gate 5, Investment Park 2</t>
  </si>
  <si>
    <t>Muneer Abdulrahman Essa Establishment For Trading</t>
  </si>
  <si>
    <t>SV00603</t>
  </si>
  <si>
    <t>Batha , Al Rajhi 5 Buildings , Bulding no : 3</t>
  </si>
  <si>
    <t>Vibrant Global FZC</t>
  </si>
  <si>
    <t>V00935</t>
  </si>
  <si>
    <t>Warehouse No. 2, Opposite Dyno King Garage, Behind Civil Defence Roundabout, DIP 2</t>
  </si>
  <si>
    <t>Fashion Brands International INC(KSA)</t>
  </si>
  <si>
    <t>SV00604</t>
  </si>
  <si>
    <t>3000 atrium way, Street#115,</t>
  </si>
  <si>
    <t>K and K Impex</t>
  </si>
  <si>
    <t>SV00605</t>
  </si>
  <si>
    <t>Unit no. S 74, Vardhman Plaza, LSC Nehru Vihar, New Delhi, 110054</t>
  </si>
  <si>
    <t>Khabibovs Group FZC</t>
  </si>
  <si>
    <t>V00936</t>
  </si>
  <si>
    <t>115, Maple 2, Emirates Gardens 2, Jumeirah Village Circle</t>
  </si>
  <si>
    <t>Khaled Ahmed Al-Sehan Est</t>
  </si>
  <si>
    <t>SV00606</t>
  </si>
  <si>
    <t>Sama Building 4th Floor Office # 31 King Fahad Street 17-18 North Khobar Eastern Region, Kingdom of</t>
  </si>
  <si>
    <t>96659596 5577</t>
  </si>
  <si>
    <t>Fashion Brands International INC</t>
  </si>
  <si>
    <t>V00937</t>
  </si>
  <si>
    <t>Moasasa Mohammad Hamza Madhash Tijara</t>
  </si>
  <si>
    <t>SV00607</t>
  </si>
  <si>
    <t>ALI REZA TOWER, MADINA ROAD, Jeddah</t>
  </si>
  <si>
    <t>Abeer Services</t>
  </si>
  <si>
    <t>SV00608</t>
  </si>
  <si>
    <t>Hai As saadah Zahra street, Al Ahsa P.O Box 12812</t>
  </si>
  <si>
    <t>Teqtronix International General Trading LLC</t>
  </si>
  <si>
    <t>V00938</t>
  </si>
  <si>
    <t>Office 242, 2nd Floor, Hyatt Regency Hotel, Deira</t>
  </si>
  <si>
    <t>Comus FZE</t>
  </si>
  <si>
    <t>V00939</t>
  </si>
  <si>
    <t>AJ Logistics World Wide Services LLC, Warehouse A-10, Emirates Driving Institute Compound, Al Qouz I</t>
  </si>
  <si>
    <t>FUJIAN FUTURESTAR ELECTRONICS TRADING FZCO</t>
  </si>
  <si>
    <t>V00940</t>
  </si>
  <si>
    <t>A10,ZhongDong Sanitary Ware Center,1st Floor, Dragon Mart 1 ,Dubai,U.A.E.</t>
  </si>
  <si>
    <t>mPhone DWC-LLC</t>
  </si>
  <si>
    <t>V00941</t>
  </si>
  <si>
    <t>mphone DWC-LLC, Building: D,Office: 217, Buisnesspark, Dubai World central, PO Box No. 39298</t>
  </si>
  <si>
    <t>Soft Land</t>
  </si>
  <si>
    <t>SV00609</t>
  </si>
  <si>
    <t>Olaya St.</t>
  </si>
  <si>
    <t>Gulf Shadows Computer Systems (SOR)</t>
  </si>
  <si>
    <t>V00942</t>
  </si>
  <si>
    <t>Business centre, Office no.109, khaleed bin Al waleed Road, Bur Dubai</t>
  </si>
  <si>
    <t>Gulf Shadows Computer Systems</t>
  </si>
  <si>
    <t>V00943</t>
  </si>
  <si>
    <t>ONE PREPAY</t>
  </si>
  <si>
    <t>V00944</t>
  </si>
  <si>
    <t>OFFICE 113 1st floor Ghusais 2 Bldg.RAK REALESTATE</t>
  </si>
  <si>
    <t>Krishna International Fzco</t>
  </si>
  <si>
    <t>V00945</t>
  </si>
  <si>
    <t>412, Deira Tower, Deira Dubai. (Rss Mobile Trd)</t>
  </si>
  <si>
    <t>Be Portable International FZC</t>
  </si>
  <si>
    <t>V00946</t>
  </si>
  <si>
    <t>803 Pearl beach Tower</t>
  </si>
  <si>
    <t>Seoof Al Salam Est (SOR)</t>
  </si>
  <si>
    <t>SV00610</t>
  </si>
  <si>
    <t>Riyadh -Manfohah distract -perfumes Market -store no 102</t>
  </si>
  <si>
    <t>Seoof Al Salam Est</t>
  </si>
  <si>
    <t>SV00611</t>
  </si>
  <si>
    <t>Bindawood Super Store</t>
  </si>
  <si>
    <t>Madinah Road</t>
  </si>
  <si>
    <t>Teqtronix International General Trading LLC (KSA)</t>
  </si>
  <si>
    <t>SV00632</t>
  </si>
  <si>
    <t>Medical Assistant Est. for Trading (SOR)</t>
  </si>
  <si>
    <t>SV00633</t>
  </si>
  <si>
    <t>Al Masani,8179 Al Mansuriyah, Al Sahafa district , Anas bin Malik street, a building with one gate w</t>
  </si>
  <si>
    <t>Medical Assistant Est. for Trading</t>
  </si>
  <si>
    <t>SV00634</t>
  </si>
  <si>
    <t>Al Mubadala Trading Est. (Primex/Infinix)</t>
  </si>
  <si>
    <t>SV00635</t>
  </si>
  <si>
    <t>Arabian Oud building, Third floor , Orubah road , Riyadh</t>
  </si>
  <si>
    <t>Al Majed for Oud comp. (SOR)</t>
  </si>
  <si>
    <t>SV00636</t>
  </si>
  <si>
    <t>Ridadh Anas Ibn Malik Rd,Olaya St, Al Yasmin distract beside STC store</t>
  </si>
  <si>
    <t>Al Majed for Oud comp.</t>
  </si>
  <si>
    <t>SV00637</t>
  </si>
  <si>
    <t>SV00631</t>
  </si>
  <si>
    <t>Fatmah Raees Sumaidea EST</t>
  </si>
  <si>
    <t>SV00638</t>
  </si>
  <si>
    <t>AL Safa Dist, 23453, AL Shakreen Street, near Azizia</t>
  </si>
  <si>
    <t>Unique Idea</t>
  </si>
  <si>
    <t>SV00639</t>
  </si>
  <si>
    <t>Shop number 4 main road, Fayhaa Dist Abdullah Sulaiman Street,Jeddah-21412</t>
  </si>
  <si>
    <t>4+7</t>
  </si>
  <si>
    <t>Al Muassash Salehiya Medical Trading. (SOR)</t>
  </si>
  <si>
    <t>SV00640</t>
  </si>
  <si>
    <t>Riyadh - Al Shefah distract, Al Emam Muslem street, warehouse no 4</t>
  </si>
  <si>
    <t>Al Muassash Salehiya Medical Trading.</t>
  </si>
  <si>
    <t>SV00641</t>
  </si>
  <si>
    <t>International Excellent Perfumes Enterprise (SOR)</t>
  </si>
  <si>
    <t>SV00642</t>
  </si>
  <si>
    <t>Riyadh-Manfouhah Al Jadidah -Al Amir Muhammad Ibn Abdul Rahman Rd with Al Batha street -Al Jazera Su</t>
  </si>
  <si>
    <t>International Excellent Perfumes Enterprise</t>
  </si>
  <si>
    <t>SV00643</t>
  </si>
  <si>
    <t>Future for modern products</t>
  </si>
  <si>
    <t>SV00644</t>
  </si>
  <si>
    <t>FMP, Matbouli building, 3rd floor, Quraish road</t>
  </si>
  <si>
    <t>Adira Enterprises FZE</t>
  </si>
  <si>
    <t>V00951</t>
  </si>
  <si>
    <t>1010, S.S. Lootah Building, Al Nahda 2</t>
  </si>
  <si>
    <t>Saudi Fast Corporation (SOR)</t>
  </si>
  <si>
    <t>SV00645</t>
  </si>
  <si>
    <t>Office # 302, Arabian Business Centre, King Abdullah Road, P.O. Box 132533, Jeddah 21382</t>
  </si>
  <si>
    <t>Saudi Fast Corporation</t>
  </si>
  <si>
    <t>SV00646</t>
  </si>
  <si>
    <t>ABB Trading Est</t>
  </si>
  <si>
    <t>SV00647</t>
  </si>
  <si>
    <t>2 Beajan road , Qortuba , Riyadh</t>
  </si>
  <si>
    <t>YOUTH TECH EST</t>
  </si>
  <si>
    <t>SV00648</t>
  </si>
  <si>
    <t>Al Hazim Wasel Add. 3696 Al Qattar-Swedi-Riyadh 12788-6754</t>
  </si>
  <si>
    <t>The Initiative Trading Est. (ITE)</t>
  </si>
  <si>
    <t>SV00649</t>
  </si>
  <si>
    <t>Dammam - PO Box 5648, Near Juffali Building, King Fahd Road</t>
  </si>
  <si>
    <t>Urban Solutions FZ LLC</t>
  </si>
  <si>
    <t>V00952</t>
  </si>
  <si>
    <t>Al Soufuh Area, Acacia Avenue, Villa 5</t>
  </si>
  <si>
    <t>RUKEN EVAN</t>
  </si>
  <si>
    <t>SV00650</t>
  </si>
  <si>
    <t>riyadh - aziziah district near Panda hypermarket -Mohamed Rasheed street -warehouse 12</t>
  </si>
  <si>
    <t>LAFI ESTABLISHMENT FOR TRADING AND CONTRACTING</t>
  </si>
  <si>
    <t>SV00651</t>
  </si>
  <si>
    <t>SAHARI CENTER, PALASTINE STREET, NEAR HAIFAA MALL, AL-RUWAIS DISTRICT</t>
  </si>
  <si>
    <t>Qasr Alawani Company</t>
  </si>
  <si>
    <t>SV00652</t>
  </si>
  <si>
    <t>Makkah Road. Al mazar Before Exit Om Alhmam</t>
  </si>
  <si>
    <t>Rawat Al Anakah Est.</t>
  </si>
  <si>
    <t>SV00653</t>
  </si>
  <si>
    <t>Al Takhasussi District, Price Sultan Bin Abdul Azez Street, building no. 7 first floor, office 3</t>
  </si>
  <si>
    <t>Rawat Al Anakah Est.(SOR)</t>
  </si>
  <si>
    <t>SV00654</t>
  </si>
  <si>
    <t>Shoes King Trading</t>
  </si>
  <si>
    <t>V00953</t>
  </si>
  <si>
    <t>Shoes Warehouse, Al Safeer Group of Companies, Industrial Area 1, Behind Sharjah City Center, PO Box</t>
  </si>
  <si>
    <t>Al emdad and al emmar for trading</t>
  </si>
  <si>
    <t>SV00655</t>
  </si>
  <si>
    <t>Al mutanabi street malaz area ( alemdad and al emmar est.) , Riyadh</t>
  </si>
  <si>
    <t>Abdul Aziz &amp; Sulaiman Saleh Al Hakbani Sons Co</t>
  </si>
  <si>
    <t>SV00656</t>
  </si>
  <si>
    <t>AL HAKBANI GROUP Office #15, Building No:1, Street : Thakassusi, Thalia Centre. Near Panorama Mall</t>
  </si>
  <si>
    <t>Thbat Systems</t>
  </si>
  <si>
    <t>SV00657</t>
  </si>
  <si>
    <t>King Fahad Branch Rd, Ad Duraihimiyah, behind king fahad library, Riyadh 12741</t>
  </si>
  <si>
    <t>Specialized Care Medical Equipments</t>
  </si>
  <si>
    <t>SV00658</t>
  </si>
  <si>
    <t>Abu Bakr As Siddiq Road, Al-Sharafeyah, Jeddah 23218,Khayyat Tower, Office 32</t>
  </si>
  <si>
    <t>MNSSAT</t>
  </si>
  <si>
    <t>SV00659</t>
  </si>
  <si>
    <t>Anas Bin Malik St,, 4454 Bldg A2, Office 9,</t>
  </si>
  <si>
    <t>Alattaa Technical Communication and IT Est.</t>
  </si>
  <si>
    <t>SV00660</t>
  </si>
  <si>
    <t>3089 An Nakhila Street</t>
  </si>
  <si>
    <t>Menshaf Optical Est.</t>
  </si>
  <si>
    <t>SV00661</t>
  </si>
  <si>
    <t>Hassan bin Ali street Rawdah 2, building 7807 first floor, office 1</t>
  </si>
  <si>
    <t>Pretty Diamond Trading Est.</t>
  </si>
  <si>
    <t>SV00662</t>
  </si>
  <si>
    <t>Prince Muhammad Bin Abdulaziz Rd, Al Olaya, near Localizer Mall, Riyadh 12222</t>
  </si>
  <si>
    <t>nasaem beauty trading est</t>
  </si>
  <si>
    <t>SV00663</t>
  </si>
  <si>
    <t>al wrood area king fahd street , mahmood saad mall , 1st floor ,office no 131 jeddah</t>
  </si>
  <si>
    <t>SMG TRADING EST</t>
  </si>
  <si>
    <t>SV00664</t>
  </si>
  <si>
    <t>Office no : 9 Tawuniya Building, Nasiriya Street, PO box: 246220,</t>
  </si>
  <si>
    <t>Mashael al Asemah (M2)</t>
  </si>
  <si>
    <t>SV00665</t>
  </si>
  <si>
    <t>Al Rajhi center, 2nd floor, Batha , Riyadh</t>
  </si>
  <si>
    <t>Wardat Ealaf Est.</t>
  </si>
  <si>
    <t>SV00666</t>
  </si>
  <si>
    <t>Riyadh - Manfoha district-Perfume market -Wardat Ealaf store</t>
  </si>
  <si>
    <t>Wardat Ealaf Est.(SOR)</t>
  </si>
  <si>
    <t>SV00667</t>
  </si>
  <si>
    <t>Trendy forever Trading L.L.C</t>
  </si>
  <si>
    <t>V00956</t>
  </si>
  <si>
    <t>Shop # 51 J3 Mall Al Wasel Road Jumeirah 3 Dubai (UAE)</t>
  </si>
  <si>
    <t>Anwar Al-Sayouf for trading Est.(SOR)</t>
  </si>
  <si>
    <t>SV00668</t>
  </si>
  <si>
    <t>Riyadh- Qortoba distract - Saeed bin Zaid street -Mathaf Al Sharq beld. store 2</t>
  </si>
  <si>
    <t>Anwar Al-Sayouf for trading Est.</t>
  </si>
  <si>
    <t>SV00669</t>
  </si>
  <si>
    <t>Aiduk trading Establishment (Seller)</t>
  </si>
  <si>
    <t>SV00670</t>
  </si>
  <si>
    <t>P.O. Box 12815 - 6306, Al Malaz District, Al Ahsa Street, Philips Building, Ground Floor, office 1</t>
  </si>
  <si>
    <t>Faisal Esam Ahmed Al Aqeeli(SOR)</t>
  </si>
  <si>
    <t>SV00671</t>
  </si>
  <si>
    <t>3521 Ad Difa, Riyadh 14318 7500 ,bild 12 , office 1</t>
  </si>
  <si>
    <t>Faisal Esam Ahmed Al Aqeeli</t>
  </si>
  <si>
    <t>SV00672</t>
  </si>
  <si>
    <t>Krishna International Fzco (KSA)</t>
  </si>
  <si>
    <t>SV00673</t>
  </si>
  <si>
    <t>Adira Enterprises FZE (KSA)</t>
  </si>
  <si>
    <t>SV00677</t>
  </si>
  <si>
    <t>Aljazeera Traders Co.</t>
  </si>
  <si>
    <t>SV00675</t>
  </si>
  <si>
    <t>Iskan Al kuwaiti building, Al Dabab Al-Ta'awon District, Riyadh</t>
  </si>
  <si>
    <t>Ahmed Mohammed M. Al musleh Group</t>
  </si>
  <si>
    <t>SV00676</t>
  </si>
  <si>
    <t>Al Khaldia Towers - Floor number 11 - Office No. 41113, Al Kajjan Street.</t>
  </si>
  <si>
    <t>Thoub Al Asalah Al Arabia For Ltd. Trading</t>
  </si>
  <si>
    <t>Bab Shareef District, Al Tmar Street, Al Habib Center Building, ground floor, Al Asalah store</t>
  </si>
  <si>
    <t>SV00674</t>
  </si>
  <si>
    <t>HAH Trading</t>
  </si>
  <si>
    <t>SV00678</t>
  </si>
  <si>
    <t>AL KHALEEJ district , JUBAIL STREET-BUILDING-5</t>
  </si>
  <si>
    <t>Al Amoudi Trading Co. LTD</t>
  </si>
  <si>
    <t>SV00679</t>
  </si>
  <si>
    <t>Okadh Street, Al Rehab District, P.O.BOX : 3851, JEDDAH 21481 KINGDOM OF SAUDI ARABIA</t>
  </si>
  <si>
    <t>Tech-Central</t>
  </si>
  <si>
    <t>SV00680</t>
  </si>
  <si>
    <t>3302 ismael naji, Al Shafi district, Abdulla abdul jabbar street</t>
  </si>
  <si>
    <t>MULTI TREND GENERAL TRADING &amp; CONTRACTING CO</t>
  </si>
  <si>
    <t>SV00681</t>
  </si>
  <si>
    <t>Multi Trend Int'l for General Trading &amp; Contracting Warehouse No. 1, Al Sulay, Istanbul Street Near</t>
  </si>
  <si>
    <t>5+15</t>
  </si>
  <si>
    <t>Elagent Life Store</t>
  </si>
  <si>
    <t>SV00682</t>
  </si>
  <si>
    <t>Alsafa District 4, 40 street, building 3053, Second floor, office 3.</t>
  </si>
  <si>
    <t>Qamis Aswad Est. for Trading (SOR)</t>
  </si>
  <si>
    <t>SV00683</t>
  </si>
  <si>
    <t>Alajwad 2 District, Al Manar St., House no. 2829</t>
  </si>
  <si>
    <t>Qamis Aswad Est. for Trading</t>
  </si>
  <si>
    <t>SV00684</t>
  </si>
  <si>
    <t>Ras Technology Trading Est</t>
  </si>
  <si>
    <t>SV00685</t>
  </si>
  <si>
    <t>Shop No 207 Second Floor Al Dossary Tower 1st Floor, Dahran Street,</t>
  </si>
  <si>
    <t>Madhar Al Jamal trading (SOR)</t>
  </si>
  <si>
    <t>SV00686</t>
  </si>
  <si>
    <t>Riyadh , Al Rabwah distract , Al Nahdah street,near Ward W Qais Market ,office no. 506</t>
  </si>
  <si>
    <t>Madhar Al Jamal trading</t>
  </si>
  <si>
    <t>SV00687</t>
  </si>
  <si>
    <t>Onyx Pharmacy</t>
  </si>
  <si>
    <t>V00960</t>
  </si>
  <si>
    <t>Shop No.5 Ground Floor, Mayfair Tower, Alabraj Street, Business Bay - Dubai, UAE</t>
  </si>
  <si>
    <t>Estaur FZE</t>
  </si>
  <si>
    <t>V00961</t>
  </si>
  <si>
    <t>Warehouse 1, 6A street, Al Quoz Industial Area 3</t>
  </si>
  <si>
    <t>alyasmeen mobile phone LLC</t>
  </si>
  <si>
    <t>V00962</t>
  </si>
  <si>
    <t>Shop no 3, Alestiqlal street, P.O.Box 47060</t>
  </si>
  <si>
    <t>SV00624</t>
  </si>
  <si>
    <t>Rawasi Al Bina Office # 4025 2 Nd Floor Olaya View, Opposite Kingdom Tower</t>
  </si>
  <si>
    <t>Hope Team Trading</t>
  </si>
  <si>
    <t>SV00612</t>
  </si>
  <si>
    <t>Al Rawdah District, Prince Naser Bin Abdulaziz Street Riyadh 13211.</t>
  </si>
  <si>
    <t>specialized care medical equipment</t>
  </si>
  <si>
    <t>SV00613</t>
  </si>
  <si>
    <t>Jedah -Sharafeiah 3-ALmadenah road - Alkayat Tower- floor 3- office 32</t>
  </si>
  <si>
    <t>AppDev</t>
  </si>
  <si>
    <t>SV00614</t>
  </si>
  <si>
    <t>Al Olaya Street, near Alakaria Plaza Building Olaya 2392- P.O Box 12244</t>
  </si>
  <si>
    <t>MARAM AHMED AL AMMARI TRADING EST.</t>
  </si>
  <si>
    <t>SV00615</t>
  </si>
  <si>
    <t>ALWOROOD DISTRICT NEAR TO AL ANDALUS MALL PO Box 50376, JEDDAH- 21523</t>
  </si>
  <si>
    <t>Nour Gadgets for IT Est.</t>
  </si>
  <si>
    <t>SV00616</t>
  </si>
  <si>
    <t>Hail street Ruwais District P.O.Box.No.2781 behind Chamber of Commerce, Jeddah-21452</t>
  </si>
  <si>
    <t>Eagal est</t>
  </si>
  <si>
    <t>SV00617</t>
  </si>
  <si>
    <t>3380 ourobah road</t>
  </si>
  <si>
    <t>kitrah Est</t>
  </si>
  <si>
    <t>SV00618</t>
  </si>
  <si>
    <t>Golden Wave Trading Est.</t>
  </si>
  <si>
    <t>SV00626</t>
  </si>
  <si>
    <t>Azizia-Al Naasser street -Al Sheraa building- office no 61</t>
  </si>
  <si>
    <t>Golden Wave Trading Est.(SOR)</t>
  </si>
  <si>
    <t>SV00625</t>
  </si>
  <si>
    <t>Medical Assistant Est. for Trading(SOR)</t>
  </si>
  <si>
    <t>Ranyah Mohamed Abdullah Seraj Est. for Trading</t>
  </si>
  <si>
    <t>SV00620</t>
  </si>
  <si>
    <t>King Abdullah, Gate 3 or 4, Sahara Mall (In front of H&amp;M) Abdulaziz Rd and King Rd Intersection</t>
  </si>
  <si>
    <t>Ranyah Mohamed Abdullah Seraj Est. for Trading(SOR)</t>
  </si>
  <si>
    <t>SV00619</t>
  </si>
  <si>
    <t>Nargrab Trading Est</t>
  </si>
  <si>
    <t>SV00627</t>
  </si>
  <si>
    <t>Office # 302 3rd Floor, La Terra Center Prince Sultan Street Jeddah</t>
  </si>
  <si>
    <t>Air Life Trading Co</t>
  </si>
  <si>
    <t>SV00621</t>
  </si>
  <si>
    <t>Air Life Trading Co.Exit 5, King Abdul Aziz Road Opposite to SAAB Bank Riyadh</t>
  </si>
  <si>
    <t>Teeb Alwazeer Trading Est</t>
  </si>
  <si>
    <t>SV00623</t>
  </si>
  <si>
    <t>Riyadh-Al Haeer Street-Factories distract -Al Luluah Industrial Area</t>
  </si>
  <si>
    <t>Teeb Alwazeer Trading Est (SOR)</t>
  </si>
  <si>
    <t>SV00622</t>
  </si>
  <si>
    <t>Al Majed for Oud comp.(SOR)</t>
  </si>
  <si>
    <t>Nas Etejahat Trading Est.(SOR)</t>
  </si>
  <si>
    <t>SV00688</t>
  </si>
  <si>
    <t>King Abdul Aziz Road Zaatar Wa Zait buliding- ÙAl Ghadeer district, 1st floor, office 1</t>
  </si>
  <si>
    <t>Nas Etejahat Trading Est.</t>
  </si>
  <si>
    <t>SV00689</t>
  </si>
  <si>
    <t>Victory Way Trading Llc</t>
  </si>
  <si>
    <t>Bur Dubai,al Raffa Road,shikthani Building ,ground Floor,shop No.9</t>
  </si>
  <si>
    <t>Murad Enterprises LLC</t>
  </si>
  <si>
    <t>Warehouse no 5, Behind Oasis Village, Compound 32, Al Quoz 3</t>
  </si>
  <si>
    <t>K-North Co. LLC</t>
  </si>
  <si>
    <t>Office M04, Mezzanine Floor, Bank Street Building, Khalid Bin Waleed Street, Bur Dubai</t>
  </si>
  <si>
    <t>V00967</t>
  </si>
  <si>
    <t>V00968</t>
  </si>
  <si>
    <t>V00969</t>
  </si>
  <si>
    <t>Coffee Communications FZE LLC (KSA)</t>
  </si>
  <si>
    <t>SV00690</t>
  </si>
  <si>
    <t>EnVision Sourcing &amp; Trading F.Z.C(KSA)</t>
  </si>
  <si>
    <t>SV00691</t>
  </si>
  <si>
    <t>FRB READYMADE TRADING</t>
  </si>
  <si>
    <t>V00973</t>
  </si>
  <si>
    <t>Zaabil 2 , Villa No. 136</t>
  </si>
  <si>
    <t>Light &amp; Power for Trading and Contracting LTD</t>
  </si>
  <si>
    <t>SV00692</t>
  </si>
  <si>
    <t>Al Zahraa District, Price Sultan Road, Al Hanati Business center, Ground floor, Office (Limme Design</t>
  </si>
  <si>
    <t>Gatirat alsharq Trading Est</t>
  </si>
  <si>
    <t>SV00693</t>
  </si>
  <si>
    <t>Office # 402, Bin Lidan Building Malik Abdulaziz Area Al Majmaah, Doha Street</t>
  </si>
  <si>
    <t>Transworld Computer Technology LLC</t>
  </si>
  <si>
    <t>V00974</t>
  </si>
  <si>
    <t>PO Box 19767 warehouse GB#4 , RIA -8 Jebel Ali , Dubai</t>
  </si>
  <si>
    <t>Madni Abdul Haque Mustapha EST.</t>
  </si>
  <si>
    <t>SV00694</t>
  </si>
  <si>
    <t>Ibn Nubatah, Tajad Din Al Malki Street, Al Aziziyah near Pakistan Intl. School Jeddah 23342,</t>
  </si>
  <si>
    <t>Actionwear</t>
  </si>
  <si>
    <t>V00975</t>
  </si>
  <si>
    <t>Shop no. 28, Al Shawab Building, Al Faheedi Street, Bur Dubai,</t>
  </si>
  <si>
    <t>Thamer Saud Barjas Al Muribadh Co.(SOR)</t>
  </si>
  <si>
    <t>SV00695</t>
  </si>
  <si>
    <t>Prince Mohamed bin Abdul Aziz Street, Al Olaya district, Building no. 226 First Floor, office no. 1</t>
  </si>
  <si>
    <t>5+4</t>
  </si>
  <si>
    <t>Thamer Saud Barjas Al Muribadh Co.</t>
  </si>
  <si>
    <t>SV00696</t>
  </si>
  <si>
    <t>Effective mobility solution limited</t>
  </si>
  <si>
    <t>SV00697</t>
  </si>
  <si>
    <t>Al-Hadad ware house, Sulai district, near dallah driving school</t>
  </si>
  <si>
    <t>Al-Musbah international limited company(SOR)</t>
  </si>
  <si>
    <t>SV00698</t>
  </si>
  <si>
    <t>Al-Musba warehouse â€“ Riyadh â€“ Sullay district warehouse no 65</t>
  </si>
  <si>
    <t>Al-Musbah international limited company</t>
  </si>
  <si>
    <t>SV00699</t>
  </si>
  <si>
    <t>Mamas &amp; Papas</t>
  </si>
  <si>
    <t>V00976</t>
  </si>
  <si>
    <t>Groud Floor, Sheikh Mohammed Bin Zayed Road, Mirdif City Centre - Dubai</t>
  </si>
  <si>
    <t>Saneel Trading Est.</t>
  </si>
  <si>
    <t>SV00700</t>
  </si>
  <si>
    <t>Alinma bank building , 1st floor, Almohamdiya District - Takhssusi St</t>
  </si>
  <si>
    <t>Hadi Saleh</t>
  </si>
  <si>
    <t>SV00701</t>
  </si>
  <si>
    <t>king faahd branch road,siteen street al baghdadiya al sharfiyah near naft petrol bunk opp to akbar t</t>
  </si>
  <si>
    <t>Naher Al Teeb</t>
  </si>
  <si>
    <t>SV00702</t>
  </si>
  <si>
    <t>RIYADH - EXIT 16 - bazara market office 12</t>
  </si>
  <si>
    <t>Etqan Electronics</t>
  </si>
  <si>
    <t>SV00703</t>
  </si>
  <si>
    <t>Al tadamun al arabi street 5261 - moshrefa district - al engaz building floor no. 6</t>
  </si>
  <si>
    <t>Mohammed S Alnahdi Est.</t>
  </si>
  <si>
    <t>SV00704</t>
  </si>
  <si>
    <t>Jeddah ,King Abdulla St, Abruq AR Rughamah District bild. 16</t>
  </si>
  <si>
    <t>Basian Est. for E-Marketing (SOR)</t>
  </si>
  <si>
    <t>SV00705</t>
  </si>
  <si>
    <t>Olaya District , Al Dabab Street, Eskan Gulf Building No. 19, First floor, Office 6</t>
  </si>
  <si>
    <t>Basian Est. for E-Marketing</t>
  </si>
  <si>
    <t>SV00706</t>
  </si>
  <si>
    <t>SV00707</t>
  </si>
  <si>
    <t>Mosaat Sayed Abdullah Ahmed Alamoudi(Riyadh)</t>
  </si>
  <si>
    <t>307 # Rania Business Center, Al Barsha 1,2nd Street, Po Box 115340,Dubai UAE</t>
  </si>
  <si>
    <t>Kunzite Jewelry Est.(SOR)</t>
  </si>
  <si>
    <t>SV00708</t>
  </si>
  <si>
    <t>Olaya District , King Fahad Road- Royal Mall - Showroom no. 157 - Gate no. 1 - 6805 Wasel</t>
  </si>
  <si>
    <t>Kunzite Jewelry Est.</t>
  </si>
  <si>
    <t>SV00709</t>
  </si>
  <si>
    <t>khairat company</t>
  </si>
  <si>
    <t>SV00710</t>
  </si>
  <si>
    <t>Prince Majid Rd,96, Jeddah 21541</t>
  </si>
  <si>
    <t>IVC General Trading FZC</t>
  </si>
  <si>
    <t>V00981</t>
  </si>
  <si>
    <t>Office.No: 404, HCBC Building, Damascus Street, Al Qusais</t>
  </si>
  <si>
    <t>Technomake</t>
  </si>
  <si>
    <t>SV00711</t>
  </si>
  <si>
    <t>Near Al Abbasia Street, Al Mishal, Prince Nassir Bin Abdulaiz St,. Al Rawdah, Riyadh-14327</t>
  </si>
  <si>
    <t>Mahad International</t>
  </si>
  <si>
    <t>SV00712</t>
  </si>
  <si>
    <t>Mahad International, 98/151, Pech Bagh</t>
  </si>
  <si>
    <t>Muassasat Awal Faqa Tijara(SOR)</t>
  </si>
  <si>
    <t>SV00713</t>
  </si>
  <si>
    <t>Mosaat Sayed Abdullah Ahmed Alamoudi(Jeddah)</t>
  </si>
  <si>
    <t>SV00714</t>
  </si>
  <si>
    <t>Al bahriya round about, opposite Al saraya furnishing, Al khomra, Jeddah</t>
  </si>
  <si>
    <t>SV00715</t>
  </si>
  <si>
    <t>United Naghi Co.</t>
  </si>
  <si>
    <t>SV00716</t>
  </si>
  <si>
    <t>Eddy Showroom.King Fahd Road, Riyadh</t>
  </si>
  <si>
    <t>NK &amp; NK Global FZC</t>
  </si>
  <si>
    <t>V00982</t>
  </si>
  <si>
    <t>SHOP 12, AL BUTEEN BUILDING, OPPOSITE LA PAZ HOTEL, MURSHID BAZAAR, DEIRA</t>
  </si>
  <si>
    <t>GIGI PHARMACEUTICAL STORE LLC</t>
  </si>
  <si>
    <t>V00983</t>
  </si>
  <si>
    <t>AL QASIMIYA, INDUSTRIAL AREA 4 ,SHARJAH</t>
  </si>
  <si>
    <t>YESHU TEL FZE</t>
  </si>
  <si>
    <t>V00984</t>
  </si>
  <si>
    <t>227, Block 2 R453 Wasl, Muhaisnah 4</t>
  </si>
  <si>
    <t>8+12</t>
  </si>
  <si>
    <t>Saudi Root</t>
  </si>
  <si>
    <t>SV00717</t>
  </si>
  <si>
    <t>1st floor, office number 4, al othman center, al-baladi street, aziziz district</t>
  </si>
  <si>
    <t>Abdul Rahim Mohamed Al Ahmed Trading Est.</t>
  </si>
  <si>
    <t>SV00718</t>
  </si>
  <si>
    <t>Abdul Hasan Street, King Fahad Road near Olaya</t>
  </si>
  <si>
    <t>Youssef Al Harbi Est. For Trading(SOR)</t>
  </si>
  <si>
    <t>SV00719</t>
  </si>
  <si>
    <t>Al Masanee Neighborhood, Said Al Shohada Street, Behind Dawodya Mall, Afaq shop</t>
  </si>
  <si>
    <t>Youssef Al Harbi Est. For Trading</t>
  </si>
  <si>
    <t>SV00720</t>
  </si>
  <si>
    <t>Al Saif Trading</t>
  </si>
  <si>
    <t>SV00721</t>
  </si>
  <si>
    <t>Al Saif Building King Fahad Road Near Otaga Whole Sale Market</t>
  </si>
  <si>
    <t>SV00722</t>
  </si>
  <si>
    <t>Derta Trading FZCO(KSA)</t>
  </si>
  <si>
    <t>SV00723</t>
  </si>
  <si>
    <t>Rawaa Al Saat Al Alamiya Est. For Trading (SOR)</t>
  </si>
  <si>
    <t>SV00724</t>
  </si>
  <si>
    <t>Imam Abdul Rahman bin Faisal Street - Al - Marqab neighborhood - Muraqeb Building, 1st floor, Raw</t>
  </si>
  <si>
    <t>Rawaa Al Saat Al Alamiya Est. For Trading</t>
  </si>
  <si>
    <t>SV00725</t>
  </si>
  <si>
    <t>Dkhoon Emiraties trading company</t>
  </si>
  <si>
    <t>SV00726</t>
  </si>
  <si>
    <t>KING FAHED STREET , TAMEER CENTER Office 2023</t>
  </si>
  <si>
    <t>Beauty care company</t>
  </si>
  <si>
    <t>SV00727</t>
  </si>
  <si>
    <t>stanbul St, As Sulay destruct , Bin Taleb petrol station, Beauty care company warehouse</t>
  </si>
  <si>
    <t>Assr Sana</t>
  </si>
  <si>
    <t>SV00728</t>
  </si>
  <si>
    <t>Prince Fahad Bin Ibrahim Al-Saud Street, Al Malaz P.O. Box 2759,Riyadh - 11427.</t>
  </si>
  <si>
    <t>Khalid N. Al Rumaih Co.</t>
  </si>
  <si>
    <t>SV00729</t>
  </si>
  <si>
    <t>Prince Mamdouh st, Al Solimanya direct Al 30, Behind Riyadh Bank, 4th floor, office 1</t>
  </si>
  <si>
    <t>Jihat Al Alamiah Company</t>
  </si>
  <si>
    <t>SV00730</t>
  </si>
  <si>
    <t>office # 260 5th floor Tower 02 AL Mousa Center, Olaya Street</t>
  </si>
  <si>
    <t>jumairah Marketing ( subsidiary of Bindawood Group)</t>
  </si>
  <si>
    <t>SV00731</t>
  </si>
  <si>
    <t>Danube Building, 1st Floor , Madinah Road Jeddah</t>
  </si>
  <si>
    <t>Meshal Ahmed Ali Al Meshal</t>
  </si>
  <si>
    <t>SV00732</t>
  </si>
  <si>
    <t>Prince Sultan Bin Abdulaziz Rd, As Sulimaniyah district ,Nebras store</t>
  </si>
  <si>
    <t>Coffee Communications FZE LLC (KSA) (Outright)</t>
  </si>
  <si>
    <t>SV00733</t>
  </si>
  <si>
    <t>High Point Technology Est.</t>
  </si>
  <si>
    <t>SV00734</t>
  </si>
  <si>
    <t>Al dubbat area, Mussab bin umerst, behind SABB Bank, 60th street to nukbeel el aud building.</t>
  </si>
  <si>
    <t>Onix Gallery (HT) (KSA)</t>
  </si>
  <si>
    <t>SV00735</t>
  </si>
  <si>
    <t>Almusdron Alarab Trading Est</t>
  </si>
  <si>
    <t>SV00736</t>
  </si>
  <si>
    <t>King Fahad distract , behind Sahara Mall, Prens Meshari ben Saud Street bild no.8</t>
  </si>
  <si>
    <t>Halabi Trading Co.</t>
  </si>
  <si>
    <t>SV00737</t>
  </si>
  <si>
    <t>Western Bugdadeah ÙAl Madares Street,office no 38</t>
  </si>
  <si>
    <t>Al Mouj Al Hadeeth Trading</t>
  </si>
  <si>
    <t>SV00738</t>
  </si>
  <si>
    <t>Jeddah, Al Worood destruct, King Abduallah street Owaisis Mall ,Al Mouj store</t>
  </si>
  <si>
    <t>Vogue Life Style Retail</t>
  </si>
  <si>
    <t>SV00739</t>
  </si>
  <si>
    <t>E-1403, Exotica Elegance, Plot No 9A, Ahinsa Khand II, Indirapuram, Ghaziabad, 201014</t>
  </si>
  <si>
    <t>Nawaf Abdul Rahman Al Zammay Est. For E-Marketing</t>
  </si>
  <si>
    <t>SV00740</t>
  </si>
  <si>
    <t>Abi Saeed Al Khodary Street, Al Khalij District, Building no. 44, 1st floor, office 2</t>
  </si>
  <si>
    <t>Nawaf Abdul Rahman Al Zammay Est. For E-Marketing (SOR)</t>
  </si>
  <si>
    <t>SV00741</t>
  </si>
  <si>
    <t>Angelus Trading FZC(KSA)</t>
  </si>
  <si>
    <t>SV00742</t>
  </si>
  <si>
    <t>Rawae Electronics.Co</t>
  </si>
  <si>
    <t>SV00743</t>
  </si>
  <si>
    <t>Al Imam Saud Ibn Abdul Aziz Branch Road Al Masif, Murslat Asas mall, Mursalat.</t>
  </si>
  <si>
    <t>Khaled Moallem Trading Est</t>
  </si>
  <si>
    <t>SV00744</t>
  </si>
  <si>
    <t>Shop number 1, Ghubairah, 6930, Al-Malaz, Riyadh</t>
  </si>
  <si>
    <t>Usman Ghani Abdulghani Abdulkarim Establishment</t>
  </si>
  <si>
    <t>SV00745</t>
  </si>
  <si>
    <t>8859-Al Khawarazmi street, Al Aziziyah district</t>
  </si>
  <si>
    <t>Salman Ali Al Sinan trading est.</t>
  </si>
  <si>
    <t>SV00746</t>
  </si>
  <si>
    <t>ÙKing Khaled Street,Al Muajel Mall ,Al Sinani store</t>
  </si>
  <si>
    <t>Strange technical shop</t>
  </si>
  <si>
    <t>SV00747</t>
  </si>
  <si>
    <t>Western Ring Road, Exit 27, Al Badee District P.O Box: 341904 Riyadh 11333</t>
  </si>
  <si>
    <t>Ahta Est. for Trading</t>
  </si>
  <si>
    <t>SV00748</t>
  </si>
  <si>
    <t>Badeeah district, Al Madina Road, Badeeah Mall, Gate 1, 1st floor, Ahta Store.</t>
  </si>
  <si>
    <t>Nebras Al Jamal trading est.</t>
  </si>
  <si>
    <t>SV00749</t>
  </si>
  <si>
    <t>Al sulai distract, Al Jazeerah street, beside Al Orobah medical center , office no.4</t>
  </si>
  <si>
    <t>FAZ Globel Scientific Contra Est.</t>
  </si>
  <si>
    <t>SV00750</t>
  </si>
  <si>
    <t>Exit-18, Near Sasco Petrol Pump, Street-Al Ameer, Haya Al Fasilya, Riyadh</t>
  </si>
  <si>
    <t>Al Rozna modern company</t>
  </si>
  <si>
    <t>SV00751</t>
  </si>
  <si>
    <t>Al sahafa district, anas bin malik street, al seef building office 19</t>
  </si>
  <si>
    <t>Mobarak Ali Al Khahtani est.</t>
  </si>
  <si>
    <t>SV00752</t>
  </si>
  <si>
    <t>Halimah As Saadiyyah street, Manfouhah Al Jadidah distret , front the mosque Mobarak Al Khahtani</t>
  </si>
  <si>
    <t>Ahmed Abdul Wahed for Home Applainces</t>
  </si>
  <si>
    <t>SV00753</t>
  </si>
  <si>
    <t>Ahmed Abdul Wahed Warehouse, Southern street, Khalidia District, Damam</t>
  </si>
  <si>
    <t>Mosaat Sayed Abdullah Ahmed Alamoudi(Riyadh)(SOR)</t>
  </si>
  <si>
    <t>SV00757</t>
  </si>
  <si>
    <t>Oxiwave Trading LLC</t>
  </si>
  <si>
    <t>V00998</t>
  </si>
  <si>
    <t>Al Jihad Shop, Ajman Gold Douq Nakheel Area , Ajman- Contact name and Number ; Ishfaq Iqbal , 056786</t>
  </si>
  <si>
    <t>Puma Middle East FZ-LLC</t>
  </si>
  <si>
    <t>V00999</t>
  </si>
  <si>
    <t>Puma Middle East FZ-LLC, Warehouse No RA08/SA-02, Blue Shed, Jebel Ali Freezone</t>
  </si>
  <si>
    <t>Kiyoseki Global LLC</t>
  </si>
  <si>
    <t>V01000</t>
  </si>
  <si>
    <t>WAB Design Street number D53 Al Makhtoum Airport Street East Sheikh Zayed road Exit 13</t>
  </si>
  <si>
    <t>ShenZhen WoTeFeiEr Technology Co LTD</t>
  </si>
  <si>
    <t>SV00758</t>
  </si>
  <si>
    <t>Bao An Qu XiXangGushuDiTieZhan HuaFengGongYe Yuan E Dong 205</t>
  </si>
  <si>
    <t>Mosaat Sayed Abdullah Ahmed Alamoudi(Jeddah)(SOR)</t>
  </si>
  <si>
    <t>SV00759</t>
  </si>
  <si>
    <t>Rughana Est.</t>
  </si>
  <si>
    <t>SV00760</t>
  </si>
  <si>
    <t>Exit 29, Bilal Ibn Rabah St, Aerejeh District, Building front of Alsaqqaf drugstore , 1st floor offi</t>
  </si>
  <si>
    <t>MOHAMMED ALKHURAIJI FACTORY FOR PERFUMES AND COSMETICS</t>
  </si>
  <si>
    <t>SV00761</t>
  </si>
  <si>
    <t>INDUSTRIAL AREA 2, Ibn Al Amid street , As Sulay distract ,near Al Derees petrol station buiding n</t>
  </si>
  <si>
    <t>Sarat AL -Shomokh trading est.</t>
  </si>
  <si>
    <t>SV00762</t>
  </si>
  <si>
    <t>Al Murabaa distract, Al Dabab street,Najmat Al Dabab building front of BMW store, 3thd floor, office</t>
  </si>
  <si>
    <t>Hussain Halail S. Alanazi Trading Est.</t>
  </si>
  <si>
    <t>SV00763</t>
  </si>
  <si>
    <t>Warehouse #8, Faisaliyah, Near Dry Port, Saudi Arabia,Riyadh. P.O.Box 245786 Riyadh:11312</t>
  </si>
  <si>
    <t>Mohsen Mohammed Muharraq Trading Est.</t>
  </si>
  <si>
    <t>SV00764</t>
  </si>
  <si>
    <t>Al Mira Building, 5th floor, office no. 54, Souq Al Awi street, Al Balad district</t>
  </si>
  <si>
    <t>K and K Impex (DXB)</t>
  </si>
  <si>
    <t>V01003</t>
  </si>
  <si>
    <t>LALS RETAIL L.L.C</t>
  </si>
  <si>
    <t>V01004</t>
  </si>
  <si>
    <t>Plot No. 248-394, Al Qusais Industrial Area 5, Dubai</t>
  </si>
  <si>
    <t>TRIZONE ELECTRONICS TRADING LLC (KSA)</t>
  </si>
  <si>
    <t>SV00765</t>
  </si>
  <si>
    <t>Hashim M Alnahwi Est</t>
  </si>
  <si>
    <t>SV00766</t>
  </si>
  <si>
    <t>King Saud Street, Alkhobar Al Shamalya- Levis Center, ground floor, Store 7</t>
  </si>
  <si>
    <t>Jenon Tech Est</t>
  </si>
  <si>
    <t>SV00767</t>
  </si>
  <si>
    <t>Al Naseem Dist, Gulf Plaza Madinah Road 5th Floor, Office #515 PO Box. 53961 Jeddah 21593</t>
  </si>
  <si>
    <t>AL SHATRI STORE FOR ELECTRICAL EQUIPMENTS</t>
  </si>
  <si>
    <t>SV00768</t>
  </si>
  <si>
    <t>Al-Shartri store, southern main market, Beside NCB, Al-Balad, Jeddah</t>
  </si>
  <si>
    <t>Tam Business</t>
  </si>
  <si>
    <t>SV00769</t>
  </si>
  <si>
    <t>Shibh Al Jazira Road , 13b , Al Sulay , Riyadh</t>
  </si>
  <si>
    <t>CQCLICK - CIA CANOA QUEBRADA</t>
  </si>
  <si>
    <t>SV00770</t>
  </si>
  <si>
    <t>C/Xaloc N/5 Poligono Industrial Camp Liong Postcode 25600</t>
  </si>
  <si>
    <t>Creative Time Electronics LLC</t>
  </si>
  <si>
    <t>V01014</t>
  </si>
  <si>
    <t>P O BOX 172122, AL SHABANI BUILDING ,SHOP NO 5,Opp NAIF POLICE STATION, AYAL NASIR AREA NAIF DUBAI</t>
  </si>
  <si>
    <t>Lime Concepts Genral Trading LLC</t>
  </si>
  <si>
    <t>Beauty &amp; Fragrance International (LLC) (KSA)</t>
  </si>
  <si>
    <t>SV00771</t>
  </si>
  <si>
    <t>918; B Block; Business Village; Clock Tower Deira Dubai</t>
  </si>
  <si>
    <t>Beauty &amp; Fragrance International (LLC) (DXB)</t>
  </si>
  <si>
    <t>V01016</t>
  </si>
  <si>
    <t>Hualian (shenzhen) technology limited</t>
  </si>
  <si>
    <t>SV00772</t>
  </si>
  <si>
    <t>Wangtang zone.Bulong road longhue district</t>
  </si>
  <si>
    <t>City Moments Trading LLC</t>
  </si>
  <si>
    <t>V01017</t>
  </si>
  <si>
    <t>City Moments, Bridgeway Relocations Building, Al Quoz Industrial Area 2, Behind Emirates Printing Pr</t>
  </si>
  <si>
    <t>101, Al Ghurair Building, Deira Nasser Square, Dubai</t>
  </si>
  <si>
    <t>DNA International Trading L.L.C</t>
  </si>
  <si>
    <t>V01018</t>
  </si>
  <si>
    <t>No 1009, Al Mulla Plaza Ghusais P.O Box 27664</t>
  </si>
  <si>
    <t>2AIT Services DMCC (SOR)</t>
  </si>
  <si>
    <t>V01020</t>
  </si>
  <si>
    <t>2AIT Services, cJLT Cluster, X3, 2810 JLT</t>
  </si>
  <si>
    <t>2AIT Services DMCC</t>
  </si>
  <si>
    <t>V01021</t>
  </si>
  <si>
    <t>Goodness Care (FZC)</t>
  </si>
  <si>
    <t>V01022</t>
  </si>
  <si>
    <t>Ettihad Road, Taawun area, Safa Plaza B, Apartment 1003</t>
  </si>
  <si>
    <t>AJLOON Tailoring Workshop / SMART Leads FZCO</t>
  </si>
  <si>
    <t>V01023</t>
  </si>
  <si>
    <t>Italy Motors DWC-LLC (SOR)</t>
  </si>
  <si>
    <t>V01024</t>
  </si>
  <si>
    <t>Adhkari Trading Est (SOR)</t>
  </si>
  <si>
    <t>SV00773</t>
  </si>
  <si>
    <t>Research and knowledge for ICT</t>
  </si>
  <si>
    <t>SV00774</t>
  </si>
  <si>
    <t>Exit 17 Sulay Area P.O.Box 99931 Riyadh, 11625 Kingdom of Saudi Arabia</t>
  </si>
  <si>
    <t>TARIQ HAROON BALKHUYOOE EST.</t>
  </si>
  <si>
    <t>SV00775</t>
  </si>
  <si>
    <t>CREATIVE COMPUTERS KHALID BIN WALEED STREET . SHARAFIYYAH, JEDDAH</t>
  </si>
  <si>
    <t>Wadi Systems</t>
  </si>
  <si>
    <t>SV00776</t>
  </si>
  <si>
    <t>Shop No. 9 Khalid Bin Waleed Street, Jeddah, Saudi Arabia</t>
  </si>
  <si>
    <t>ELITE CONCEPTS</t>
  </si>
  <si>
    <t>SV00777</t>
  </si>
  <si>
    <t>8610 King Fahd Road, near Erfan hospital, Al Faisaliyah District, King Abdul Aziz Street, Jeddah 234</t>
  </si>
  <si>
    <t>Rayhant Makkah - (Ali Abdullah Al ghamdi Trading)</t>
  </si>
  <si>
    <t>SV00778</t>
  </si>
  <si>
    <t>Exit 17 , Faisalya , asad sunnah Street</t>
  </si>
  <si>
    <t>Smart Plus</t>
  </si>
  <si>
    <t>SV00779</t>
  </si>
  <si>
    <t>8056 Al Laban, Al Murabba, Riyadh 3235 - 12612</t>
  </si>
  <si>
    <t>Gulf Marketing and Telecom Services company</t>
  </si>
  <si>
    <t>SV00780</t>
  </si>
  <si>
    <t>6th floor, Pan Gulf Tower, Chornich Alkhobar,</t>
  </si>
  <si>
    <t>Smart Unit Trading</t>
  </si>
  <si>
    <t>SV00781</t>
  </si>
  <si>
    <t>Riyadh â€“ Olaya â€“ crosses of Olaya st with Makkah road â€“ Babtain Building behind ALOFT hotel â€“ office</t>
  </si>
  <si>
    <t>Middle East Optical Company (JIT)</t>
  </si>
  <si>
    <t>El Emam International Trading (KSA)</t>
  </si>
  <si>
    <t>SV00782</t>
  </si>
  <si>
    <t>Middle East Optical Company  (Outright)</t>
  </si>
  <si>
    <t>100+20</t>
  </si>
  <si>
    <t>Al-Hazzazi Global Technologies Co. (H.G.T.C)</t>
  </si>
  <si>
    <t>SV00784</t>
  </si>
  <si>
    <t>7 Ibn Ata-Allah St. Prince Metab Rd. North, Aziziyah Dist. P. O. Box: 50292, Jeddah 21523, Saudi Ar</t>
  </si>
  <si>
    <t>Daam Alarabiya</t>
  </si>
  <si>
    <t>SV00785</t>
  </si>
  <si>
    <t>Alaziziya - Albaladiya Street - hamra bldg, Jeddah</t>
  </si>
  <si>
    <t>MESK Global</t>
  </si>
  <si>
    <t>SV00786</t>
  </si>
  <si>
    <t>Sharfiyah District - Khaled Bin Waleed Street, Hamriya tower</t>
  </si>
  <si>
    <t>Taybah Technology</t>
  </si>
  <si>
    <t>SV00787</t>
  </si>
  <si>
    <t>BRIMAN District, Azizia 23-D, Jeddah</t>
  </si>
  <si>
    <t>Wamdat al dwaleya</t>
  </si>
  <si>
    <t>SV00788</t>
  </si>
  <si>
    <t>olaya street , olaya view , offce no. 4037</t>
  </si>
  <si>
    <t>Nawafeth Alahlam</t>
  </si>
  <si>
    <t>SV00789</t>
  </si>
  <si>
    <t>Alsuwaidi, exit 25 alsalam telecom center</t>
  </si>
  <si>
    <t>Unicom Saudi For Telecommunications</t>
  </si>
  <si>
    <t>SV00790</t>
  </si>
  <si>
    <t>Riad, King Fahd Neighbourhood, King Abdelaziz Road</t>
  </si>
  <si>
    <t>Mohammed abdullah alqahtani (Smart tech)</t>
  </si>
  <si>
    <t>SV00791</t>
  </si>
  <si>
    <t>23 C ,Al Rawdah, Zaid al khair street , Riyadh</t>
  </si>
  <si>
    <t>Tariq Fareed Almaimani EST</t>
  </si>
  <si>
    <t>SV00792</t>
  </si>
  <si>
    <t>Al Aridh distract, King Abdul Aziz Rd with Prince Mohammed Bin Abdulaziz Street, first building ,5t</t>
  </si>
  <si>
    <t>Nibras Al-Muneer Foundation</t>
  </si>
  <si>
    <t>SV00793</t>
  </si>
  <si>
    <t>Al Nakhil District, End of Palestine street, abdullah Ibn Muhammad al Khulaifi Street, East Jeddah ,</t>
  </si>
  <si>
    <t>Systems Empire</t>
  </si>
  <si>
    <t>SV00794</t>
  </si>
  <si>
    <t>Office no 1601 Floor 16, Faisalliah Tower Olyah Main Road</t>
  </si>
  <si>
    <t>AAL JAAFAR TRADING COMPANY LLC</t>
  </si>
  <si>
    <t>V01027</t>
  </si>
  <si>
    <t>Oud Metha, Street #2, Next to Lama Tour Bldg, P.O. Box 2985</t>
  </si>
  <si>
    <t>Fiona Trading LLC</t>
  </si>
  <si>
    <t>V01028</t>
  </si>
  <si>
    <t>Fiona Trading LLC II Office# 212, 2nd floor, Al Hilal Bank Building || Al Qusais-2 || Tel:- +971 4</t>
  </si>
  <si>
    <t>Obeikan Education Company</t>
  </si>
  <si>
    <t>SV00795</t>
  </si>
  <si>
    <t>New Al Kharj Road, 2nd Industrial Area, Exit 14, Behind Obeikan Investment Group, Building No. 120,</t>
  </si>
  <si>
    <t>JJSons Store</t>
  </si>
  <si>
    <t>V01040</t>
  </si>
  <si>
    <t>2402, Murjan 1, JBR, Dubai, UAE</t>
  </si>
  <si>
    <t>7+7</t>
  </si>
  <si>
    <t>KUSHAAL GENERAL TRADING LLC</t>
  </si>
  <si>
    <t>V01041</t>
  </si>
  <si>
    <t>7FLOOR 701OFFICE DAR AL RIFFA BUILDING BURDUBAI</t>
  </si>
  <si>
    <t>Al Dar Al Khaleegi international est</t>
  </si>
  <si>
    <t>SV00796</t>
  </si>
  <si>
    <t>Albalad -King Abdu Aziz - salehia center office 521</t>
  </si>
  <si>
    <t>Nordic Lion Limited</t>
  </si>
  <si>
    <t>SV00797</t>
  </si>
  <si>
    <t>15/F, KWOLOON CENTRE,29-39 ASHLEY ROAD,TSIM SHA TSUI,KOWLOON,HONGKONG</t>
  </si>
  <si>
    <t>80+10</t>
  </si>
  <si>
    <t>Sun &amp; Sand Sport (LLC)</t>
  </si>
  <si>
    <t>V01039</t>
  </si>
  <si>
    <t>Jafza - DC</t>
  </si>
  <si>
    <t>Lines Of River Est</t>
  </si>
  <si>
    <t>SV00798</t>
  </si>
  <si>
    <t>Office # 05, 3rd Floor, Above Akbar Travels Building, Sharfiya, King Fahd Street, Jeddah</t>
  </si>
  <si>
    <t>Moassasat Alimdad</t>
  </si>
  <si>
    <t>SV00799</t>
  </si>
  <si>
    <t>abdullah sharbatli street , hai al safa, Arcade bldg</t>
  </si>
  <si>
    <t>Saudi Norgeh Co. Ltd.</t>
  </si>
  <si>
    <t>SV00800</t>
  </si>
  <si>
    <t>Prince Sultan Rd, Al Basateen, Jeddah 23717, building number 9999, office number 3 and 4</t>
  </si>
  <si>
    <t>Kalaat Al Otoor Trading for Ebraheem hamed Al Masad</t>
  </si>
  <si>
    <t>SV00801</t>
  </si>
  <si>
    <t>Aishah Bint Abi Bakr, Dhahrat Al Badi'ah distract, Rashed markets store no 31</t>
  </si>
  <si>
    <t>MVSA001009</t>
  </si>
  <si>
    <t>Awei Middle East</t>
  </si>
  <si>
    <t>SV00802</t>
  </si>
  <si>
    <t>Prince Mohammed bin fahd road. Al-Firdaws Dist P(1) First Floor Office No(1)</t>
  </si>
  <si>
    <t>AL ARRAF GENERAL TRADING LLC.</t>
  </si>
  <si>
    <t>V01043</t>
  </si>
  <si>
    <t>OFFICE#5, JURF INDUSTRIAL AREA 3, AJMAN, U.A.E</t>
  </si>
  <si>
    <t>Gala Electronics llc</t>
  </si>
  <si>
    <t>V01044</t>
  </si>
  <si>
    <t>Shop#12 , New Khwaja Building , Near al ghurair masjid, opposite flora al souq hotel , Deira</t>
  </si>
  <si>
    <t>SAUDI ABUISSA CO.LTD.</t>
  </si>
  <si>
    <t>SV00803</t>
  </si>
  <si>
    <t>Al Andalus Building (Opposite Arab National Bank), Prince Mohammed bin AbdulAziz StJeddah 23322, Sau</t>
  </si>
  <si>
    <t>Dtrix</t>
  </si>
  <si>
    <t>V01048</t>
  </si>
  <si>
    <t>Suit 313,Al mozna building,Alqusais</t>
  </si>
  <si>
    <t>Khalid Waleed Mohamed Habib Kawthar Est. (SOR)</t>
  </si>
  <si>
    <t>SV00804</t>
  </si>
  <si>
    <t>Madina Road, AlAshura Dis., Bayet Al Kawthar Building, first floor behind Al Eysaay Tower, Office 1</t>
  </si>
  <si>
    <t>Khalid Waleed Mohamed Habib Kawthar Est.</t>
  </si>
  <si>
    <t>SV00805</t>
  </si>
  <si>
    <t>Mohammed saleh Alsharif EST</t>
  </si>
  <si>
    <t>SV00806</t>
  </si>
  <si>
    <t>6927 al hallah - al munsiyah Unit No. 3</t>
  </si>
  <si>
    <t>Marketing Services &amp; Commercial Projects Operation Co</t>
  </si>
  <si>
    <t>SV00807</t>
  </si>
  <si>
    <t>Distribution Centre, Al Badr Camp - Falastin Street, Al Waha Dist, Jeddah, Tel: 288 8549, Fax: 288 8</t>
  </si>
  <si>
    <t>21+7</t>
  </si>
  <si>
    <t>ORLANDO SPORTS LLC</t>
  </si>
  <si>
    <t>V01049</t>
  </si>
  <si>
    <t>ORLANDO SPORTS LLC, TWIN TOWERS, 15 TH FLOOR, 1504-B, DIERA, DUBAI, UAE</t>
  </si>
  <si>
    <t>V01050</t>
  </si>
  <si>
    <t>Swiss Arabian Perfumes Group</t>
  </si>
  <si>
    <t>V01051</t>
  </si>
  <si>
    <t>Tihama Warehouse Near Bin Ladin Round About Industrial area 2</t>
  </si>
  <si>
    <t>Shaya Fawzan Al Shaya Trading Est</t>
  </si>
  <si>
    <t>SV00808</t>
  </si>
  <si>
    <t>Batha District, Batha Street, Electron Center, Second Floor, Office No. 68</t>
  </si>
  <si>
    <t>Shaya Fawzan Al Shaya Trading Est (SOR)</t>
  </si>
  <si>
    <t>SV00809</t>
  </si>
  <si>
    <t>SAID MOHAMED OBAI BINZAGER &amp; PARTNER CO.LTD</t>
  </si>
  <si>
    <t>SV00810</t>
  </si>
  <si>
    <t>SULAY, NEAR DALLAH DRIVING SCHOOL</t>
  </si>
  <si>
    <t>#############</t>
  </si>
  <si>
    <t>AFNAN PERFUMES INDUSTRY FZC</t>
  </si>
  <si>
    <t>V01052</t>
  </si>
  <si>
    <t>Afnan Perfumes. Al abbas building , 7th floor, 702, Near Kuwaiti masjid, Al dagaya road, Deira , D</t>
  </si>
  <si>
    <t>MUBARAK MAHROUS AL-OBTHANI TRADING CO. (MOBCO)</t>
  </si>
  <si>
    <t>SV00811</t>
  </si>
  <si>
    <t>MOBCO SHOWROOM - GHORABI ST. ALAMAL DISTRICT</t>
  </si>
  <si>
    <t>worldtech general trading llc</t>
  </si>
  <si>
    <t>V01053</t>
  </si>
  <si>
    <t>307, rania business center al barsha, po box 115340, dubai, UAE</t>
  </si>
  <si>
    <t>V01056</t>
  </si>
  <si>
    <t>V01057</t>
  </si>
  <si>
    <t>EVERWIN UNION GENERAL TRADING LLC</t>
  </si>
  <si>
    <t>V01055</t>
  </si>
  <si>
    <t>Shop No.2. Al Khaja Bldg. Al Ras Deira ( Plot No. 112-518)</t>
  </si>
  <si>
    <t>Al Sorayai Group</t>
  </si>
  <si>
    <t>SV00812</t>
  </si>
  <si>
    <t>AL SORAYAI GROUP Warehouse No. 4 Kumra, Jeddah Saudi Arabia</t>
  </si>
  <si>
    <t>Bareeq Alzomord Trading Est</t>
  </si>
  <si>
    <t>SV00813</t>
  </si>
  <si>
    <t>Khalid Bin Waleed Street , Technical Center , PCMAX showroom , Back of the Building</t>
  </si>
  <si>
    <t>Rodyan media group</t>
  </si>
  <si>
    <t>SV00814</t>
  </si>
  <si>
    <t>Al Qiblatain destrict, Abu Baker Al Siddiq road, Al Sultan gardens complex, B-9, Ext 6. Riyadh 11432</t>
  </si>
  <si>
    <t>CREATIVA LIFE STYLE GENERAL TRADING L.L.C</t>
  </si>
  <si>
    <t>V01062</t>
  </si>
  <si>
    <t>Al Wasl Building, Mezzanine floor, M04, Shaikh Zayed Road, Dubai, UAE , Near burj Khalifa Metro stat</t>
  </si>
  <si>
    <t>5+30</t>
  </si>
  <si>
    <t>R.B.K. Middle East LLC</t>
  </si>
  <si>
    <t>V01065</t>
  </si>
  <si>
    <t>Dubai Investment Park | DIP 2 Plot No. 597-4900 Bldg No. 11 P.O. Box 62122 Jebel Ali</t>
  </si>
  <si>
    <t>MVAE001006</t>
  </si>
  <si>
    <t>MVSA001013</t>
  </si>
  <si>
    <t>MVAE001002</t>
  </si>
  <si>
    <t>My New Phone</t>
  </si>
  <si>
    <t>SV00815</t>
  </si>
  <si>
    <t>G-25, Al-Hyatt Plaza, King Saud Bin Abdul Aziz Street, Al Anoud, Dammam 32427,</t>
  </si>
  <si>
    <t>Ali Saeed Al Marhomy Al Ghamdi &amp; Sons Co.,</t>
  </si>
  <si>
    <t>SV00816</t>
  </si>
  <si>
    <t>almahjar Street opposite the King Abdul Aziz Hospital</t>
  </si>
  <si>
    <t>Fahad Awad Abdullah Barashid Trading Est.</t>
  </si>
  <si>
    <t>SV00817</t>
  </si>
  <si>
    <t>SAUDIA ARABIA - JEDDAH - SHARAFYAH - KHALED BIN AL WALEED ST.</t>
  </si>
  <si>
    <t>Jeddah Express Est.</t>
  </si>
  <si>
    <t>SV00818</t>
  </si>
  <si>
    <t>King Khaled Road , Abdullah Hashim District, Markaz Al Falaki Building, 2nd Floor Office 1</t>
  </si>
  <si>
    <t>Jeddah Express Est.(SOR)</t>
  </si>
  <si>
    <t>SV00819</t>
  </si>
  <si>
    <t>Mafaheem Al Ehtefal for trading Est.</t>
  </si>
  <si>
    <t>SV00820</t>
  </si>
  <si>
    <t>Office Exit 7 Al Saif Gallery building floor 2 office 59</t>
  </si>
  <si>
    <t>SV00821</t>
  </si>
  <si>
    <t>SV00822</t>
  </si>
  <si>
    <t>Tec Smart Computer Trading L.L.C</t>
  </si>
  <si>
    <t>V01071</t>
  </si>
  <si>
    <t>Lootha (Jacky)Building , 5th Floor , Deira - Naif Road, P.O.Box 171652, U.A.E, Dubai</t>
  </si>
  <si>
    <t>Ali Abdullah Maghrabi Establishment</t>
  </si>
  <si>
    <t>SV00823</t>
  </si>
  <si>
    <t>Takhasusi Street , intersection with khurais road show room#20 Riyadh lama,ther north district. po b</t>
  </si>
  <si>
    <t>Competition Technology Est.</t>
  </si>
  <si>
    <t>SV00824</t>
  </si>
  <si>
    <t>8324 Malik ibn Umayyah - Bani Malik - Unit 2 - ware house number 32, Jeddah 23232 - 2884</t>
  </si>
  <si>
    <t>Free Trend Trading Est</t>
  </si>
  <si>
    <t>SV00825</t>
  </si>
  <si>
    <t>Dabab Street Next to Moon Medical Store Shaik Abdul Rehman Ibn Hassal, Al Wizarat</t>
  </si>
  <si>
    <t>SV00826</t>
  </si>
  <si>
    <t>Nordic Lion Limited (JIT)</t>
  </si>
  <si>
    <t>SV00827</t>
  </si>
  <si>
    <t>SV00828</t>
  </si>
  <si>
    <t>WADI KSA - B2B</t>
  </si>
  <si>
    <t>SV00829</t>
  </si>
  <si>
    <t>Wadi DXB - B2B</t>
  </si>
  <si>
    <t>V01076</t>
  </si>
  <si>
    <t>My excellence technology</t>
  </si>
  <si>
    <t>SV00830</t>
  </si>
  <si>
    <t>Al yasmeen district exit-5, office number 20 castle road</t>
  </si>
  <si>
    <t>UNITED TRADING AND MARKETING CO., LTD</t>
  </si>
  <si>
    <t>SV00831</t>
  </si>
  <si>
    <t>Al-Sali, Al-Safa Street,Al Mishal District, Riyadh 14327, next to the Pakistani Restaurant Building</t>
  </si>
  <si>
    <t>Yasser.store1</t>
  </si>
  <si>
    <t>SV00832</t>
  </si>
  <si>
    <t>Showroom number 4, Taif Street, Dhahrat Laban, Exit 34, Riyadh 12564</t>
  </si>
  <si>
    <t>Mafahem Al Madinah Trading Company</t>
  </si>
  <si>
    <t>SV00833</t>
  </si>
  <si>
    <t>Exit-21, Opp Haraj Bin Qasim Market, Al Mansoora</t>
  </si>
  <si>
    <t>Different Light Trading Est</t>
  </si>
  <si>
    <t>SV00834</t>
  </si>
  <si>
    <t>Ground Floor AL Khaleej Building, Olayah Computer Market, King Fahad Road</t>
  </si>
  <si>
    <t>SA PU ELECTRONIC LLC</t>
  </si>
  <si>
    <t>V01073</t>
  </si>
  <si>
    <t>Alzarooni building M02, Opposite family supermarket, Deira, Naif, Dubai, UAE</t>
  </si>
  <si>
    <t>BROADBAND COMPUTER TRADING LLC</t>
  </si>
  <si>
    <t>V01074</t>
  </si>
  <si>
    <t>Wadi warehouse</t>
  </si>
  <si>
    <t>10+11</t>
  </si>
  <si>
    <t>OPTIMA MIDDLE EAST GENERAL TRADING LLC</t>
  </si>
  <si>
    <t>V01075</t>
  </si>
  <si>
    <t>AL KHAJA BUILDING, Naif - Deira ,Office Number N0305 - Behind Naif Police station</t>
  </si>
  <si>
    <t>Modern Star General Trading LLC</t>
  </si>
  <si>
    <t>V01077</t>
  </si>
  <si>
    <t>Shop no 5, RTA PARKING BUILDING, AL GHUBAIBA, BURDUBAI</t>
  </si>
  <si>
    <t>Arab Traders' Establishment</t>
  </si>
  <si>
    <t>SV00835</t>
  </si>
  <si>
    <t>Riyadh Al - Shuhadaa District. Al - Imam Saud Bin Abdulaziz Rd. 13938 Building No. 1 First Floor Off</t>
  </si>
  <si>
    <t>Arab Traders' Establishment (SOR)</t>
  </si>
  <si>
    <t>SV00836</t>
  </si>
  <si>
    <t>Sanal Alisveris AS</t>
  </si>
  <si>
    <t>SV00837</t>
  </si>
  <si>
    <t>Warehouse delivery</t>
  </si>
  <si>
    <t>MVAE001009</t>
  </si>
  <si>
    <t>MVSA001017</t>
  </si>
  <si>
    <t>SV00838</t>
  </si>
  <si>
    <t>sir alam al maraa company</t>
  </si>
  <si>
    <t>SV00839</t>
  </si>
  <si>
    <t>Al Olaya distract, Al Awsat Valley Street with Street Number 80, Mellinia hotel ,women secret world</t>
  </si>
  <si>
    <t>Uran Trading LLC</t>
  </si>
  <si>
    <t>V01078</t>
  </si>
  <si>
    <t>Al Nahda 2, next to NMC hospital, SS Lootah bldg, Apartment 1010</t>
  </si>
  <si>
    <t>ARABIC FONT FOR ClOTHES TRADING EST.</t>
  </si>
  <si>
    <t>SV00840</t>
  </si>
  <si>
    <t>ALRAWDA HAMAD ALJASSER STREET, building 4, ground floor office 1</t>
  </si>
  <si>
    <t>NOOR AL ABRAJ TRADING LLC</t>
  </si>
  <si>
    <t>SV00841</t>
  </si>
  <si>
    <t>NEAR 1st BRIDGE, OLD AL KHARJ ROAD (OLD HYPER PANDA WAREHOUSE) RIYADH</t>
  </si>
  <si>
    <t>MUBARAK A.ALSUWAIKET @ SONS FOR CAT &amp; TRAD.CO.LTD</t>
  </si>
  <si>
    <t>SV00842</t>
  </si>
  <si>
    <t>Warehouse , Behind Saudi diesel Co.Near Arabian Village Compound,Do Ha Road</t>
  </si>
  <si>
    <t>V01079</t>
  </si>
  <si>
    <t>Warehosue delivery</t>
  </si>
  <si>
    <t>Sun &amp; Sand Sport (LLC) (KSA)</t>
  </si>
  <si>
    <t>SV00843</t>
  </si>
  <si>
    <t>Al Wesam Pro Video &amp; Photo Equipment CO.LLC</t>
  </si>
  <si>
    <t>V01080</t>
  </si>
  <si>
    <t>Baniyas Square, back side of Metalic tools, 7 State building 2nd floor 204/205</t>
  </si>
  <si>
    <t>TWI International General Trading LLC</t>
  </si>
  <si>
    <t>V01081</t>
  </si>
  <si>
    <t>604 Atrium Center Bur Dubai, UAE</t>
  </si>
  <si>
    <t>Al Moqatel AlNabel Trd. Est.</t>
  </si>
  <si>
    <t>SV00844</t>
  </si>
  <si>
    <t>Jarrir District , Omer Bin Abdulaziz St. , Dura Alamken, ground floor, office 1</t>
  </si>
  <si>
    <t>HYDRAGEN TRADING EST</t>
  </si>
  <si>
    <t>SV00845</t>
  </si>
  <si>
    <t>Opposite Faisalya Khalidiya Police Station , Mamoon Rasheed Road , Sanaiya , Riyadh KSA</t>
  </si>
  <si>
    <t>Blue Cloud Trading Est</t>
  </si>
  <si>
    <t>SV00846</t>
  </si>
  <si>
    <t>21 Exit - Riyadh - Southern Ring Road - Al-Haier Road - Safwa Stores - Warehouse No. 21</t>
  </si>
  <si>
    <t>Bareeq Factory Co. Ltd.</t>
  </si>
  <si>
    <t>SV00847</t>
  </si>
  <si>
    <t>2773 Palestine St. â€“ In-front of Jamjoom Center- Beside The Family PHARMACY â€“ Postal Code : JEDDAH 2</t>
  </si>
  <si>
    <t>Mamnon for Kids Wear Est.</t>
  </si>
  <si>
    <t>SV00848</t>
  </si>
  <si>
    <t>Wadi Laban District, Asser St. , Hamad AlBahily Building, 1st floor, Office 1</t>
  </si>
  <si>
    <t>Mamnon for Kids Wear Est.(SOR)</t>
  </si>
  <si>
    <t>SV00849</t>
  </si>
  <si>
    <t>First Group International LLC</t>
  </si>
  <si>
    <t>V01082</t>
  </si>
  <si>
    <t>Plot No. 369-458-B Block, Warehosue No. 4, Al Qouz 4</t>
  </si>
  <si>
    <t>15+15</t>
  </si>
  <si>
    <t>RAZA INTERNATIONAL TRADING LLC</t>
  </si>
  <si>
    <t>V01086</t>
  </si>
  <si>
    <t>office number 404 Duhaili Building Diera</t>
  </si>
  <si>
    <t>Mohd Mirza Electronics</t>
  </si>
  <si>
    <t>V01087</t>
  </si>
  <si>
    <t>Admiral Plaza Hotel Boldg. ShopNo.3</t>
  </si>
  <si>
    <t>Al Hajir Elect Devices Tr LLC</t>
  </si>
  <si>
    <t>V01088</t>
  </si>
  <si>
    <t>Al Hajir Elect Devices Trading LLC , Industrial Area No 13 , Shed No : 10 , PO Box : 66473</t>
  </si>
  <si>
    <t>MOHAMMED YOUSUF JALAL GENERAL TRADING</t>
  </si>
  <si>
    <t>V01089</t>
  </si>
  <si>
    <t>WARE HOUSE NO 2 &amp; 3, BEHIND ROYAL FURNITURE, INDUSTRIAL AREA 3, AJMAN</t>
  </si>
  <si>
    <t>Chances Cloud</t>
  </si>
  <si>
    <t>SV00850</t>
  </si>
  <si>
    <t>Almursalat - wadi ash shuara street - building number 7581 zip code12462</t>
  </si>
  <si>
    <t>Middle East</t>
  </si>
  <si>
    <t>SV00851</t>
  </si>
  <si>
    <t>Riyadh Al-Malqa neighborhood next to Faisal bin Fahd Mosque in front of the youth club</t>
  </si>
  <si>
    <t>Technical universal &amp; Technology Est</t>
  </si>
  <si>
    <t>SV00852</t>
  </si>
  <si>
    <t>King Fahd Road Cross 11 Near Mobily Office, Al Khobar</t>
  </si>
  <si>
    <t>Century T land Trading Fzco</t>
  </si>
  <si>
    <t>V01090</t>
  </si>
  <si>
    <t>C-581, Warsan Villa, International city, Dubai.</t>
  </si>
  <si>
    <t>AL MISK PERFUMES COSMETICS</t>
  </si>
  <si>
    <t>V01091</t>
  </si>
  <si>
    <t>Warehouse number 1 to 6, near cosmos warehouse, al qouz industrial 4th, land mark:- behind emirates</t>
  </si>
  <si>
    <t>Alesayi For Homeware</t>
  </si>
  <si>
    <t>SV00853</t>
  </si>
  <si>
    <t>Alhendawiyah , safwa Center ,PO . BOX 330476 ,Jeddah 11373.</t>
  </si>
  <si>
    <t>UNITED EDDY CO. (Shirkat Eddy Almutahiddat Almahdoodat)</t>
  </si>
  <si>
    <t>SV00854</t>
  </si>
  <si>
    <t>JEDDAH-MOHAMMED BIN ABDULAZIZ ST , BESIDE MCDONALDS - IN FRONT OF INDIA EMPASSY - THIRD FLOR</t>
  </si>
  <si>
    <t>Ewan Colors Gift Est. ( Muasasa Ewan Al-alwan Lilhodaiya )</t>
  </si>
  <si>
    <t>SV00855</t>
  </si>
  <si>
    <t>As-salamah, Ahsan Abu Al Hamail Street with Alfa Hashim Street, Building No- 3703</t>
  </si>
  <si>
    <t>Al Saif Al Wahid Est.</t>
  </si>
  <si>
    <t>SV00856</t>
  </si>
  <si>
    <t>Jeddah Alsharafiya , Khaleed ben waleed street, office Elham Building shwroom no ,11</t>
  </si>
  <si>
    <t>AFA Medicals Trading Establishment</t>
  </si>
  <si>
    <t>SV00857</t>
  </si>
  <si>
    <t>Riyadh12831, AlMalaz, 2300 Arafat Street, Building no 1, First Floor, Afamed Office no 1.</t>
  </si>
  <si>
    <t>Al Shamal Trading Est</t>
  </si>
  <si>
    <t>SV00858</t>
  </si>
  <si>
    <t>Office # 221 2nd Floor, Prince Suliman Building, Batha</t>
  </si>
  <si>
    <t>Aylol Est. for Trading</t>
  </si>
  <si>
    <t>SV00859</t>
  </si>
  <si>
    <t>7524 asad bin alhasan st, granada district, building 1, 1st floor office 2</t>
  </si>
  <si>
    <t>Aylol Est. for Trading (SOR)</t>
  </si>
  <si>
    <t>SV00860</t>
  </si>
  <si>
    <t>Assured Direction Establishment</t>
  </si>
  <si>
    <t>SV00861</t>
  </si>
  <si>
    <t>Alabbas Street, Um Al Hamam district, Assured Direction building (no. 1) , 1st floor, office 1</t>
  </si>
  <si>
    <t>Assured Direction Establishment (SOR)</t>
  </si>
  <si>
    <t>SV00862</t>
  </si>
  <si>
    <t>AL MUHAIDEB FIRST MISSION</t>
  </si>
  <si>
    <t>SV00863</t>
  </si>
  <si>
    <t>Exit 14,Omar Ben Abdul-Aziz Street, Raboa Building 2, PO BOX: 261803, Riyadh: 11342.</t>
  </si>
  <si>
    <t>5+7</t>
  </si>
  <si>
    <t>Asia tailoring, near Safeer hypermarket, behind Spider car wash. Contact no is 052 764 4686, Wahed</t>
  </si>
  <si>
    <t>Accredited Quality Systems</t>
  </si>
  <si>
    <t>SV00865</t>
  </si>
  <si>
    <t>3308 Jariyah Ibn Qudamah, Al Faisaliyah</t>
  </si>
  <si>
    <t>Gawaffee Innovation Trading Est</t>
  </si>
  <si>
    <t>SV00866</t>
  </si>
  <si>
    <t>oppsite to saco world, Prince Sultan Street, Al Muhammadiyah District</t>
  </si>
  <si>
    <t>Jamjoom Medicine Store</t>
  </si>
  <si>
    <t>SV00867</t>
  </si>
  <si>
    <t>Alamariah distract , Al Eaman street with Falasteen street, Jamjoom Building, 6th floor</t>
  </si>
  <si>
    <t>AARYA NATURAL FZC</t>
  </si>
  <si>
    <t>V01093</t>
  </si>
  <si>
    <t>AL SHAFAR TOWER 2, OFFICE NUMBER 1406, Al Nahar street 2, BARSHA HEIGHTS</t>
  </si>
  <si>
    <t>Sareea Mohammed Al Hajeri for trading &amp; import</t>
  </si>
  <si>
    <t>SV00868</t>
  </si>
  <si>
    <t>Al Khansa'a St, Abdullah Fuad with Prince Mohammed Bin Fahd Roa, Al Otime Mall, stor no 780</t>
  </si>
  <si>
    <t>Sareea Mohammed Al Hajeri for trading &amp; import (SOR)</t>
  </si>
  <si>
    <t>SV00869</t>
  </si>
  <si>
    <t>SV00871</t>
  </si>
  <si>
    <t>SV00870</t>
  </si>
  <si>
    <t>Newera Impex LLC</t>
  </si>
  <si>
    <t>V01094</t>
  </si>
  <si>
    <t>D4, Sher a Karachi Restaurant Building, Khalid bin al Walid Road, Bur Dubai</t>
  </si>
  <si>
    <t>JAXIS TRADING LLC</t>
  </si>
  <si>
    <t>V01095</t>
  </si>
  <si>
    <t>1st floor 110/b Al Ain Centre, Bur Dubai</t>
  </si>
  <si>
    <t>Lâ€™Oreal UAE General Trading</t>
  </si>
  <si>
    <t>V01096</t>
  </si>
  <si>
    <t>Lâ€™Oreal UAE Rolex Towers floor 29th, DIFC PO BOX 413494 UAE</t>
  </si>
  <si>
    <t>Ain Commercial Foundation (SOR)</t>
  </si>
  <si>
    <t>SV00872</t>
  </si>
  <si>
    <t>Suwaid Al-ansari, Al- Mursalat, Building no 7287, Additional no 439</t>
  </si>
  <si>
    <t>Ain Commercial Foundation</t>
  </si>
  <si>
    <t>SV00873</t>
  </si>
  <si>
    <t>Abdulaziz Aljama Est. for Trading (SOR)</t>
  </si>
  <si>
    <t>SV00874</t>
  </si>
  <si>
    <t>Al Mazroeya District, Ethba street, Building 1, 2nd foor, office no. 24</t>
  </si>
  <si>
    <t>Abdulaziz Aljama Est. for Trading</t>
  </si>
  <si>
    <t>SV00875</t>
  </si>
  <si>
    <t>Omar Hamood Altheeyeb Trading Establishment (SOR)</t>
  </si>
  <si>
    <t>SV00876</t>
  </si>
  <si>
    <t>Imam Abdullah Ibn Saudi Ibn Abdulaziz Road, Al Hamraa district 13217, building no. 3015, 3rd floor,</t>
  </si>
  <si>
    <t>Omar Hamood Altheeyeb Trading Establishment</t>
  </si>
  <si>
    <t>SV00877</t>
  </si>
  <si>
    <t>Al-Mulla trading co.ltd.</t>
  </si>
  <si>
    <t>SV00754</t>
  </si>
  <si>
    <t>Banajah street, Bab Al- Shareef district, Al- Awael building, Floor number 2, Office number 1.</t>
  </si>
  <si>
    <t>30 +10</t>
  </si>
  <si>
    <t>Beauty Nature</t>
  </si>
  <si>
    <t>SV00755</t>
  </si>
  <si>
    <t>Al Faisaliyah District, Sari Steet, Al Falak Roundabout, Malibari Center , tower B office no.5</t>
  </si>
  <si>
    <t>20 +5</t>
  </si>
  <si>
    <t>Reyhana World For Trading Company</t>
  </si>
  <si>
    <t>SV00756</t>
  </si>
  <si>
    <t>Alhair Road, Alomstawdat alnomothgyah distract, warehouse no. 508</t>
  </si>
  <si>
    <t>15 + 5</t>
  </si>
  <si>
    <t>Gulf International</t>
  </si>
  <si>
    <t>V01084</t>
  </si>
  <si>
    <t>Sharjah industrial area 4, Geco signal, Geco warehouse</t>
  </si>
  <si>
    <t>BAB AL SALAMA TRADING CO.L.L.C</t>
  </si>
  <si>
    <t>V01085</t>
  </si>
  <si>
    <t>Shop no 3, COMPUTER BUILDING NEAR GATEWAY HOTEL BUR DUBAI</t>
  </si>
  <si>
    <t>Arab Dalla Trading Est</t>
  </si>
  <si>
    <t>SV00878</t>
  </si>
  <si>
    <t>Wadi Laban Street: 6 Al Ghamadhiya Garden Riyadh PO Box 35079 Zip Code: 11488 Riyadh</t>
  </si>
  <si>
    <t>AHMED ABDULWAHED ABDULLAH ANAM AND PARTNERS TRADING CO.</t>
  </si>
  <si>
    <t>SV00879</t>
  </si>
  <si>
    <t>Ahmed Abdulwahed warehouse warehouse City Hail Al Baghdadiyah street Al Gharbiyah District</t>
  </si>
  <si>
    <t>Mohsain Mohammad Khabrani Trading Est</t>
  </si>
  <si>
    <t>SV00880</t>
  </si>
  <si>
    <t>Warehouse No 11 Haroon Al-Rasheed Street Exit 18 Al Sulai.</t>
  </si>
  <si>
    <t>RACHEL TRADING LLC THE WORLD OF PENS</t>
  </si>
  <si>
    <t>V01098</t>
  </si>
  <si>
    <t>STORE NO. 23 GROUND LEVEL TOWN CENTRE JUMEIRAH MALL JUMEIRAH BEACH ROAD</t>
  </si>
  <si>
    <t>8+7</t>
  </si>
  <si>
    <t>Saudi Arabia, Riyadh 11635 P.O Box 100991 AlRawda district sebawah street warehouse no 13</t>
  </si>
  <si>
    <t>CHIC SHOES, 1st Floor, Baniyas Square Building, Opp. Baniyas Square Metro Stn. 1,Al Maktoum Road, Dubai</t>
  </si>
  <si>
    <t>hadit tair trading est</t>
  </si>
  <si>
    <t>SV00881</t>
  </si>
  <si>
    <t>Showroom main road Jafer bin almansor street Ghernata- 6623 Eastern Ring Branch Rd Ash Shuhada R</t>
  </si>
  <si>
    <t>Global Advance Company</t>
  </si>
  <si>
    <t>SV00882</t>
  </si>
  <si>
    <t>General Administration Riyadh High behind Samba Bank Tower Hwaishel building P.O. Box 25895 Riyadh</t>
  </si>
  <si>
    <t>Abdulrahman &amp; Omar Al - Muhtab Electronics Co</t>
  </si>
  <si>
    <t>SV00883</t>
  </si>
  <si>
    <t>Exit 16 Khalid Bin Saud Street Al Sulay</t>
  </si>
  <si>
    <t>Riyadh Creative Machines</t>
  </si>
  <si>
    <t>SV00884</t>
  </si>
  <si>
    <t>Shop number 77 main road Malaz Computer Market Riyadh Malaz P.O Box number 301490</t>
  </si>
  <si>
    <t>Khalid Nasser Al Shiban Est. for Trading</t>
  </si>
  <si>
    <t>SV00885</t>
  </si>
  <si>
    <t>Al deera distict - Swelim street building 1 ground floor Shiban store</t>
  </si>
  <si>
    <t>Hoshan Pan Gulf</t>
  </si>
  <si>
    <t>SV00886</t>
  </si>
  <si>
    <t>HPG Warehouse - SulayExit 18 PO Box: 85243 Riyadh 11691</t>
  </si>
  <si>
    <t>Bajafar Trading Est.</t>
  </si>
  <si>
    <t>SV00887</t>
  </si>
  <si>
    <t>Souq Al-Janoubiya Front of Bank Al-Faransi</t>
  </si>
  <si>
    <t>Dr Nutrition Pharmaceuticals</t>
  </si>
  <si>
    <t>V01099</t>
  </si>
  <si>
    <t>16 A Damascus Street AI Quisais Industrial Area 1</t>
  </si>
  <si>
    <t>lionfish general trading llc</t>
  </si>
  <si>
    <t>V01100</t>
  </si>
  <si>
    <t>Warehouse # B-2 Property # 4 Plot No.597-834 DIP Phase II Dubai Investment Park Dubai UAE</t>
  </si>
  <si>
    <t>BAMCO Warehouse King Faisal Street Khomra Jeddah.</t>
  </si>
  <si>
    <t>Zabeel Tower, Ground Floor ,Outside emirates tower metro station Same side as Crowne plaza Shk Zayed Road</t>
  </si>
  <si>
    <t>Plot No.S10715 Jebel Ali South Zone 1, Dubai, UAE PO Box 17706</t>
  </si>
  <si>
    <t>Al Otoor Al Jathabah trading est.</t>
  </si>
  <si>
    <t>SV00888</t>
  </si>
  <si>
    <t>Mafoha Al Jadidah district Khalid ben Obaid Allah street with Manfohah street beside the mosque store no. 17 store name Arqa Otori</t>
  </si>
  <si>
    <t>Sapphaire Ltd</t>
  </si>
  <si>
    <t>SV00889</t>
  </si>
  <si>
    <t>OLAYA TOWERS TOWER-B 34TH FLOOR OLAYA ST AL OLAYA RIYADH 12213</t>
  </si>
  <si>
    <t>Advanced Media Trading LLC</t>
  </si>
  <si>
    <t>V01102</t>
  </si>
  <si>
    <t>Warehouse# E7 Al Manara St. Al Quoz 1</t>
  </si>
  <si>
    <t>Easy Stationery trading</t>
  </si>
  <si>
    <t>V01103</t>
  </si>
  <si>
    <t>Al Nahda Juma Al Majid 442 Shop No 3 Near Safeer Mall.</t>
  </si>
  <si>
    <t>Hawatef AlSharq AlAwsat Establishment</t>
  </si>
  <si>
    <t>SV00890</t>
  </si>
  <si>
    <t>Shop number 4-8 King Abdul Aziz Complex Mursalat Mohammad bin Saud Street 87912 Riyadh 11652</t>
  </si>
  <si>
    <t>ABDULLA MASOOD GENERAL TR L.L.C</t>
  </si>
  <si>
    <t>V01104</t>
  </si>
  <si>
    <t>Warehouse no 91 Industrial Area 13 P.O BOX:150387 Sharjah</t>
  </si>
  <si>
    <t>7+8</t>
  </si>
  <si>
    <t>Meshaal and Mishal Contracting Est</t>
  </si>
  <si>
    <t>SV00891</t>
  </si>
  <si>
    <t>6087 Al Sahaba Rd Al Munsiyah Exit 9 Near Alia Poly Clinic</t>
  </si>
  <si>
    <t>Naturals FZE</t>
  </si>
  <si>
    <t>V01105</t>
  </si>
  <si>
    <t>324 Al Fahad 4 Tower Damascus Street Al qusais Dubai</t>
  </si>
  <si>
    <t>RACHEL TRADING LLC THE WORLD OF PENS (Amazone)</t>
  </si>
  <si>
    <t>V01108</t>
  </si>
  <si>
    <t>Puma Middle East FZ-LLC (KSA)</t>
  </si>
  <si>
    <t>SV00892</t>
  </si>
  <si>
    <t>HYPERPHONE LLC (SOR)</t>
  </si>
  <si>
    <t>V01109</t>
  </si>
  <si>
    <t>Global Business Network (DXB)</t>
  </si>
  <si>
    <t>V01110</t>
  </si>
  <si>
    <t>Abdullah Omar Alesayi &amp; Co.Ltd</t>
  </si>
  <si>
    <t>SV00893</t>
  </si>
  <si>
    <t>Warehouse no# 222 Askan 1 Warehouse Area Old Kharj Road Riyadh</t>
  </si>
  <si>
    <t>Saudi Arabian marketing &amp; agencies company LTD</t>
  </si>
  <si>
    <t>SV00894</t>
  </si>
  <si>
    <t>Jeddah- Prince Majid street Al-Safa district next to Toyota Showroom</t>
  </si>
  <si>
    <t>Manal Technology Est.</t>
  </si>
  <si>
    <t>SV00895</t>
  </si>
  <si>
    <t>Shop number 4 Haara market near mini panda Dabbab-Riyadh</t>
  </si>
  <si>
    <t>Hygienic Paper Company Ltd</t>
  </si>
  <si>
    <t>SV00896</t>
  </si>
  <si>
    <t>Hygienic Paper Company Ltd Industrial city phase 2 street # 3 Post Box:-8160 Jeddah:-21482 KSA</t>
  </si>
  <si>
    <t>TURBO TECH GENERAL TRADING LLC</t>
  </si>
  <si>
    <t>V01113</t>
  </si>
  <si>
    <t>Office # 2706 Latifa Tower (Same building of Tim Hortons) Sheikh Zayed Road Near to Crowne Plaza</t>
  </si>
  <si>
    <t>Abdullah M Al-Otaibi Trading EST</t>
  </si>
  <si>
    <t>SV00897</t>
  </si>
  <si>
    <t>Farazdaq StreetShop number 10 Near ABC Cargo Batha PO Box 38866 31942 Riyadh</t>
  </si>
  <si>
    <t>AlHandarah EST</t>
  </si>
  <si>
    <t>SV00898</t>
  </si>
  <si>
    <t>Shop 11 6591 Abdullah Ibn Hudhafah As Sahmi near Diplomatic Quarter Riyadh 12511</t>
  </si>
  <si>
    <t>EMAN ALSULTI FOR TRD.EST</t>
  </si>
  <si>
    <t>SV00899</t>
  </si>
  <si>
    <t>Jarir St with Ali Bin abi talib St. Malaz Office number 46 Riyadh</t>
  </si>
  <si>
    <t>Deesh Star International Gen Trading LLC</t>
  </si>
  <si>
    <t>V01115</t>
  </si>
  <si>
    <t>Warehouse No 17-A Jebel Ali Industrial Area 1 (Opposite Jumbo Electronics)</t>
  </si>
  <si>
    <t>Urardi inc.</t>
  </si>
  <si>
    <t>SV00900</t>
  </si>
  <si>
    <t>728 south vail Ave Montebello ca 90640</t>
  </si>
  <si>
    <t>V01116</t>
  </si>
  <si>
    <t>#201, Atrium Centre, Bank Street, Bur Dubai, Dubai (same building as Emirates Islamic Bank) PO Box: 32572</t>
  </si>
  <si>
    <t>V01125</t>
  </si>
  <si>
    <t>MVSA001053</t>
  </si>
  <si>
    <t>General Enterprise Company</t>
  </si>
  <si>
    <t>V01128</t>
  </si>
  <si>
    <t>warehouse no 5 Sajja Industrial Area Phase 8 Near sharjah Airport Sharjah</t>
  </si>
  <si>
    <t>Dawson Sports Equipment Trading LLC</t>
  </si>
  <si>
    <t>V01129</t>
  </si>
  <si>
    <t>9C15 I-Rise Tower Tecom PO Box 215289</t>
  </si>
  <si>
    <t>Wishlist FZE</t>
  </si>
  <si>
    <t>V01130</t>
  </si>
  <si>
    <t>Discovery Gardens Building 71 street 2 APT 314</t>
  </si>
  <si>
    <t>Toy Traders Company (Marketing Services &amp; Com. Project Opr Co.)</t>
  </si>
  <si>
    <t>SV00901</t>
  </si>
  <si>
    <t>3479 Al Shorouk neighborhood Shorouq DistrictJeddah 23355 6924 Saudi Arabia</t>
  </si>
  <si>
    <t>Technia Al Murad Trading Est</t>
  </si>
  <si>
    <t>SV00902</t>
  </si>
  <si>
    <t>Prince Mamdooh Bin Abdul Aziz Street Al Safwa Center Building No 4 Office No 4105</t>
  </si>
  <si>
    <t>FALAH AL MUSTAQBIL TRD. EST</t>
  </si>
  <si>
    <t>SV00903</t>
  </si>
  <si>
    <t>MAIN STREET VILLA NO.115 PO Box. 53632NEAR SH-E-AL HISA AL MALAZ RIYADH</t>
  </si>
  <si>
    <t>V01133</t>
  </si>
  <si>
    <t>THE PRINCIPALS MENA DMCC</t>
  </si>
  <si>
    <t>V01134</t>
  </si>
  <si>
    <t>UNIT NO 14 &amp; 15 BIN JARSH BUILDING DUBAI INVESTMENT PARK DUBAI UAE. P O BOX 48475</t>
  </si>
  <si>
    <t>5+35</t>
  </si>
  <si>
    <t>CLASSIC PAPA PERFUMES LLC</t>
  </si>
  <si>
    <t>V01135</t>
  </si>
  <si>
    <t>SHOP NO:1 JAN ALI BUILDING AL DAGHAYA ROAD DEIRA</t>
  </si>
  <si>
    <t>3+7</t>
  </si>
  <si>
    <t>PRONTO TRADING L.L.C</t>
  </si>
  <si>
    <t>V01136</t>
  </si>
  <si>
    <t>BEHIND DUBAI WHOLESALE PLAZA AL SALAM BLDG SHOP NO 1 DEIRA MURSHID BAZAR</t>
  </si>
  <si>
    <t>ACTIVE FITNESS STORE LLC</t>
  </si>
  <si>
    <t>V01137</t>
  </si>
  <si>
    <t>Sheikha lathifa building b-block 109 Deira baniyas corniche Dubai</t>
  </si>
  <si>
    <t>Tanweer International General Trading</t>
  </si>
  <si>
    <t>V01138</t>
  </si>
  <si>
    <t>10+55</t>
  </si>
  <si>
    <t>Thunder Trading Est. ( Mossaat Qouwat Albarq Lilltajarat)</t>
  </si>
  <si>
    <t>SV00904</t>
  </si>
  <si>
    <t>warehouse No # 41 Al abi Street Area shifa Almarwa Riyadh.</t>
  </si>
  <si>
    <t>El Faleh Sports House Co.</t>
  </si>
  <si>
    <t>SV00905</t>
  </si>
  <si>
    <t>Riyadh - Al-Seli - Outlet 18 - Istanbul Street - Intersection of the Southern Ring - at the intersection of Ibn Majah Street with Istanbul - Warehouses of Al-Faleh Sports Company - No. 1 - Next to Al Fozan Real Estate.</t>
  </si>
  <si>
    <t>MVAE001015</t>
  </si>
  <si>
    <t>MVSA001039</t>
  </si>
  <si>
    <t>Ali Hammel AL ghaith Al kebeisy for trading co.</t>
  </si>
  <si>
    <t>SV00906</t>
  </si>
  <si>
    <t>Perfect Weight Store No.28 Al Nakheel District Beside the main slaughter house</t>
  </si>
  <si>
    <t>Yazeed Saleah Aldaweesh Est.</t>
  </si>
  <si>
    <t>SV00907</t>
  </si>
  <si>
    <t>Warehouse no. 11 Istanbul street Almasheel Neighborhood (Near Al Fouzan mosque) (Al Mishal) Riy</t>
  </si>
  <si>
    <t>MVAE001164</t>
  </si>
  <si>
    <t>Rishi Impex Technologies LLC</t>
  </si>
  <si>
    <t>V01145</t>
  </si>
  <si>
    <t>EASA SALEH AL GURG BUILDING SHOWROOM 1 OPP. PANORAMA GRAND HOTEL KHALID BIN AL WALEED STREET. BUR D</t>
  </si>
  <si>
    <t>Best Deals Trading Est</t>
  </si>
  <si>
    <t>SV00910</t>
  </si>
  <si>
    <t>Office No 321 second floor Othaim Mall Khurais Road</t>
  </si>
  <si>
    <t>Living Legends Villa B78, Wadi Al Safa 3 Dubai Land</t>
  </si>
  <si>
    <t>A O N E General Trading LLC</t>
  </si>
  <si>
    <t>V01149</t>
  </si>
  <si>
    <t>#102 Atrium Center Bank Street Bur Dubai</t>
  </si>
  <si>
    <t>SAIF ALLAMEEH COMPUTERS</t>
  </si>
  <si>
    <t>V01150</t>
  </si>
  <si>
    <t>shop no 25 AL RAFFA POLICE STATION ROAD AHMED OBAID SAEED AL MEHARI BUR DUBAI</t>
  </si>
  <si>
    <t>Best Buy Deal Electronics Trading LLC</t>
  </si>
  <si>
    <t>V01151</t>
  </si>
  <si>
    <t>Office No. 213 The Atrium Centre Bur DubaiUAE</t>
  </si>
  <si>
    <t>SB TECHNOLOGY NY CORP</t>
  </si>
  <si>
    <t>V01152</t>
  </si>
  <si>
    <t>365 DAYS FREIGHT SERVICES. F-24 WAREHOUSE DUBAI UAE</t>
  </si>
  <si>
    <t>MVSA001044</t>
  </si>
  <si>
    <t>MVSA001071</t>
  </si>
  <si>
    <t>NovaSogo General Trading LLC</t>
  </si>
  <si>
    <t>V01154</t>
  </si>
  <si>
    <t>WH 42# Al Quoz Industrial Area 3 Near Cemex cement factory</t>
  </si>
  <si>
    <t>unicharm gulf hygienic industries ltd</t>
  </si>
  <si>
    <t>SV00912</t>
  </si>
  <si>
    <t>Al Bariah Riyadh 14342 - Second Industrial City - Al Kharj New Road - Exit - Opposite to the Sea H</t>
  </si>
  <si>
    <t>Hasebat Al Arab Limited Company</t>
  </si>
  <si>
    <t>SV00913</t>
  </si>
  <si>
    <t>Office Number 4 Olaya street Naghi LG Building PO box 59942 Riyadh 11535</t>
  </si>
  <si>
    <t>MICROTRANS LLC</t>
  </si>
  <si>
    <t>V01155</t>
  </si>
  <si>
    <t>POBOX: 115245 OFFICE 504 AL â€“ RIFFA PLAZA 5TH FLOOR BURDUBAI KHALED BIN WALEED STREET</t>
  </si>
  <si>
    <t>Sun &amp; Sand Sport (LLC) KSA</t>
  </si>
  <si>
    <t>MVSA001042</t>
  </si>
  <si>
    <t>Maher Mustafa Al-safi Trading Est.</t>
  </si>
  <si>
    <t>Riyadh 14722 - Al Marwa District - Damanhour Street - next to El Marwa Mosque - opposite El Morky St</t>
  </si>
  <si>
    <t>Specialized Computer Services</t>
  </si>
  <si>
    <t>SV00914</t>
  </si>
  <si>
    <t>Al Salam bldg . SPECIALIZED COMPUTER SHOWROOM Olaya street Olaya computer market</t>
  </si>
  <si>
    <t>East Range Trading Est</t>
  </si>
  <si>
    <t>SV00915</t>
  </si>
  <si>
    <t>King Fahad Street North Khobar Cross 3/4 shop number 3</t>
  </si>
  <si>
    <t>PC Place Est</t>
  </si>
  <si>
    <t>SV00916</t>
  </si>
  <si>
    <t>Al Baroum Commercial Center - Hail Street - First Floor - Computer Palace</t>
  </si>
  <si>
    <t>Al Tawazi Al Aalamiyah Trading Est</t>
  </si>
  <si>
    <t>SV00917</t>
  </si>
  <si>
    <t>Near Mahatta Mantaka sanayia Al Khumrah. jeddah</t>
  </si>
  <si>
    <t>SGECOM General Trading LLC</t>
  </si>
  <si>
    <t>V01157</t>
  </si>
  <si>
    <t>Flat 108 R114 building. Sheikh Rashid Building Sheikh Zayed Road Dubai UAE.</t>
  </si>
  <si>
    <t>Ninth Compass</t>
  </si>
  <si>
    <t>SV00918</t>
  </si>
  <si>
    <t>Khalid Bin Waleed Street Shop no 2115 Computer Market Jeddah - Alrabwah</t>
  </si>
  <si>
    <t>FUTURE MEDIA TRADING EST</t>
  </si>
  <si>
    <t>SV00919</t>
  </si>
  <si>
    <t>137 GULF COMMERCIAL COMPLEX . 6410-KING FAHAD ROAD RIYADH 12211 -3625</t>
  </si>
  <si>
    <t>M.A. Al-Abdulkarim &amp; Co. Ltd (SOR)</t>
  </si>
  <si>
    <t>SV00920</t>
  </si>
  <si>
    <t>Haroon Al Rasheed Street Sulay district Exit 18 Next to Almari Warehouse Al Abdul Karim Warehous</t>
  </si>
  <si>
    <t>M.A. Al-Abdulkarim &amp; Co. Ltd</t>
  </si>
  <si>
    <t>SV00921</t>
  </si>
  <si>
    <t>Kiyoseki Global LLC (KSA)</t>
  </si>
  <si>
    <t>Forever Makeup Trading LLC.</t>
  </si>
  <si>
    <t>V01161</t>
  </si>
  <si>
    <t>Al Buteen Building Shop no. 8 Murshid Bazar Near Deira Gold Souq Deira Dubai UAE</t>
  </si>
  <si>
    <t>ORYNX General Trading</t>
  </si>
  <si>
    <t>V01162</t>
  </si>
  <si>
    <t>Speedex-PNP- Team9th St Umm Ramool</t>
  </si>
  <si>
    <t>ALI ALYAZIDI</t>
  </si>
  <si>
    <t>SV00922</t>
  </si>
  <si>
    <t>QPS Store near Mazda New Showroom Al Hamdaniya Street 21477 Al Hamdaniya district</t>
  </si>
  <si>
    <t>EZONE MARKITING CO</t>
  </si>
  <si>
    <t>SV00923</t>
  </si>
  <si>
    <t>Al Azizia warehouse near Ikea warehouse Area Exit 16 Al kharj Road</t>
  </si>
  <si>
    <t>Branch of Al Jabreen Est. for trading (SOR)</t>
  </si>
  <si>
    <t>SV00924</t>
  </si>
  <si>
    <t>Musa Ibn Nusair St As Sulimaniyah district Al Aqaria center Al Jabreen store no 87</t>
  </si>
  <si>
    <t>Branch of Al Jabreen Est. for trading</t>
  </si>
  <si>
    <t>SV00925</t>
  </si>
  <si>
    <t>AL Saudia Seyaj for perfume Co. (SOR)</t>
  </si>
  <si>
    <t>SV00926</t>
  </si>
  <si>
    <t>Al Rawda districtext.13 Khuris rd. with Prince Nasir bin Abdu Aziz L'Odore office no 101</t>
  </si>
  <si>
    <t>AL Saudia Seyaj for perfume Co.</t>
  </si>
  <si>
    <t>SV00927</t>
  </si>
  <si>
    <t>MAHER .M.AL-SEHLY TRADING EST</t>
  </si>
  <si>
    <t>SV00928</t>
  </si>
  <si>
    <t>INFOTECH AL â€“SEHLY AL-HASA DHAHRAN STREET First Floor Dossary Tower Shop No 152</t>
  </si>
  <si>
    <t>SV00929</t>
  </si>
  <si>
    <t>Albairaq Alyemani mobile phones trading LLC</t>
  </si>
  <si>
    <t>V01163</t>
  </si>
  <si>
    <t>Abdullah Mohammed Nour Saadet street (Shop No.2) Deira Dubai</t>
  </si>
  <si>
    <t>Jaddaf Telecom</t>
  </si>
  <si>
    <t>SV00930</t>
  </si>
  <si>
    <t>Exit 8 Remal district Behind immigration division passports warehouse number 1</t>
  </si>
  <si>
    <t>Universal Holdings LLC (KSA)</t>
  </si>
  <si>
    <t>SV00931</t>
  </si>
  <si>
    <t>SV00932</t>
  </si>
  <si>
    <t>SV00933</t>
  </si>
  <si>
    <t>Samir Trading &amp; Marketing Co.</t>
  </si>
  <si>
    <t>SV00935</t>
  </si>
  <si>
    <t>Samir Trading and Trading Company Warehouse Al Mirsal Village Road Off Makkah-MEdina Expressway</t>
  </si>
  <si>
    <t>MVAE001344</t>
  </si>
  <si>
    <t>4+4</t>
  </si>
  <si>
    <t>35+10</t>
  </si>
  <si>
    <t>12+4</t>
  </si>
  <si>
    <t>Alesayi for Home Appliances Co</t>
  </si>
  <si>
    <t>SV00936</t>
  </si>
  <si>
    <t>Alesayi Showroom, Olaya Road, Riyadh.</t>
  </si>
  <si>
    <t>MVSA002223</t>
  </si>
  <si>
    <t>MVSA003340</t>
  </si>
  <si>
    <t>MVSA001473</t>
  </si>
  <si>
    <t>MVSA001200</t>
  </si>
  <si>
    <t>MVSA002449</t>
  </si>
  <si>
    <t>MVSA001144</t>
  </si>
  <si>
    <t>MVSA001698</t>
  </si>
  <si>
    <t>SV00939</t>
  </si>
  <si>
    <t>Al-Balad Modern For Electronics</t>
  </si>
  <si>
    <t>SV00937</t>
  </si>
  <si>
    <t>Cornish Commercial Center 10th Floor 1021</t>
  </si>
  <si>
    <t>Obeikan Education Company (SUWAIDI)</t>
  </si>
  <si>
    <t>SV00938</t>
  </si>
  <si>
    <t>Al Madinah Al MunawwarahØŒ As Suwaidi Al Gharabi Riyadh 12992</t>
  </si>
  <si>
    <t>Condor Tech Electronics Trading LLC</t>
  </si>
  <si>
    <t>V01171</t>
  </si>
  <si>
    <t>Warehouse-28 Phase1 Alquoz Ind Area</t>
  </si>
  <si>
    <t>MVSA001304</t>
  </si>
  <si>
    <t>Nachi Trading LLC (SOR)</t>
  </si>
  <si>
    <t>V01172</t>
  </si>
  <si>
    <t>Office no.216 2nd floor Gargash Center Near Subka Bus Stop Deira</t>
  </si>
  <si>
    <t>MVAE001151</t>
  </si>
  <si>
    <t>Paramount Impex LLC</t>
  </si>
  <si>
    <t>V01175</t>
  </si>
  <si>
    <t>306 Gargash Centre Sabkha Bus Station Naser Square Deira Dubai</t>
  </si>
  <si>
    <t>Globe Link Electronics Trading LLC</t>
  </si>
  <si>
    <t>V01176</t>
  </si>
  <si>
    <t>M04 Al Reem Tower al Maktoum Road</t>
  </si>
  <si>
    <t>SB TECHNOLOGY NY CORP (KSA)</t>
  </si>
  <si>
    <t>SV00940</t>
  </si>
  <si>
    <t>MVSA001175</t>
  </si>
  <si>
    <t>MVAE001558</t>
  </si>
  <si>
    <t>MVSA001655</t>
  </si>
  <si>
    <t>MVSA001657</t>
  </si>
  <si>
    <t>MVSA001168</t>
  </si>
  <si>
    <t>MVSA001112</t>
  </si>
  <si>
    <t>MVAE001123</t>
  </si>
  <si>
    <t>MVSA001371</t>
  </si>
  <si>
    <t>MVAE001222</t>
  </si>
  <si>
    <t>MVSA001025</t>
  </si>
  <si>
    <t>Condor Tech Electronics Trading LLC (JIT)</t>
  </si>
  <si>
    <t>V01178</t>
  </si>
  <si>
    <t>Naturals FZE (JIT)</t>
  </si>
  <si>
    <t>V01179</t>
  </si>
  <si>
    <t>Arfeen Watches Trading LLC</t>
  </si>
  <si>
    <t>V01180</t>
  </si>
  <si>
    <t>Dar Al Aman Building 06 F-208 Al Nakheel Area Near Fortune Deira Hotel</t>
  </si>
  <si>
    <t>JIT</t>
  </si>
  <si>
    <t>Glamoda LLC</t>
  </si>
  <si>
    <t>V01181</t>
  </si>
  <si>
    <t>#704 Al Jaber Building Al Barsha 1 Dubai UAE</t>
  </si>
  <si>
    <t>GLOBAL BRANDS LLC</t>
  </si>
  <si>
    <t>V01182</t>
  </si>
  <si>
    <t>MVAE001014</t>
  </si>
  <si>
    <t>MVAE001383</t>
  </si>
  <si>
    <t>mazaya top trading est</t>
  </si>
  <si>
    <t>SV00943</t>
  </si>
  <si>
    <t>King Fahad street ( 71 Area) building no 71/A/896 Wasel 4846 SHOP NO 1 Opposite Super Market Danube</t>
  </si>
  <si>
    <t>MVSA003464</t>
  </si>
  <si>
    <t>MVAE001705</t>
  </si>
  <si>
    <t>The One Stop Shop</t>
  </si>
  <si>
    <t>V01183</t>
  </si>
  <si>
    <t>2202, Shemara, Marina Promenade</t>
  </si>
  <si>
    <t>0 Days</t>
  </si>
  <si>
    <t>MVAE001269</t>
  </si>
  <si>
    <t>MVAE001292</t>
  </si>
  <si>
    <t>MVSA001239</t>
  </si>
  <si>
    <t>MVSA004405</t>
  </si>
  <si>
    <t>MVSA001179</t>
  </si>
  <si>
    <t>MVSA001488</t>
  </si>
  <si>
    <t>MVAE001560</t>
  </si>
  <si>
    <t>Kerma Trading DMCC</t>
  </si>
  <si>
    <t>Kukoo General Trading L.L.C</t>
  </si>
  <si>
    <t>V01186</t>
  </si>
  <si>
    <t>501 Gargash Centre Banyas Square Deira.</t>
  </si>
  <si>
    <t>MVSA001701</t>
  </si>
  <si>
    <t>MVSA003741</t>
  </si>
  <si>
    <t>MVAE001132</t>
  </si>
  <si>
    <t>MVAE001218</t>
  </si>
  <si>
    <t>MVAE001585</t>
  </si>
  <si>
    <t>MVSA003781</t>
  </si>
  <si>
    <t>MVAE001516</t>
  </si>
  <si>
    <t>MVAE001387</t>
  </si>
  <si>
    <t>ELEKTA COMPANY LTD</t>
  </si>
  <si>
    <t>Aramex Warehouse Opposite to Pepsi cola plant Plot # 4 and warehouse # 1 Dubai investment park-2</t>
  </si>
  <si>
    <t>MVAE001487</t>
  </si>
  <si>
    <t>SV00944</t>
  </si>
  <si>
    <t>Outright</t>
  </si>
  <si>
    <t>HAMTC GEN TRADING L.L.C</t>
  </si>
  <si>
    <t>V01200</t>
  </si>
  <si>
    <t>SHARJAH INDUSTRIAL AREA 17 HAJ ALI MOHEBBI GENERAL TRADING LLC WAREHOUSE</t>
  </si>
  <si>
    <t>V01201</t>
  </si>
  <si>
    <t>27 17b St - Dubai Ras al khor</t>
  </si>
  <si>
    <t>BOYOUT ALMAJD TRADING</t>
  </si>
  <si>
    <t>SV00945</t>
  </si>
  <si>
    <t>AL KHOMRA MOKHATAT 227 AL WALI STREET MOKHATAT ALKARAMA</t>
  </si>
  <si>
    <t>Lâ€™Oreal Saudi Arabia LLC</t>
  </si>
  <si>
    <t>SV00946</t>
  </si>
  <si>
    <t>P.O. Box 15694 Al Hamra District Palestine Street Jeddah 21454 Kingdom of Saudi Arabia</t>
  </si>
  <si>
    <t>MVAE001604</t>
  </si>
  <si>
    <t>MVAE001051</t>
  </si>
  <si>
    <t>MVAE001337</t>
  </si>
  <si>
    <t>MVSA004928</t>
  </si>
  <si>
    <t>MVAE001036</t>
  </si>
  <si>
    <t>MVSA003214</t>
  </si>
  <si>
    <t>WESTERN INTERNATIONAL LLC</t>
  </si>
  <si>
    <t>V01202</t>
  </si>
  <si>
    <t>Western International GroupPO Box # 18742 National Industries Park Jebel Ali Tel: (+9714)8163152 I Mob: (+97156) 1137204 I Fax: (+9714)8807219|</t>
  </si>
  <si>
    <t>Hamad Abdullah Alessa &amp; Sons Co.</t>
  </si>
  <si>
    <t>SV00947</t>
  </si>
  <si>
    <t>AlEssa Warehouse Jeddah Warehouse Chambers Petromin Road Near Tetra Pak Al-Khomra District.</t>
  </si>
  <si>
    <t>New Simar Electronics</t>
  </si>
  <si>
    <t>V01203</t>
  </si>
  <si>
    <t>Shop no.2 Al Jahra Building Khalid Bin Al Waleed Road Burdubai 46626</t>
  </si>
  <si>
    <t>MVSA002168</t>
  </si>
  <si>
    <t>MVAE001134</t>
  </si>
  <si>
    <t>MVAE001409</t>
  </si>
  <si>
    <t>Aiduk trading Establisment / Teqtronix International General Trading LLC (KSA)</t>
  </si>
  <si>
    <t>SV00948</t>
  </si>
  <si>
    <t>Aiduk trading Establisment / Vahedna Trading Company LLC (KSA)</t>
  </si>
  <si>
    <t>SV00949</t>
  </si>
  <si>
    <t>Aiduk trading Establisment / Angelus Trading FZC (KSA)</t>
  </si>
  <si>
    <t>SV00950</t>
  </si>
  <si>
    <t>Aiduk trading Establisment / Kukoo General Trading LLC (KSA)</t>
  </si>
  <si>
    <t>SV00951</t>
  </si>
  <si>
    <t>Aiduk trading Establisment / Sunstrike International Limited FZE (KSA)</t>
  </si>
  <si>
    <t>SV00952</t>
  </si>
  <si>
    <t>MODERN DAR AL GHURABI TRADING EST.</t>
  </si>
  <si>
    <t>SV00953</t>
  </si>
  <si>
    <t>BEHIND MODINESTIN BETWEEN ISTSMBUL STREET AND HAROON RASHEED STREET AL SULAIP.O.BOX 3160 RIYADH</t>
  </si>
  <si>
    <t>Royalford General Trading LLC</t>
  </si>
  <si>
    <t>V01204</t>
  </si>
  <si>
    <t>Western International Group PO Box # 18742 National Industries Park Jebel Ali Tel</t>
  </si>
  <si>
    <t>Taqniya Al Huda Trading Est.</t>
  </si>
  <si>
    <t>SV00954</t>
  </si>
  <si>
    <t>Al Hajjar street Askan-1 Old Al Kharaj Road Al Ajilan Property Riyadh 14516</t>
  </si>
  <si>
    <t>Home Furnishing Trading Est. ( Bait ul Mufroshaat Liltajarat )</t>
  </si>
  <si>
    <t>SV00955</t>
  </si>
  <si>
    <t>Al -Shafa Damanhour Street Warehouse No: 113 P.O .Box No: 05346 Riyadh 11422</t>
  </si>
  <si>
    <t>MVAE001029</t>
  </si>
  <si>
    <t>MVAE001515</t>
  </si>
  <si>
    <t>Aiduk / Trigon LLC</t>
  </si>
  <si>
    <t>Genuine Deal General Trading LLC</t>
  </si>
  <si>
    <t>V01205</t>
  </si>
  <si>
    <t>The Curve Building office F-49 1st floor. al Qouz 3</t>
  </si>
  <si>
    <t>MVSA004905</t>
  </si>
  <si>
    <t>MVSA002189</t>
  </si>
  <si>
    <t>MVSA001462</t>
  </si>
  <si>
    <t>Naman General Trading LLC</t>
  </si>
  <si>
    <t>V01206</t>
  </si>
  <si>
    <t>Office # 504 The Atrium Centre Bank Street Bur Dubai Dubai</t>
  </si>
  <si>
    <t>Asahib Trading est.</t>
  </si>
  <si>
    <t>SV00956</t>
  </si>
  <si>
    <t>Al Mansourah distractIslamabad Street with Al Hkir street near Al Iman General Hospital noffice no</t>
  </si>
  <si>
    <t>SOR</t>
  </si>
  <si>
    <t>MVSA003145</t>
  </si>
  <si>
    <t>MVSA001046</t>
  </si>
  <si>
    <t>MVSA003416</t>
  </si>
  <si>
    <t>MVSA003404</t>
  </si>
  <si>
    <t>Aiduk trading Establisment / MICROTRANS LLC (KSA)</t>
  </si>
  <si>
    <t>MVAE001704</t>
  </si>
  <si>
    <t>Riyadh, Sulay, Istanbul street cross, Ibn Al Amid Street, Building No. 573. (red gates)</t>
  </si>
  <si>
    <t>MVAE001133</t>
  </si>
  <si>
    <t>MVSA002024</t>
  </si>
  <si>
    <t>Al Zaman Trading Co. Ltd.</t>
  </si>
  <si>
    <t>SV00958</t>
  </si>
  <si>
    <t>Mastuda Ba Mosa (W/H no â€“ 1 &amp; 2) Kilo -8 Hail Amir Fowaz Eskan JanubiAL ZAMAN TRADING CO. LTD (</t>
  </si>
  <si>
    <t>Al Babtain Arabian Company For Trading, Industry &amp;</t>
  </si>
  <si>
    <t>SV00959</t>
  </si>
  <si>
    <t>Exit 17 Al Madinah Almonorah Street Warehouse No 21 Riyadh</t>
  </si>
  <si>
    <t>Back to Back (Just in Time - JIT)</t>
  </si>
  <si>
    <t>Aiduk / Kamon International DMCC (KSA)</t>
  </si>
  <si>
    <t>MVAE001173</t>
  </si>
  <si>
    <t>MVSA001327</t>
  </si>
  <si>
    <t>MVAE001714</t>
  </si>
  <si>
    <t>MVSA005071</t>
  </si>
  <si>
    <t>MVAE001693</t>
  </si>
  <si>
    <t>MVAE001188</t>
  </si>
  <si>
    <t>MVSA003312</t>
  </si>
  <si>
    <t>MVAE001504</t>
  </si>
  <si>
    <t>MVAE001425</t>
  </si>
  <si>
    <t>MVSA001075</t>
  </si>
  <si>
    <t>MVAE001130</t>
  </si>
  <si>
    <t>MVAE001119</t>
  </si>
  <si>
    <t xml:space="preserve">Hyatt Regency Galleria Mall, 2nd Floor Room 249-A Al Khaleej Road Deira Dubai </t>
  </si>
  <si>
    <t>Al Wasl Unit # 12, 17 A Street, Al Qouz 3, Near Modern Bakery / Near Insportz, Dubai, UAE.</t>
  </si>
  <si>
    <t>MVAE001761</t>
  </si>
  <si>
    <t>MVAE001675</t>
  </si>
  <si>
    <t>Jeetek Distrbution JLT</t>
  </si>
  <si>
    <t>V01213</t>
  </si>
  <si>
    <t>Jeetek Warehouse Shade No 2 Opposite Avis Rent a Car Warehouse Behind Oasis Village Al Quoz 2</t>
  </si>
  <si>
    <t>Zaki &amp; Sons General Trading CO LLC</t>
  </si>
  <si>
    <t>Al Quoz Industrial Area 1 Near New Grand city Mall Warehouse no.8</t>
  </si>
  <si>
    <t>E Move FZCO</t>
  </si>
  <si>
    <t>V01214</t>
  </si>
  <si>
    <t>Office No: LB16405A P. O. Box: 261592 Jebel Ali</t>
  </si>
  <si>
    <t>5 days</t>
  </si>
  <si>
    <t>Red Dunes Trading EST</t>
  </si>
  <si>
    <t>SV00960</t>
  </si>
  <si>
    <t>Ehssa, Mahasen, King Abdullah Road</t>
  </si>
  <si>
    <t>0 days</t>
  </si>
  <si>
    <t>Aiduk trading Establisment / Kamon International DMCC (KSA)</t>
  </si>
  <si>
    <t>SV00961</t>
  </si>
  <si>
    <t>MVAE001047</t>
  </si>
  <si>
    <t>MVAE001073</t>
  </si>
  <si>
    <t>MVAE001148</t>
  </si>
  <si>
    <t>MVAE001587</t>
  </si>
  <si>
    <t>MVAE001219</t>
  </si>
  <si>
    <t>MVAE001106</t>
  </si>
  <si>
    <t>MVAE001038</t>
  </si>
  <si>
    <t>MVAE001477</t>
  </si>
  <si>
    <t>MVAE001053</t>
  </si>
  <si>
    <t>MVAE001500</t>
  </si>
  <si>
    <t>MVAE001091</t>
  </si>
  <si>
    <t>MVAE001536</t>
  </si>
  <si>
    <t>MVAE001144</t>
  </si>
  <si>
    <t>MVAE001086</t>
  </si>
  <si>
    <t>MVAE001329</t>
  </si>
  <si>
    <t>MVAE001514</t>
  </si>
  <si>
    <t>MVAE001279</t>
  </si>
  <si>
    <t>MVAE001192</t>
  </si>
  <si>
    <t>MVAE001284</t>
  </si>
  <si>
    <t>MVAE001190</t>
  </si>
  <si>
    <t>MVAE001011</t>
  </si>
  <si>
    <t>MVAE001010</t>
  </si>
  <si>
    <t>MVAE001135</t>
  </si>
  <si>
    <t>MVAE001124</t>
  </si>
  <si>
    <t>MVAE001068</t>
  </si>
  <si>
    <t>MVAE001520</t>
  </si>
  <si>
    <t>MVAE001122</t>
  </si>
  <si>
    <t>MVAE001221</t>
  </si>
  <si>
    <t>MVAE001160</t>
  </si>
  <si>
    <t>MVAE001651</t>
  </si>
  <si>
    <t>MVAE001753</t>
  </si>
  <si>
    <t>MVSA002500</t>
  </si>
  <si>
    <t>MVSA003811</t>
  </si>
  <si>
    <t>MVSA004350</t>
  </si>
  <si>
    <t>MVSA004349</t>
  </si>
  <si>
    <t>MVAE001674</t>
  </si>
  <si>
    <t>MULLER AND PHIPPS MIDDLE EAST TRADING LLC</t>
  </si>
  <si>
    <t>V01215</t>
  </si>
  <si>
    <t>Office 307 Building 1 Bay Square Business Bay Dubai</t>
  </si>
  <si>
    <t>Aiduk trading Establisment / SHIFT ELECTRONICS LLC</t>
  </si>
  <si>
    <t>SV00969</t>
  </si>
  <si>
    <t>Shatea Al-Ghadeer Trading &amp; Contracting Co.</t>
  </si>
  <si>
    <t>SV00970</t>
  </si>
  <si>
    <t>Dar Ul Baida New Haraj Al Hair Road Warehouse # 122</t>
  </si>
  <si>
    <t>TECHORBIT TRADING LLC</t>
  </si>
  <si>
    <t>V01216</t>
  </si>
  <si>
    <t>DI PLOT NUMBER :22006 DM PARCEL NO :531 -603 LOCATION: SAIH SHUAIB 2 -DIC DUBAI</t>
  </si>
  <si>
    <t>THINK PLAY TOYS TRADING L.L.C</t>
  </si>
  <si>
    <t>V01217</t>
  </si>
  <si>
    <t>Office no 242052nd floor- Dubai municipality Building. Near Muraqqabat Police station. Deira Duba</t>
  </si>
  <si>
    <t>Red Distributing and Marketing General Trading</t>
  </si>
  <si>
    <t>V01218</t>
  </si>
  <si>
    <t>KIFAF GENERAL TRADING LLC KGT WAREHOUSE NO.5 STREET NO.6 OPP. EUROP CAR GARRAGE AL QUOZ INDUSTRIAL AREA 3</t>
  </si>
  <si>
    <t>MVAE001340</t>
  </si>
  <si>
    <t>Simba Toys Middle East LLC</t>
  </si>
  <si>
    <t>Network Electronics Llc</t>
  </si>
  <si>
    <t>V01219</t>
  </si>
  <si>
    <t>Network Warehouse Warehouse 1 Near Dubai Packaging Industries Ras Al Khor Industrial Area 1 Dubai Contact: Irfan 055 859 0780</t>
  </si>
  <si>
    <t>Life Time Trendz General Trading LLC</t>
  </si>
  <si>
    <t>V01220</t>
  </si>
  <si>
    <t>Lifetime Trendz Warehouse No. 58 Nad Al Hamar</t>
  </si>
  <si>
    <t>MVAE001811</t>
  </si>
  <si>
    <t>MVAE001857</t>
  </si>
  <si>
    <t>MVSA003628</t>
  </si>
  <si>
    <t>Mars Distribution LLC.</t>
  </si>
  <si>
    <t>V01222</t>
  </si>
  <si>
    <t>Office No-906 Pearl Building Naser Square Dubai. PO Box- 120850</t>
  </si>
  <si>
    <t>V01223</t>
  </si>
  <si>
    <t>Plot C.22 IMPZ Dubai Production City</t>
  </si>
  <si>
    <t>National Traders LLC</t>
  </si>
  <si>
    <t>V01224</t>
  </si>
  <si>
    <t>National Traders LLC Plot no. 869 warehouse no. 5 Ras Al Khor Aweer</t>
  </si>
  <si>
    <t>Al Seer Trading Agencies</t>
  </si>
  <si>
    <t>V01225</t>
  </si>
  <si>
    <t>Al Seer Trading Agencies Warehouse Street # 4B Al Quoz near Time Square</t>
  </si>
  <si>
    <t>Al-Hassan Ghazi Ibrahim Shakar Co.</t>
  </si>
  <si>
    <t>SV00972</t>
  </si>
  <si>
    <t>Main Warehouse No 20 Al Khumrah Street jeddah</t>
  </si>
  <si>
    <t>MVSA002175</t>
  </si>
  <si>
    <t>MVAE001414</t>
  </si>
  <si>
    <t>YNK General Trading LLC</t>
  </si>
  <si>
    <t>V01226</t>
  </si>
  <si>
    <t>3212 Lake City Tower Cluster D JLT Dubai - UAE</t>
  </si>
  <si>
    <t>Mohammed Jawad Saleh Bu Khamssen</t>
  </si>
  <si>
    <t>SV00973</t>
  </si>
  <si>
    <t>King Saud Steet Beside Abd Al Wahed Mousque In front of Sasco Gas Station Dammam.</t>
  </si>
  <si>
    <t>Ibrahim Shaker Co.</t>
  </si>
  <si>
    <t>SV00974</t>
  </si>
  <si>
    <t>Main Warehouse No 78 in Al Khumrah Street jeddah</t>
  </si>
  <si>
    <t>YNK General Trading LLC (KSA)</t>
  </si>
  <si>
    <t>SV00976</t>
  </si>
  <si>
    <t>Deesh Star International Gen Trading LLC  (KSA)</t>
  </si>
  <si>
    <t>SV00977</t>
  </si>
  <si>
    <t>Zakia Abdullah Salem Baageel Est.</t>
  </si>
  <si>
    <t>SV00975</t>
  </si>
  <si>
    <t>7297 Al- Faizin Manarat Street Hindawiya. jeddah.</t>
  </si>
  <si>
    <t>BRIO IMPEX FZE</t>
  </si>
  <si>
    <t>V01227</t>
  </si>
  <si>
    <t>CAPTAINS FREIGHT SERVICES FZCO D15-16 DUBAI AIRPORT FREE ZONE DUBAI U.A.E</t>
  </si>
  <si>
    <t>AHMED ABDULWAHED FOR HOM APPLANCES (SOR)</t>
  </si>
  <si>
    <t>MVAE001555</t>
  </si>
  <si>
    <t>SV00978</t>
  </si>
  <si>
    <t>Richlv smart Ltd</t>
  </si>
  <si>
    <t>SV00980</t>
  </si>
  <si>
    <t>Unit C14 3/F BLOCK C Hong kong industrial center.489-491 castle peak road Lai chi kok Hong kong, kowloon, Hong Kong SAR China</t>
  </si>
  <si>
    <t>3 days</t>
  </si>
  <si>
    <t>Cloud sail Information Technology Co., Ltd.</t>
  </si>
  <si>
    <t>SV00981</t>
  </si>
  <si>
    <t>Zhejiang province Yiwu Tongtai Road No. 9, yiwu Zhejiang, China</t>
  </si>
  <si>
    <t>Chinese test seller</t>
  </si>
  <si>
    <t>SV00982</t>
  </si>
  <si>
    <t>Oud Metha, Shenzhen, China</t>
  </si>
  <si>
    <t>Strade Fareast Limited Old</t>
  </si>
  <si>
    <t>SV00983</t>
  </si>
  <si>
    <t>Room 1318 13F Hollywood Plaza , Shenzhen, China</t>
  </si>
  <si>
    <t>Shenzhen Yameidi Trading Co.,Ltd.</t>
  </si>
  <si>
    <t>SV00984</t>
  </si>
  <si>
    <t>Floor 1th No.1228 A# Shenshan Road Shatian community, Shenzhen, China</t>
  </si>
  <si>
    <t>Shenzhen Yuki Trading Co.,Ltd.</t>
  </si>
  <si>
    <t>SV00985</t>
  </si>
  <si>
    <t>Floor 1th No.1228 A# Shenshan Road Shatian community Kengzhi Town Pingshan, Shenzhen, China</t>
  </si>
  <si>
    <t>Shenzhen OGYA Technology Co. Ltd</t>
  </si>
  <si>
    <t>SV00986</t>
  </si>
  <si>
    <t>4th Floor 7 building Yuanhu Technology Park, Shezhen, China</t>
  </si>
  <si>
    <t>Shenzhen Bluelans Network Technology Co. Ltd.</t>
  </si>
  <si>
    <t>SV00987</t>
  </si>
  <si>
    <t>Bld 2 Guangyayuan Industrial Zone, Shenzhen, China</t>
  </si>
  <si>
    <t>Shenzhen Fadeos Trading Co.,Ltd.</t>
  </si>
  <si>
    <t>SV00988</t>
  </si>
  <si>
    <t>108 building 2 NanYou Second Industrial Zone Nanshan Street, Shenzhen, China</t>
  </si>
  <si>
    <t>Shenzhen Hohan Legend Technology Company Ltd.</t>
  </si>
  <si>
    <t>SV00989</t>
  </si>
  <si>
    <t>6 Floor Building D Qinghu Community, Shenzhen, China</t>
  </si>
  <si>
    <t>ShenZhen Yinlibo Industrial Co Ltd.</t>
  </si>
  <si>
    <t>SV00990</t>
  </si>
  <si>
    <t>Henghe International building 805, Shenzen, China</t>
  </si>
  <si>
    <t>SmarLife</t>
  </si>
  <si>
    <t>SV00991</t>
  </si>
  <si>
    <t>CONTEC MEDICAL SYSTEMS CO LTD</t>
  </si>
  <si>
    <t>SV00992</t>
  </si>
  <si>
    <t>NO.112 Qinhuang West Avenue, Qinhuangdao, China</t>
  </si>
  <si>
    <t>Chinatera LTD</t>
  </si>
  <si>
    <t>SV00993</t>
  </si>
  <si>
    <t>Shenzhen longgang district bantian road, shenzhen, China</t>
  </si>
  <si>
    <t>Longvan Ai Di Network Technologies Co. Ltd</t>
  </si>
  <si>
    <t>SV00994</t>
  </si>
  <si>
    <t>Shenzhen longgang district bantian road, Shenzhen, China</t>
  </si>
  <si>
    <t>Longyan Huanjinlian Network Technology Co ., Ltd</t>
  </si>
  <si>
    <t>SV00995</t>
  </si>
  <si>
    <t>5th floor Di Guang Digital Technology Park No.09 Road, Shenzhen, China</t>
  </si>
  <si>
    <t>Shenzhen ZanHome Trading Co. LTD</t>
  </si>
  <si>
    <t>SV00996</t>
  </si>
  <si>
    <t>Room 201 Floor 2 Building 6 Mengliyuan, Shenzhen, China</t>
  </si>
  <si>
    <t>Salamoer Tech.co.ltd</t>
  </si>
  <si>
    <t>SV00997</t>
  </si>
  <si>
    <t>Shenzen Sellmore EC. Co. Ltd</t>
  </si>
  <si>
    <t>SV00998</t>
  </si>
  <si>
    <t>China #201 Building A No.1 Qianwan 1st Road Qianhai, Shenzhen, China</t>
  </si>
  <si>
    <t>Senzhenshi Surviving E-Business Co. Ltd</t>
  </si>
  <si>
    <t>SV00999</t>
  </si>
  <si>
    <t>2 Floor Dongce No.58 Yonghuile, Shenzhen, China</t>
  </si>
  <si>
    <t>Shenzhenshi Dachuangpenghui E Business Co Ltd</t>
  </si>
  <si>
    <t>SV01000</t>
  </si>
  <si>
    <t>Shenzhen Wotefeier Technology Co. Ltd</t>
  </si>
  <si>
    <t>SV01001</t>
  </si>
  <si>
    <t>Room 2301 Building No.9 ShengTaoSha, Shenzhen, China</t>
  </si>
  <si>
    <t>Shenzhenshi Dongxiaojie E-Business CO., Ltd</t>
  </si>
  <si>
    <t>SV01002</t>
  </si>
  <si>
    <t>Sainstore</t>
  </si>
  <si>
    <t>SV01003</t>
  </si>
  <si>
    <t>Floor 3A BLDNG 13 Xinzhu Court , Dongguan, China</t>
  </si>
  <si>
    <t>Shenzhen Fashion Jewelry company</t>
  </si>
  <si>
    <t>SV01004</t>
  </si>
  <si>
    <t>NO.60 First Road Tengchang Henggang Town Shenzhen City, Guangdong, China</t>
  </si>
  <si>
    <t>BRIGHTSUN CORPORATION</t>
  </si>
  <si>
    <t>SV01005</t>
  </si>
  <si>
    <t>ROOM 301 HUANANG BUILDING QINGHUA COMMUNITY JINJIANG CITY CHINA., Fujian, China</t>
  </si>
  <si>
    <t>Shanghai POLIU Commercial Co., Ltd</t>
  </si>
  <si>
    <t>SV01006</t>
  </si>
  <si>
    <t>No. 688 Huaqing Road Qingpu District Shanghai China, Shanghai, China</t>
  </si>
  <si>
    <t>Shenzhen Hualian Technology Limited</t>
  </si>
  <si>
    <t>SV01007</t>
  </si>
  <si>
    <t>Wangtang Road Bulong Road, Shenzhen, China</t>
  </si>
  <si>
    <t>HONGKONG BAODA TARADING LIMITED</t>
  </si>
  <si>
    <t>SV01008</t>
  </si>
  <si>
    <t>SILVERCORP INTERNATIONAL TOWER, hongkong, China</t>
  </si>
  <si>
    <t>Tyora Telecommunication Equipment Co.,Ltd</t>
  </si>
  <si>
    <t>SV01009</t>
  </si>
  <si>
    <t>Fuyong Street Baoan District Shenzhen City, Guangdong, China</t>
  </si>
  <si>
    <t>Richly Smart Limited</t>
  </si>
  <si>
    <t>SV01010</t>
  </si>
  <si>
    <t>Unit C14 3/F Block C Hong Kong Industrial Centre 489-491 Castle Peak Road Lai Chi Kok, hongkong, Hong Kong SAR China</t>
  </si>
  <si>
    <t>Yiwu city zhenke trade co., LTD</t>
  </si>
  <si>
    <t>SV01011</t>
  </si>
  <si>
    <t>Room 302 Unit 1 Building NO.19 qiao dong street yi wu city, Zhejiang, China</t>
  </si>
  <si>
    <t>Shenzhen Qi Cheng Da Electronic Technology Co.Ltd</t>
  </si>
  <si>
    <t>SV01012</t>
  </si>
  <si>
    <t>Unit 30 1 Huaxin village , Shenzhen, China</t>
  </si>
  <si>
    <t>Xiamen xiMa ya lu network technology co LTD</t>
  </si>
  <si>
    <t>SV01013</t>
  </si>
  <si>
    <t>no.3 changle road xiamen, Fujian, China</t>
  </si>
  <si>
    <t>Yiwu Qi Fang Electronic Commerce Limited</t>
  </si>
  <si>
    <t>SV01014</t>
  </si>
  <si>
    <t>Room 501 unit 1 building 18 lingyun district 3 beiyuan streetï¼ŒYiwu city, Yiwu, China</t>
  </si>
  <si>
    <t>Yiwu Qiao Kai Information Technology Co., Ltd</t>
  </si>
  <si>
    <t>SV01015</t>
  </si>
  <si>
    <t>Zhejiang province Yiwu Tongtai Road No. 9, yiwu, China</t>
  </si>
  <si>
    <t>Yiwu Lang Lan Trade Co., Ltd</t>
  </si>
  <si>
    <t>SV01016</t>
  </si>
  <si>
    <t>chou zhou lu 203 hao, Zhejiang, China</t>
  </si>
  <si>
    <t>shenzhenshixinggongchuangkejiyouxiangongsi</t>
  </si>
  <si>
    <t>SV01017</t>
  </si>
  <si>
    <t>Guangdong, Guangdong, China</t>
  </si>
  <si>
    <t>E.Sun investment group</t>
  </si>
  <si>
    <t>SV01018</t>
  </si>
  <si>
    <t>Qatar dragon market, Shanghai, China</t>
  </si>
  <si>
    <t>Hunan DeChangLin DianZi KeJi YouXianGongShi</t>
  </si>
  <si>
    <t>SV01019</t>
  </si>
  <si>
    <t>YiYangShi HeShanQu CangShuiPu YuFengLu TieLu BeiCe, Hunan, China</t>
  </si>
  <si>
    <t>China Fujian Ziguang Information technology CoLtd</t>
  </si>
  <si>
    <t>SV01020</t>
  </si>
  <si>
    <t>6 / F West Tower Oriental Department Store Gulou District Fuzhou Fujian Province China, Fujian, China</t>
  </si>
  <si>
    <t>Shenzhen Wanweile Network Technology Co. LTD</t>
  </si>
  <si>
    <t>SV01021</t>
  </si>
  <si>
    <t>Western Door Zhengxin Industrial Park , Shenzhen, China</t>
  </si>
  <si>
    <t>Shenzhen Beijale E Commerce Co Ltd</t>
  </si>
  <si>
    <t>SV01022</t>
  </si>
  <si>
    <t>1401A-77-98 Garden 8, Shenzhen, China</t>
  </si>
  <si>
    <t>Shenzhen deep water project cost consulting Ltd</t>
  </si>
  <si>
    <t>SV01023</t>
  </si>
  <si>
    <t>yiwu lingyun, Zhejiang, China</t>
  </si>
  <si>
    <t>Guoxingda Technology Co., Ltd</t>
  </si>
  <si>
    <t>SV01024</t>
  </si>
  <si>
    <t>4F G Building No.14 Liuxian Road 1 Baoan District 71 Shenzhen China, Guangdong, China</t>
  </si>
  <si>
    <t>Nightingale international medical management</t>
  </si>
  <si>
    <t>SV01025</t>
  </si>
  <si>
    <t>Shanghai Centre Suite 568 1376 Najing Road West Shanghai 200040 China, Shanghai, China</t>
  </si>
  <si>
    <t>Shenzhenshi A Luo La Kejiyouxiangongsi</t>
  </si>
  <si>
    <t>SV01026</t>
  </si>
  <si>
    <t>Longhuaqu Dalangjiedao, Shenzhen, China</t>
  </si>
  <si>
    <t>Shenzhen Yipei E Commerce Co Ltd</t>
  </si>
  <si>
    <t>SV01027</t>
  </si>
  <si>
    <t>Room 802 Floor 8 Building No.F6, Shenzhen, China</t>
  </si>
  <si>
    <t>Shenzehen Hong Lian Import and Export Co Ltd</t>
  </si>
  <si>
    <t>SV01028</t>
  </si>
  <si>
    <t>RM.636 6/F. Bldg506. Rd.ZhenXing Futian Dist, Shenzhen, China</t>
  </si>
  <si>
    <t>Shenzhen ZhuoShi network technology Co., Ltd</t>
  </si>
  <si>
    <t>SV01029</t>
  </si>
  <si>
    <t>Room 3022 3rd Floor Shenhai, Shenzhen, China</t>
  </si>
  <si>
    <t>LOCKFIX.INC</t>
  </si>
  <si>
    <t>SV01030</t>
  </si>
  <si>
    <t>No.2.Xugongqiao Rd Kunshan 215300, Jiangsu, China</t>
  </si>
  <si>
    <t>Shenzhen Kenxinda Technology Co., Ltd</t>
  </si>
  <si>
    <t>SV01031</t>
  </si>
  <si>
    <t>18 Floors of Fuchun Orient Buliding No.7006 Shennan AV Futian District, Guangdong, China</t>
  </si>
  <si>
    <t>Beichuan Ego Trading Co.,Ltd.</t>
  </si>
  <si>
    <t>SV01032</t>
  </si>
  <si>
    <t>Shenzhen, Shenzhen, China</t>
  </si>
  <si>
    <t>Dongguan Shengtong Electronic Commerce Ltd</t>
  </si>
  <si>
    <t>SV01033</t>
  </si>
  <si>
    <t>19th Floor Block B COCO Park Yabao Road, Shenzhen, China</t>
  </si>
  <si>
    <t>Hong Yuan Trade Company</t>
  </si>
  <si>
    <t>SV01034</t>
  </si>
  <si>
    <t>ChangZhou WuJin District MeiYuan Road, Changzhou, China</t>
  </si>
  <si>
    <t>Yiwu DianSen Electronic Commerce Limited</t>
  </si>
  <si>
    <t>SV01035</t>
  </si>
  <si>
    <t>yiwushi jiangdongjiedao qingxidonglu 102 hao, Yiwu, China</t>
  </si>
  <si>
    <t>aibeite Trading Company shenzhen Co Ltd Siqi Dong</t>
  </si>
  <si>
    <t>SV01036</t>
  </si>
  <si>
    <t>Buxin Garden 4-202 Dongxiao Road Buxin Garden, Shenzhen, China</t>
  </si>
  <si>
    <t>Strade Fareast Limited KSA</t>
  </si>
  <si>
    <t>SV01037</t>
  </si>
  <si>
    <t>AIR CHINA</t>
  </si>
  <si>
    <t>SV01038</t>
  </si>
  <si>
    <t>Room302 No.16 Lane1230 YiXian Road HongKou District, Shanghai, China</t>
  </si>
  <si>
    <t>Shenzhen Ainuode Technology Co., Ltd</t>
  </si>
  <si>
    <t>SV01039</t>
  </si>
  <si>
    <t>#8 Minle Industrial Zone Minzhi Street Shenzhen city, Guangdong, China</t>
  </si>
  <si>
    <t>Solar Time Limited</t>
  </si>
  <si>
    <t>SV01040</t>
  </si>
  <si>
    <t>15/F Kowloon Center, Yuen Long, China</t>
  </si>
  <si>
    <t>ROLXUE</t>
  </si>
  <si>
    <t>SV01041</t>
  </si>
  <si>
    <t>1502#ï¼ŒNO.7ï¼ŒANLIANGLANGUI GARDEN TOLINGLING, Anhui, China</t>
  </si>
  <si>
    <t>Shen zhen la fu bao mao yi LLC</t>
  </si>
  <si>
    <t>SV01042</t>
  </si>
  <si>
    <t>Room 7B105 Yi Lin Ya Yuan, Shenzhen, China</t>
  </si>
  <si>
    <t>Yiwu Pansheng Dianzishangwu Youxiangongsi KSA</t>
  </si>
  <si>
    <t>SV01043</t>
  </si>
  <si>
    <t>201fl. 3unit/42building, Yiwu, China</t>
  </si>
  <si>
    <t>ZAFITI LIMITED</t>
  </si>
  <si>
    <t>SV01044</t>
  </si>
  <si>
    <t>B7P 3/Fï¼ŒBlock B, Kowloon, Hong Kong SAR China</t>
  </si>
  <si>
    <t>shenzhenshilichengdianzishangwuyouxiangongsi</t>
  </si>
  <si>
    <t>SV01045</t>
  </si>
  <si>
    <t>Room 601 Building 2 Bin Xiang Hua Industrial Park No. 7 Shitouling Huada Road Longhua District Shenzhen, ShenZhen, China</t>
  </si>
  <si>
    <t>Shenzhen Jia Neng Liang Commercial Company</t>
  </si>
  <si>
    <t>SV01046</t>
  </si>
  <si>
    <t>SEG Plaza Huaqiang North Futian District, Shenzhen, China</t>
  </si>
  <si>
    <t>Shenzhen Xing Meng Dong Li Wen Hua Chuan Bo</t>
  </si>
  <si>
    <t>SV01047</t>
  </si>
  <si>
    <t>4F Jiaqingge Jiazhouhaoyuan, Shenzhen, China</t>
  </si>
  <si>
    <t>Shenzhen DongHuaDa Technology Co., Ltd</t>
  </si>
  <si>
    <t>SV01048</t>
  </si>
  <si>
    <t>126-1 room A block Huayuan Science and Technology Innovation Park, Shenzhen, China</t>
  </si>
  <si>
    <t>Tianzhi dianshang keji youxiangongsi</t>
  </si>
  <si>
    <t>SV01049</t>
  </si>
  <si>
    <t>320room Huakaihuolizhongxin, Dongguan, China</t>
  </si>
  <si>
    <t>YiWu Sugar Nail E commerce CO LTD</t>
  </si>
  <si>
    <t>SV01050</t>
  </si>
  <si>
    <t>Qingkou jushiyun 205 tongba oroad Yiwu Zhejiang, Yiwu, China</t>
  </si>
  <si>
    <t>SILVER JUSTICE TECHNOLOGY CO LTD KENVIN ONG</t>
  </si>
  <si>
    <t>SV01051</t>
  </si>
  <si>
    <t>15f/3rd Tianjian building Xinâ€™an street Shenzhen, ShenZhen, China</t>
  </si>
  <si>
    <t>shenzhen beichuan ego trading Co.,Ltd.</t>
  </si>
  <si>
    <t>SV01052</t>
  </si>
  <si>
    <t>shenzhen, Guangdong, China</t>
  </si>
  <si>
    <t>Shenzhen White Road Technology Co., Ltd.</t>
  </si>
  <si>
    <t>SV01053</t>
  </si>
  <si>
    <t>No. 23 No. 202 water tail three District people street Longhua District Shenzhen, Guangdong, China</t>
  </si>
  <si>
    <t>Shenzhen Pang Niu Ke Ji You Xian Gong Si</t>
  </si>
  <si>
    <t>SV01054</t>
  </si>
  <si>
    <t>8/F No.614 Building Bagua 1st Road, Shenzhen Guang Dong, China</t>
  </si>
  <si>
    <t>Shenzhen Seven and Eight Technology Co., LTD</t>
  </si>
  <si>
    <t>SV01055</t>
  </si>
  <si>
    <t>The 2nd Floor 1BLD 89#LiuWuRd, Shenzhen, China</t>
  </si>
  <si>
    <t>Shenzhen Xise Toys Co Ltd.,</t>
  </si>
  <si>
    <t>SV01056</t>
  </si>
  <si>
    <t>1Lou 89Hao Liuwulu LongGanggjiedao Nanlian, Shenzhen, China</t>
  </si>
  <si>
    <t>Jia Wang Jie Trading Co., Ltd.</t>
  </si>
  <si>
    <t>SV01057</t>
  </si>
  <si>
    <t>Shenzhen is Longhua New District Minzhi Street Hengling a district 22, Guangdong, China</t>
  </si>
  <si>
    <t>Guangzhou Renwangxing Electronic Commerce Co Ltd</t>
  </si>
  <si>
    <t>SV01058</t>
  </si>
  <si>
    <t>Room 605 No.1 South Street NanzhuSquare, Guangzhou, China</t>
  </si>
  <si>
    <t>Shenzhen Tianhengzhi Technology co. LTD</t>
  </si>
  <si>
    <t>SV01059</t>
  </si>
  <si>
    <t>4B Unit B Yuhedi Building, Shenzhen Guangdong, China</t>
  </si>
  <si>
    <t>Shupai</t>
  </si>
  <si>
    <t>SV01060</t>
  </si>
  <si>
    <t>Panyu District, Guangdong, China</t>
  </si>
  <si>
    <t>Guangzhou JIAJUN CO</t>
  </si>
  <si>
    <t>SV01061</t>
  </si>
  <si>
    <t>Guangzhou city baiyun district, Guangdong, China</t>
  </si>
  <si>
    <t>Shanghai Lin Yue Industrial Co., Ltd.</t>
  </si>
  <si>
    <t>SV01062</t>
  </si>
  <si>
    <t>Room D2628 No. 8885 Hu Tai Road Baoshan District Shanghai, Shanghai, China</t>
  </si>
  <si>
    <t>cs-collection</t>
  </si>
  <si>
    <t>SV01063</t>
  </si>
  <si>
    <t>FLAT C 17/F BLOCK 6 PIERHEAD GARDEN , Tuen Mun, Hong Kong SAR China</t>
  </si>
  <si>
    <t>Shenzhen Jier Trading Co Ltd</t>
  </si>
  <si>
    <t>SV01064</t>
  </si>
  <si>
    <t>Building D Huafeng Industrial Park, Shenzhen, China</t>
  </si>
  <si>
    <t>Shenzhen Baobaolai Keji Youxian Gongsi</t>
  </si>
  <si>
    <t>SV01065</t>
  </si>
  <si>
    <t>6001 2lou7dong Huikepingbanxianshichanyeyuan No1, Shenzhen, China</t>
  </si>
  <si>
    <t>Shen Zhen mei neng bao zhang zhi pin limited</t>
  </si>
  <si>
    <t>SV01066</t>
  </si>
  <si>
    <t>Long Gang Area Long Gang, Shenzhen, China</t>
  </si>
  <si>
    <t>Shenzhenshi Shuke Maoyi Fuwu Youxian Gongsi</t>
  </si>
  <si>
    <t>SV01067</t>
  </si>
  <si>
    <t>Hongyechuangke Dasha A505, Shenzhen, China</t>
  </si>
  <si>
    <t>LeYuan Commercial Company</t>
  </si>
  <si>
    <t>SV01068</t>
  </si>
  <si>
    <t>Changzhou Wujin District Garden Street No. 892, Changzhou, China</t>
  </si>
  <si>
    <t>zhengzhou dadong dianzishangwu youxian gongsi</t>
  </si>
  <si>
    <t>SV01069</t>
  </si>
  <si>
    <t>Zhengzhou Jinshui provincial Exchange Center A 2102, Henan, China</t>
  </si>
  <si>
    <t>Shenzhen Huangtongmei Internet Technology Limited</t>
  </si>
  <si>
    <t>SV01070</t>
  </si>
  <si>
    <t>Build A Xinmalijia Park Longgang District, Shenzhen Guangdong, China</t>
  </si>
  <si>
    <t>Red On Limited</t>
  </si>
  <si>
    <t>SV01071</t>
  </si>
  <si>
    <t>Unit A 8/F China Harbour Building, Hongkong, China</t>
  </si>
  <si>
    <t>HongDing trade company</t>
  </si>
  <si>
    <t>SV01072</t>
  </si>
  <si>
    <t>B101 FEIPENG lighting city Lecong town Foshan city, Guangdong, China</t>
  </si>
  <si>
    <t>TOMTOP TECHNOLOGY LIMITED</t>
  </si>
  <si>
    <t>SV01073</t>
  </si>
  <si>
    <t>G Zone 5/F No.1 Trade Sq. China South City, Shenzhen, China</t>
  </si>
  <si>
    <t>Shenzhen Shanquanmei E-Commerce CO.,Ltd</t>
  </si>
  <si>
    <t>SV01074</t>
  </si>
  <si>
    <t>B17-104 Overseas Lianyi Building 4th floor Yingchun road Nanhu street Luohu Shenzhen, Shenzhen, China</t>
  </si>
  <si>
    <t>Shenzhen Fanda Technology CO LTD</t>
  </si>
  <si>
    <t>SV01075</t>
  </si>
  <si>
    <t>Room 301 Building A No.631, Guangzhou, China</t>
  </si>
  <si>
    <t>China</t>
  </si>
  <si>
    <t>SV01076</t>
  </si>
  <si>
    <t>Dongchen area Dongguan city , Guangdong, China</t>
  </si>
  <si>
    <t>HONGYUAN E-COMMERCE CO.</t>
  </si>
  <si>
    <t>SV01077</t>
  </si>
  <si>
    <t>ChangZhou WuJin District YanZhong Road, Jiangsu, China</t>
  </si>
  <si>
    <t>Yiwu Deyun Co., Ltd.</t>
  </si>
  <si>
    <t>SV01078</t>
  </si>
  <si>
    <t>Room 1003 Road Haidi Baoshan Strict, Shanghai, China</t>
  </si>
  <si>
    <t>chinaFBAinspection</t>
  </si>
  <si>
    <t>SV01079</t>
  </si>
  <si>
    <t>302 Unit 1 Building Qiancheng xiao qu Jiangdong Road Yiwu city, Zhejiang, China</t>
  </si>
  <si>
    <t>Yi Tian Trade Ltd,Co</t>
  </si>
  <si>
    <t>SV01080</t>
  </si>
  <si>
    <t>Room A320-1 3rd Unit Hua nan west Court Building 6th Ping hu Street Long gang District, Guangdong, China</t>
  </si>
  <si>
    <t>ShenZhen ZuJi Tech Co.,Ltd</t>
  </si>
  <si>
    <t>SV01081</t>
  </si>
  <si>
    <t>No.113 Lixin Road Nanwan street Buji town shenzhen china, Guangdong, China</t>
  </si>
  <si>
    <t>Shenzhen Huajie E-Commerce Co., Ltd</t>
  </si>
  <si>
    <t>SV01082</t>
  </si>
  <si>
    <t>P09 Building 102 Room Electronic Trading Center, Shenzhen, China</t>
  </si>
  <si>
    <t>Shenzhen Yayueer Trade ,.ltd</t>
  </si>
  <si>
    <t>SV01083</t>
  </si>
  <si>
    <t>guangdong shenzhen baoanqu shajinjiedao, Guangdong, China</t>
  </si>
  <si>
    <t>Goodisk Co.Ltd</t>
  </si>
  <si>
    <t>SV01084</t>
  </si>
  <si>
    <t>No 729 Danxi Road Yiwu City, Yiwu, China</t>
  </si>
  <si>
    <t>Shenzhen Shi Fiona Electronic Commerce Co. LTD .</t>
  </si>
  <si>
    <t>SV01085</t>
  </si>
  <si>
    <t>Shenzhen South Mt. District Lu No. No 4078, Shenzhen Guangdong, China</t>
  </si>
  <si>
    <t>HeFeishihequwangluokeji. Co. Ltd</t>
  </si>
  <si>
    <t>SV01086</t>
  </si>
  <si>
    <t>Room 205-212 Building 2 Standard workshop, Jinhua, China</t>
  </si>
  <si>
    <t>shentong</t>
  </si>
  <si>
    <t>SV01087</t>
  </si>
  <si>
    <t>ä¸­å›½æ·±åœ³å¸‚å—å±±åŒºå‰æµ·è·¯Båº§1408, Guangdong, China</t>
  </si>
  <si>
    <t>Shenzhen Huangtongmei Internet Technology Ltd</t>
  </si>
  <si>
    <t>SV01088</t>
  </si>
  <si>
    <t>Build A Xinmalijia Park Longgang District, Shenzhen, China</t>
  </si>
  <si>
    <t>Ruian Chicheng Trading Co.,Ltd</t>
  </si>
  <si>
    <t>SV01089</t>
  </si>
  <si>
    <t>NO 160 Tanglu Nanchaocun Tingtianjiedao Ruian, Fujian, China</t>
  </si>
  <si>
    <t>Shenzhen Jianlin Trading Co Ltd</t>
  </si>
  <si>
    <t>SV01090</t>
  </si>
  <si>
    <t>4th Floor No 44 XingDong Road Longgang Street, Shenzhen Guangdong, China</t>
  </si>
  <si>
    <t>Efit Trading Co.,Ltd</t>
  </si>
  <si>
    <t>SV01091</t>
  </si>
  <si>
    <t>Block 13 28 Cheung Sha Wan Road Kowloon Hong Kong, Hong Kong, China</t>
  </si>
  <si>
    <t>Shenzhen Ego Technology Co., Ltd.</t>
  </si>
  <si>
    <t>SV01092</t>
  </si>
  <si>
    <t>Shenzhen FuTian HuaFa Road Ceiecsz Center, Guangdong, China</t>
  </si>
  <si>
    <t>Fujian Province Yongxinlongda Trading Co. Ltd.</t>
  </si>
  <si>
    <t>SV01093</t>
  </si>
  <si>
    <t>Yujing road No.288 Yuping Streetï¼ŒFuiqing Cityï¼Œ, Fujian, China</t>
  </si>
  <si>
    <t>Shenzhen Xinchaosaite E-Commerce Co., Ltd</t>
  </si>
  <si>
    <t>SV01094</t>
  </si>
  <si>
    <t>Room11111 Block A Star River Century Building Border of Shennan Avenue and CaiTian Road Futian Street Futian District Shenzhen China, Guangdong, China</t>
  </si>
  <si>
    <t>Yiwu Huanyue Trade Co.,ltd</t>
  </si>
  <si>
    <t>SV01095</t>
  </si>
  <si>
    <t>No.7 Beiyuan Road, Zhejiang, China</t>
  </si>
  <si>
    <t>foshan nanhai meilun garment company limited</t>
  </si>
  <si>
    <t>SV01096</t>
  </si>
  <si>
    <t>yanbu lian an road#57 foshan nanhai district, Guangdong, China</t>
  </si>
  <si>
    <t>Shenzhen Shi Caichi Fushi Co Ltd</t>
  </si>
  <si>
    <t>SV01097</t>
  </si>
  <si>
    <t>LonghuaQu Dalangjiedo Hepinglu, Shenzhen Guangdong, China</t>
  </si>
  <si>
    <t>Trade Starts Here Limited</t>
  </si>
  <si>
    <t>SV01098</t>
  </si>
  <si>
    <t>Flat E 3/F Po Cheong Building 148-154, Hong Kong, Hong Kong SAR China</t>
  </si>
  <si>
    <t>Taia Culture Communication Co., Ltd.</t>
  </si>
  <si>
    <t>SV01099</t>
  </si>
  <si>
    <t>Longhua District Shenzhen Song Debao Building 2018, Guangdong, China</t>
  </si>
  <si>
    <t>Hangzhou global trade</t>
  </si>
  <si>
    <t>SV01100</t>
  </si>
  <si>
    <t>CK Telecom NO. 606 Qiuyi Road Binjiang District Hangzhou China, Zhejiang, China</t>
  </si>
  <si>
    <t>Shanghai Cifang Information Technology Co. Ltd.</t>
  </si>
  <si>
    <t>SV01101</t>
  </si>
  <si>
    <t>9th Floor No 819 Yinxiang Road Jiading, Shanghai, China</t>
  </si>
  <si>
    <t>MarsTech.co.,Ltd</t>
  </si>
  <si>
    <t>SV01102</t>
  </si>
  <si>
    <t>Room E 28th floor Building D Hui Fang Park Nanshan District Shenzhen, Guangdong, China</t>
  </si>
  <si>
    <t>Zhen Hao Ornament Co., Ltd.</t>
  </si>
  <si>
    <t>SV01103</t>
  </si>
  <si>
    <t>Yiwu Beiyuan Street Qiushi Road No. 11, Zhejiang, China</t>
  </si>
  <si>
    <t>HongKong MicroPower Industrial Limited</t>
  </si>
  <si>
    <t>SV01104</t>
  </si>
  <si>
    <t>Guangrong Jidian Park Meihua Road, Shenzhen, China</t>
  </si>
  <si>
    <t>Activemall</t>
  </si>
  <si>
    <t>SV01105</t>
  </si>
  <si>
    <t>Floor 1th No.1228 A# Shenshan Road Shatian commun, Shenzhen Guangdong, China</t>
  </si>
  <si>
    <t>Talentbaby</t>
  </si>
  <si>
    <t>SV01106</t>
  </si>
  <si>
    <t>Floor 1th No.1228 A# Shenshan Road Shatian community Kengzhi Town, Shenzhen Guangdong, China</t>
  </si>
  <si>
    <t>Shen Zhen Shi Yu Yuan Ke Ji You Xian GongSi</t>
  </si>
  <si>
    <t>SV01107</t>
  </si>
  <si>
    <t>Room #656 Building B Qinghu Science and Technology Park Qingxiang Community, Dongguan, China</t>
  </si>
  <si>
    <t>Shen Zhen Shi Shang Qin Yuan Ke Ji You XianGongSi</t>
  </si>
  <si>
    <t>SV01108</t>
  </si>
  <si>
    <t>Room #705 Building B Qinghu Science and Technology Park Qingxiang Community, Dongguan GuangDong, China</t>
  </si>
  <si>
    <t>Shenzhen Figs E-commerce Co.,Ltd</t>
  </si>
  <si>
    <t>SV01109</t>
  </si>
  <si>
    <t>Room 405 Buliding 2 Jinfanghua chanyeyuan, Shenzhen Guangdong, China</t>
  </si>
  <si>
    <t>Shenzhen Maelfa E-commerce CO.,Ltd</t>
  </si>
  <si>
    <t>SV01110</t>
  </si>
  <si>
    <t>Strawberry Cosmetics (Internet Services) Limited</t>
  </si>
  <si>
    <t>SV01111</t>
  </si>
  <si>
    <t>No.4 A Kung Ngam Village Road, Hong Kong, China</t>
  </si>
  <si>
    <t>Shenzhen Yinte Ecommerence Co Ltd</t>
  </si>
  <si>
    <t>SV01112</t>
  </si>
  <si>
    <t>Shenzhen futianqu huaqiangbeijiedao huaqiangbeilu saigekejigongyeyuan 4dong5ceng A-D yu 4-7zhou B01, Guangdong, China</t>
  </si>
  <si>
    <t>Shenzhen Chuangmingjing e Commerce Co Ltd</t>
  </si>
  <si>
    <t>SV01113</t>
  </si>
  <si>
    <t>meilinjiedaomeihualu shenhuakejigongyeyuan, Guangdong, China</t>
  </si>
  <si>
    <t>Shenzhen pugao toys co LTD</t>
  </si>
  <si>
    <t>SV01114</t>
  </si>
  <si>
    <t>City square guest road, Shenzhen Guangdong, China</t>
  </si>
  <si>
    <t>Yunnan Yemenjia Wenhua Chuanbo Youxian Gongsi</t>
  </si>
  <si>
    <t>SV01115</t>
  </si>
  <si>
    <t>China Yunnan Province Gejiu City Wen Hui Yuan, Yunnan, China</t>
  </si>
  <si>
    <t>SAFWAT AL SARAYA Establishment</t>
  </si>
  <si>
    <t>SV01116</t>
  </si>
  <si>
    <t>Batha Main Street Martaz AlRajhi, Riyadh, China</t>
  </si>
  <si>
    <t>Anyang Zhifang Commercial And Trading Co.,Ltd</t>
  </si>
  <si>
    <t>SV01117</t>
  </si>
  <si>
    <t>Anyang city, Henan, China</t>
  </si>
  <si>
    <t>shen zhen shang sai international commerce co.ltd</t>
  </si>
  <si>
    <t>SV01118</t>
  </si>
  <si>
    <t>guan lan street Longhua District shen zhen, Guangdong, China</t>
  </si>
  <si>
    <t>SHENZHEN SUNSKY TECHNOLOGY LIMITED</t>
  </si>
  <si>
    <t>SV01119</t>
  </si>
  <si>
    <t>LAT/RM C 15/F HUA CHIAO, Hong Kong, China</t>
  </si>
  <si>
    <t>Shenzhen Baihan Technology Co., Ltd.</t>
  </si>
  <si>
    <t>SV01120</t>
  </si>
  <si>
    <t>æ·±åœ³å¸‚é¾™åŽåŒºé¾™åŽè¡—é“éƒ­å“æ‘ä¸‰åŒºå››å·· 203 å®¤, Guangdong, China</t>
  </si>
  <si>
    <t>Foshan Caiou Commerce Trade Co., LTD</t>
  </si>
  <si>
    <t>SV01121</t>
  </si>
  <si>
    <t>1-A1523 Ludaoqingnianhui Jihuaxi Road Foshan, Guangdong, China</t>
  </si>
  <si>
    <t>Hangzhou Hongyi E-Business Co.,Ltd</t>
  </si>
  <si>
    <t>SV01122</t>
  </si>
  <si>
    <t>2-907 Ronghui Business Center Hangzhou Economic Technical Development Zone, Zhejiang, China</t>
  </si>
  <si>
    <t>Wuhan Lanting Huihe Trading Co.,Ltd</t>
  </si>
  <si>
    <t>SV01123</t>
  </si>
  <si>
    <t>Hai Lun Chun Tian 12-3-201, Hubei, China</t>
  </si>
  <si>
    <t>Shenzhen unbo Agel Ecommerce Ltd</t>
  </si>
  <si>
    <t>SV01124</t>
  </si>
  <si>
    <t>1102 block A union square no. 5022 binhe avenue futian street futian district shenzhen., Guangdong, China</t>
  </si>
  <si>
    <t>shenzhenshi shen nan shun keji youxiangongsi</t>
  </si>
  <si>
    <t>SV01125</t>
  </si>
  <si>
    <t>5/F 1st building Dong Fang Ming Industrial Area, Shenzhen Guangdong, China</t>
  </si>
  <si>
    <t>edxtech INC</t>
  </si>
  <si>
    <t>SV01126</t>
  </si>
  <si>
    <t>302 Unit 1 Building Qiancheng xiao qu, Yiwu city, China</t>
  </si>
  <si>
    <t>TomToce international Co.,Ltd</t>
  </si>
  <si>
    <t>SV01127</t>
  </si>
  <si>
    <t>shenzhen longhua donghuan road 1 tianhui building D908, Guangdong, China</t>
  </si>
  <si>
    <t>Shenzhen Haojin Cultural and Athletic Goods Co Ltd</t>
  </si>
  <si>
    <t>SV01128</t>
  </si>
  <si>
    <t>æ·±åœ³å¸‚é¾™å²—åŒºå¸ƒå‰è¡—é“ä¸Šæ°´èŠ±å›­1åŒº54æ ‹, Guangdong, China</t>
  </si>
  <si>
    <t>SHENZHEN RONGDAYUAN TECHNILOGY LIMITED</t>
  </si>
  <si>
    <t>SV01129</t>
  </si>
  <si>
    <t>FTUIAN district bagua 1st road, Guangdong, China</t>
  </si>
  <si>
    <t>shenzhen binghao maoyi youxian zeren gongsi</t>
  </si>
  <si>
    <t>SV01130</t>
  </si>
  <si>
    <t>Longhuaxinqu Minzhijiedao, Dong, China</t>
  </si>
  <si>
    <t>Shenzhen Ruikeshi Technology Co Ltd</t>
  </si>
  <si>
    <t>SV01131</t>
  </si>
  <si>
    <t>Room B1004 ShenGang WanZhong International, Shenzhen Guangdong, China</t>
  </si>
  <si>
    <t>Shenzhen Sailvan Network Technology Co.,Ltd.</t>
  </si>
  <si>
    <t>SV01132</t>
  </si>
  <si>
    <t>Area C sixth floor China Southern Trading Plaza, Shenzhen, China</t>
  </si>
  <si>
    <t>Rock Enterprise Co Ltd</t>
  </si>
  <si>
    <t>SV01133</t>
  </si>
  <si>
    <t>Unit 703C 7/F Lai Cheong Factory Building 479-479A Castle Peak Road Lai Chi Kok Kln Hong Kong, Hong Kong, China</t>
  </si>
  <si>
    <t>EECHIN Technology LTC.</t>
  </si>
  <si>
    <t>SV01134</t>
  </si>
  <si>
    <t>Room 1305 Chengshi Gongyu Tongsha Road 366 Dajie Xili Nanshan District Shenzhen, Guangdong, China</t>
  </si>
  <si>
    <t>Shenzhen BirdKing Outdoor Products Ltd.</t>
  </si>
  <si>
    <t>SV01135</t>
  </si>
  <si>
    <t>7/F Building 3 Dongbiantou Industrial Park Guangming New District Shenzhen China., Guangdong, China</t>
  </si>
  <si>
    <t>Guangdong Toonies Supply Chain Management Co Ltd</t>
  </si>
  <si>
    <t>SV01136</t>
  </si>
  <si>
    <t>Tianhe Longdong Xingnanchuangyiyuan, Guangzhou, China</t>
  </si>
  <si>
    <t>Tact Pro Trading LLC</t>
  </si>
  <si>
    <t>SV01137</t>
  </si>
  <si>
    <t>RM406 BLDG Xingguang 80 Hou, Shenzhen Guangdong, China</t>
  </si>
  <si>
    <t>Qafilah Al Fursan Trading Est.</t>
  </si>
  <si>
    <t>SV01138</t>
  </si>
  <si>
    <t>Starex ShowroomAl Gazali Plaza Building Office # 101 Junubia Opp: Al Riyadh Bank Near Saab Bank</t>
  </si>
  <si>
    <t>ATIKSH GENERAL TRADING LLC</t>
  </si>
  <si>
    <t>V01231</t>
  </si>
  <si>
    <t>OFFICE # 504 THE ATRIUM CENTRE BANK STREET BUR DUBAI</t>
  </si>
  <si>
    <t>MVSA003493</t>
  </si>
  <si>
    <t>MVSA004822</t>
  </si>
  <si>
    <t>Dar Al Qarnas Trading Est</t>
  </si>
  <si>
    <t>SV01143</t>
  </si>
  <si>
    <t>Chamber Line Building 2nd floor Dabab Street Near Chamber of Commerce Al Wazarat</t>
  </si>
  <si>
    <t>MAXUS GLOBAL PTE LTD</t>
  </si>
  <si>
    <t>SV01144</t>
  </si>
  <si>
    <t>205 Henderson Road #03-01 Singapore 159549</t>
  </si>
  <si>
    <t>Atiq &amp; Liusie General Trading LLC - TOYS</t>
  </si>
  <si>
    <t>V01233</t>
  </si>
  <si>
    <t>Plot C.22 IMPZ Dubai Production City Apposite Sign Work PO Box7297</t>
  </si>
  <si>
    <t>EL-ESSAWI TRADING COMPANY</t>
  </si>
  <si>
    <t>SV01145</t>
  </si>
  <si>
    <t>Al-Shamsiyyah Commercial Center King Faisal Street â€“ 4 th floor â€“ Office # 420</t>
  </si>
  <si>
    <t>COTY DISTRIBUTION EMIRATES L.L.C</t>
  </si>
  <si>
    <t>V01234</t>
  </si>
  <si>
    <t>Coty Emirates World Trade Center One Central 3rd floor</t>
  </si>
  <si>
    <t>SIMRAN TRADING LLC</t>
  </si>
  <si>
    <t>V01235</t>
  </si>
  <si>
    <t>807B GARGASH CENTRE Deira</t>
  </si>
  <si>
    <t>V01236</t>
  </si>
  <si>
    <t>Jenluca Assembling Electrical LLC</t>
  </si>
  <si>
    <t>V01238</t>
  </si>
  <si>
    <t>Industrial Area Al Quoz 4 Unit 7 Office M3 (near to Emirates Glass LLC)</t>
  </si>
  <si>
    <t>Gulf Electronics Company LLC</t>
  </si>
  <si>
    <t>V01239</t>
  </si>
  <si>
    <t>Mina Port area right from panasonic building N0.305</t>
  </si>
  <si>
    <t>Al Masani Road, Al Shefa District. Riyadh 14714, KSA</t>
  </si>
  <si>
    <t>Plot No - 598-290 Near Global Shipping and logistics(GSL) Dubai Investment Park 1</t>
  </si>
  <si>
    <t>Pack2Go Warehouse S09, 3rd Compound MAG Logestic Park, Al Quoz 2 Dubai, UAE</t>
  </si>
  <si>
    <t>MOHAMMED MOHAMMED ALI OTAIN EST. FOR COMPUTER MAINTENANCE</t>
  </si>
  <si>
    <t>AL OTAIN COMPUTER FAHID STREETAL DOSSARY TOWER 2th Floor -AL KHOBAR</t>
  </si>
  <si>
    <t>Saleh Ahmed Soliman Badreig EST.</t>
  </si>
  <si>
    <t>SASB CompanyPalestine Street - Muheisen Al Aakour Center - 5th Floor - Office 508</t>
  </si>
  <si>
    <t>M AYSSAM AL ARABIA TRADING EST</t>
  </si>
  <si>
    <t>MAYSSAM AL ARABIA AL RAJIH FIVE BUILDING BUILDING # 1 OFFICE # 204 AL BATHA STREET RIYADH.</t>
  </si>
  <si>
    <t>V01243</t>
  </si>
  <si>
    <t>MVAE001092</t>
  </si>
  <si>
    <t>MVSA004334</t>
  </si>
  <si>
    <t>MVSA001490</t>
  </si>
  <si>
    <t>MVSA002336</t>
  </si>
  <si>
    <t>MVSA003313</t>
  </si>
  <si>
    <t>MVSA001474</t>
  </si>
  <si>
    <t>MVSA001113</t>
  </si>
  <si>
    <t>MVAE001301</t>
  </si>
  <si>
    <t>MVAE001050</t>
  </si>
  <si>
    <t>MVAE001486</t>
  </si>
  <si>
    <t>MVAE001524</t>
  </si>
  <si>
    <t>MVSA003617</t>
  </si>
  <si>
    <t>MVAE001128</t>
  </si>
  <si>
    <t>MVAE001502</t>
  </si>
  <si>
    <t>MVAE001925</t>
  </si>
  <si>
    <t>MVSA003142</t>
  </si>
  <si>
    <t>MVSA002675</t>
  </si>
  <si>
    <t>MVSA001842</t>
  </si>
  <si>
    <t>MVSA001495</t>
  </si>
  <si>
    <t>MVSA003094</t>
  </si>
  <si>
    <t>MVSA003248</t>
  </si>
  <si>
    <t>MVSA001167</t>
  </si>
  <si>
    <t>MVSA002542</t>
  </si>
  <si>
    <t>MVSA002045</t>
  </si>
  <si>
    <t>MVSA003414</t>
  </si>
  <si>
    <t>MVSA003147</t>
  </si>
  <si>
    <t>MVSA002387</t>
  </si>
  <si>
    <t>MVSA001108</t>
  </si>
  <si>
    <t>MVSA002133</t>
  </si>
  <si>
    <t>MVSA001397</t>
  </si>
  <si>
    <t>MVSA003443</t>
  </si>
  <si>
    <t>MVSA002173</t>
  </si>
  <si>
    <t>MVAE001098</t>
  </si>
  <si>
    <t>MVAE001703</t>
  </si>
  <si>
    <t>MVAE001790</t>
  </si>
  <si>
    <t>MVSA005838</t>
  </si>
  <si>
    <t>MVSA002174</t>
  </si>
  <si>
    <t>MVSA003571</t>
  </si>
  <si>
    <t>MVSA005537</t>
  </si>
  <si>
    <t>MVSA001976</t>
  </si>
  <si>
    <t>MVSA002210</t>
  </si>
  <si>
    <t>MVSA002828</t>
  </si>
  <si>
    <t>MVSA001019</t>
  </si>
  <si>
    <t>MVSA001018</t>
  </si>
  <si>
    <t>MVAE001830</t>
  </si>
  <si>
    <t>SV01151</t>
  </si>
  <si>
    <t>SV01152</t>
  </si>
  <si>
    <t>SV01153</t>
  </si>
  <si>
    <t>Ahmed Abdul Rahman AL Liusie Company</t>
  </si>
  <si>
    <t>SV01158</t>
  </si>
  <si>
    <t>Shibh Aljazirah street Exit 16 Al sulay Riyadh â€“ Saudi Arabia - PO BOX 331161</t>
  </si>
  <si>
    <t>Al Hodaithy International Group</t>
  </si>
  <si>
    <t>SV01159</t>
  </si>
  <si>
    <t>Hodaithy Branch Office. Riyadh. As Sulay Exit 16 Istanbul street Riyadh 14273 Behind kudu Compound</t>
  </si>
  <si>
    <t>SARV Electronics LLC</t>
  </si>
  <si>
    <t>Al Mankhool Building Office No. M09B Mezzanine floor Bank Street Bur Dubai P.O. Box 12727</t>
  </si>
  <si>
    <t>MVSA004172</t>
  </si>
  <si>
    <t>MVSA004357</t>
  </si>
  <si>
    <t>Near Al Badie Travel Agency &amp; Tourism Land Mark : Sufyan Ibn Al-Harith Mosque Al Nasser Street,Al Markaziyah Area - Abu Dhabi</t>
  </si>
  <si>
    <t>MVSA001089</t>
  </si>
  <si>
    <t>MVAE001013</t>
  </si>
  <si>
    <t>MVAE001888</t>
  </si>
  <si>
    <t>MVAE001945</t>
  </si>
  <si>
    <t>4+20</t>
  </si>
  <si>
    <t>Distribution Lines For Communication</t>
  </si>
  <si>
    <t>SV01175</t>
  </si>
  <si>
    <t>Exit-18 Istanbul Street Sulai-Near Al Fousan Majid PO Box 66120</t>
  </si>
  <si>
    <t>Samsung Gulf Electronics FZE</t>
  </si>
  <si>
    <t>SV01176</t>
  </si>
  <si>
    <t>Direct Shipment to KSA â€“ CIF Terms</t>
  </si>
  <si>
    <t>MVAE001843</t>
  </si>
  <si>
    <t>MVSA004398</t>
  </si>
  <si>
    <t>MVSA002358</t>
  </si>
  <si>
    <t>MVSA006828</t>
  </si>
  <si>
    <t>MVSA001105</t>
  </si>
  <si>
    <t>MVSA001610</t>
  </si>
  <si>
    <t>MVAE001877</t>
  </si>
  <si>
    <t>Beauty Field Gifts Est</t>
  </si>
  <si>
    <t>SV01186</t>
  </si>
  <si>
    <t>Sweilem Street Deerah, Riyadh</t>
  </si>
  <si>
    <t>AL Mohamadia dates company</t>
  </si>
  <si>
    <t>SV01188</t>
  </si>
  <si>
    <t>King Abdullah road. Exit 10., Chamber building</t>
  </si>
  <si>
    <t>Fashion Category</t>
  </si>
  <si>
    <t>V01262</t>
  </si>
  <si>
    <t>Internal use</t>
  </si>
  <si>
    <t>SV01189</t>
  </si>
  <si>
    <t>Transfer vendor</t>
  </si>
  <si>
    <t>V01264</t>
  </si>
  <si>
    <t>MVSA002513</t>
  </si>
  <si>
    <t>MVSA007145</t>
  </si>
  <si>
    <t>MVSA007285</t>
  </si>
  <si>
    <t>MVSA007280</t>
  </si>
  <si>
    <t>MVSA007334</t>
  </si>
  <si>
    <t>returns inventory vendor KSA</t>
  </si>
  <si>
    <t>SV01190</t>
  </si>
  <si>
    <t>returns inventory vendor DXB</t>
  </si>
  <si>
    <t>V01268</t>
  </si>
  <si>
    <t>MVAE002024</t>
  </si>
  <si>
    <t>MVAE002056</t>
  </si>
  <si>
    <t>MVAE002010</t>
  </si>
  <si>
    <t>MVAE002210</t>
  </si>
  <si>
    <t xml:space="preserve">Warehouse-02. Store- M8 Plot-21. Al Quoz 3. Near Galadari Driving Centre 
</t>
  </si>
  <si>
    <t>MVAE001027</t>
  </si>
  <si>
    <t>MVAE002053</t>
  </si>
  <si>
    <t>MVSA005548</t>
  </si>
  <si>
    <t>MVSA007156</t>
  </si>
  <si>
    <t>MVSA007476</t>
  </si>
  <si>
    <t>MVAE001276</t>
  </si>
  <si>
    <t>MVSA001857</t>
  </si>
  <si>
    <t>MVAE002322</t>
  </si>
  <si>
    <t>MVSA007128</t>
  </si>
  <si>
    <t>MVAE001961</t>
  </si>
  <si>
    <t>MVSA006726</t>
  </si>
  <si>
    <t>MVSA005771</t>
  </si>
  <si>
    <t>MVSA007666</t>
  </si>
  <si>
    <t>MVSA006658</t>
  </si>
  <si>
    <t>MVSA006795</t>
  </si>
  <si>
    <t>MVSA004818</t>
  </si>
  <si>
    <t>MVSA002512</t>
  </si>
  <si>
    <t>MVSA005355</t>
  </si>
  <si>
    <t>MVSA006625</t>
  </si>
  <si>
    <t>MVSA007667</t>
  </si>
  <si>
    <t>MVAE002304</t>
  </si>
  <si>
    <t>MVSA007399</t>
  </si>
  <si>
    <t>MVSA007586</t>
  </si>
  <si>
    <t>MVAE001828</t>
  </si>
  <si>
    <t>MVAE002035</t>
  </si>
  <si>
    <t>MVAE002331</t>
  </si>
  <si>
    <t>MVSA007932</t>
  </si>
  <si>
    <t>MVAE001415</t>
  </si>
  <si>
    <t>MVSA001040</t>
  </si>
  <si>
    <t>MVAE002250</t>
  </si>
  <si>
    <t>MVSA006757</t>
  </si>
  <si>
    <t>MVSA006336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</si>
</sst>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 justifyLastLine="1"/>
    </xf>
    <xf numFmtId="0" fontId="2" fillId="0" borderId="0" xfId="0" applyFont="1" applyBorder="1" applyAlignment="1">
      <alignment horizontal="center" vertical="center" wrapText="1" justifyLastLine="1"/>
    </xf>
    <xf numFmtId="1" fontId="2" fillId="0" borderId="0" xfId="0" applyNumberFormat="1" applyFont="1" applyBorder="1" applyAlignment="1">
      <alignment horizontal="center" vertical="center" wrapText="1" justifyLastLine="1"/>
    </xf>
    <xf numFmtId="14" fontId="2" fillId="0" borderId="0" xfId="0" applyNumberFormat="1" applyFont="1" applyBorder="1" applyAlignment="1">
      <alignment horizontal="center" vertical="center" wrapText="1" justifyLastLine="1"/>
    </xf>
    <xf numFmtId="0" fontId="3" fillId="0" borderId="1" xfId="0" applyFont="1" applyFill="1" applyBorder="1" applyAlignment="1">
      <alignment horizontal="center" vertical="center" wrapText="1" justifyLastLine="1"/>
    </xf>
    <xf numFmtId="1" fontId="3" fillId="0" borderId="1" xfId="0" applyNumberFormat="1" applyFont="1" applyFill="1" applyBorder="1" applyAlignment="1">
      <alignment horizontal="center" vertical="center" wrapText="1" justifyLastLine="1"/>
    </xf>
    <xf numFmtId="15" fontId="0" fillId="0" borderId="0" xfId="0" applyNumberFormat="1"/>
    <xf numFmtId="0" fontId="4" fillId="0" borderId="0" xfId="0" applyFont="1"/>
    <xf numFmtId="0" fontId="6" fillId="0" borderId="2" xfId="0" applyFont="1" applyBorder="1" applyAlignment="1">
      <alignment horizontal="center" vertical="center"/>
    </xf>
    <xf numFmtId="0" fontId="6" fillId="0" borderId="2" xfId="0" applyNumberFormat="1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2" xfId="0" pivotButton="1" applyFont="1" applyBorder="1" applyAlignment="1">
      <alignment horizontal="center" vertical="center"/>
    </xf>
    <xf numFmtId="22" fontId="0" fillId="0" borderId="0" xfId="0" applyNumberFormat="1"/>
    <xf numFmtId="1" fontId="0" fillId="0" borderId="0" xfId="0" applyNumberFormat="1"/>
    <xf numFmtId="0" fontId="7" fillId="0" borderId="3" xfId="0" applyFont="1" applyBorder="1" applyAlignment="1">
      <alignment wrapText="1"/>
    </xf>
    <xf numFmtId="1" fontId="7" fillId="0" borderId="3" xfId="0" applyNumberFormat="1" applyFont="1" applyBorder="1" applyAlignment="1">
      <alignment wrapText="1"/>
    </xf>
    <xf numFmtId="0" fontId="2" fillId="0" borderId="1" xfId="0" applyFont="1" applyFill="1" applyBorder="1" applyAlignment="1">
      <alignment horizontal="center" vertical="center" wrapText="1" justifyLastLine="1"/>
    </xf>
    <xf numFmtId="1" fontId="2" fillId="0" borderId="1" xfId="0" applyNumberFormat="1" applyFont="1" applyFill="1" applyBorder="1" applyAlignment="1">
      <alignment horizontal="center" vertical="center" wrapText="1" justifyLastLine="1"/>
    </xf>
    <xf numFmtId="14" fontId="2" fillId="0" borderId="0" xfId="0" applyNumberFormat="1" applyFont="1" applyAlignment="1">
      <alignment horizontal="center" vertical="center" wrapText="1" justifyLastLine="1"/>
    </xf>
    <xf numFmtId="0" fontId="8" fillId="0" borderId="0" xfId="0" applyFont="1" applyAlignment="1">
      <alignment horizontal="center" vertical="center" wrapText="1"/>
    </xf>
    <xf numFmtId="11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 applyBorder="1" applyAlignment="1">
      <alignment horizontal="center" vertical="center" wrapText="1" justifyLastLine="1"/>
    </xf>
  </cellXfs>
  <cellStyles count="1">
    <cellStyle name="Normal" xfId="0" builtinId="0"/>
  </cellStyles>
  <dxfs count="21"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color auto="1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</font>
    </dxf>
    <dxf>
      <alignment vertical="center" readingOrder="0"/>
    </dxf>
    <dxf>
      <alignment horizontal="center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</xdr:row>
      <xdr:rowOff>104775</xdr:rowOff>
    </xdr:from>
    <xdr:to>
      <xdr:col>4</xdr:col>
      <xdr:colOff>38100</xdr:colOff>
      <xdr:row>3</xdr:row>
      <xdr:rowOff>152400</xdr:rowOff>
    </xdr:to>
    <xdr:sp macro="[0]!Main.Mai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933700" y="295275"/>
          <a:ext cx="11525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/>
            <a:t>Run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arpreet Singh" refreshedDate="42819.562291782408" createdVersion="3" refreshedVersion="6" minRefreshableVersion="3" recordCount="1122" xr:uid="{00000000-000A-0000-FFFF-FFFF00000000}">
  <cacheSource type="worksheet">
    <worksheetSource ref="A1:O1123" sheet="Data"/>
  </cacheSource>
  <cacheFields count="15">
    <cacheField name="Item ID" numFmtId="0">
      <sharedItems/>
    </cacheField>
    <cacheField name="Order date &amp; time" numFmtId="22">
      <sharedItems containsSemiMixedTypes="0" containsNonDate="0" containsDate="1" containsString="0" minDate="2017-02-08T21:22:58" maxDate="2017-03-23T11:22:24"/>
    </cacheField>
    <cacheField name="Order no." numFmtId="0">
      <sharedItems/>
    </cacheField>
    <cacheField name="SKU code" numFmtId="0">
      <sharedItems/>
    </cacheField>
    <cacheField name="Seller SKU code" numFmtId="0">
      <sharedItems/>
    </cacheField>
    <cacheField name="Item ID2" numFmtId="0">
      <sharedItems/>
    </cacheField>
    <cacheField name="Product Description" numFmtId="0">
      <sharedItems/>
    </cacheField>
    <cacheField name="Qty" numFmtId="0">
      <sharedItems containsSemiMixedTypes="0" containsString="0" containsNumber="1" containsInteger="1" minValue="1" maxValue="1"/>
    </cacheField>
    <cacheField name="Selling Price" numFmtId="0">
      <sharedItems containsSemiMixedTypes="0" containsString="0" containsNumber="1" minValue="3" maxValue="8575"/>
    </cacheField>
    <cacheField name="PO no." numFmtId="0">
      <sharedItems count="188">
        <s v="UPO011863"/>
        <s v="UPO011870"/>
        <s v="UPO011861"/>
        <s v="UPO011857"/>
        <s v="UPO011856"/>
        <s v="UPO011854"/>
        <s v="UPO011868"/>
        <s v="UPO011833"/>
        <s v="UPO011840"/>
        <s v="UPO011852"/>
        <s v="UPO011865"/>
        <s v="UPO011820"/>
        <s v="UPO011809"/>
        <s v="UPO011866"/>
        <s v="UPO011847"/>
        <s v="UPO011814"/>
        <s v="UPO011836"/>
        <s v="UPO011813"/>
        <s v="UPO011790"/>
        <s v="UPO011757"/>
        <s v="UPO011708"/>
        <s v="UPO011869"/>
        <s v="UPO011691"/>
        <s v="UPO011654"/>
        <s v="UPO011571"/>
        <s v="UPO011126"/>
        <s v="PO040845"/>
        <s v="PO040987"/>
        <s v="PO041457"/>
        <s v="PO042785"/>
        <s v="PO041996"/>
        <s v="PO042370"/>
        <s v="PO042310"/>
        <s v="PO042940"/>
        <s v="PO043078"/>
        <s v="PO043159"/>
        <s v="PO043284"/>
        <s v="PO043127"/>
        <s v="PO043203"/>
        <s v="PO043321"/>
        <s v="PO044734"/>
        <s v="PO043389"/>
        <s v="PO043597"/>
        <s v="PO043441"/>
        <s v="PO043510"/>
        <s v="PO044641"/>
        <s v="PO043767"/>
        <s v="PO043703"/>
        <s v="PO043914"/>
        <s v="PO044029"/>
        <s v="PO044087"/>
        <s v="PO043750"/>
        <s v="PO043792"/>
        <s v="PO043822"/>
        <s v="PO043891"/>
        <s v="PO044009"/>
        <s v="PO044833"/>
        <s v="PO044130"/>
        <s v="PO044183"/>
        <s v="PO044191"/>
        <s v="PO044242"/>
        <s v="PO044322"/>
        <s v="PO044277"/>
        <s v="PO044367"/>
        <s v="PO044254"/>
        <s v="PO044550"/>
        <s v="PO044317"/>
        <s v="PO044264"/>
        <s v="PO044313"/>
        <s v="PO044378"/>
        <s v="PO044388"/>
        <s v="PO045013"/>
        <s v="PO044363"/>
        <s v="PO045011"/>
        <s v="PO045015"/>
        <s v="PO044697"/>
        <s v="PO044557"/>
        <s v="PO044987"/>
        <s v="PO045014"/>
        <s v="PO044482"/>
        <s v="PO044484"/>
        <s v="PO044477"/>
        <s v="PO044429"/>
        <s v="PO044364"/>
        <s v="PO044959"/>
        <s v="PO044500"/>
        <s v="PO044383"/>
        <s v="PO045012"/>
        <s v="PO044852"/>
        <s v="PO044394"/>
        <s v="PO044858"/>
        <s v="PO044481"/>
        <s v="PO044830"/>
        <s v="PO045029"/>
        <s v="PO044892"/>
        <s v="PO044951"/>
        <s v="PO044634"/>
        <s v="PO044559"/>
        <s v="PO044564"/>
        <s v="PO044617"/>
        <s v="PO044870"/>
        <s v="PO044562"/>
        <s v="PO044635"/>
        <s v="PO044442"/>
        <s v="PO045009"/>
        <s v="PO044777"/>
        <s v="PO045006"/>
        <s v="PO044573"/>
        <s v="PO044681"/>
        <s v="PO044855"/>
        <s v="PO044727"/>
        <s v="PO044978"/>
        <s v="PO045021"/>
        <s v="PO044662"/>
        <s v="PO044775"/>
        <s v="PO044680"/>
        <s v="PO044725"/>
        <s v="PO044969"/>
        <s v="PO044580"/>
        <s v="PO044764"/>
        <s v="PO044738"/>
        <s v="PO044602"/>
        <s v="PO044922"/>
        <s v="PO044694"/>
        <s v="PO044587"/>
        <s v="PO045018"/>
        <s v="PO044875"/>
        <s v="PO044683"/>
        <s v="PO044660"/>
        <s v="PO044785"/>
        <s v="PO044769"/>
        <s v="PO044942"/>
        <s v="PO044696"/>
        <s v="PO044821"/>
        <s v="PO044848"/>
        <s v="PO044998"/>
        <s v="PO044914"/>
        <s v="PO044706"/>
        <s v="PO044883"/>
        <s v="PO044918"/>
        <s v="PO044960"/>
        <s v="PO044838"/>
        <s v="PO044836"/>
        <s v="PO044809"/>
        <s v="PO044802"/>
        <s v="PO044901"/>
        <s v="PO044790"/>
        <s v="PO044885"/>
        <s v="PO044890"/>
        <s v="PO044814"/>
        <s v="PO044887"/>
        <s v="PO044961"/>
        <s v="PO044861"/>
        <s v="PO044810"/>
        <s v="PO044920"/>
        <s v="PO044789"/>
        <s v="PO044948"/>
        <s v="PO044929"/>
        <s v="PO044869"/>
        <s v="PO044888"/>
        <s v="PO045024"/>
        <s v="PO044924"/>
        <s v="PO044957"/>
        <s v="PO044991"/>
        <s v="PO044862"/>
        <s v="PO045001"/>
        <s v="PO044934"/>
        <s v="PO044919"/>
        <s v="PO044965"/>
        <s v="PO045031"/>
        <s v="PO044975"/>
        <s v="PO044952"/>
        <s v="PO044954"/>
        <s v="PO044938"/>
        <s v="PO044953"/>
        <s v="PO044940"/>
        <s v="PO045028"/>
        <s v="PO044973"/>
        <s v="PO044899"/>
        <s v="PO045000"/>
        <s v="PO044980"/>
        <s v="PO044968"/>
        <s v="PO045004"/>
        <s v="PO045022"/>
        <s v="PO044995"/>
        <s v="PO045030"/>
        <s v="PO045025"/>
        <s v="PO044985"/>
      </sharedItems>
    </cacheField>
    <cacheField name="PO Date" numFmtId="15">
      <sharedItems containsSemiMixedTypes="0" containsNonDate="0" containsDate="1" containsString="0" minDate="2017-02-12T07:03:35" maxDate="2017-03-23T17:27:11"/>
    </cacheField>
    <cacheField name="Transfer Price" numFmtId="0">
      <sharedItems containsSemiMixedTypes="0" containsString="0" containsNumber="1" containsInteger="1" minValue="4" maxValue="7650"/>
    </cacheField>
    <cacheField name="Seller Name" numFmtId="0">
      <sharedItems count="48">
        <s v="SEB Electronics"/>
        <s v="BAIT AL ARAB LLC"/>
        <s v="Al Kunuz General Trading LLC"/>
        <s v="Kanary Commercial Brokers"/>
        <s v="Jaseena Trading Co LLC"/>
        <s v="OSKAR PHONES LLC"/>
        <s v="Al Arqam General Trading LLC"/>
        <s v="AL JABAR OPTICAL CENTER"/>
        <s v="REDINGTON MIDDLE EAST LLC"/>
        <s v="Axiom telecom"/>
        <s v="Sheeba General trading LL"/>
        <s v="TRIZONE ELECTRONICS TRADING LLC"/>
        <s v="LDHS General Trading"/>
        <s v="King of Computers LLC"/>
        <s v="MK TRADING FZE"/>
        <s v="MUSEUM ZONE GENERAL TRADING LLC"/>
        <s v="Universal Holdings, LLC"/>
        <s v="LDHS General Trading (mobiles)"/>
        <s v="Optoline LLC"/>
        <s v="MARGOUN GENERAL TRADING LLC"/>
        <s v="Jubilee store LLC"/>
        <s v="MID ASIA TRADING (LLC)"/>
        <s v="Comcom Communications LLC"/>
        <s v="Al Shula General Trading Co . L.L.C"/>
        <s v="Compunics Technologies LLC"/>
        <s v="4G COM GENERAL TRADING LLC"/>
        <s v="Baby Kish General Trading LCC"/>
        <s v="Sleek International General Trading LLC"/>
        <s v="Derta Trading FZCO"/>
        <s v="Al Wifaq Genral Trading LLC"/>
        <s v="Muhammad Talha General Trading LLC"/>
        <s v="FLICKON TECHNOLOGIES LLC"/>
        <s v="UNICOM INT GEN TRADING LLC"/>
        <s v="Al Wakil Trading LLC"/>
        <s v="Goodhope General Trading"/>
        <s v="SAFE ELECTRONICS FZ LLC"/>
        <s v="ULYSSE INTERNATIONAL TRADING"/>
        <s v="Global Tech General Trading LLC"/>
        <s v="Ninja Computers LLC"/>
        <s v="AL ERSHAD COMPUTER TRADING LLC"/>
        <s v="Al Barsha Vision Electronics LLC"/>
        <s v="Vestis International FZC"/>
        <s v="Dubai Trade Link LLC"/>
        <s v="Gulf Sources FZCO"/>
        <s v="A&amp;A INTERNATIONAL TRDADING LLC"/>
        <s v="Italy Motors DWC-LLC"/>
        <s v="ROSELINE TRADING COMPANY LLC"/>
        <s v="RTEE GENERAL TRADING L.L.C"/>
      </sharedItems>
    </cacheField>
    <cacheField name="Seller code" numFmtId="0">
      <sharedItems/>
    </cacheField>
    <cacheField name="Payment_Ter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arpreet Singh" refreshedDate="42819.562296064818" createdVersion="3" refreshedVersion="6" minRefreshableVersion="3" recordCount="1122" xr:uid="{00000000-000A-0000-FFFF-FFFF01000000}">
  <cacheSource type="worksheet">
    <worksheetSource ref="A1:O1123" sheet="Data"/>
  </cacheSource>
  <cacheFields count="15">
    <cacheField name="Item ID" numFmtId="0">
      <sharedItems/>
    </cacheField>
    <cacheField name="Order date &amp; time" numFmtId="22">
      <sharedItems containsSemiMixedTypes="0" containsNonDate="0" containsDate="1" containsString="0" minDate="2017-02-08T21:22:58" maxDate="2017-03-23T11:22:24"/>
    </cacheField>
    <cacheField name="Order no." numFmtId="0">
      <sharedItems/>
    </cacheField>
    <cacheField name="SKU code" numFmtId="0">
      <sharedItems count="750">
        <s v="W1315201513"/>
        <s v="W1315131122"/>
        <s v="W1315438743"/>
        <s v="W1315390810"/>
        <s v="W1315131086"/>
        <s v="W1315213095"/>
        <s v="W1315110762"/>
        <s v="W1315328605"/>
        <s v="W1315123540"/>
        <s v="W1315380535"/>
        <s v="W1315185160"/>
        <s v="W1315390342"/>
        <s v="W1315389386"/>
        <s v="W1315304517"/>
        <s v="W1315117138"/>
        <s v="W1315389425"/>
        <s v="W1315322405"/>
        <s v="W1315390710"/>
        <s v="W1315121356"/>
        <s v="W1315277120"/>
        <s v="W1315329015"/>
        <s v="W1315347061"/>
        <s v="W1315325307"/>
        <s v="W1315160329"/>
        <s v="W1315492242"/>
        <s v="W1315141019"/>
        <s v="W1315391367"/>
        <s v="W1315242054"/>
        <s v="W1315430522"/>
        <s v="W1315435462"/>
        <s v="W1315389552"/>
        <s v="W1315210564"/>
        <s v="W1315329949"/>
        <s v="W1315187102"/>
        <s v="W1315316774"/>
        <s v="W1315391427"/>
        <s v="W1315440039"/>
        <s v="W1315439890"/>
        <s v="W1315327084"/>
        <s v="W1315304768"/>
        <s v="W1315172821"/>
        <s v="W1315390651"/>
        <s v="W1315263250"/>
        <s v="W1315432998"/>
        <s v="W1315375054"/>
        <s v="W1315379321"/>
        <s v="W1315102389"/>
        <s v="W1315370651"/>
        <s v="W1315102394"/>
        <s v="W1315427115"/>
        <s v="W1315316776"/>
        <s v="W1315437977"/>
        <s v="W1315325889"/>
        <s v="W1315194284"/>
        <s v="W1315412679"/>
        <s v="W1315380779"/>
        <s v="W1315364370"/>
        <s v="W1315277824"/>
        <s v="W1315364521"/>
        <s v="W1315381280"/>
        <s v="W1315439631"/>
        <s v="W1315416525"/>
        <s v="W1315405495"/>
        <s v="W1315399514"/>
        <s v="W1315399208"/>
        <s v="W1315250306"/>
        <s v="W1315399369"/>
        <s v="W1315390586"/>
        <s v="W1315389385"/>
        <s v="W1315244129"/>
        <s v="W1315405215"/>
        <s v="W1315325761"/>
        <s v="W1315397939"/>
        <s v="W1315277842"/>
        <s v="W1315399175"/>
        <s v="W1315334849"/>
        <s v="W1315410560"/>
        <s v="W1315327278"/>
        <s v="W1315339334"/>
        <s v="W1315389355"/>
        <s v="W1315237657"/>
        <s v="W1315399707"/>
        <s v="W1315278136"/>
        <s v="W1315347854"/>
        <s v="W1315276919"/>
        <s v="W1315406630"/>
        <s v="W1315381440"/>
        <s v="W1315485244"/>
        <s v="W1315302527"/>
        <s v="W1315399352"/>
        <s v="W1315389375"/>
        <s v="W1315153578"/>
        <s v="W1315381424"/>
        <s v="W1315203644"/>
        <s v="W1315399024"/>
        <s v="W1315380016"/>
        <s v="W1315380787"/>
        <s v="W1315409370"/>
        <s v="W1315353915"/>
        <s v="W1315397594"/>
        <s v="W1315364570"/>
        <s v="W1315238017"/>
        <s v="W1315452805"/>
        <s v="W1315400962"/>
        <s v="W1315397593"/>
        <s v="W1315401442"/>
        <s v="W1315289482"/>
        <s v="W1315399412"/>
        <s v="W1315347705"/>
        <s v="W1315316760"/>
        <s v="W1315452798"/>
        <s v="W1315364368"/>
        <s v="W1315206881"/>
        <s v="W1315399625"/>
        <s v="W1315402353"/>
        <s v="W1315338324"/>
        <s v="W1315338433"/>
        <s v="W1315316795"/>
        <s v="W1315396560"/>
        <s v="W1315187753"/>
        <s v="W1315452812"/>
        <s v="W1315409826"/>
        <s v="W1315187754"/>
        <s v="W1315187770"/>
        <s v="W1315187130"/>
        <s v="W1315390143"/>
        <s v="W1315391137"/>
        <s v="W1315338287"/>
        <s v="W1315316777"/>
        <s v="W1315399115"/>
        <s v="W1315338452"/>
        <s v="W1315247468"/>
        <s v="W1315121677"/>
        <s v="W1315316767"/>
        <s v="W1315325909"/>
        <s v="W1315278025"/>
        <s v="W1315290875"/>
        <s v="W1315186894"/>
        <s v="W1315399252"/>
        <s v="W1315121052"/>
        <s v="W1315380652"/>
        <s v="W1315380666"/>
        <s v="W1315186778"/>
        <s v="W1315186305"/>
        <s v="W1315397527"/>
        <s v="W1315374702"/>
        <s v="W1315374707"/>
        <s v="W1315436132"/>
        <s v="W1315293080"/>
        <s v="W1315316788"/>
        <s v="W1315473522"/>
        <s v="W1315102404"/>
        <s v="W1315452785"/>
        <s v="W1315399603"/>
        <s v="W1315204229"/>
        <s v="W1315473450"/>
        <s v="W1315473471"/>
        <s v="W1315473508"/>
        <s v="W1315102009"/>
        <s v="W1315338156"/>
        <s v="W1315353891"/>
        <s v="W1315338057"/>
        <s v="W1315399866"/>
        <s v="W1315316773"/>
        <s v="W1315244589"/>
        <s v="W1315204934"/>
        <s v="W1315379758"/>
        <s v="W1315348260"/>
        <s v="W1315211686"/>
        <s v="W1315277736"/>
        <s v="W1315338075"/>
        <s v="W1315187895"/>
        <s v="W1315338055"/>
        <s v="W1315436359"/>
        <s v="W1315436227"/>
        <s v="W1315436048"/>
        <s v="W1315359721"/>
        <s v="W1315399155"/>
        <s v="W1315399295"/>
        <s v="W1315187472"/>
        <s v="W1315350782"/>
        <s v="W1315430525"/>
        <s v="W1315278141"/>
        <s v="W1315278078"/>
        <s v="W1315462036"/>
        <s v="W1315399364"/>
        <s v="W1315347805"/>
        <s v="W1315278088"/>
        <s v="W1315430640"/>
        <s v="W1315350372"/>
        <s v="W1315399798"/>
        <s v="W1315471634"/>
        <s v="W1315399181"/>
        <s v="W1315278042"/>
        <s v="W1315399619"/>
        <s v="W1315278131"/>
        <s v="W1315399116"/>
        <s v="W1315277829"/>
        <s v="W1315278061"/>
        <s v="W1315351109"/>
        <s v="W1315338065"/>
        <s v="W1315351173"/>
        <s v="W1315265924"/>
        <s v="W1315325181"/>
        <s v="W1315473382"/>
        <s v="W1315473365"/>
        <s v="W1315348957"/>
        <s v="W1315204262"/>
        <s v="W1315381293"/>
        <s v="W1315325306"/>
        <s v="W1315316761"/>
        <s v="W1315230544"/>
        <s v="W1315191901"/>
        <s v="W1315399231"/>
        <s v="W1315399180"/>
        <s v="W1315384637"/>
        <s v="W1315277634"/>
        <s v="W1315277449"/>
        <s v="W1315130258"/>
        <s v="W1315325890"/>
        <s v="W1315232281"/>
        <s v="W1315277734"/>
        <s v="W1315232284"/>
        <s v="W1315389338"/>
        <s v="W1315347723"/>
        <s v="W1315232282"/>
        <s v="W1315316119"/>
        <s v="W1315327411"/>
        <s v="W1315327431"/>
        <s v="W1315327427"/>
        <s v="W1315240201"/>
        <s v="W1315244028"/>
        <s v="W1315121733"/>
        <s v="W1315325507"/>
        <s v="W1315325254"/>
        <s v="W1315325347"/>
        <s v="W1315351108"/>
        <s v="W1315351100"/>
        <s v="W1315396615"/>
        <s v="W1315354101"/>
        <s v="W1315232280"/>
        <s v="W1315338089"/>
        <s v="W1315216251"/>
        <s v="W1315216166"/>
        <s v="W1315350837"/>
        <s v="W1315350972"/>
        <s v="W1315351200"/>
        <s v="W1315351196"/>
        <s v="W1315374839"/>
        <s v="W1315380642"/>
        <s v="W1315211391"/>
        <s v="W1315278279"/>
        <s v="W1315399367"/>
        <s v="W1315243635"/>
        <s v="W1315232292"/>
        <s v="W1315391569"/>
        <s v="W1315351106"/>
        <s v="W1315390340"/>
        <s v="W1315325850"/>
        <s v="W1315390862"/>
        <s v="W1315390052"/>
        <s v="W1315389856"/>
        <s v="W1315348928"/>
        <s v="W1315473491"/>
        <s v="W1315436921"/>
        <s v="W1315316077"/>
        <s v="W1315473424"/>
        <s v="W1315439322"/>
        <s v="W1315278049"/>
        <s v="W1315232324"/>
        <s v="W1315216252"/>
        <s v="W1315311339"/>
        <s v="W1315311368"/>
        <s v="W1315390277"/>
        <s v="W1315316766"/>
        <s v="W1315316765"/>
        <s v="W1315426868"/>
        <s v="W1315249268"/>
        <s v="W1315349193"/>
        <s v="W1315399458"/>
        <s v="W1315349474"/>
        <s v="W1315399031"/>
        <s v="W1315353885"/>
        <s v="W1315353920"/>
        <s v="W1315454569"/>
        <s v="W1315278089"/>
        <s v="W1315435849"/>
        <s v="W1315437077"/>
        <s v="W1315216211"/>
        <s v="W1315121042"/>
        <s v="W1315381426"/>
        <s v="W1315122206"/>
        <s v="W1315121224"/>
        <s v="W1315389643"/>
        <s v="W1315436804"/>
        <s v="W1315406783"/>
        <s v="W1315337244"/>
        <s v="W1315462042"/>
        <s v="W1315163602"/>
        <s v="W1315337535"/>
        <s v="W1315240215"/>
        <s v="W1315322140"/>
        <s v="W1315338088"/>
        <s v="W1315216174"/>
        <s v="W1315249198"/>
        <s v="W1315367988"/>
        <s v="W1315390130"/>
        <s v="W1315311420"/>
        <s v="W1315224889"/>
        <s v="W1315473362"/>
        <s v="W1315473408"/>
        <s v="W1315473417"/>
        <s v="W1315216178"/>
        <s v="W1315338064"/>
        <s v="W1315390496"/>
        <s v="W1315390344"/>
        <s v="W1315389889"/>
        <s v="W1315197627"/>
        <s v="W1315302671"/>
        <s v="W1315242081"/>
        <s v="W1315232296"/>
        <s v="W1315325896"/>
        <s v="W1315390246"/>
        <s v="W1315473356"/>
        <s v="W1315473412"/>
        <s v="W1315130280"/>
        <s v="W1315328606"/>
        <s v="W1315280033"/>
        <s v="W1315391547"/>
        <s v="W1315390054"/>
        <s v="W1315390788"/>
        <s v="W1315399113"/>
        <s v="W1315232276"/>
        <s v="W1315399228"/>
        <s v="W1315399178"/>
        <s v="W1315437479"/>
        <s v="W1315354088"/>
        <s v="W1315114133"/>
        <s v="W1315326404"/>
        <s v="W1315216597"/>
        <s v="W1315351424"/>
        <s v="W1315111520"/>
        <s v="W1315385130"/>
        <s v="W1315353923"/>
        <s v="W1315302775"/>
        <s v="W1315350409"/>
        <s v="W1315240231"/>
        <s v="W1315240207"/>
        <s v="W1315286301"/>
        <s v="W1315240218"/>
        <s v="W1315359662"/>
        <s v="W1315311374"/>
        <s v="W1315240183"/>
        <s v="W1315311363"/>
        <s v="W1315249267"/>
        <s v="W1315240202"/>
        <s v="W1315240159"/>
        <s v="W1315240227"/>
        <s v="W1315396914"/>
        <s v="W1315391219"/>
        <s v="W1315399095"/>
        <s v="W1315464333"/>
        <s v="W1315318321"/>
        <s v="W1315245498"/>
        <s v="W1315336099"/>
        <s v="W1315464329"/>
        <s v="W1315165762"/>
        <s v="W1315390736"/>
        <s v="W1315334487"/>
        <s v="W1315334587"/>
        <s v="W1315316775"/>
        <s v="W1315397989"/>
        <s v="W1315227512"/>
        <s v="W1315204135"/>
        <s v="W1315347735"/>
        <s v="W1315277741"/>
        <s v="W1315473505"/>
        <s v="W1315389384"/>
        <s v="W1315354105"/>
        <s v="W1315336427"/>
        <s v="W1315311340"/>
        <s v="W1315240176"/>
        <s v="W1315399249"/>
        <s v="W1315325692"/>
        <s v="W1315325337"/>
        <s v="W1315325227"/>
        <s v="W1315354109"/>
        <s v="W1315333410"/>
        <s v="W1315277856"/>
        <s v="W1315276977"/>
        <s v="W1315339366"/>
        <s v="W1315399025"/>
        <s v="W1315130505"/>
        <s v="W1315464446"/>
        <s v="W1315400957"/>
        <s v="W1315389532"/>
        <s v="W1315196075"/>
        <s v="W1315399210"/>
        <s v="W1315121739"/>
        <s v="W1315109134"/>
        <s v="W1315439774"/>
        <s v="W1315439899"/>
        <s v="W1315438097"/>
        <s v="W1315438283"/>
        <s v="W1315381138"/>
        <s v="W1315241972"/>
        <s v="W1315153482"/>
        <s v="W1315462037"/>
        <s v="W1315210301"/>
        <s v="W1315397641"/>
        <s v="W1315121516"/>
        <s v="W1315391570"/>
        <s v="W1315302817"/>
        <s v="W1315186893"/>
        <s v="W1315367310"/>
        <s v="W1315121017"/>
        <s v="W1315353941"/>
        <s v="W1315210653"/>
        <s v="W1315232279"/>
        <s v="W1315277737"/>
        <s v="W1315249197"/>
        <s v="W1315204141"/>
        <s v="W1315390058"/>
        <s v="W1315389762"/>
        <s v="W1315492456"/>
        <s v="W1315242397"/>
        <s v="W1315492436"/>
        <s v="W1315216259"/>
        <s v="W1315379918"/>
        <s v="W1315318322"/>
        <s v="W1315464186"/>
        <s v="W1315232338"/>
        <s v="W1315364418"/>
        <s v="W1315348781"/>
        <s v="W1315130343"/>
        <s v="W1315192023"/>
        <s v="W1315204153"/>
        <s v="W1315473369"/>
        <s v="W1315473717"/>
        <s v="W1315473737"/>
        <s v="W1315473715"/>
        <s v="W1315364569"/>
        <s v="W1315436453"/>
        <s v="W1315210433"/>
        <s v="W1315316762"/>
        <s v="W1315349945"/>
        <s v="W1315311360"/>
        <s v="W1315278236"/>
        <s v="W1315464443"/>
        <s v="W1315121610"/>
        <s v="W1315121725"/>
        <s v="W1315325304"/>
        <s v="W1315339368"/>
        <s v="W1315351103"/>
        <s v="W1315316772"/>
        <s v="W1315332143"/>
        <s v="W1315510409"/>
        <s v="W1315435013"/>
        <s v="W1315353918"/>
        <s v="W1315129847"/>
        <s v="W1315383340"/>
        <s v="W1315351101"/>
        <s v="W1315396618"/>
        <s v="W1315399548"/>
        <s v="W1315277349"/>
        <s v="W1315240200"/>
        <s v="W1315240203"/>
        <s v="W1315391018"/>
        <s v="W1315473340"/>
        <s v="W1315473451"/>
        <s v="W1315473484"/>
        <s v="W1315473523"/>
        <s v="W1315473464"/>
        <s v="W1315351386"/>
        <s v="W1315432228"/>
        <s v="W1315396627"/>
        <s v="W1315396663"/>
        <s v="W1315110777"/>
        <s v="W1315438104"/>
        <s v="W1315203505"/>
        <s v="W1315211312"/>
        <s v="W1315211516"/>
        <s v="W1315237670"/>
        <s v="W1315181404"/>
        <s v="W1315206960"/>
        <s v="W1315325379"/>
        <s v="W1315302803"/>
        <s v="W1315332998"/>
        <s v="W1315332993"/>
        <s v="W1315332907"/>
        <s v="W1315333033"/>
        <s v="W1315390711"/>
        <s v="W1315121681"/>
        <s v="W1315389436"/>
        <s v="W1315236128"/>
        <s v="W1315102275"/>
        <s v="W1315383126"/>
        <s v="W1315428542"/>
        <s v="W1315359678"/>
        <s v="W1315397971"/>
        <s v="W1315228367"/>
        <s v="W1315436918"/>
        <s v="W1315397353"/>
        <s v="W1315381443"/>
        <s v="W1315400576"/>
        <s v="W1315121046"/>
        <s v="W1315438038"/>
        <s v="W1315435266"/>
        <s v="W1315436506"/>
        <s v="W1315390701"/>
        <s v="W1315216465"/>
        <s v="W1315402171"/>
        <s v="W1315473470"/>
        <s v="W1315216456"/>
        <s v="W1315391078"/>
        <s v="W1315204783"/>
        <s v="W1315383132"/>
        <s v="W1315325908"/>
        <s v="W1315325302"/>
        <s v="W1315121853"/>
        <s v="W1315473479"/>
        <s v="W1315464067"/>
        <s v="W1315506647"/>
        <s v="W1315473653"/>
        <s v="W1315334640"/>
        <s v="W1315473377"/>
        <s v="W1315341390"/>
        <s v="W1315473647"/>
        <s v="W1315130308"/>
        <s v="W1315130304"/>
        <s v="W1315430148"/>
        <s v="W1315430164"/>
        <s v="W1315430137"/>
        <s v="W1315316793"/>
        <s v="W1315242079"/>
        <s v="W1315399106"/>
        <s v="W1315392222"/>
        <s v="W1315246343"/>
        <s v="W1315159777"/>
        <s v="W1315389837"/>
        <s v="W1315191935"/>
        <s v="W1315399154"/>
        <s v="W1315245373"/>
        <s v="W1315464184"/>
        <s v="W1315302637"/>
        <s v="W1315464773"/>
        <s v="W1315336874"/>
        <s v="W1315473613"/>
        <s v="W1315278325"/>
        <s v="W1315365862"/>
        <s v="W1315325467"/>
        <s v="W1315192004"/>
        <s v="W1315316059"/>
        <s v="W1315399708"/>
        <s v="W1315244308"/>
        <s v="W1315278326"/>
        <s v="W1315391491"/>
        <s v="W1315391127"/>
        <s v="W1315390891"/>
        <s v="W1315390369"/>
        <s v="W1315390787"/>
        <s v="W1315350945"/>
        <s v="W1315169261"/>
        <s v="W1315350953"/>
        <s v="W1315302534"/>
        <s v="W1315390598"/>
        <s v="W1315390568"/>
        <s v="W1315339339"/>
        <s v="W1315216253"/>
        <s v="W1315204739"/>
        <s v="W1315351110"/>
        <s v="W1315351435"/>
        <s v="W1315396631"/>
        <s v="W1315399403"/>
        <s v="W1315121763"/>
        <s v="W1315390894"/>
        <s v="W1315364454"/>
        <s v="W1315121169"/>
        <s v="W1315463868"/>
        <s v="W1315389838"/>
        <s v="W1315350836"/>
        <s v="W1315350952"/>
        <s v="W1315351172"/>
        <s v="W1315485196"/>
        <s v="W1315122092"/>
        <s v="W1315473472"/>
        <s v="W1315240162"/>
        <s v="W1315240160"/>
        <s v="W1315203545"/>
        <s v="W1315121758"/>
        <s v="W1315338429"/>
        <s v="W1315349602"/>
        <s v="W1315121966"/>
        <s v="W1315301911"/>
        <s v="W1315399891"/>
        <s v="W1315117188"/>
        <s v="W1315391965"/>
        <s v="W1315390082"/>
        <s v="W1315473611"/>
        <s v="W1315206824"/>
        <s v="W1315390416"/>
        <s v="W1315203574"/>
        <s v="W1315204045"/>
        <s v="W1315510320"/>
        <s v="W1315100724"/>
        <s v="W1315390042"/>
        <s v="W1315341009"/>
        <s v="W1315348677"/>
        <s v="W1315244585"/>
        <s v="W1315245455"/>
        <s v="W1315396581"/>
        <s v="W1315121045"/>
        <s v="W1315391420"/>
        <s v="W1315238007"/>
        <s v="W1315338427"/>
        <s v="W1315243909"/>
        <s v="W1315389374"/>
        <s v="W1315172948"/>
        <s v="W1315311346"/>
        <s v="W1315255453"/>
        <s v="W1315384655"/>
        <s v="W1315391585"/>
        <s v="W1315399733"/>
        <s v="W1315216212"/>
        <s v="W1315191946"/>
        <s v="W1315326619"/>
        <s v="W1315122007"/>
        <s v="W1315121746"/>
        <s v="W1315121329"/>
        <s v="W1315338158"/>
        <s v="W1315121930"/>
        <s v="W1315121495"/>
        <s v="W1315401233"/>
        <s v="W1315461878"/>
        <s v="W1315391552"/>
        <s v="W1315390789"/>
        <s v="W1315473478"/>
        <s v="W1315473302"/>
        <s v="W1315438455"/>
        <s v="W1315100217"/>
        <s v="W1315249232"/>
        <s v="W1315366196"/>
        <s v="W1315187103"/>
        <s v="W1315436635"/>
        <s v="W1315436885"/>
        <s v="W1315390358"/>
        <s v="W1315114215"/>
        <s v="W1315505851"/>
        <s v="W1315436960"/>
        <s v="W1315327606"/>
        <s v="W1315240204"/>
        <s v="W1315146252"/>
        <s v="W1315237894"/>
        <s v="W1315102250"/>
        <s v="W1315130398"/>
        <s v="W1315434403"/>
        <s v="W1315328634"/>
        <s v="W1315105082"/>
        <s v="W1315103716"/>
        <s v="W1315339031"/>
        <s v="W1315154267"/>
        <s v="W1315402046"/>
        <s v="W1315435029"/>
        <s v="W1315391462"/>
        <s v="W1315391188"/>
        <s v="W1315485168"/>
        <s v="W1315391601"/>
        <s v="W1315111908"/>
        <s v="W1315293731"/>
        <s v="W1315105197"/>
        <s v="W1315100321"/>
        <s v="W1315370200"/>
        <s v="W1315268524"/>
        <s v="W1315396585"/>
        <s v="W1315326774"/>
        <s v="W1315374179"/>
        <s v="W1315131889"/>
        <s v="W1315216285"/>
        <s v="W1315326400"/>
        <s v="W1315102399"/>
        <s v="W1315338145"/>
        <s v="W1315359689"/>
        <s v="W1315311426"/>
        <s v="W1315243912"/>
        <s v="W1315390211"/>
        <s v="W1315399751"/>
        <s v="W1315390215"/>
        <s v="W1315370779"/>
        <s v="W1315381545"/>
        <s v="W1315149696"/>
        <s v="W1315255374"/>
        <s v="W1315249221"/>
        <s v="W1315130713"/>
        <s v="W1315318577"/>
        <s v="W1315304753"/>
        <s v="W1315390127"/>
        <s v="W1315121609"/>
        <s v="W1315402045"/>
        <s v="W1315391073"/>
        <s v="W1315390680"/>
        <s v="W1315102665"/>
        <s v="W1315120999"/>
        <s v="W1315122172"/>
        <s v="W1315408917"/>
        <s v="W1315406695"/>
        <s v="W1315393165"/>
        <s v="W1315130732"/>
        <s v="W1315121914"/>
        <s v="W1315311341"/>
        <s v="W1315349518"/>
        <s v="W1315107920"/>
        <s v="W1315114298"/>
        <s v="W1315373953"/>
        <s v="W1315301719"/>
        <s v="W1315138399"/>
        <s v="W1315111905"/>
        <s v="W1315202980"/>
        <s v="W1315316044"/>
        <s v="W1315316052"/>
        <s v="W1315172849"/>
        <s v="W1315390548"/>
        <s v="W1315389505"/>
        <s v="W1315204464"/>
        <s v="W1315204581"/>
        <s v="W1315393166"/>
        <s v="W1315194455"/>
        <s v="W1315400626"/>
        <s v="W1315400770"/>
        <s v="W1315121087"/>
        <s v="W1315454543"/>
        <s v="W1315154992"/>
        <s v="W1315258545"/>
        <s v="W1315130337"/>
        <s v="W1315283167"/>
        <s v="W1315399004"/>
        <s v="W1315293646"/>
        <s v="W1315103608"/>
        <s v="W1315165810"/>
        <s v="W1315165806"/>
        <s v="W1315205028"/>
        <s v="W1315204317"/>
        <s v="W1315102406"/>
        <s v="W1315421625"/>
        <s v="W1315390180"/>
        <s v="W1315390695"/>
        <s v="W1315337528"/>
        <s v="W1315337511"/>
        <s v="W1315149293"/>
        <s v="W1315240214"/>
        <s v="W1315327321"/>
      </sharedItems>
    </cacheField>
    <cacheField name="Seller SKU code" numFmtId="0">
      <sharedItems count="750">
        <s v="SO768EL95KYM-388955"/>
        <s v="CR961BE32ZHJ-56869"/>
        <s v="ES913BE25QZQ-690384"/>
        <s v="MA096BE81RLA-634113"/>
        <s v="CA811BE83ZFK-56818"/>
        <s v="EM989AC96DPB-412091"/>
        <s v="CA787AC00WEX-29533"/>
        <s v="AN087EL57JVY-560259"/>
        <s v="XB396EL24OUP-48775"/>
        <s v="FA080AT99OTC-631490"/>
        <s v="RA736AC33NNI-365018"/>
        <s v="CO092BE87RKU-634107"/>
        <s v="LA081BE15SCY-634603"/>
        <s v="AM977AT26FSN-514915"/>
        <s v="PS264EL76CTB-33957"/>
        <s v="LA081BE72RPF-634222"/>
        <s v="LE769EL80SBN-526121"/>
        <s v="MA096BE76PNF-632818"/>
        <s v="GU798BE06FYN-36127"/>
        <s v="LE769EL28YLB-472084"/>
        <s v="LE769EL38JSV-560178"/>
        <s v="SA766EL34UJX-575542"/>
        <s v="SI601AC90TVH-528508"/>
        <s v="JB927AC15YUM-121195"/>
        <s v="TO790EL01NVU-725736"/>
        <s v="HO339EL83PQI-72285"/>
        <s v="MA096BE34RBH-633860"/>
        <s v="MI070AT78YXP-444159"/>
        <s v="UP141AT81EVA-700045"/>
        <s v="BE247BE90VUB-693619"/>
        <s v="LO860BE76SEL-634642"/>
        <s v="MR178AT03FXK-382763"/>
        <s v="YE659AT62LEJ-562520"/>
        <s v="TH718AT88OXR-368163"/>
        <s v="UN563AC99OAY-522620"/>
        <s v="LO860BE03SHG-634715"/>
        <s v="VA225BE55PPW-689454"/>
        <s v="IR338BE91SJO-691318"/>
        <s v="CI983AC61BHQ-580225"/>
        <s v="JE080BE78GVH-516560"/>
        <s v="RA736AC39FYY-354540"/>
        <s v="MA096BE44QPJ-633550"/>
        <s v="FU844EL95VFS-467621"/>
        <s v="AR532AC72KGT-683473"/>
        <s v="SK034SH33CZY-607464"/>
        <s v="AD476SH90DFL-610331"/>
        <s v="RA736AC20BDZ-778"/>
        <s v="CA983AC82BDX-604146"/>
        <s v="RA736AC15BEE-783"/>
        <s v="DA041EL94HGZ-681317"/>
        <s v="UN563AC97OBA-522622"/>
        <s v="HI211BE57THY-691952"/>
        <s v="AD592AC40DUX-548408"/>
        <s v="MI534AC33TPA-373227"/>
        <s v="MU172AT24FAD-678148"/>
        <s v="FA080AT05PAO-631943"/>
        <s v="ST879AT54SPX-596960"/>
        <s v="SA222AT07BOQ-475443"/>
        <s v="ST879AT16SRJ-597111"/>
        <s v="MO687AT13UMO-636742"/>
        <s v="MA093BE52RZN-691057"/>
        <s v="MU172AT38YUB-668994"/>
        <s v="MU172AT95WTW-665948"/>
        <s v="SA222AT70CGF-643433"/>
        <s v="SA222AT32CDV-643127"/>
        <s v="GU797AC61BLQ-446377"/>
        <s v="SA222AT00CFB-643288"/>
        <s v="MA093BE71RPG-634223"/>
        <s v="LA081BE77RLE-634117"/>
        <s v="TH106AT00UPF-438466"/>
        <s v="MU172AT05XIW-666837"/>
        <s v="SI601AC26UUV-529373"/>
        <s v="CA149AC43BRW-642496"/>
        <s v="SA222AT03BOU-475461"/>
        <s v="SA222AT39CDO-643094"/>
        <s v="YE659AT33NDM-567935"/>
        <s v="MU172AT32DYX-676623"/>
        <s v="ST879AT89WEW-530342"/>
        <s v="SR372AC21RHQ-573450"/>
        <s v="LO860BE98RZT-634520"/>
        <s v="CA511AC50VSB-441070"/>
        <s v="SA222AT31CHS-643626"/>
        <s v="SA222AT80BTN-475810"/>
        <s v="RI918AT33EXA-583618"/>
        <s v="SP976AT57NEO-494346"/>
        <s v="MU172AT85WEW-665038"/>
        <s v="YE659AC63OFC-630822"/>
        <s v="CA511AC45MPI-724704"/>
        <s v="AN087EL53ZTQ-510215"/>
        <s v="SA222AT03CEY-643271"/>
        <s v="MA096BE43SJO-634775"/>
        <s v="ST879AT84MCX-97530"/>
        <s v="YE659AC94ODX-630749"/>
        <s v="CR884AC35INK-387022"/>
        <s v="SA222AT70CCJ-642943"/>
        <s v="SH079AT24OSD-631404"/>
        <s v="FA080AT03PAQ-631951"/>
        <s v="MU172AT82WBD-664807"/>
        <s v="AM977AT81QNA-595471"/>
        <s v="CA149AC20BLB-642319"/>
        <s v="ST879AT04SRV-597160"/>
        <s v="TR435AT68OSP-431975"/>
        <s v="RE047AC48IKP-702561"/>
        <s v="MI070AT06DVD-644742"/>
        <s v="CA149AC21BLA-642318"/>
        <s v="YE659AT61EQC-645596"/>
        <s v="ST879AT07NGM-494521"/>
        <s v="SA222AT91CFK-643331"/>
        <s v="RI918AT17ETU-583421"/>
        <s v="UN563AC13OAK-522606"/>
        <s v="RE047AC59IKE-702550"/>
        <s v="ST879AT54SPX-596958"/>
        <s v="JB997AC52LLR-389334"/>
        <s v="SA222AT48CHB-643544"/>
        <s v="MU172AT17YNE-668608"/>
        <s v="MO687AT35QVO-572944"/>
        <s v="JU688AT08QWP-573053"/>
        <s v="UN563AC78OBT-522641"/>
        <s v="JO170AT09ZBY-640714"/>
        <s v="TH718AT79PBW-368598"/>
        <s v="RE047AC41IKW-702568"/>
        <s v="MU172AT10SXH-660486"/>
        <s v="TH718AT79PBW-368599"/>
        <s v="TH718AT75PCA-368615"/>
        <s v="TH718AT81OXY-368191"/>
        <s v="LA081BE05QJE-633389"/>
        <s v="OR185BE13PPQ-632881"/>
        <s v="MO687AT42QVH-572907"/>
        <s v="UN563AC96OBB-522623"/>
        <s v="SA222AT51CDC-643034"/>
        <s v="JU688AT02QWV-573072"/>
        <s v="RO045AT28UKH-437675"/>
        <s v="VE740BE15GCA-36218"/>
        <s v="UN563AC06OAR-522613"/>
        <s v="AD592AC20DVR-548428"/>
        <s v="SA222AT03BSQ-475699"/>
        <s v="AP771EL55SNC-499875"/>
        <s v="TH718AT52OBZ-365922"/>
        <s v="SA222AT24CED-643171"/>
        <s v="CA811BE14GNP-36519"/>
        <s v="FA080AT16OWH-631667"/>
        <s v="FA080AT11OWM-631681"/>
        <s v="TH718AT81OAW-365806"/>
        <s v="TH718AT25NVI-365232"/>
        <s v="NI145AC98ZKB-640941"/>
        <s v="JU842AC11JVS-627106"/>
        <s v="JU842AC01JZY-627216"/>
        <s v="TH257BE29PJE-689280"/>
        <s v="OU299EL01QJM-498180"/>
        <s v="UN563AC85OBM-522634"/>
        <s v="MA802AC37RBA-731548"/>
        <s v="RA736AC05BEO-793"/>
        <s v="RE047AC72IJR-702537"/>
        <s v="SA222AT52CGX-643522"/>
        <s v="CR884AC79JIU-387578"/>
        <s v="HO801AC14QYB-731471"/>
        <s v="HO801AC93QYW-731492"/>
        <s v="HO801AC51RAM-731534"/>
        <s v="SA854EL25BXA-1286"/>
        <s v="AP771EL49LIS-562867"/>
        <s v="AM977AT69OHU-593985"/>
        <s v="AP771EL23NHS-568464"/>
        <s v="WE564AT77CCC-642918"/>
        <s v="UN563AC00OAX-522619"/>
        <s v="TH106AT66UUJ-439002"/>
        <s v="CA511AC23DJG-380414"/>
        <s v="SH079AT77OQC-631144"/>
        <s v="BL915AT24EED-582709"/>
        <s v="MR178AT73GGG-383682"/>
        <s v="SA222AT25BNY-475355"/>
        <s v="AP771EL05NIK-568482"/>
        <s v="TH718AT44PDF-368740"/>
        <s v="AP771EL25NHQ-568462"/>
        <s v="OR227BE14SYB-691695"/>
        <s v="OR227BE51SSU-691558"/>
        <s v="OR227BE94RUB-690915"/>
        <s v="FA020AC74UFL-599031"/>
        <s v="SA222AT43CDK-643074"/>
        <s v="SA222AT15CEM-643214"/>
        <s v="TH718AT58OUZ-367885"/>
        <s v="HU968AT52MKL-591567"/>
        <s v="UP141AT42JLT-703430"/>
        <s v="SA222AT79BTO-475815"/>
        <s v="SA222AT92BTB-475752"/>
        <s v="AN087EL35VDW-711363"/>
        <s v="SA222AT01CFA-643283"/>
        <s v="RI918AT57EWC-583557"/>
        <s v="SA222AT90BTD-475762"/>
        <s v="UP141AT60EVV-700130"/>
        <s v="KE914AT53EDA-582590"/>
        <s v="WE564AT95CBK-642850"/>
        <s v="CA511AC36MPR-724713"/>
        <s v="SA222AT38CDP-643100"/>
        <s v="SA222AT00BST-475716"/>
        <s v="SA222AT49CHA-643538"/>
        <s v="SA222AT81BTM-475805"/>
        <s v="SA222AT51CDC-643035"/>
        <s v="SA222AT06BOR-475448"/>
        <s v="SA222AT96BSX-475735"/>
        <s v="HU968AT70NSJ-592968"/>
        <s v="AP771EL15NIA-568472"/>
        <s v="HU968AT54NSZ-593032"/>
        <s v="GR933AC54HRL-453734"/>
        <s v="DA568AC48IVJ-559540"/>
        <s v="BA225AC02QUR-731383"/>
        <s v="BA225AC19QUA-731366"/>
        <s v="FR924AT35LRW-590678"/>
        <s v="CR884AC46JNX-387711"/>
        <s v="MO687AT10UMR-636755"/>
        <s v="SI601AC91TVG-528507"/>
        <s v="UN563AC12OAL-522607"/>
        <s v="SA766EL05DSO-412182"/>
        <s v="MI534AC24SSH-372598"/>
        <s v="SA222AT28CDZ-643150"/>
        <s v="SA222AT38CDP-643099"/>
        <s v="GP120EL88YJN-640082"/>
        <s v="SA222AT61BMO-475240"/>
        <s v="SA222AT01BLA-475055"/>
        <s v="CA511AC76YIP-56225"/>
        <s v="AD592AC39DUY-548409"/>
        <s v="AL992AT28KYD-427700"/>
        <s v="SA222AT25BNY-475353"/>
        <s v="AL992AT28KYD-427703"/>
        <s v="MA096BE26QXT-633768"/>
        <s v="RI918AT01EUK-583451"/>
        <s v="AL992AT28KYD-427701"/>
        <s v="WE564AT53OCS-522741"/>
        <s v="ED203AT68WJN-530541"/>
        <s v="ED203AT63WJS-530561"/>
        <s v="ED203AT64WJR-530557"/>
        <s v="FA020AC57OPE-431760"/>
        <s v="TH106AT26UOF-438234"/>
        <s v="AN426BE02GOB-36531"/>
        <s v="SI601AC68UHR-529019"/>
        <s v="SI601AC92TRJ-528406"/>
        <s v="SI601AC33TXM-528565"/>
        <s v="HU968AT70NSJ-592967"/>
        <s v="HU968AT72NSH-592959"/>
        <s v="KE914AT39ZAU-640637"/>
        <s v="AM977AT31NQA-592842"/>
        <s v="AL992AT28KYD-427699"/>
        <s v="AP771EL75NJO-568577"/>
        <s v="GR933AC38XXH-407179"/>
        <s v="GR933AC23XXW-407194"/>
        <s v="HU968AT38MKZ-591622"/>
        <s v="HU968AT04MMH-591757"/>
        <s v="HU968AT47NTG-593059"/>
        <s v="HU968AT48NTF-593055"/>
        <s v="MA669AC77KES-627340"/>
        <s v="FA080AT21OWC-631657"/>
        <s v="MR178AT71GCM-383290"/>
        <s v="SA222AT29BVM-475972"/>
        <s v="SA222AT00CFB-643286"/>
        <s v="TH106AT02UHL-437282"/>
        <s v="AL992AT26KYF-427711"/>
        <s v="MA096BE80SEH-634638"/>
        <s v="HU968AT71NSI-592965"/>
        <s v="CO092BE53RAO-633841"/>
        <s v="SI601AC15UZC-529490"/>
        <s v="SO088BE90RON-634204"/>
        <s v="AR083BE86QGB-633308"/>
        <s v="SO088BE86QZH-633808"/>
        <s v="FR924AT62LQV-590469"/>
        <s v="HO801AC68QZV-731517"/>
        <s v="ES913BE12SMP-691397"/>
        <s v="WE564AT63OCI-522699"/>
        <s v="BA225AC40QXB-731445"/>
        <s v="HE368BE22VSV-693587"/>
        <s v="SA222AT98BSV-475723"/>
        <s v="AL992AT18KYN-427743"/>
        <s v="GR933AC37XXI-407180"/>
        <s v="FA020AC90JPX-519280"/>
        <s v="FA020AC58JRD-519312"/>
        <s v="NA091BE01RKG-634093"/>
        <s v="UN563AC07OAQ-522612"/>
        <s v="UN563AC08OAP-522611"/>
        <s v="FL176AT53HES-681111"/>
        <s v="FA020AC21AMG-445508"/>
        <s v="HO923AT04JYX-587672"/>
        <s v="SA222AT81CFU-643377"/>
        <s v="HO923AT19KNS-588279"/>
        <s v="SA222AT68CCL-642950"/>
        <s v="AM977AT75OHO-593979"/>
        <s v="AM977AT76QNF-595476"/>
        <s v="CA511AC12DIH-718486"/>
        <s v="SA222AT90BTD-475763"/>
        <s v="BE247BE79VUM-693630"/>
        <s v="HE368BE71PWY-689638"/>
        <s v="GR933AC78XVT-407139"/>
        <s v="CA787BE37GFA-36296"/>
        <s v="YE659AC92ODZ-630751"/>
        <s v="VA280BE19GJO-36414"/>
        <s v="EL793BE23GRC-36610"/>
        <s v="LO860BE47SBS-634571"/>
        <s v="HI211BE36UFV-692573"/>
        <s v="MU172AT29YMS-668574"/>
        <s v="GR933AC24OML-571156"/>
        <s v="AN087EL29VEC-711369"/>
        <s v="CA511AC64DPN-124530"/>
        <s v="AU677EL03RQA-573668"/>
        <s v="FA020AC93ONU-431724"/>
        <s v="FA020AC09HVY-558861"/>
        <s v="AP771EL76NJN-568576"/>
        <s v="GR933AC15XYE-407202"/>
        <s v="CA511AC30YAJ-508580"/>
        <s v="PU020AC20AFJ-603508"/>
        <s v="AR089BE56PVR-633038"/>
        <s v="GR933AC70SWB-574502"/>
        <s v="SO768EL86WEB-507139"/>
        <s v="BA225AC22QTX-731363"/>
        <s v="BA225AC67QWA-731418"/>
        <s v="BA225AC47QWU-731438"/>
        <s v="GR933AC11XYI-407206"/>
        <s v="AP771EL16NHZ-568471"/>
        <s v="LO860BE58SIZ-634760"/>
        <s v="CO092BE05QNA-633489"/>
        <s v="LA081BE96PXZ-633098"/>
        <s v="HU814EL25YMG-376574"/>
        <s v="AL992AT75BUQ-512102"/>
        <s v="MI070AT72YXV-444186"/>
        <s v="AL992AT25KYG-427715"/>
        <s v="AD592AC33DVE-548415"/>
        <s v="LO860BE06SHD-634712"/>
        <s v="BA225AC28QTR-731357"/>
        <s v="BA225AC63QWE-731422"/>
        <s v="CA511AC56YJJ-56245"/>
        <s v="AN087EL56JVZ-560260"/>
        <s v="MR178AC45AQC-474394"/>
        <s v="NY094BE73PRE-632921"/>
        <s v="AR083BE50RMF-634144"/>
        <s v="NY094BE17SCW-634601"/>
        <s v="SA222AT51CDC-643032"/>
        <s v="AL992AT29KYC-427695"/>
        <s v="SA222AT28CDZ-643147"/>
        <s v="SA222AT38CDP-643097"/>
        <s v="LA412BE78RBL-690431"/>
        <s v="AM977AT55NPC-592818"/>
        <s v="PH088EL45XEC-30188"/>
        <s v="GU094AC21WDQ-530304"/>
        <s v="SR372AT19LCI-428122"/>
        <s v="HU968AT93NVI-593283"/>
        <s v="DI035AC18WPT-29815"/>
        <s v="WA974AC87SXG-635131"/>
        <s v="AM977AT30NIJ-592643"/>
        <s v="VM386AT83ZDC-509759"/>
        <s v="TE077AT94DTT-582234"/>
        <s v="FA020AC77OOK-431740"/>
        <s v="FA020AC01ONM-431716"/>
        <s v="FA020AC35OKE-495931"/>
        <s v="FA020AC90ONX-431727"/>
        <s v="FA020AC23UDO-598982"/>
        <s v="FA020AC52JRJ-519318"/>
        <s v="FA020AC75OOM-431742"/>
        <s v="FA020AC63JQY-519307"/>
        <s v="FA020AC22AMF-445507"/>
        <s v="FA020AC56OPF-431761"/>
        <s v="FA020AC28OML-431689"/>
        <s v="FA020AC81OOG-431736"/>
        <s v="CA149AC37ANI-641702"/>
        <s v="LA412BE73RPE-634221"/>
        <s v="SA222AT55CCY-643014"/>
        <s v="ST879AT37CKG-717881"/>
        <s v="ST879AT74NAZ-521872"/>
        <s v="TH106AT52VGL-440417"/>
        <s v="YE659AT48NOL-569236"/>
        <s v="ST879AT38CKF-717760"/>
        <s v="ST879AT37DQO-124610"/>
        <s v="LA081BE95QJO-633399"/>
        <s v="YE659AT99NAY-567571"/>
        <s v="YE659AT80NBR-567673"/>
        <s v="UN563AC98OAZ-522621"/>
        <s v="CA149AC57BVE-642582"/>
        <s v="SP976AT38JWV-426060"/>
        <s v="CR884AC48JGD-387509"/>
        <s v="RI918AT98EUN-583463"/>
        <s v="SA222AT24BNZ-475360"/>
        <s v="HO801AC54RAJ-731531"/>
        <s v="LA081BE59RTO-634359"/>
        <s v="AM977AT27NQE-592846"/>
        <s v="YE659AT82NQZ-569564"/>
        <s v="FA020AC89JPY-519281"/>
        <s v="FA020AC08ONF-431709"/>
        <s v="SA222AT24CED-643168"/>
        <s v="SI601AC95USE-529304"/>
        <s v="SI601AC43TXC-528555"/>
        <s v="SI601AC19TQI-528379"/>
        <s v="AM977AT23NQI-592850"/>
        <s v="YE659AT62MQV-566445"/>
        <s v="SA222AT88BPJ-475487"/>
        <s v="SP976AT37NFI-494404"/>
        <s v="ST879AT44RGT-573388"/>
        <s v="SA222AT70CCJ-642944"/>
        <s v="CA511AC86ZUR-57215"/>
        <s v="ST879AT09CLI-717874"/>
        <s v="MI070AT07DVC-644737"/>
        <s v="MA096BE12PPR-632882"/>
        <s v="SA766EL25WGO-375058"/>
        <s v="SA222AT32CDV-643129"/>
        <s v="BE421BE96GOH-36537"/>
        <s v="AP771EL28UBZ-28105"/>
        <s v="BE247BE59VZC-693750"/>
        <s v="SA302BE57VZE-693752"/>
        <s v="US246BE20VWT-693689"/>
        <s v="SA302BE08VXF-693701"/>
        <s v="MO687AT83UJW-636560"/>
        <s v="MI070AT95YWY-444077"/>
        <s v="ST879AT19MBO-97434"/>
        <s v="AN087EL34VDX-711364"/>
        <s v="MR178AT69FUW-382500"/>
        <s v="CA149AC25BOS-642414"/>
        <s v="LA807BE29FMC-35804"/>
        <s v="MA096BE79SEI-634639"/>
        <s v="CA842EL78BUN-512098"/>
        <s v="TH718AT52OBZ-365921"/>
        <s v="MI794EL99CTO-606394"/>
        <s v="CA787BE47GEQ-36286"/>
        <s v="AM977AT02NJL-592671"/>
        <s v="MR178AT81FYG-382852"/>
        <s v="AL992AT29KYC-427698"/>
        <s v="SA222AT25BNY-475356"/>
        <s v="CA511AC31YAI-508579"/>
        <s v="CR884AC42JGJ-387515"/>
        <s v="MA096BE63SQM-634955"/>
        <s v="MA096BE67SQI-634951"/>
        <s v="MI811EL99SHG-732386"/>
        <s v="AP771EL96TOL-435558"/>
        <s v="MI811EL18SGN-732367"/>
        <s v="GR933AC99XUY-407118"/>
        <s v="SH079AT41ORM-631306"/>
        <s v="ST879AT74NAZ-521873"/>
        <s v="ST879AT92CID-717599"/>
        <s v="AL992AT16KYP-427757"/>
        <s v="ST879AT42SQJ-597008"/>
        <s v="FR924AT57LJI-590050"/>
        <s v="CA511AC17YKW-56284"/>
        <s v="MI534AC02SWZ-372720"/>
        <s v="CR884AC55JJS-387602"/>
        <s v="BA225AC15QUE-731370"/>
        <s v="FI983AC13RJQ-731772"/>
        <s v="FI983AC93RKK-731792"/>
        <s v="FI983AC15RJO-731770"/>
        <s v="ST879AT04SRV-597159"/>
        <s v="BL253BE75SGI-691234"/>
        <s v="MR178AT36FWD-382632"/>
        <s v="UN563AC11OAM-522608"/>
        <s v="AD981AT45DZM-582411"/>
        <s v="FA020AC66JQV-519304"/>
        <s v="SA222AT57BUK-475910"/>
        <s v="ST879AT09CLI-717871"/>
        <s v="RO030BE32GBJ-36201"/>
        <s v="AM952BE06GNX-36527"/>
        <s v="SI601AC93TVE-528505"/>
        <s v="ST879AT44RGT-573390"/>
        <s v="HU968AT71NSI-592962"/>
        <s v="UN563AC01OAW-522618"/>
        <s v="YE659AT22LZD-564815"/>
        <s v="CA787AT64VLJ-734862"/>
        <s v="SO768EL49EWG-700160"/>
        <s v="AM977AT78QND-595474"/>
        <s v="WD848EL81UES-52438"/>
        <s v="MO774EL43MLS-629172"/>
        <s v="HU968AT72NSH-592960"/>
        <s v="KE914AT38ZAV-640640"/>
        <s v="SA222AT63CGM-643467"/>
        <s v="SA222AT61BIS-474918"/>
        <s v="FA020AC58OPD-431759"/>
        <s v="FA020AC55OPG-431762"/>
        <s v="LO860BE06SKZ-634812"/>
        <s v="FI983AC53QSS-731332"/>
        <s v="HO801AC13QYC-731472"/>
        <s v="HO801AC80QZJ-731505"/>
        <s v="MA802AC36RBB-731549"/>
        <s v="HO801AC00QYP-731485"/>
        <s v="HU968AT03NUY-593245"/>
        <s v="ED203AT29ETE-699818"/>
        <s v="KE914AT35ZAY-640649"/>
        <s v="KE914AT18ZBP-640690"/>
        <s v="DO962BE51VZC-29382"/>
        <s v="SA302BE17VWW-693692"/>
        <s v="CR884AC45KDI-388112"/>
        <s v="MR178AT91GJK-384008"/>
        <s v="MR178AT23GEI-383480"/>
        <s v="CA511AC37VSO-441083"/>
        <s v="MI534AC15GLK-354877"/>
        <s v="JB997AC73LOS-389413"/>
        <s v="SI601AC97TYW-528601"/>
        <s v="VM386AT76ZDJ-509787"/>
        <s v="YE659AT07MLG-565814"/>
        <s v="YE659AT08MLF-565809"/>
        <s v="YE659AT25MKO-565723"/>
        <s v="YE659AT00MLN-565849"/>
        <s v="MA096BE51QHK-633343"/>
        <s v="VE740BE12GCD-36221"/>
        <s v="LA081BE89QCC-633205"/>
        <s v="JB997AC68VRJ-441052"/>
        <s v="CA511EL29BWW-1282"/>
        <s v="YE659AC46OJP-630939"/>
        <s v="ON399EL50VWN-712135"/>
        <s v="FA020AC07UEE-598998"/>
        <s v="CA149AC87BUA-642552"/>
        <s v="AD981AT24JPR-425684"/>
        <s v="EN364BE80RJB-690629"/>
        <s v="CA149AC90AWV-641949"/>
        <s v="YE659AC60OFF-630825"/>
        <s v="CI983AC90ESV-645868"/>
        <s v="CA787BE35GFC-36298"/>
        <s v="GA254BE07PCI-689102"/>
        <s v="BI230BE92VMH-693417"/>
        <s v="CO092BE75OSA-688834"/>
        <s v="MA096BE94QYZ-633800"/>
        <s v="SR372AC62LAR-427990"/>
        <s v="AD592AC80FQH-646483"/>
        <s v="HO801AC94QYV-731491"/>
        <s v="SR372AC71LAI-427981"/>
        <s v="MA096BE33SRQ-634985"/>
        <s v="CA511AC86DON-380551"/>
        <s v="YE659AC40OJV-630945"/>
        <s v="AD592AC21DVQ-548427"/>
        <s v="SI601AC95TVC-528503"/>
        <s v="ES795BE16NIL-47783"/>
        <s v="HO801AC85QZE-731500"/>
        <s v="FU379AT79CEU-717386"/>
        <s v="MI070AT07VVG-735912"/>
        <s v="FI983AC75RHG-731710"/>
        <s v="YE659AT71NCA-567726"/>
        <s v="BA225AC07QUM-731378"/>
        <s v="CO916AC80EVF-583506"/>
        <s v="FI983AC81RHA-731704"/>
        <s v="CA511AC46ZSJ-57155"/>
        <s v="CA511AC50ZSF-57151"/>
        <s v="ZI491AT21MZY-686151"/>
        <s v="ZI491AT22MZX-686145"/>
        <s v="ZI491AT52MUX-685788"/>
        <s v="UN563AC80OBR-522639"/>
        <s v="MI070AT73YXU-444184"/>
        <s v="SA222AT53CDA-643025"/>
        <s v="AP771EL47TZS-635907"/>
        <s v="PE989AT83TWQ-435855"/>
        <s v="LE769EL41CAC-123369"/>
        <s v="SO088BE37QPQ-633557"/>
        <s v="MI534AC90STP-372632"/>
        <s v="SA222AT43CDK-643073"/>
        <s v="TH106AT66VCB-439787"/>
        <s v="ST879AT92CID-717597"/>
        <s v="AL992AT63BVC-512154"/>
        <s v="CO745EL31TOQ-733266"/>
        <s v="YE659AT93NUK-570011"/>
        <s v="FI983AC23RFK-731662"/>
        <s v="SA222AT17BVY-476020"/>
        <s v="AD981AT38TRL-598575"/>
        <s v="SI601AC14UFX-528955"/>
        <s v="MI534AC21SWG-372701"/>
        <s v="WE564AT68OCD-522681"/>
        <s v="SA222AT31CHS-643627"/>
        <s v="TH106AT36URR-438721"/>
        <s v="SA222AT17BVY-476021"/>
        <s v="LA081BE50QLH-633444"/>
        <s v="NY094BE35SNS-634883"/>
        <s v="MA096BE24PWX-633070"/>
        <s v="CO092BE35POU-632859"/>
        <s v="NY094BE11SOQ-634907"/>
        <s v="HU968AT11MMA-591730"/>
        <s v="MI534AC55PXC-147021"/>
        <s v="HU968AT09MMC-591738"/>
        <s v="AN087EL60ZTJ-510208"/>
        <s v="MA093BE02QBP-633192"/>
        <s v="LA081BE81RDI-633913"/>
        <s v="SR372AC16RHV-573455"/>
        <s v="GR933AC36XXJ-407181"/>
        <s v="CA511AC67DPG-380570"/>
        <s v="HU968AT70NSJ-592969"/>
        <s v="HU968AT91NVK-593294"/>
        <s v="KE914AT34ZAZ-640653"/>
        <s v="SA222AT92CFJ-643322"/>
        <s v="BU784BE77GPA-36556"/>
        <s v="MA096BE82SEF-634636"/>
        <s v="ST879AT33SQS-597044"/>
        <s v="DI035BE80FVR-36053"/>
        <s v="IV186EL77CMO-717912"/>
        <s v="SO088BE72RDR-633922"/>
        <s v="HU968AT38MKZ-591621"/>
        <s v="HU968AT09MMC-591737"/>
        <s v="HU968AT54NSZ-593031"/>
        <s v="CA511AC15MMQ-724634"/>
        <s v="MO809BE38HFX-36995"/>
        <s v="HO801AC92QYX-731493"/>
        <s v="FA020AC25OMO-431692"/>
        <s v="FA020AC27OMM-431690"/>
        <s v="CR884AC04KBB-388053"/>
        <s v="BU784BE82GOV-36551"/>
        <s v="JU688AT09QWO-573049"/>
        <s v="HO923AT91KOU-588407"/>
        <s v="JO434BE75GWU-36758"/>
        <s v="KA662AT58GOJ-516314"/>
        <s v="WE564AT15CII-643666"/>
        <s v="XB395EL26CJL-33707"/>
        <s v="JB997AC21UQC-636919"/>
        <s v="NI863BE67QKQ-633427"/>
        <s v="FI983AC25RFI-731660"/>
        <s v="JB997AC09LJM-389277"/>
        <s v="LA081BE09QBI-633185"/>
        <s v="CR884AC11KEQ-388146"/>
        <s v="CR884AC38JCR-387419"/>
        <s v="GU094AC02WDD-736437"/>
        <s v="CA842EL79LSQ-22454"/>
        <s v="AR083BE90PUJ-633004"/>
        <s v="DE788EL79QUU-595693"/>
        <s v="FR924AT77KTE-588810"/>
        <s v="TH106AT67UUI-438998"/>
        <s v="TH106AT46VCV-439869"/>
        <s v="HU814EL50ZEF-640789"/>
        <s v="CA787BE17GNM-36516"/>
        <s v="LA412BE42QPL-633552"/>
        <s v="TH145AT70OSN-431965"/>
        <s v="JU688AT09QWO-573047"/>
        <s v="TH106AT71UMM-438052"/>
        <s v="MA096BE53RXQ-634465"/>
        <s v="DI035AC57FQO-354322"/>
        <s v="FA020AC83JQE-519287"/>
        <s v="GU094AC70BPD-446468"/>
        <s v="SA766EL49NES-629685"/>
        <s v="NY094BE12SKT-634806"/>
        <s v="WE564AT11CAU-642785"/>
        <s v="GR933AC77XVU-407140"/>
        <s v="MI534AC79SUA-372643"/>
        <s v="CI983AC15AXW-579971"/>
        <s v="KH475BE94JJL-38439"/>
        <s v="BE422BE90GON-36543"/>
        <s v="GU797BE37HRM-37296"/>
        <s v="AP771EL47LIU-562869"/>
        <s v="JA802BE58GIB-36375"/>
        <s v="LA282BE48FLJ-35785"/>
        <s v="SA766EL71EAI-645069"/>
        <s v="SP810EL09WRI-712676"/>
        <s v="SC724BE11QUM-633683"/>
        <s v="NY094BE15RVG-634403"/>
        <s v="HO801AC86QZD-731499"/>
        <s v="FI983AC63QSI-731322"/>
        <s v="OR263BE00PZR-689709"/>
        <s v="AP771EL49ARI-449"/>
        <s v="CA511AC00YBN-508610"/>
        <s v="XI296EL25UDM-598980"/>
        <s v="TH718AT88OXR-368164"/>
        <s v="CO203BE12VHR-693297"/>
        <s v="GA858BE66OWF-688943"/>
        <s v="LO860BE23SOE-634895"/>
        <s v="JO329EL69XHA-30264"/>
        <s v="AP771EL46WQV-736793"/>
        <s v="CO092BE60VRJ-693549"/>
        <s v="HU814EL03DWI-548445"/>
        <s v="FA020AC54OPH-431763"/>
        <s v="NO765EL88ZJZ-79829"/>
        <s v="TH145AT93ORQ-431852"/>
        <s v="CA511EL54BVX-1257"/>
        <s v="CA511AC63YMY-56338"/>
        <s v="UL555EL20OET-688101"/>
        <s v="CA511AC41KTQ-561732"/>
        <s v="TI948AC49OSS-24484"/>
        <s v="CA511AC88OVB-24545"/>
        <s v="AP771EL44QZB-573176"/>
        <s v="SA766EL65NAS-98170"/>
        <s v="DE399EL47FNS-646416"/>
        <s v="NY144BE03UOU-692806"/>
        <s v="CO092BE10QFD-633284"/>
        <s v="LA412BE56QHF-633338"/>
        <s v="CA511AC45MLM-724604"/>
        <s v="NE157BE99SDO-634619"/>
        <s v="NI841EL69HIO-37064"/>
        <s v="FI498EL48SJN-499782"/>
        <s v="GU798AC01PCG-24732"/>
        <s v="ES795BE10ADL-89"/>
        <s v="CA511AC83BLO-604402"/>
        <s v="LE769EL75WPC-469412"/>
        <s v="HU814EL46ZEJ-640793"/>
        <s v="CI983AC61BLM-580325"/>
        <s v="CA511AC46DWN-611593"/>
        <s v="KA662AT17IAW-63230"/>
        <s v="MI794EL96BFN-409444"/>
        <s v="GU094AC25WDM-530300"/>
        <s v="RA736AC10BEJ-788"/>
        <s v="AP771EL60LIH-562856"/>
        <s v="FA020AC01UEK-599004"/>
        <s v="GR933AC63SWI-574509"/>
        <s v="TH106AT71UMM-438055"/>
        <s v="BB090BE29PWS-633065"/>
        <s v="WE564AT07CAY-642803"/>
        <s v="BB090BE11RRO-634307"/>
        <s v="HP795EL08BGT-604277"/>
        <s v="LE769EL54LCR-627963"/>
        <s v="EL793AC07DUQ-83923"/>
        <s v="CA511AC97KKW-455765"/>
        <s v="CA511AC10YBD-508600"/>
        <s v="CA511AC30AAR-57371"/>
        <s v="FE270AC46OAB-570575"/>
        <s v="CA959BE91GUU-516547"/>
        <s v="AR089BE33RFE-633961"/>
        <s v="RO030BE33GBI-36200"/>
        <s v="DE399EL48FNR-646415"/>
        <s v="LO860BE14RZD-634504"/>
        <s v="MA096BE46QLL-633448"/>
        <s v="GU094EL14CBH-1397"/>
        <s v="BV737BE40GMP-36493"/>
        <s v="TE972BE47GUA-36686"/>
        <s v="MU172AT36VJR-663834"/>
        <s v="MU172AT19URC-662663"/>
        <s v="AL775EL33XOO-639189"/>
        <s v="CA511AC11ABK-57390"/>
        <s v="HE078BE69GHQ-36364"/>
        <s v="FA020AC88JPZ-519282"/>
        <s v="HO923AT10KOB-588323"/>
        <s v="IT236EL89TCO-27444"/>
        <s v="SE330EL82XOF-30451"/>
        <s v="CA511AC34DHP-611205"/>
        <s v="KA662AT81GNM-516122"/>
        <s v="NO765EL72IOD-63848"/>
        <s v="NI841EL66ZIZ-31667"/>
        <s v="GU094AC97BAS-378321"/>
        <s v="WE564AT71OCA-522666"/>
        <s v="WE564AT69OCC-522674"/>
        <s v="DI035AC19FOE-354260"/>
        <s v="MA096BE46POJ-632848"/>
        <s v="MA096BE18PXD-633076"/>
        <s v="RO885AC42JRX-387815"/>
        <s v="RO885AC20JWP-387937"/>
        <s v="AL775EL32XOP-639190"/>
        <s v="AS777EL47WBW-374937"/>
        <s v="CI983AC56EUD-645902"/>
        <s v="CI983AC16EGH-645222"/>
        <s v="CH269BE13FIW-35720"/>
        <s v="CA511AC51DGU-718449"/>
        <s v="AP771EL73NEG-98262"/>
        <s v="HT767EL56HBZ-453292"/>
        <s v="CA511AC23YKQ-56278"/>
        <s v="AP771EL99RRG-462984"/>
        <s v="AU677EL99CIY-643700"/>
        <s v="RT312AC75TNG-501042"/>
        <s v="CA511AC38QNH-25695"/>
        <s v="BL770EL32LEX-140527"/>
        <s v="BL770EL36LET-140523"/>
        <s v="CA511AC36DEX-380301"/>
        <s v="CR884AC67JNC-387690"/>
        <s v="RA736AC04BEP-794"/>
        <s v="LE769EL24NCT-656147"/>
        <s v="LO860BE52SFJ-634666"/>
        <s v="RE065BE21SSC-634997"/>
        <s v="AU677EL31OME-571149"/>
        <s v="AU677EL46OLP-571134"/>
        <s v="VI802AC99CIM-82831"/>
        <s v="FA020AC94ONT-431723"/>
        <s v="CA511AC77WFI-530370"/>
      </sharedItems>
    </cacheField>
    <cacheField name="Item ID2" numFmtId="0">
      <sharedItems count="1122">
        <s v="AE62104"/>
        <s v="AE62098"/>
        <s v="AE62063"/>
        <s v="AE62057"/>
        <s v="AE62033"/>
        <s v="AE62034"/>
        <s v="AE62035"/>
        <s v="AE62018"/>
        <s v="AE62015"/>
        <s v="AE62005"/>
        <s v="AE62006"/>
        <s v="AE62003"/>
        <s v="AE62004"/>
        <s v="AE61995"/>
        <s v="AE61984"/>
        <s v="AE61970"/>
        <s v="AE61963"/>
        <s v="AE61955"/>
        <s v="AE61952"/>
        <s v="AE61947"/>
        <s v="AE61948"/>
        <s v="AE61944"/>
        <s v="AE61897"/>
        <s v="AE61896"/>
        <s v="AE61894"/>
        <s v="AE61890"/>
        <s v="AE61865"/>
        <s v="AE61858"/>
        <s v="AE61819"/>
        <s v="AE61791"/>
        <s v="AE61755"/>
        <s v="AE61711"/>
        <s v="AE61679"/>
        <s v="AE61658"/>
        <s v="AE61662"/>
        <s v="AE61663"/>
        <s v="AE61644"/>
        <s v="AE61484"/>
        <s v="AE61471"/>
        <s v="AE61472"/>
        <s v="AE61427"/>
        <s v="AE61388"/>
        <s v="AE61192"/>
        <s v="AE60844"/>
        <s v="AE59072"/>
        <s v="SA815360"/>
        <s v="SA825156"/>
        <s v="SA833326"/>
        <s v="SA842231"/>
        <s v="SA864764"/>
        <s v="SA876267"/>
        <s v="SA878886"/>
        <s v="SA896553"/>
        <s v="SA898668"/>
        <s v="SA900847"/>
        <s v="SA903503"/>
        <s v="SA909784"/>
        <s v="SA910930"/>
        <s v="SA912167"/>
        <s v="SA912169"/>
        <s v="SA912170"/>
        <s v="SA912836"/>
        <s v="SA912865"/>
        <s v="SA914070"/>
        <s v="SA914071"/>
        <s v="SA914260"/>
        <s v="SA916527"/>
        <s v="SA916634"/>
        <s v="SA917770"/>
        <s v="SA918001"/>
        <s v="SA918308"/>
        <s v="SA918331"/>
        <s v="SA919168"/>
        <s v="SA919697"/>
        <s v="SA921641"/>
        <s v="SA922618"/>
        <s v="SA922755"/>
        <s v="SA923043"/>
        <s v="SA924328"/>
        <s v="SA925496"/>
        <s v="SA925764"/>
        <s v="SA925787"/>
        <s v="SA926451"/>
        <s v="SA930055"/>
        <s v="SA930120"/>
        <s v="SA931707"/>
        <s v="SA933539"/>
        <s v="SA933564"/>
        <s v="SA933744"/>
        <s v="SA934215"/>
        <s v="SA934489"/>
        <s v="SA935518"/>
        <s v="SA935680"/>
        <s v="SA935969"/>
        <s v="SA935991"/>
        <s v="SA936074"/>
        <s v="SA936834"/>
        <s v="SA937435"/>
        <s v="SA937436"/>
        <s v="SA937700"/>
        <s v="SA938067"/>
        <s v="SA938070"/>
        <s v="SA938568"/>
        <s v="SA938618"/>
        <s v="SA939783"/>
        <s v="SA939945"/>
        <s v="SA940616"/>
        <s v="SA940692"/>
        <s v="SA940960"/>
        <s v="SA940986"/>
        <s v="SA940987"/>
        <s v="SA941593"/>
        <s v="SA943449"/>
        <s v="SA943751"/>
        <s v="SA944870"/>
        <s v="SA945065"/>
        <s v="SA945292"/>
        <s v="SA945293"/>
        <s v="SA945492"/>
        <s v="SA946237"/>
        <s v="SA947033"/>
        <s v="SA948189"/>
        <s v="SA948359"/>
        <s v="SA948582"/>
        <s v="SA948587"/>
        <s v="SA948683"/>
        <s v="SA948727"/>
        <s v="SA948767"/>
        <s v="SA949292"/>
        <s v="SA949698"/>
        <s v="SA949783"/>
        <s v="SA949784"/>
        <s v="SA949785"/>
        <s v="SA949927"/>
        <s v="SA949930"/>
        <s v="SA950006"/>
        <s v="SA950008"/>
        <s v="SA950306"/>
        <s v="SA950309"/>
        <s v="SA950683"/>
        <s v="SA951400"/>
        <s v="SA952139"/>
        <s v="SA952383"/>
        <s v="SA952968"/>
        <s v="SA953280"/>
        <s v="SA953281"/>
        <s v="SA953282"/>
        <s v="SA953534"/>
        <s v="SA954762"/>
        <s v="SA955213"/>
        <s v="SA955236"/>
        <s v="SA955250"/>
        <s v="SA955318"/>
        <s v="SA955914"/>
        <s v="SA956019"/>
        <s v="SA956021"/>
        <s v="SA956609"/>
        <s v="SA956724"/>
        <s v="SA956725"/>
        <s v="SA956726"/>
        <s v="SA957407"/>
        <s v="SA957582"/>
        <s v="SA957691"/>
        <s v="SA957883"/>
        <s v="SA958244"/>
        <s v="SA958504"/>
        <s v="SA958517"/>
        <s v="SA958518"/>
        <s v="SA958519"/>
        <s v="SA958684"/>
        <s v="SA958764"/>
        <s v="SA958927"/>
        <s v="SA959534"/>
        <s v="SA959851"/>
        <s v="SA959987"/>
        <s v="SA959989"/>
        <s v="SA959990"/>
        <s v="SA959991"/>
        <s v="SA960196"/>
        <s v="SA960387"/>
        <s v="SA960423"/>
        <s v="SA960467"/>
        <s v="SA960474"/>
        <s v="SA960549"/>
        <s v="SA960608"/>
        <s v="SA960749"/>
        <s v="SA960773"/>
        <s v="SA960827"/>
        <s v="SA960940"/>
        <s v="SA960941"/>
        <s v="SA960942"/>
        <s v="SA961220"/>
        <s v="SA961314"/>
        <s v="SA961499"/>
        <s v="SA961524"/>
        <s v="SA961538"/>
        <s v="SA961624"/>
        <s v="SA961625"/>
        <s v="SA961626"/>
        <s v="SA961627"/>
        <s v="SA961631"/>
        <s v="SA961692"/>
        <s v="SA961808"/>
        <s v="SA961812"/>
        <s v="SA961813"/>
        <s v="SA961815"/>
        <s v="SA961909"/>
        <s v="SA961956"/>
        <s v="SA961966"/>
        <s v="SA961967"/>
        <s v="SA962054"/>
        <s v="SA962055"/>
        <s v="SA962056"/>
        <s v="SA962106"/>
        <s v="SA962132"/>
        <s v="SA962393"/>
        <s v="SA962434"/>
        <s v="SA962435"/>
        <s v="SA962444"/>
        <s v="SA962448"/>
        <s v="SA962450"/>
        <s v="SA962704"/>
        <s v="SA962708"/>
        <s v="SA962890"/>
        <s v="SA962893"/>
        <s v="SA962894"/>
        <s v="SA962896"/>
        <s v="SA962898"/>
        <s v="SA962900"/>
        <s v="SA962908"/>
        <s v="SA962972"/>
        <s v="SA963065"/>
        <s v="SA963073"/>
        <s v="SA963283"/>
        <s v="SA963388"/>
        <s v="SA963579"/>
        <s v="SA963580"/>
        <s v="SA963676"/>
        <s v="SA963694"/>
        <s v="SA963706"/>
        <s v="SA963792"/>
        <s v="SA963793"/>
        <s v="SA963797"/>
        <s v="SA963833"/>
        <s v="SA963970"/>
        <s v="SA963988"/>
        <s v="SA964012"/>
        <s v="SA964026"/>
        <s v="SA964027"/>
        <s v="SA964087"/>
        <s v="SA964092"/>
        <s v="SA964174"/>
        <s v="SA964292"/>
        <s v="SA964294"/>
        <s v="SA964468"/>
        <s v="SA964566"/>
        <s v="SA964568"/>
        <s v="SA964885"/>
        <s v="SA964887"/>
        <s v="SA964890"/>
        <s v="SA965108"/>
        <s v="SA965179"/>
        <s v="SA965230"/>
        <s v="SA965320"/>
        <s v="SA965437"/>
        <s v="SA965474"/>
        <s v="SA965498"/>
        <s v="SA965499"/>
        <s v="SA965500"/>
        <s v="SA965563"/>
        <s v="SA965599"/>
        <s v="SA965829"/>
        <s v="SA965865"/>
        <s v="SA965969"/>
        <s v="SA966268"/>
        <s v="SA966269"/>
        <s v="SA966271"/>
        <s v="SA966370"/>
        <s v="SA966372"/>
        <s v="SA966375"/>
        <s v="SA966423"/>
        <s v="SA966535"/>
        <s v="SA966571"/>
        <s v="SA966632"/>
        <s v="SA966653"/>
        <s v="SA966812"/>
        <s v="SA966902"/>
        <s v="SA966927"/>
        <s v="SA966928"/>
        <s v="SA966929"/>
        <s v="SA967036"/>
        <s v="SA967037"/>
        <s v="SA967281"/>
        <s v="SA967537"/>
        <s v="SA967538"/>
        <s v="SA967587"/>
        <s v="SA967588"/>
        <s v="SA967627"/>
        <s v="SA967630"/>
        <s v="SA967631"/>
        <s v="SA967632"/>
        <s v="SA967633"/>
        <s v="SA967634"/>
        <s v="SA967655"/>
        <s v="SA967713"/>
        <s v="SA967858"/>
        <s v="SA967859"/>
        <s v="SA967860"/>
        <s v="SA968326"/>
        <s v="SA968327"/>
        <s v="SA968391"/>
        <s v="SA968531"/>
        <s v="SA968538"/>
        <s v="SA968770"/>
        <s v="SA968894"/>
        <s v="SA969177"/>
        <s v="SA969205"/>
        <s v="SA969216"/>
        <s v="SA969265"/>
        <s v="SA969266"/>
        <s v="SA969282"/>
        <s v="SA969283"/>
        <s v="SA969286"/>
        <s v="SA969288"/>
        <s v="SA969403"/>
        <s v="SA969545"/>
        <s v="SA969558"/>
        <s v="SA969580"/>
        <s v="SA969581"/>
        <s v="SA969683"/>
        <s v="SA969684"/>
        <s v="SA969779"/>
        <s v="SA969929"/>
        <s v="SA969984"/>
        <s v="SA970008"/>
        <s v="SA970009"/>
        <s v="SA970020"/>
        <s v="SA970129"/>
        <s v="SA970139"/>
        <s v="SA970145"/>
        <s v="SA970147"/>
        <s v="SA970148"/>
        <s v="SA970187"/>
        <s v="SA970207"/>
        <s v="SA970208"/>
        <s v="SA970209"/>
        <s v="SA970227"/>
        <s v="SA970228"/>
        <s v="SA970251"/>
        <s v="SA970361"/>
        <s v="SA970481"/>
        <s v="SA970493"/>
        <s v="SA970494"/>
        <s v="SA970523"/>
        <s v="SA970587"/>
        <s v="SA970638"/>
        <s v="SA970676"/>
        <s v="SA970687"/>
        <s v="SA970696"/>
        <s v="SA970713"/>
        <s v="SA970716"/>
        <s v="SA970732"/>
        <s v="SA970755"/>
        <s v="SA970841"/>
        <s v="SA970928"/>
        <s v="SA970998"/>
        <s v="SA971022"/>
        <s v="SA971227"/>
        <s v="SA971228"/>
        <s v="SA971231"/>
        <s v="SA971329"/>
        <s v="SA971345"/>
        <s v="SA971397"/>
        <s v="SA971412"/>
        <s v="SA971485"/>
        <s v="SA971499"/>
        <s v="SA971531"/>
        <s v="SA971542"/>
        <s v="SA971691"/>
        <s v="SA971696"/>
        <s v="SA971736"/>
        <s v="SA971761"/>
        <s v="SA971774"/>
        <s v="SA971775"/>
        <s v="SA971776"/>
        <s v="SA971777"/>
        <s v="SA971847"/>
        <s v="SA971868"/>
        <s v="SA971893"/>
        <s v="SA971894"/>
        <s v="SA971895"/>
        <s v="SA971925"/>
        <s v="SA972057"/>
        <s v="SA972060"/>
        <s v="SA972061"/>
        <s v="SA972062"/>
        <s v="SA972063"/>
        <s v="SA972099"/>
        <s v="SA972119"/>
        <s v="SA972120"/>
        <s v="SA972121"/>
        <s v="SA972122"/>
        <s v="SA972123"/>
        <s v="SA972145"/>
        <s v="SA972146"/>
        <s v="SA972160"/>
        <s v="SA972216"/>
        <s v="SA972412"/>
        <s v="SA972415"/>
        <s v="SA972416"/>
        <s v="SA972428"/>
        <s v="SA972434"/>
        <s v="SA972435"/>
        <s v="SA972436"/>
        <s v="SA972437"/>
        <s v="SA972444"/>
        <s v="SA972553"/>
        <s v="SA972632"/>
        <s v="SA972673"/>
        <s v="SA972708"/>
        <s v="SA972756"/>
        <s v="SA972858"/>
        <s v="SA972888"/>
        <s v="SA972914"/>
        <s v="SA973014"/>
        <s v="SA973129"/>
        <s v="SA973226"/>
        <s v="SA973311"/>
        <s v="SA973373"/>
        <s v="SA973504"/>
        <s v="SA973539"/>
        <s v="SA973540"/>
        <s v="SA973541"/>
        <s v="SA973542"/>
        <s v="SA973543"/>
        <s v="SA973544"/>
        <s v="SA973545"/>
        <s v="SA973546"/>
        <s v="SA973547"/>
        <s v="SA973548"/>
        <s v="SA973549"/>
        <s v="SA973550"/>
        <s v="SA973555"/>
        <s v="SA973556"/>
        <s v="SA973557"/>
        <s v="SA973596"/>
        <s v="SA973597"/>
        <s v="SA973598"/>
        <s v="SA973628"/>
        <s v="SA973631"/>
        <s v="SA973701"/>
        <s v="SA973702"/>
        <s v="SA973703"/>
        <s v="SA973704"/>
        <s v="SA973706"/>
        <s v="SA973707"/>
        <s v="SA973708"/>
        <s v="SA973712"/>
        <s v="SA973714"/>
        <s v="SA973716"/>
        <s v="SA973719"/>
        <s v="SA973748"/>
        <s v="SA973750"/>
        <s v="SA973751"/>
        <s v="SA973753"/>
        <s v="SA973772"/>
        <s v="SA973797"/>
        <s v="SA973816"/>
        <s v="SA973869"/>
        <s v="SA973870"/>
        <s v="SA973933"/>
        <s v="SA973938"/>
        <s v="SA973939"/>
        <s v="SA973949"/>
        <s v="SA974024"/>
        <s v="SA974025"/>
        <s v="SA974033"/>
        <s v="SA974034"/>
        <s v="SA974036"/>
        <s v="SA974037"/>
        <s v="SA974038"/>
        <s v="SA974040"/>
        <s v="SA974043"/>
        <s v="SA974044"/>
        <s v="SA974045"/>
        <s v="SA974081"/>
        <s v="SA974125"/>
        <s v="SA974126"/>
        <s v="SA974127"/>
        <s v="SA974128"/>
        <s v="SA974160"/>
        <s v="SA974396"/>
        <s v="SA974500"/>
        <s v="SA974513"/>
        <s v="SA974514"/>
        <s v="SA974555"/>
        <s v="SA974617"/>
        <s v="SA974642"/>
        <s v="SA974664"/>
        <s v="SA974715"/>
        <s v="SA974745"/>
        <s v="SA974801"/>
        <s v="SA974830"/>
        <s v="SA974831"/>
        <s v="SA974832"/>
        <s v="SA974833"/>
        <s v="SA974838"/>
        <s v="SA974839"/>
        <s v="SA974842"/>
        <s v="SA974880"/>
        <s v="SA974943"/>
        <s v="SA974947"/>
        <s v="SA974958"/>
        <s v="SA974966"/>
        <s v="SA975022"/>
        <s v="SA975029"/>
        <s v="SA975036"/>
        <s v="SA975061"/>
        <s v="SA975108"/>
        <s v="SA975150"/>
        <s v="SA975164"/>
        <s v="SA975202"/>
        <s v="SA975218"/>
        <s v="SA975255"/>
        <s v="SA975256"/>
        <s v="SA975257"/>
        <s v="SA975261"/>
        <s v="SA975350"/>
        <s v="SA975370"/>
        <s v="SA975392"/>
        <s v="SA975393"/>
        <s v="SA975394"/>
        <s v="SA975396"/>
        <s v="SA975397"/>
        <s v="SA975461"/>
        <s v="SA975481"/>
        <s v="SA975545"/>
        <s v="SA975550"/>
        <s v="SA975608"/>
        <s v="SA975617"/>
        <s v="SA975639"/>
        <s v="SA975658"/>
        <s v="SA975718"/>
        <s v="SA975761"/>
        <s v="SA975842"/>
        <s v="SA975864"/>
        <s v="SA975948"/>
        <s v="SA976088"/>
        <s v="SA976091"/>
        <s v="SA976092"/>
        <s v="SA976096"/>
        <s v="SA976097"/>
        <s v="SA976155"/>
        <s v="SA976156"/>
        <s v="SA976243"/>
        <s v="SA976245"/>
        <s v="SA976270"/>
        <s v="SA976288"/>
        <s v="SA976290"/>
        <s v="SA976294"/>
        <s v="SA976295"/>
        <s v="SA976338"/>
        <s v="SA976339"/>
        <s v="SA976340"/>
        <s v="SA976413"/>
        <s v="SA976442"/>
        <s v="SA976609"/>
        <s v="SA976727"/>
        <s v="SA976740"/>
        <s v="SA976741"/>
        <s v="SA976798"/>
        <s v="SA976800"/>
        <s v="SA976837"/>
        <s v="SA976933"/>
        <s v="SA976976"/>
        <s v="SA977080"/>
        <s v="SA977084"/>
        <s v="SA977121"/>
        <s v="SA977221"/>
        <s v="SA977225"/>
        <s v="SA977307"/>
        <s v="SA977320"/>
        <s v="SA977347"/>
        <s v="SA977348"/>
        <s v="SA977410"/>
        <s v="SA977414"/>
        <s v="SA977462"/>
        <s v="SA977530"/>
        <s v="SA977557"/>
        <s v="SA977665"/>
        <s v="SA977691"/>
        <s v="SA977694"/>
        <s v="SA977698"/>
        <s v="SA977700"/>
        <s v="SA977740"/>
        <s v="SA977742"/>
        <s v="SA977839"/>
        <s v="SA977843"/>
        <s v="SA977848"/>
        <s v="SA977849"/>
        <s v="SA977949"/>
        <s v="SA977954"/>
        <s v="SA977971"/>
        <s v="SA977978"/>
        <s v="SA977979"/>
        <s v="SA977980"/>
        <s v="SA977983"/>
        <s v="SA977984"/>
        <s v="SA977990"/>
        <s v="SA977991"/>
        <s v="SA977992"/>
        <s v="SA977993"/>
        <s v="SA977995"/>
        <s v="SA978109"/>
        <s v="SA978233"/>
        <s v="SA978252"/>
        <s v="SA978388"/>
        <s v="SA978460"/>
        <s v="SA978461"/>
        <s v="SA978481"/>
        <s v="SA978482"/>
        <s v="SA978491"/>
        <s v="SA978559"/>
        <s v="SA978578"/>
        <s v="SA978616"/>
        <s v="SA978632"/>
        <s v="SA978633"/>
        <s v="SA978634"/>
        <s v="SA978636"/>
        <s v="SA978831"/>
        <s v="SA978861"/>
        <s v="SA978863"/>
        <s v="SA978871"/>
        <s v="SA978990"/>
        <s v="SA979023"/>
        <s v="SA979121"/>
        <s v="SA979125"/>
        <s v="SA979153"/>
        <s v="SA979154"/>
        <s v="SA979159"/>
        <s v="SA979166"/>
        <s v="SA979198"/>
        <s v="SA979237"/>
        <s v="SA979238"/>
        <s v="SA979285"/>
        <s v="SA979288"/>
        <s v="SA979291"/>
        <s v="SA979336"/>
        <s v="SA979337"/>
        <s v="SA979373"/>
        <s v="SA979387"/>
        <s v="SA979388"/>
        <s v="SA979522"/>
        <s v="SA979523"/>
        <s v="SA979549"/>
        <s v="SA979622"/>
        <s v="SA979716"/>
        <s v="SA979745"/>
        <s v="SA979746"/>
        <s v="SA979747"/>
        <s v="SA979748"/>
        <s v="SA979800"/>
        <s v="SA979835"/>
        <s v="SA979892"/>
        <s v="SA979899"/>
        <s v="SA979900"/>
        <s v="SA979901"/>
        <s v="SA979949"/>
        <s v="SA979975"/>
        <s v="SA979994"/>
        <s v="SA979995"/>
        <s v="SA980021"/>
        <s v="SA980036"/>
        <s v="SA980055"/>
        <s v="SA980083"/>
        <s v="SA980103"/>
        <s v="SA980134"/>
        <s v="SA980135"/>
        <s v="SA980140"/>
        <s v="SA980143"/>
        <s v="SA980220"/>
        <s v="SA980221"/>
        <s v="SA980240"/>
        <s v="SA980269"/>
        <s v="SA980274"/>
        <s v="SA980290"/>
        <s v="SA980292"/>
        <s v="SA980314"/>
        <s v="SA980315"/>
        <s v="SA980317"/>
        <s v="SA980318"/>
        <s v="SA980340"/>
        <s v="SA980341"/>
        <s v="SA980343"/>
        <s v="SA980352"/>
        <s v="SA980356"/>
        <s v="SA980377"/>
        <s v="SA980380"/>
        <s v="SA980391"/>
        <s v="SA980425"/>
        <s v="SA980426"/>
        <s v="SA980428"/>
        <s v="SA980445"/>
        <s v="SA980447"/>
        <s v="SA980456"/>
        <s v="SA980457"/>
        <s v="SA980458"/>
        <s v="SA980480"/>
        <s v="SA980481"/>
        <s v="SA980482"/>
        <s v="SA980486"/>
        <s v="SA980523"/>
        <s v="SA980526"/>
        <s v="SA980529"/>
        <s v="SA980536"/>
        <s v="SA980537"/>
        <s v="SA980579"/>
        <s v="SA980581"/>
        <s v="SA980583"/>
        <s v="SA980584"/>
        <s v="SA980585"/>
        <s v="SA980602"/>
        <s v="SA980607"/>
        <s v="SA980615"/>
        <s v="SA980616"/>
        <s v="SA980649"/>
        <s v="SA980650"/>
        <s v="SA980652"/>
        <s v="SA980654"/>
        <s v="SA980681"/>
        <s v="SA980687"/>
        <s v="SA980693"/>
        <s v="SA980726"/>
        <s v="SA980757"/>
        <s v="SA980759"/>
        <s v="SA980816"/>
        <s v="SA980817"/>
        <s v="SA980826"/>
        <s v="SA980837"/>
        <s v="SA980839"/>
        <s v="SA980840"/>
        <s v="SA980841"/>
        <s v="SA980890"/>
        <s v="SA980925"/>
        <s v="SA980927"/>
        <s v="SA980952"/>
        <s v="SA980953"/>
        <s v="SA980962"/>
        <s v="SA980963"/>
        <s v="SA980964"/>
        <s v="SA980965"/>
        <s v="SA980966"/>
        <s v="SA980971"/>
        <s v="SA980972"/>
        <s v="SA980995"/>
        <s v="SA980997"/>
        <s v="SA980999"/>
        <s v="SA981000"/>
        <s v="SA981001"/>
        <s v="SA981003"/>
        <s v="SA981024"/>
        <s v="SA981053"/>
        <s v="SA981054"/>
        <s v="SA981056"/>
        <s v="SA981075"/>
        <s v="SA981120"/>
        <s v="SA981181"/>
        <s v="SA981211"/>
        <s v="SA981218"/>
        <s v="SA981220"/>
        <s v="SA981221"/>
        <s v="SA981317"/>
        <s v="SA981335"/>
        <s v="SA981362"/>
        <s v="SA981363"/>
        <s v="SA981422"/>
        <s v="SA981450"/>
        <s v="SA981519"/>
        <s v="SA981528"/>
        <s v="SA981559"/>
        <s v="SA981561"/>
        <s v="SA981597"/>
        <s v="SA981625"/>
        <s v="SA981626"/>
        <s v="SA981627"/>
        <s v="SA981791"/>
        <s v="SA981804"/>
        <s v="SA981807"/>
        <s v="SA981808"/>
        <s v="SA981813"/>
        <s v="SA981817"/>
        <s v="SA981818"/>
        <s v="SA981823"/>
        <s v="SA981827"/>
        <s v="SA981831"/>
        <s v="SA981885"/>
        <s v="SA981887"/>
        <s v="SA981888"/>
        <s v="SA981889"/>
        <s v="SA981890"/>
        <s v="SA981979"/>
        <s v="SA981986"/>
        <s v="SA981987"/>
        <s v="SA981988"/>
        <s v="SA981990"/>
        <s v="SA982018"/>
        <s v="SA982035"/>
        <s v="SA982059"/>
        <s v="SA982146"/>
        <s v="SA982147"/>
        <s v="SA982151"/>
        <s v="SA982152"/>
        <s v="SA982182"/>
        <s v="SA982200"/>
        <s v="SA982332"/>
        <s v="SA982340"/>
        <s v="SA982366"/>
        <s v="SA982368"/>
        <s v="SA982414"/>
        <s v="SA982449"/>
        <s v="SA982547"/>
        <s v="SA982567"/>
        <s v="SA982578"/>
        <s v="SA982601"/>
        <s v="SA982654"/>
        <s v="SA982686"/>
        <s v="SA982691"/>
        <s v="SA982703"/>
        <s v="SA982773"/>
        <s v="SA982824"/>
        <s v="SA982878"/>
        <s v="SA982965"/>
        <s v="SA982970"/>
        <s v="SA983021"/>
        <s v="SA983028"/>
        <s v="SA983069"/>
        <s v="SA983070"/>
        <s v="SA983075"/>
        <s v="SA983076"/>
        <s v="SA983146"/>
        <s v="SA983152"/>
        <s v="SA983153"/>
        <s v="SA983158"/>
        <s v="SA983169"/>
        <s v="SA983171"/>
        <s v="SA983251"/>
        <s v="SA983262"/>
        <s v="SA983269"/>
        <s v="SA983272"/>
        <s v="SA983299"/>
        <s v="SA983367"/>
        <s v="SA983339"/>
        <s v="SA983340"/>
        <s v="SA983368"/>
        <s v="SA983369"/>
        <s v="SA983370"/>
        <s v="SA983401"/>
        <s v="SA983476"/>
        <s v="SA983477"/>
        <s v="SA983588"/>
        <s v="SA983593"/>
        <s v="SA983595"/>
        <s v="SA983638"/>
        <s v="SA983661"/>
        <s v="SA983698"/>
        <s v="SA983761"/>
        <s v="SA983780"/>
        <s v="SA983790"/>
        <s v="SA983809"/>
        <s v="SA983842"/>
        <s v="SA983851"/>
        <s v="SA983853"/>
        <s v="SA983893"/>
        <s v="SA983929"/>
        <s v="SA983940"/>
        <s v="SA983941"/>
        <s v="SA983948"/>
        <s v="SA983983"/>
        <s v="SA983992"/>
        <s v="SA984083"/>
        <s v="SA984105"/>
        <s v="SA984106"/>
        <s v="SA984107"/>
        <s v="SA984129"/>
        <s v="SA984143"/>
        <s v="SA984156"/>
        <s v="SA984157"/>
        <s v="SA984158"/>
        <s v="SA984262"/>
        <s v="SA984321"/>
        <s v="SA984323"/>
        <s v="SA984349"/>
        <s v="SA984370"/>
        <s v="SA984415"/>
        <s v="SA984462"/>
        <s v="SA984464"/>
        <s v="SA984505"/>
        <s v="SA984573"/>
        <s v="SA984676"/>
        <s v="SA984678"/>
        <s v="SA984679"/>
        <s v="SA984713"/>
        <s v="SA984714"/>
        <s v="SA984717"/>
        <s v="SA984738"/>
        <s v="SA984774"/>
        <s v="SA984925"/>
        <s v="SA984971"/>
        <s v="SA985059"/>
        <s v="SA985066"/>
        <s v="SA985085"/>
        <s v="SA985135"/>
        <s v="SA985136"/>
        <s v="SA985139"/>
        <s v="SA985153"/>
        <s v="SA985161"/>
        <s v="SA985162"/>
        <s v="SA985163"/>
        <s v="SA985222"/>
        <s v="SA985228"/>
        <s v="SA985264"/>
        <s v="SA985347"/>
        <s v="SA985368"/>
        <s v="SA985375"/>
        <s v="SA985392"/>
        <s v="SA985422"/>
        <s v="SA985426"/>
        <s v="SA985471"/>
        <s v="SA985481"/>
        <s v="SA985492"/>
        <s v="SA985524"/>
        <s v="SA985585"/>
        <s v="SA985588"/>
        <s v="SA985589"/>
        <s v="SA985598"/>
        <s v="SA985612"/>
        <s v="SA985689"/>
        <s v="SA985690"/>
        <s v="SA985691"/>
        <s v="SA985713"/>
        <s v="SA985714"/>
        <s v="SA985731"/>
        <s v="SA985786"/>
        <s v="SA985887"/>
        <s v="SA985933"/>
        <s v="SA985934"/>
        <s v="SA985945"/>
        <s v="SA985949"/>
        <s v="SA985954"/>
        <s v="SA985959"/>
        <s v="SA986008"/>
        <s v="SA986009"/>
        <s v="SA986010"/>
        <s v="SA986012"/>
        <s v="SA986014"/>
        <s v="SA986023"/>
        <s v="SA986029"/>
        <s v="SA986030"/>
        <s v="SA986062"/>
        <s v="SA986078"/>
        <s v="SA986112"/>
        <s v="SA986113"/>
        <s v="SA986121"/>
        <s v="SA986135"/>
        <s v="SA986138"/>
        <s v="SA986141"/>
        <s v="SA986142"/>
        <s v="SA986143"/>
        <s v="SA986194"/>
        <s v="SA986206"/>
        <s v="SA986235"/>
        <s v="SA986261"/>
        <s v="SA986262"/>
        <s v="SA986266"/>
        <s v="SA986271"/>
        <s v="SA986272"/>
        <s v="SA986298"/>
        <s v="SA986300"/>
        <s v="SA986306"/>
        <s v="SA986307"/>
        <s v="SA986308"/>
        <s v="SA986398"/>
        <s v="SA986399"/>
        <s v="SA986400"/>
        <s v="SA986406"/>
        <s v="SA986407"/>
        <s v="SA986414"/>
        <s v="SA986415"/>
        <s v="SA986485"/>
        <s v="SA986537"/>
        <s v="SA986540"/>
        <s v="SA986547"/>
        <s v="SA986593"/>
        <s v="SA986641"/>
        <s v="SA986643"/>
        <s v="SA986657"/>
        <s v="SA986713"/>
        <s v="SA986801"/>
        <s v="SA986812"/>
        <s v="SA986813"/>
        <s v="SA986830"/>
        <s v="SA986837"/>
        <s v="SA986841"/>
        <s v="SA986843"/>
        <s v="SA986855"/>
        <s v="SA986894"/>
        <s v="SA986905"/>
        <s v="SA986937"/>
        <s v="SA986941"/>
        <s v="SA987138"/>
        <s v="SA987142"/>
        <s v="SA987151"/>
        <s v="SA987155"/>
        <s v="SA987158"/>
        <s v="SA987172"/>
        <s v="SA987174"/>
        <s v="SA987175"/>
        <s v="SA987176"/>
        <s v="SA987177"/>
        <s v="SA987238"/>
        <s v="SA987313"/>
        <s v="SA987360"/>
        <s v="SA987361"/>
        <s v="SA987376"/>
        <s v="SA987408"/>
        <s v="SA987506"/>
        <s v="SA987550"/>
        <s v="SA987552"/>
        <s v="SA987648"/>
        <s v="SA987672"/>
        <s v="SA987687"/>
        <s v="SA987695"/>
        <s v="SA987702"/>
        <s v="SA987709"/>
        <s v="SA987735"/>
        <s v="SA987740"/>
        <s v="SA987751"/>
        <s v="SA987752"/>
        <s v="SA987781"/>
        <s v="SA987787"/>
        <s v="SA987808"/>
        <s v="SA987836"/>
        <s v="SA987847"/>
        <s v="SA987908"/>
        <s v="SA987913"/>
        <s v="SA987927"/>
        <s v="SA987948"/>
        <s v="SA987963"/>
        <s v="SA987964"/>
        <s v="SA987965"/>
        <s v="SA987997"/>
        <s v="SA988065"/>
        <s v="SA988092"/>
        <s v="SA988136"/>
        <s v="SA988188"/>
        <s v="SA988201"/>
        <s v="SA988238"/>
        <s v="SA988249"/>
        <s v="SA988281"/>
        <s v="SA988291"/>
        <s v="SA988327"/>
        <s v="SA986616"/>
        <s v="SA988361"/>
        <s v="SA988375"/>
        <s v="SA988428"/>
        <s v="SA988475"/>
        <s v="SA988491"/>
        <s v="SA988503"/>
        <s v="SA988653"/>
        <s v="SA988675"/>
        <s v="SA988703"/>
        <s v="SA988705"/>
        <s v="SA988719"/>
        <s v="SA988788"/>
        <s v="SA988789"/>
        <s v="SA988790"/>
        <s v="SA988803"/>
        <s v="SA988804"/>
        <s v="SA988806"/>
        <s v="SA988848"/>
        <s v="SA988862"/>
        <s v="SA988882"/>
        <s v="SA988931"/>
        <s v="SA988932"/>
        <s v="SA988937"/>
        <s v="SA988751"/>
        <s v="SA989026"/>
        <s v="SA989027"/>
        <s v="SA989031"/>
        <s v="SA989061"/>
        <s v="SA989062"/>
        <s v="SA989078"/>
        <s v="SA989189"/>
        <s v="SA989216"/>
        <s v="SA989229"/>
        <s v="SA989263"/>
        <s v="SA989281"/>
        <s v="SA989288"/>
        <s v="SA989289"/>
        <s v="SA989290"/>
        <s v="SA989291"/>
        <s v="SA989292"/>
        <s v="SA989293"/>
        <s v="SA989299"/>
        <s v="SA989323"/>
        <s v="SA989338"/>
        <s v="SA989353"/>
        <s v="SA989361"/>
        <s v="SA989362"/>
        <s v="SA989371"/>
        <s v="SA989373"/>
        <s v="SA989375"/>
        <s v="SA989376"/>
        <s v="SA989390"/>
        <s v="SA989429"/>
        <s v="SA989444"/>
        <s v="SA989446"/>
        <s v="SA989448"/>
        <s v="SA989451"/>
        <s v="SA989452"/>
        <s v="SA989453"/>
        <s v="SA989614"/>
      </sharedItems>
    </cacheField>
    <cacheField name="Product Description" numFmtId="0">
      <sharedItems count="695">
        <s v="Sony PlayStation 4 (500GB, Black, Extra Wireless Controllers, PS4 Camera ,GTA V)"/>
        <s v="Creed Aventus for Men - 120 ml - EDP"/>
        <s v="Essence I Love Extreme Crazy Volume Mascara"/>
        <s v="White Super Fresh Compact - Shell"/>
        <s v="Carolina Herrera 212 Sexy for women - 100 ml - EDP"/>
        <s v="Emporio Armani Sportivo AR5905 Watch for Men"/>
        <s v="Calvin Klein Euphoria Liquid Gold for Men - 100 ml -EDP"/>
        <s v="Anker Nylon Braided Lightning Cable 1.8m (Black)"/>
        <s v="Naruto Shippuden Ultimate Ninja Storm 3 Full Bu for Xbox 360"/>
        <s v="Casual Jacket, Golden Rock/Blue Blooded"/>
        <s v="Ray Ban Justin Wayfarer Polarized Men's Sunglasses - RB4165-622/T3-55"/>
        <s v="High Definition Loose Powder - Ivory Beige FP2"/>
        <s v="Insta Liner Eye Liner, Black, 9 ml"/>
        <s v="Bottoms, Grey, Black"/>
        <s v="Watch Dogs for PS3"/>
        <s v="Face Magic Skin Tints Souffle - Marble"/>
        <s v="Ideapad 310 (Intel Core I3, 15.6 inches, 1 TB HDD, Windows 10, Silver)"/>
        <s v="Color Show Matte Lipstick - Lively Violet M401"/>
        <s v="Guerlain Habit Rouge for Men - 100 ml - EDP"/>
        <s v="Vibe C A2020 (16 GB, 4G LTE, Black Dual SIM)"/>
        <s v="Vibe K5 Note (32 GB, 4G LTE, Gold Dual SIM)"/>
        <s v="Samsung 55 inches SUHD Curved Smart LED TV (55KS8500)"/>
        <s v="Simaya Fashion Bracelet (FB 0286, Gold tone)"/>
        <s v="JBL Flip 3 Portable Wireless Speaker - Black"/>
        <s v="TouchMate Magnetic Universal Mobile Car Holder (TM-CH100M, Black)"/>
        <s v="Hoya Kit Lens Filters 77MM UV + PLC + ND8, Filters (Compatible with Cameras &amp; Camcorders Lenses.)"/>
        <s v="The Blushed Nudes Palette"/>
        <s v="Pants, Black"/>
        <s v="Jeans, Ice Blue"/>
        <s v="Beardo Hair Growth Oil"/>
        <s v="L'Oreal Youth Code Youth Boosting Night Cream"/>
        <s v="Mr Button Black T Shirt With Leather Yoke"/>
        <s v="Claude Muscle Vest, Red"/>
        <s v="THREADCURRY Fishernaut Graphic Printed Tee"/>
        <s v="Hand Crafted Genuine Leather Wallet for Men (UN168, Brown)"/>
        <s v="Faux Cils Superstar Mascara"/>
        <s v="Vaadi Herbals Saffron-Sandal Facial Kit"/>
        <s v="Iris Amogha Reed Diffuser with 8 Sticks - French Lavender"/>
        <s v="EQ0591-56A for Women (Analog Watch, Silver)"/>
        <s v="J.Lo Live JNG2010100 for Women (EDP, 100 ml)"/>
        <s v="Ray Ban Fleck Round 49-21-145 Unisex Sunglasses - RB2447-901-49"/>
        <s v="The Nudes Eyeshadow Palette"/>
        <s v="Instax Mini 8 Instant Camera (Raspberry)"/>
        <s v="AX2221 Digital Watch for Men (Black)"/>
        <s v="Sport Men's Energy Afterburn Lace-Up Sneaker, Black"/>
        <s v="Performance Men's Pureboost ZG Running Shoes, Green"/>
        <s v="Ray Ban RB3025-003 Aviator Light Blue Shaded Unisex Sunglasses - RB3025-003/3F-58"/>
        <s v="Round Sunglasses for Men (GRANDPRIX-T4M90, Brown)"/>
        <s v="Ray Ban RB3025-112 Aviator Grey Blue Mirror Unisex Sunglasses - RB3025-112/17-58"/>
        <s v="Twins HD Stereo Earbuds with Charging box (White)"/>
        <s v="Hand Crafted Genuine Leather Wallet for Men (UN173, Black)"/>
        <s v="Himalaya Herbals Baby Powder - 200 gm"/>
        <s v="Adine Metal Unisex Aviator Sunglasses 3026 SILVER-BLUE"/>
        <s v="Michael Kors Gold Tone Earring MKJ4044710"/>
        <s v="Dress, White"/>
        <s v="Casual Track Pants, Grey"/>
        <s v="Smuptuous Pleated Top, Wine"/>
        <s v="Half Shirt, Ivory/Black"/>
        <s v="Forever Ebony n Ivory Top, Pink"/>
        <s v="Casual Top, Multicolor"/>
        <s v="Makeup Revolution Eyeshadow - Smokin 2"/>
        <s v="Abaya, Navy"/>
        <s v="Abaya, Black"/>
        <s v="Double Breasted Jacket, Navy Blue"/>
        <s v="Laser Cut-Out Top, Navy Blue"/>
        <s v="Sync YA137104 for Men (Analog Watch, Blue)"/>
        <s v="Peplum Scuba Top, Green"/>
        <s v="Eyeshadow - Adore Moi"/>
        <s v="Eyeconic Kajal - Black"/>
        <s v="The Vanca Maxi Dress In Black Color With Printed Body Part Detail - Black"/>
        <s v="Abaya, Mink"/>
        <s v="Simaya Fashion Hand Harness (FH 0110, Rhodium tone)"/>
        <s v="Round Unisex Sunglasses (SAG108, Black)"/>
        <s v="Shirts and Blouses, Black/White"/>
        <s v="Midnight Color Block Top, Ivory/Navy/Mustard"/>
        <s v="Garine Culotte, Grey"/>
        <s v="Dress, Brown"/>
        <s v="T-Shirt with Lace (Pack of 2), White &amp; Grey Melange"/>
        <s v="Clutches for Women (SWB0007TN, Tan)"/>
        <s v="True Match Liquid Foundation - Golden Capuccino"/>
        <s v="Edifice EFR-534SG-1AVDF For Men (Analog-Chronograph Watch White)"/>
        <s v="Cuffed Sleeve Blouse, Navy Blue"/>
        <s v="Long Sleeves Top, Black"/>
        <s v="Pleated Sleve High Neck Blouse, Black"/>
        <s v="Top, White"/>
        <s v="1912 for Women (Analog Watch, White)"/>
        <s v="Digital Grey Dial Watch for Men (G-8900A-7DR)"/>
        <s v="10400 mAh Powerbank (PowerCore, Black)"/>
        <s v="Tie &amp; Dye Crop Top, Green/White"/>
        <s v="Volum Express Hyper Curl Mascara - Waterproof Very Black"/>
        <s v="Stoee Printed Top Light Blue Floral Printed Cotton Top"/>
        <s v="1862 for Women (Analog Watch, Black)"/>
        <s v="Crunchy Fashion Veronika Ring (Red) - CFR0165"/>
        <s v="Ikkat Belted Maxi Dress, Black/White"/>
        <s v="Casual Shorts, Black"/>
        <s v="Casual Track Pants, Navy"/>
        <s v="Swimwear, Navy"/>
        <s v="Baby doll Nighty Set of 3, Multicolor"/>
        <s v="Aviator Unisex Sunglasses (SA2B, Black)"/>
        <s v="Peppy Ruffle Top, Wine"/>
        <s v="Trend18 Black Multi Printed Top"/>
        <s v="Wallet for Men (RGWL000021, Black)"/>
        <s v="Fullsleeve Round Neck Striped Top, Navy/White"/>
        <s v="Aviator Unisex Sunglasses (SA23, Black)"/>
        <s v="Albie Tracksuit, Grey"/>
        <s v="Long sleeve T-shirt, Grey Melange"/>
        <s v="Geo Floral Off Shoulder Layered Dress, Blue"/>
        <s v="Black Olive Color Block Shirt, Black &amp; Green"/>
        <s v="Hand Crafted Fine Texture Genuine Leather Wallet for Men (UN111, Red)"/>
        <s v="Wallet for Men (RGWL000014, Camel Brown)"/>
        <s v="JBW Blue Dial JB997AC53LLQ Diamond Watch For Women"/>
        <s v="Cut Out Shirt, White"/>
        <s v="Abaya, Brown"/>
        <s v="Women's Casual Shirt, Red"/>
        <s v="Women's Casual Top, Multicolor"/>
        <s v="Hand Crafted Genuine Leather Wallet for Men (UN224, Navy)"/>
        <s v="Ribbed Vests Pack of 4, White"/>
        <s v="THREADCURRY Black Graphic Printed Round Neck T Shirt"/>
        <s v="Wallet for Men (RGWL000028, Brown)"/>
        <s v="Evening Dress, Blue"/>
        <s v="THREADCURRY Floor Plan Graphic Printed Tee"/>
        <s v="THREADCURRY Night Light Graphic Printed Tee"/>
        <s v="Absolute Gel Addict Eyeliner - Grey Ash"/>
        <s v="Brazilian Keratin Deffirzzant Shampoo"/>
        <s v="Women's Casual Shirt, Blue &amp; White"/>
        <s v="Hand Crafted Genuine Leather Wallet for Men (UN174, Black)"/>
        <s v="Layered Front Shirt, Mustard"/>
        <s v="Rosaline Cotton Rich Printed Cut n Sew 3-4th Coverage Wirefree Bra- Jade Green"/>
        <s v="Versace Eros for men - 50 ml - EDT"/>
        <s v="Hand Crafted Genuine Leather Wallet for Men (UN157, Navy)"/>
        <s v="Aviator Sunglasses for Unisex (30261GOLDEN-GREEN)"/>
        <s v="Floral Print Blouse, Black/Ivory"/>
        <s v="Slim Case for iPhone 6s (MMM22, Midnight Blue)"/>
        <s v="Floral Maxi Top, Pink"/>
        <s v="Carolina Herrera 212 Summer for women - 60 ml - EDT"/>
        <s v="Casual Sweatshirt, Blue Blooded"/>
        <s v="Casual Sweatshirt, Salsa"/>
        <s v="THREADCURRY White Graphic Printed Round Neck T-Shirt"/>
        <s v="Sunglasses for Men (NYYELL2, Black)"/>
        <s v="R7251574502 for Women (Analog Watch, Black)"/>
        <s v="R7253215507 for Women (Analog Watch, Silver)"/>
        <s v="The Man Company Argan &amp; Geranium Beard Oil"/>
        <s v="K4000 Pro (16 GB, 4G LTE, Black Dual SIM)"/>
        <s v="Hand Crafted Genuine Leather Wallet for Men (UN208, Bombay Brown)"/>
        <s v="Collectable Car Collection (C0859, multicolor)"/>
        <s v="Ray Ban RB3449-003 Aviator Grey Shaded Men's Sunglasses - RB3449-003/8G-59"/>
        <s v="Wallet for Men (RGWL00001, Black)"/>
        <s v="Contrast Piping Shirt, Blue/Nude"/>
        <s v="Crunchy Fashion Clover Crystal Jewel Set (Blue) - CFS0111"/>
        <s v="Basic Car Clipstrip (N2799, white)"/>
        <s v="Basic Cars Assortment Pack (5785, multicolor)"/>
        <s v="Hot Wheels Dc Batman Vs Superman Deco Car Asst (DJL47, Multicolor)"/>
        <s v="Sandisk 16 GB Ultra Dual USB Flash Drive SDDD-016G-G46 - Black"/>
        <s v="iPhone 7 Plus (256 GB, 4G LTE, Black, With Facetime)"/>
        <s v="Baby doll Nighty Set of 2, Multicolor"/>
        <s v="iPhone 6 (64 GB, 4G LTE, Space Gray)"/>
        <s v="Combo of 2 Henley T-shirts, Multi"/>
        <s v="Hand Crafted Genuine Leather Wallet for Men (UN167, Brown)"/>
        <s v="The Vanca Casual Shirt - Marsala"/>
        <s v="Casio Analog Rubber Women's Watch MRW-S300H-1B2DF"/>
        <s v="Casual Trousers, Blue"/>
        <s v="Cotton Schiffly Frill Dress, Pink"/>
        <s v="Mr Button Blue Cotton Shirt With Mustard Flap Detail"/>
        <s v="Shirts and Blouses, Green"/>
        <s v="iPhone 6s Plus with FaceTime (64 GB, 4G LTE, Gold)"/>
        <s v="iPhone 6 (64 GB, 4G LTE, Gold)"/>
        <s v="Organic India Triphala"/>
        <s v="Organic India Ashwagandha"/>
        <s v="Organic India Turmeric Formula"/>
        <s v="Farlin Cot Bedding Set (BF-582, White)"/>
        <s v="Copper Sequin Beaded Collar Top, Black"/>
        <s v="Layered Beaded Neck Top, Black"/>
        <s v="THREADCURRY White Graphic Printed Round Neck T Shirt"/>
        <s v="Printed V-Neck T-Shirt, Black"/>
        <s v="Denim Shirt, Printed Blue"/>
        <s v="Long Sleeves Top, Navy"/>
        <s v="Tie And Dye Kurta Top, Multi"/>
        <s v="SoundBuds Sport In Ear Earphones (A32330J1, Black and Blue)"/>
        <s v="Peplum Scuba Top, Ivory"/>
        <s v="Victorian Ruffle Top, Yellow"/>
        <s v="Animal Print Back Zipper Top, Pink/Black"/>
        <s v="Jeans, Blue"/>
        <s v="Men's T-Shirt Pack of 11, Black/Beige/Grey"/>
        <s v="Designer Hooded Sweatshirt, Multi"/>
        <s v="Analog-Chronograph Black Dial Watch for Men (EFR-539L-1AVUDF)"/>
        <s v="Pastel Color Block Top, Pink/Aqua/Ivory"/>
        <s v="Floral Top, Ivory/Pink"/>
        <s v="Cut Out Shirt, Black"/>
        <s v="Long Sleeves Top, Red"/>
        <s v="Chained Pocket Shirt, Black"/>
        <s v="Top with Laser Cut Flowers, Powder Pink"/>
        <s v="iPhone 6 Plus (64 GB, 4G LTE, Silver)"/>
        <s v="Graco Travel System Stylus Winslet Grey/Blue - 1928315"/>
        <s v="0106DW for Men (Analog Watch, Brown)"/>
        <s v="Mini Story Starter Assortment (CFB50, multicolor)"/>
        <s v="Room Doll Assortment (CFB63, multicolor)"/>
        <s v="Long Jacket with Elasticated Waist, Olive"/>
        <s v="Crunchy Fashion Golden Tear Drop Pendant Set (Gold) - CFS0116"/>
        <s v="Casual Shirt, Multicolor"/>
        <s v="Simaya Fashion Bracelet (FB 0284, Gold tone)"/>
        <s v="Hand Crafted Fine Texture Genuine Leather Wallet for Men (UN113, Maroon)"/>
        <s v="Galaxy S7 (32 GB, 4G LTE, Silver, Dual SIM)"/>
        <s v="Michael Kors MK3179 Watch for Women (Analog, Gold)"/>
        <s v="Floral Applique Blouse, Maroon"/>
        <s v="15000 mAh Powerbank (GPWG503, Black)"/>
        <s v="Pants, Maroon"/>
        <s v="Maxi Dress, Maroon"/>
        <s v="Casio Youth Series (Digital, AW-82D-7AVDF, Men)"/>
        <s v="Wayfarer Sunglasses for Unisex (5001BROWN-BROWN)"/>
        <s v="A Luv Ya Women's Cotton V Neck Paisley Printed Shirt"/>
        <s v="Clear Glow Pressed Powder - 4 Sand Beige"/>
        <s v="Animal Print Pussy Knot Blouse, Multi"/>
        <s v="Men's Printed Round Neck T-Shirt, Black"/>
        <s v="Black with Side Belt Slimfit Casual Shirt"/>
        <s v="Solid Slimfit Casual Shirt, Navy"/>
        <s v="Black Solid Slimfit Casual Shirt, Black"/>
        <s v="Farlin Wet Wipes For Hand &amp; Mouth - DT-009"/>
        <s v="The Vanca Maxi Dress- Peach"/>
        <s v="Angel Schlesser Essential for women - 100 ml - EDP"/>
        <s v="Simaya Fashion earring (FE 0696, Gold tone)"/>
        <s v="Simaya Fashion Bracelet (FB 0128, Gold tone)"/>
        <s v="Simaya Fashion earring (FE 0216, Multi color)"/>
        <s v="Casual Shorts, Navy Blue"/>
        <s v="Polo T-Shirt, Grey"/>
        <s v="Night Dress Set of 3, Multicolor"/>
        <s v="iPhone 6s with FaceTime (64 GB, 4G LTE, Rose Gold)"/>
        <s v="Graco Stadium Du Sport Luxe 6L92SLXE Stroller - 1855707"/>
        <s v="Graco Evo Khaki Stroller - 1882166"/>
        <s v="Printed V-Neck T-Shirt, Grey"/>
        <s v="R8821108002 for Men (Analog Watch, Black)"/>
        <s v="Casual T-Shirt, White"/>
        <s v="Mr Button Grey V Neck T Shirt With Shark Pocket"/>
        <s v="Lace Insert Top, Brown"/>
        <s v="The Vanca Long Dress - Maroon"/>
        <s v="A Luv Ya Women's Poly Crepe Printed Polka dot Camp Shirt"/>
        <s v="Lash Sensational Mascara - Washable Black"/>
        <s v="Casual Shorts, Melange Grey"/>
        <s v="Kajal Pencil"/>
        <s v="Simaya Fashion Necklace (FN 0456, Gold tone)"/>
        <s v="Coldpressed Coconut Pure Natural Carrier Oil"/>
        <s v="Castor Oil"/>
        <s v="A For Anti Aging Soap"/>
        <s v="Long Shirt, brown"/>
        <s v="Star Wars Starship Assortment (CGW52, grey)"/>
        <s v="Essence Lash Princess False Lash Effect Mascara"/>
        <s v="Men's Plain Round Neck T-Shirt, Bottle Green"/>
        <s v="Barbie Long Hair Chelsea Asst (DKB54, Multicolor)"/>
        <s v="Healthvit Fatnile Fat Reduction Tea Garcinia, Green Tea, Ginger For Natural Weight Loss"/>
        <s v="Angel Sleeves Floral Top, Navy Blue"/>
        <s v="A Luv Ya Women's Printed Modal Lace Yoke Top / Tunic"/>
        <s v="Graco Ready2Grow Metropolita2014 6AC99MTPE Stroller (1914034)"/>
        <s v="Farlin Baby Bottle Multicolor - PER-858 (T3)"/>
        <s v="Farlin Safty Cotton Buds White - TOP-113-3"/>
        <s v="Ageless Organic Rosehip Oil"/>
        <s v="Hand Crafted Genuine Leather Wallet for Men (UN150, Black)"/>
        <s v="Hand Crafted Genuine Leather Wallet for Men (UN148, Black)"/>
        <s v="Stretchable Jeans, Blue"/>
        <s v="Farlin Tableware Set - PER-246"/>
        <s v="Tier Dress, Multi"/>
        <s v="Cold Shoulder Scuba Dress, Maroon"/>
        <s v="Multi Print Maxi, Multi"/>
        <s v="Bodycon Cape Dress, Maroon"/>
        <s v="Baby doll Nighty, Multicolor"/>
        <s v="Casio Analog Black Dial Watch for Men (MTP-V001GL-1BUDF)"/>
        <s v="Beardo Beard &amp; Mustache Wax"/>
        <s v="Healthvit Beard Facial Hair Supplement for Thicker and Fuller Beard Hair (60 Tablets)"/>
        <s v="Graco STh Sys Gldr Finland Swing - 1896394"/>
        <s v="Calvin Klein One Shock For Him for men - 200 ml - EDT"/>
        <s v="1873 for Women (Analog Watch, Black)"/>
        <s v="Valentino Valentino Uomo for men - 50 ml - EDT"/>
        <s v="Elizabeth Arden True Love for Women - 100 ml - EDT"/>
        <s v="True Match BB Cream - Honey"/>
        <s v="Himalaya Herbals Fairness Kesar Face Pack - 50gm"/>
        <s v="SporTS Evo XT Storm Stroller Black"/>
        <s v="SoundCore Bluetooth Portable Speakers (A3102011, Black)"/>
        <s v="MTP-V008B-5BUDF for Men (Analog Watch)"/>
        <s v="Max-5U Speakers (Black)"/>
        <s v="Farlin Chu Chu Pacifier 0+ - BAC-004-S"/>
        <s v="Farlin Baby Feeding Bottle Wash (BF-200)"/>
        <s v="iPhone 6s with FaceTime (64 GB, 4G LTE, Gold)"/>
        <s v="Graco Sky Stroller Black Night Stroller - 1879074"/>
        <s v="Edifice EF-129D-7AVUDF for Men (Analog-Chronograph Watch Silver)"/>
        <s v="PU103211031 for Men (Analog Watch, Blue)"/>
        <s v="Frankincense Pure Essential Oil"/>
        <s v="Graco Evo Sand Stroller (Beige)"/>
        <s v="Xperia M5 (16 GB, 4G LTE, Gold Dual SIM)"/>
        <s v="Long Hair Princess Assortment (DKB56, multicolor)"/>
        <s v="Pack of 3 Brand Chic Dolls (T7439, multicolor)"/>
        <s v="Barbie Fairy Asst (DHM50, Multicolor)"/>
        <s v="Graco Sky Purple Shadow Stroller - 1879048"/>
        <s v="iPhone 6 Plus (64 GB, 4G LTE, Gold)"/>
        <s v="Super Liner Gel Intenza 36H - Diamond Black"/>
        <s v="Lip Liner Pencil- Red Brick"/>
        <s v="9 To 5 Lip Liner - Fine Wine"/>
        <s v="Huawei MediaPad T1 8.0 (3G, 8 inches, 8 GB)- Silver"/>
        <s v="Shirt, Multicolour"/>
        <s v="Top, Navy Blue and White"/>
        <s v="A Luv Ya Women's Cotton Printed Polka dot Camp Shirt"/>
        <s v="Aviator Sunglasses for Unisex (10822BROWN-BROWN)"/>
        <s v="Excellence Creme Hair Color - 1 Black"/>
        <s v="Barbie Glam Bicycle and Doll (DJR54, Multicolor)"/>
        <s v="Barbie Chelsea Doll Asst (CMY16, Multicolor)"/>
        <s v="Casio Digital Clock DQ-750F-7DF"/>
        <s v="Anker Nylon Braided Lightning Cable 1.8m (Gold)"/>
        <s v="The Choco Faux Leather Laptop Sleeve (BGLAPMB04, Brandy Brown)"/>
        <s v="So Matte Lipstick - Taupe Thrill 12 M"/>
        <s v="Olive Oil"/>
        <s v="Pastel Nail Enamel - Marshmallow Dream, No. 83"/>
        <s v="A Luv Ya Women's Cotton Check &amp; Floral Shirt"/>
        <s v="L.A. Girl Mark My Eyes Eyeliner"/>
        <s v="Night Dress Set of 2, Multicolor"/>
        <s v="Phottix 7 in 1 Light Multi Collapsible Reflector 107 CM, Lighting &amp; Studio (Compatible with Any Camera)"/>
        <s v="W0864G1 for Men (Analog-Chronograph Watch, Grey)"/>
        <s v="Srota Camel Trousers"/>
        <s v="Printed Round Neck T-Shirt, Orange"/>
        <s v="Diesel Starship Analog Leather Men's Watch DZ1674"/>
        <s v="WMAL-0006 for Men (Analog Watch, Black)"/>
        <s v="Night Dress, Blue"/>
        <s v="Tunic, Black"/>
        <s v="Men's Leather Jacket, Tan"/>
        <s v="Farlin Baby Eva Bib - BF-378-1"/>
        <s v="Farlin Free Powder Puff - BF-170B"/>
        <s v="Farlin Baby Transparent Soap Gold - BF-174"/>
        <s v="Farlin Saffety Scissors With Filer - BF-160A-1"/>
        <s v="Farlin Cap and Screw (CAP-1, Blue)"/>
        <s v="Farlin Baby Diaper Pants XL White - BF-310 XL"/>
        <s v="Farlin Pulpy Food Spoon - BF-237"/>
        <s v="Farlin Cooling Gum Soother Green - BF-14501"/>
        <s v="Farlin Flexible Digital Thermometer - BF-169A"/>
        <s v="Farlin Baby Clothing Detergent 1000ml. - BF-300"/>
        <s v="Farlin Squeeze Toy (Beige) - TOY-46"/>
        <s v="Farlin Non-Spill Magic Cup Spot - AET-CP011-B"/>
        <s v="WW15W for Women (Analog Watch, Silver)"/>
        <s v="Pro Conceal HD - Orange"/>
        <s v="Organza Frill Shirt, Maroon"/>
        <s v="Contrast Trim Shirt, Black &amp; Ivory"/>
        <s v="Pleated Top, Sky Blue"/>
        <s v="The Vanca Casual Top - Multicolor"/>
        <s v="Rosa Stripes Top, Coral"/>
        <s v="Contrast Trim Shirt, Red &amp; Black"/>
        <s v="Stoee Playsuit for Women STPS10815 Multicolor"/>
        <s v="Enrich Satin Lipstick - P163"/>
        <s v="Ellise Party Leggings, Black &amp; Maroon"/>
        <s v="Iggy Striped Leggings, Black"/>
        <s v="Hand Crafted Genuine Leather Wallet for Men (UN172, Black)"/>
        <s v="Aviator Unisex Sunglasses (SOW112, Black)"/>
        <s v="Splendent Peach Colored Formal Top SPF16622 S"/>
        <s v="Crunchy Fashion Dual Heart Pendant Set (Gold) - CFS0101"/>
        <s v="Front Tie Tunic Dress, Green"/>
        <s v="Shirts and Blouses, Maroon"/>
        <s v="Mega Hauler Truck (CKC09, multicolor)"/>
        <s v="9 to 5 Black Impact Eye Liner"/>
        <s v="Tiffany Asymmetrical Top, Cream &amp; Blue"/>
        <s v="Farlin Feeding Bottle 600CC Clear - NF-205(T3)"/>
        <s v="Farlin 3 Stage Baby Oral Hygiene Set - BDT-005-E"/>
        <s v="Simaya Fashion earring (FE 1136, Gold tone)"/>
        <s v="Simaya Fashion earring (FE 0160, Multi color)"/>
        <s v="Simaya Fashion Bracelet (FB 0042, Multi color)"/>
        <s v="Tracy Flare Dress, Blue &amp; Brown"/>
        <s v="Shoulder Cut Shirt, Maroon"/>
        <s v="Dress, Multi Colored"/>
        <s v="Top, Wine"/>
        <s v="Casio Classic (Analog, MRW200H-1BV, Men)"/>
        <s v="Double Layered Top, Pink"/>
        <s v="Shoulder Cut Out Full Sleeve Round Neck Top, Black"/>
        <s v="Baby Lips Color Balm - Cherry Kiss"/>
        <s v="Galaxy Note 5 N9208(32 GB, 4G, Gold Dual SIM)"/>
        <s v="Bebe Nouveau for women - 100 ml - EDP"/>
        <s v="Apple Lightning Digital AV Adapter MD826 (Compatible with Mobile Phones)"/>
        <s v="Beardo Beard Wash - The Blood &amp; Sand"/>
        <s v="Saint Beard Brush Boar Bristle"/>
        <s v="Ustraa Woody Beard Softener"/>
        <s v="Saint Beard &amp; Moustache Wax"/>
        <s v="Casual Capri, Dark Blue"/>
        <s v="Top, Orange"/>
        <s v="Stoee Women's Top STWF15TPP0101 MultiColored"/>
        <s v="SoundBuds Sport In Ear Earphones (A32330M1, Black and Green)"/>
        <s v="Mr Button Black Cotton Solid Shirt"/>
        <s v="Round Unisex Sunglasses (SAG39Us, Silver)"/>
        <s v="Lanvin Eau De Lacoste Sensuelle for women - 100 ml - EDP"/>
        <s v="Lash Sensational Mascara - Waterproof Black"/>
        <s v="EOS 80D DSLR Kit with 18-55 mm Lens (24.2 MP, Black)"/>
        <s v="Xbox One + Battlefield 1 (500 GB, Black)"/>
        <s v="Calvin Klein Encounter for men - 50 ml - EDT"/>
        <s v="Night Dress, Maroon"/>
        <s v="Mr Button Black Cotton Trouser"/>
        <s v="Edifice EF-129D-1AVUDF for Men (Analog-Chronograph Watch Black)"/>
        <s v="Crunchy Fashion Waves of Wonder Pendant Ring Set (White ) - CFS0102"/>
        <s v="Color Show Glitter Mania Nail Lacquer - 601 All that Glitters"/>
        <s v="Color Show Nail Lacquer - Crazy Berry"/>
        <s v="Wireless Portable Speaker (LC-168, Black)"/>
        <s v="iPad Pro (256 GB, 9.7 Inch, Wifi+Cellular-Space Grey)"/>
        <s v="Wireless Portable Speaker (X6, Blue/Black)"/>
        <s v="Graco TS FaSTaction Fold - Dolce Stroller - 1895891"/>
        <s v="Casual Trousers, Browns"/>
        <s v="Victorian Top, Grey"/>
        <s v="A Luv Ya Women's Polyester Crepe Bird Print Top"/>
        <s v="Scarf Detailed Shirt, Wine"/>
        <s v="Embellished Top with Long Sleeves, Peach"/>
        <s v="Casio Quartz Classic Analog Stainless Steel Women's Watch LTP-1191A-2CDF"/>
        <s v="Michael Kors Analog MK3405 Women's Watch"/>
        <s v="Crunchy Fashion Rose Gold Dual Heart Pendant Necklace (Gold) - CFN0400"/>
        <s v="Barbie Spy Squad - Ken Doll (DHF19, Multicolor)"/>
        <s v="Bm DC - 12&quot; Figure Heroes Asst (CDM61 Multicolor)"/>
        <s v="Football Line-Elite 12 Ronaldo (DYK83 Multicolor)"/>
        <s v="Bm 6&quot; Basic Figure Assortment (DJG28 Multicolor)"/>
        <s v="Blue Heaven Xpression Make Up Stick 100% water Proof - Blush 02"/>
        <s v="Mr Button Wine Cotton Sleeveless Jacket With Leather Detail"/>
        <s v="Hand Crafted Fine Texture Genuine Leather Wallet for Men (UN114, Red)"/>
        <s v="Geometric Print Women's Gathered Skirt, Powder blue"/>
        <s v="Farlin Glow In Dark Pacifier Clear - BF-002S"/>
        <s v="Floral Silk Crop Top, Pink"/>
        <s v="Roberto Cavalli Just Cavalli for men - 90 ml - EDt"/>
        <s v="Amouage Interlude for women - 100 ml - EDP"/>
        <s v="Simaya Fashion Cuff (FB 0280, Gold tone)"/>
        <s v="Hand Crafted Genuine Leather Wallet for Men (UN165, Black)"/>
        <s v="Sponge Dab Digital Print Tee, Grey"/>
        <s v="Round Neck Cotton T-Shirt, Black"/>
        <s v="Xperia E5 (16 GB, 4G LTE, Black Dual SIM)"/>
        <s v="Element Portable USB 3.0 WDBU6Y0020BBK (2 TB, Black)"/>
        <s v="Pulse 2 On ear Headphones (White)"/>
        <s v="Polo T-Shirt, White"/>
        <s v="Peplum Jacket, Green"/>
        <s v="Maxi Dress, Blue"/>
        <s v="Farlin Easy Feeder - BF-193A"/>
        <s v="Farlin Wet Wipes For Hand &amp; Mouth - DT-001"/>
        <s v="Kajal Magique Bold"/>
        <s v="BG - Deluxe Bouncer Rainforest Friends (BCG48 Multicolor)"/>
        <s v="Bullet Proof Golden Promo Car (DPN12, Gold)"/>
        <s v="Marvel's Heroes Car Assortment (BDM71, multicolor)"/>
        <s v="3-Pack Assortment (C3713, multicolor)"/>
        <s v="Basic Car Pack of 5 (DJG23, multicolor)"/>
        <s v="Printed Round Neck T-Shirt, Dark Blue"/>
        <s v="Printed Slim Fit Shirt, Maroon"/>
        <s v="Polo Shirt, Black"/>
        <s v="Sweatshirt with Hoodie, Black/Red"/>
        <s v="Dolce &amp; Gabbana Pour Femme for Women - 100 ml - EDP"/>
        <s v="Saint Beard Oil Forest Rustle"/>
        <s v="Crunchy Fashion Swan Pendant Set (Silver) - CFS0154"/>
        <s v="Mr Button Blue Denim Pinteck Trouser With Cuff"/>
        <s v="Mr Button Blue Cotton Bandhgala"/>
        <s v="Edifice EFR-549SG-1AVUDF For Men (Analog-Chronograph Watch Black)"/>
        <s v="Michael Kors Analog Stainless Steel Women's Watch MK3222"/>
        <s v="JBW Black Stainless Black Dial Classic for Men J6287K"/>
        <s v="Simaya Fashion earring (FE 0324, Multi color)"/>
        <s v="Maxi Dress, Black"/>
        <s v="Jerry Trackpant, Green"/>
        <s v="Jerry Trackpant, Blue"/>
        <s v="Riocard Trackpants, Blue"/>
        <s v="Walfred Trackpants, Green"/>
        <s v="Color Show Matte Lipstick - Madly Magenta M402"/>
        <s v="Versace Pour Homme for men - 50 ml - EDT"/>
        <s v="9 to 5 Pure Rouge Blusher - Rose Crush"/>
        <s v="Victory JB-6210-160-C For Women (Analog-Chronograph Watch, Pink)"/>
        <s v="Edifice EF-558D-1AV"/>
        <s v="2437 for Men (Analog-Chronograph Watch, Black)"/>
        <s v="Z7 (16 GB, 3G, Rose Gold Dual SIM)"/>
        <s v="Farlin Anatomical Orthodontic Pacifier (TOP-109, Transparent)"/>
        <s v="Butterfly Sunglasses for Women (SCL82, Brown)"/>
        <s v="Addyvero Women's Floral Print Casual Shirt"/>
        <s v="Envy Women Perfume Blush"/>
        <s v="CWL799 for Women (Analog Watch, Black)"/>
        <s v="1917 for Women (Analog Watch, Black)"/>
        <s v="EM0252-06A for Women (Analog Watch, Beige)"/>
        <s v="Calvin Klein Truth for men - 100 ml - EDT"/>
        <s v="Gala Of London Liquid Line (Eye Liner) - Brown"/>
        <s v="Biotique Kaajal Nourishing &amp; Conditioning Eye Liner With Almond Oil"/>
        <s v="Coloressence Ink Stylo Eyeliner Pen - Black"/>
        <s v="Color Show Matte Lipstick - Pop of Pink M102"/>
        <s v="Srota Women Maroon Handbag"/>
        <s v="Wayfarer Unisex Sunglasses (AD-71203, Black/Purple)"/>
        <s v="Hot Wheels Themed Car Soccer Asst (DJL38, Multicolor)"/>
        <s v="Srota Men Duffel Bag"/>
        <s v="Color Show Big Apple Nail Paint - 204 Juicy Red"/>
        <s v="Casio Digital Resin Women's Watch LDF-52-4ADR"/>
        <s v="2444 for Men (Analog-Chronograph Watch, Green)"/>
        <s v="Wayfarer Sunglasses for Unisex (19230WHITE-BLACK)"/>
        <s v="Simaya Fashion Bracelet (FB 0276, Gold tone)"/>
        <s v="Estee Lauder Pleasures for women - 50 ml - EDP"/>
        <s v="Crashing Big Rigs Set (Y1868, multicolor)"/>
        <s v="Lace Accented Neoprene Bralette, Black"/>
        <s v="Mini Bardot Dress, Red"/>
        <s v="Thomas &amp; Friends - Cargo Car Assortment (BHR85 Multicolor)"/>
        <s v="Perry Leggings, Grey &amp; Green"/>
        <s v="Volkswagen Beetle and Doll Playset (BJP37, pink)"/>
        <s v="5-COL197 Unisex Watch (Analog-Chronograph Watch, Gold)"/>
        <s v="Thomas and Friends Collectible Railway Ecl - Starter Set Assortment (BLN89, Multicolor)"/>
        <s v="Casio Casual Analog Rubber Women's Watch LQ-139EMV-7ALDF"/>
        <s v="LQ-139AMV-1LDF for Women (Analog Watch, Black)"/>
        <s v="Premium Cotton Low Rise Bikini Brief Pack of 2, Yellow Green Stripe"/>
        <s v="Premium Cotton Medium Rise Bikini Brief Pack of 2, White Grey Print"/>
        <s v="Premium Cotton Low Rise Hipster Brief Pack of 2, Pink Chevron"/>
        <s v="Hand Crafted Genuine Leather Wallet for Men (UN220, Navy)"/>
        <s v="Top, Black and White"/>
        <s v="Elbow Patch Shirt, Black"/>
        <s v="MacBook Pro MLH32 ZP/A (Intel Core i7, 15.4 inches, 256 GB SSD, Mac OS, Grey)"/>
        <s v="Penny No Panty Line Laser Cut Animal Print N Solid Thong Briefs (Pack of 2)"/>
        <s v="Lenovo A2010 (8 GB, 4G, White)"/>
        <s v="Castor Carrier Oil - Coldpressed"/>
        <s v="Michael Kors Analog-Chronograph MK5076 Women's Watch"/>
        <s v="The Vanca Top - Offwhite"/>
        <s v="Long Sleeve Top, White"/>
        <s v="Carbide Series 500R Mid-Tower Case (CC9011013-WW, White)"/>
        <s v="Anabelle Crop Top, Blue"/>
        <s v="Laugh and Learn - Smart Stages Grey Tablet (CDG33, Multicolor)"/>
        <s v="Blingy Neck Top, Ivory"/>
        <s v="Dress, Snow White"/>
        <s v="Simaya Fashion Cuff Earring (FE 0604, Gold tone)"/>
        <s v="Michael Kors Analog-Chronograph MK8309 Men's Watch"/>
        <s v="Men's Plain Round Neck T-Shirt, Black"/>
        <s v="The Vanca Blue Shirt In Denim With Emblishment At Collar"/>
        <s v="Enrich Satin Lip Color - R368"/>
        <s v="Pastel Nail Enamel - Lilac Cupcake, No.73"/>
        <s v="Fit Me Blush # Medium Nude 208"/>
        <s v="Satin Smooth Highlighter Blusher SH-3"/>
        <s v="Pastel Nail Enamel - Lychee Delight, No. 82"/>
        <s v="Printed V-Neck T-Shirt, Navy"/>
        <s v="Michael Kors Chronograph Stainless Steel Men's Watch MK8096"/>
        <s v="Anker Braided Micro USB Cable 3ft - Silver"/>
        <s v="Euphoria Palette - Bare"/>
        <s v="Enrich Satin Lipstick - P152"/>
        <s v="Clutches for Women (SWB00019BR, Brown)"/>
        <s v="Graco Ready2Grow Chilli Sport 6AC98CPTE Stroller (1913563)"/>
        <s v="AW-80D-1A2VDF for Men (Analog-Digital Watch)"/>
        <s v="Printed Round Neck T-Shirt, Grey"/>
        <s v="Crew Neck T-Shirt, Black"/>
        <s v="Geo Floral Cold Shoulder Dress, Pink"/>
        <s v="Burberry Brit for women - 50 ml - EDP"/>
        <s v="Fit Me Concealer # 25 Medium"/>
        <s v="Ravishing Ruffle Top, White"/>
        <s v="Diesel Only the Brave for Men - 125 ml - EDT"/>
        <s v="Iview Projector Trolly (Black)"/>
        <s v="Pure Natural Bhringraj Oil"/>
        <s v="Analog-Digital Gold Dial Watch for Women (BGA-160-1BDR)"/>
        <s v="Moschino Cheap &amp; Chic for women - 100 ml - EDT"/>
        <s v="Basic Car Assortment Pack of 3 (K5904, multicolor)"/>
        <s v="Farlin Squeeze Toy (Green) - TOY-1"/>
        <s v="Farlin Squeeze Toy (Orange) - TOY-45"/>
        <s v="Crunchy Fashion Pendant Necklace (Silver) - CFN0466"/>
        <s v="Burberry Body for women - 85 ml - EDP"/>
        <s v="Amanda Top, Navy Blue"/>
        <s v="John Richmond Viva Rock for women - 100 ml - EDT"/>
        <s v="Classic Fit Mist Blue Polo T-Shirt"/>
        <s v="Definitive Edition for XBOX ONE"/>
        <s v="J6336B for Men (Analog-Chronograph Watch, Gold)"/>
        <s v="Fruity Shine Lip Balm - Strawberry"/>
        <s v="Laugh and Learn - Grey Smart Stages Laptop (CHP03, Multicolor)"/>
        <s v="JBW Black Dial JB-6225-J Casual Watch For Men"/>
        <s v="9 To 5 Matte Lip Color - Burgundy Business"/>
        <s v="Crunchy Fashion Pearl Handbag Chain (White) - CFN0160"/>
        <s v="Crunchy Fashion Sparkling Butterfly Necklace (Red &amp; Blue &amp; Green) - CFN0361"/>
        <s v="Analog White Dial Watch for Women (W0826L2)"/>
        <s v="Canon EF 50MM f/1.8 II"/>
        <s v="Aloe Vera Sunscreen Gel - 50ml"/>
        <s v="Inspiron 3168-INS-0996-GRY (Intel Celeron, 11.6 inches, 32 GB HDD, Windows 10, Grey)"/>
        <s v="Multi Color Top with Peplum Effect, Multicolor"/>
        <s v="The Vanca Casual Shirt - Peach"/>
        <s v="The Vanca Casual Top - White"/>
        <s v="Y3 II (8 GB, 4G LTE, White Dual SIM)"/>
        <s v="Calvin Klein Truth for women - 100 ml - EDP"/>
        <s v="L.A Girl Line Art Matte Eyeliner Pen - Espresso"/>
        <s v="The Gud Look Lura Printed Maxi Dress"/>
        <s v="The Vanca Maxi Dress - Peach"/>
        <s v="The Colossal Volum Express Mascara Washable - 2 Washable Black"/>
        <s v="Diesel Analog Stainless Steel Women's Watch DZ5473"/>
        <s v="Farlin Sterilization Tongs Pink - BF-233"/>
        <s v="Guess Sunrise Analog-Chronograph Gold Dial Watch for Women (W0330L2)"/>
        <s v="J7 Prime (32 GB, 4G LTE, Black, Dual SIM)"/>
        <s v="Floral Carnival Nail Enamel - Arabian Night Rose 127"/>
        <s v="Hooded Printed Sweatshirt, Navy"/>
        <s v="Graco PNP Cuddlecove Lx Brompton Cot - 1842962"/>
        <s v="Michael Kors Analog-Chronograph MK5626 Women's Watch"/>
        <s v="AG8357-55A for Men (Analog-Chronograph Watch, Silver)"/>
        <s v="Khloe And Lamar Unbreakable Bond for Unisex - 100 ml - EDT"/>
        <s v="Beyonce Midnight Heat for women - 100 ml - EDP"/>
        <s v="GUCCI Envy Me for women - 50 ml - EDT"/>
        <s v="iPhone 7 Plus (256 GB, 4G LTE, Jet Black, With Facetime)"/>
        <s v="Jaguar Men Evolution for Men - 100 ml - EDT"/>
        <s v="Lalique Nilang for women - 100 ml - EDP"/>
        <s v="J1 Mini Prime J106 HD (8 GB, 3G, White, Dual SIM)"/>
        <s v="Wallet Case for iPhone 7 (042CS20546, Brown)"/>
        <s v="Taft All Weather Shine Gel Wax"/>
        <s v="Top Coat Nail Enamel - Sugar Syrup, No. 105"/>
        <s v="Hot Wheels Playsets/City Theme - Color Shifters Sharkport Show (BGK04, Multicolor)"/>
        <s v="Brilliant Basics Stroll-Along Walker (M9523 Multicolor)"/>
        <s v="Organistick Lipstick - Earthy"/>
        <s v="iPad Air 2 (WiFi 64 GB Space Grey)"/>
        <s v="Edifice EFR-539BK-1AVUDF for Men (Analog-Chronograph Watch Black)"/>
        <s v="Mi Fitness Band 2 with HR and Display (Black)"/>
        <s v="Colorbar Skin Care Hydra White Anti-spot Serum"/>
        <s v="Garnier Sun Control Daily Moisturiser UVA - SPF 15"/>
        <s v="Age 20+ Skin Perfect Facial Foam"/>
        <s v="Joby Gorillapod SLR-Zoom + Ballhead, Tripods &amp; Monopods (Compatible with DSLRs with Zoom Lenses, Camcorders, Mics, Off-Camera Flashes)"/>
        <s v="iPhone 7 Special Edition by SWITCH (32 GB, Gold Highlights, Without Facetime)"/>
        <s v="Coloressence Satin Eye Shades - Earthly Tone"/>
        <s v="13000 mAh Powerbank for All Phones and Tablets (AP007, Silver)"/>
        <s v="Farlin Bottle &amp; Nipple Brushes Set - BF-257"/>
        <s v="Nokia 105 DS RM-1133 (4 MB, 2G, Cyan, Dual SIM)"/>
        <s v="The Gud Look Stretch Legging"/>
        <s v="Casio Edifice EF-328D-1AVUDF for Men (Analog Watch Silver)"/>
        <s v="Casio Quartz Classic Analog Stainless Steel Women's Watch LTP-1314D-5AV"/>
        <s v="BOOM 2 Bluetooth Waterproof Speakers (Bubbly)"/>
        <s v="AE-1000W-1A3VDF for Men (Digital Watch, Black)"/>
        <s v="tissot Tradition T0636373603700"/>
        <s v="Casio MRW-200HC-7BVDF Standard Watch for Men (Analog, White)"/>
        <s v="Watch Series 2 42mm Space Black Stainless Steel Case with Black Sport Band (MP4A2)"/>
        <s v="Samsung Galaxy Tab 3 Lite T116 (3G, 7 inches, 8 GB) - White"/>
        <s v="Karaoke 2nd Generation Mic (Pink)"/>
        <s v="NYX Soft Matte Lip Cream - Copenhagen"/>
        <s v="H.D Volume Mascara"/>
        <s v="Matte Flat Finish Pigment Gloss - Secret"/>
        <s v="Analog-Digital Black Dial Watch for Men (AW-591BB-1ADR)"/>
        <s v="UltraSheer Dry Touch Sunblock SPF 50+"/>
        <s v="Nikon D5500 with 18-55 mm Lens DSLR- Black"/>
        <s v="Fitbit Blaze Smart Fitness Watch"/>
        <s v="Guerlain Idylle for Women - 100 ml - EDP"/>
        <s v="Estee Lauder Pleasures for Women - 100 ml - EDP"/>
        <s v="LQ-142LB-4A2DF for Women (Analog Watch, Pink)"/>
        <s v="Ideapad 80R2001JAX-B+A3300 (Intel Atom, 11.6 inches, 32 GB HDD, Windows 10, Blue)"/>
        <s v="Y5 II (8 GB, 4G LTE, Gold Dual SIM)"/>
        <s v="BF2013-05P for Men (Analog Watch, Browns)"/>
        <s v="MW-240-1BVDF for Men (Analog Watch, Black)"/>
        <s v="Kal Jacobs Blue Cotton and Elastane Classic Polo T Shirt"/>
        <s v="Microsoft Surface Pro 4 (12.3 Inches, Intel Core i5, 128GB, WiFi, Windows 10 Pro, Silver)"/>
        <s v="Analog Blue Watch for Women (W0836L1)"/>
        <s v="Ray Ban RB3447 Round Grey Green Unisex Sunglasses - RB3447-001-50"/>
        <s v="iPhone 7 Plus (32 GB, 4G LTE, Rose Gold, With Facetime)"/>
        <s v="Farlin Floss Toothpick 100 Pcs (BF-116-3, White)"/>
        <s v="Graco Travel System Evo Stroller (Black)"/>
        <s v="Blown Away, Volumizing Leave-In Spray"/>
        <s v="Hooded Chuck Print Sweatshirt, Grey"/>
        <s v="One Night Stand Temporary Hair Colour, Copper"/>
        <s v="Pavilion x360 13-u100nl (Intel Core i3, 13.3 inches, 500 GB HDD, Windows 10, Gold)"/>
        <s v="ThinkPad T540p 20BE00D-AAD (Intel Core i7, 15.0 inches, 1 TB HDD, Windows 10, Black)"/>
        <s v="Elizabeth Arden Green Tea Scent Spray for Women - 100 ml - EDP"/>
        <s v="Analog-Chronograph Rose Gold Dial Watch for Men (MTP-1374L-9AVDF)"/>
        <s v="Edifice EFR-534BKG-1AVDF for Men (Analog-Chronograph Watch Black)"/>
        <s v="Casio Analog Leather Men's Watch MTP-V001L-7BUDF"/>
        <s v="Cat Eye Sunglasses for Women (FN-0136/S-NY151HD)"/>
        <s v="Pour Homme PUH1064 for Men (EDT, 25 ml)"/>
        <s v="Lavender Pure Essential Oil"/>
        <s v="Roberto Cavalli Just Cavalli for men - 50 ml - EDT"/>
        <s v="Karaoke 2nd Generation Mic (Gold)"/>
        <s v="Mat Magique All-In-One Pressed Powder N2 Nude Vanilla"/>
        <s v="Fashion Brow Duo Shaper - Brown"/>
        <s v="Guess Analog Blue Dial Watch for Men (W0247G3)"/>
        <s v="Bvlgari Rose Essentielle for women (EDP, 50 ml)"/>
        <s v="Ted Lapidus Creation for women - 100 ml - EDT"/>
        <s v="Coat, Multicolor"/>
        <s v="Coat, White"/>
        <s v="1054D (4 MB, 2G, GSM, Grey, Dual SIM)"/>
        <s v="Casio Enticer (Analog, MW-59-1EVDF, Men)"/>
        <s v="Hermes Terre D' Hermes for Men - 100 ml - EDT"/>
        <s v="Farlin Feeding Bottle 250CC Clear - NF-767 (H1)"/>
        <s v="Janifer Dress, Pink"/>
        <s v="Itech My Voice 315m"/>
        <s v="Sevenoak Steadycam Pro-Small Size SK-SW03, Tripods &amp; Monopods (Compatible with Digital Cameras)"/>
        <s v="AW-49HE-7AVDF for Men (Analog-Digital Watch, Black)"/>
        <s v="Regular Fit White Pinpoint Oxford Cotton Shirt"/>
        <s v="130 DS RM-1035 (2G, 1.8 inches, Dual Sim) - Black"/>
        <s v="Nikon Nikkor AF-S 50mm f/1.8G, (Compatible with Nikon DSLR Cameras)"/>
        <s v="Guess Analog-Chronograph Leather Men's Watch W0380G4"/>
        <s v="Men's Plain Polo Neck T-Shirt, Maroon"/>
        <s v="Men's Plain Polo Neck T-Shirt, Grey"/>
        <s v="Diesel Analog Leather Men's Watch DZ1657"/>
        <s v="Baby Lips Spiced Up - Berry Sherbet"/>
        <s v="Baby Lips Color Balm - Pink Lolita"/>
        <s v="Royal Bling Esoteric Fushia multi chain Jewel Set (Gold) - RBS0002"/>
        <s v="Royal Bling Milky Charm Precious Jewel Set (Gold) - RAS0016"/>
        <s v="1054D (4 MB, 2G, GSM, White, Dual SIM)"/>
        <s v="ZenFone 2 ZE551ML (64 GB, 4G , Dual SIM)"/>
        <s v="AU1077-83H for Men (Analog Watch, Black)"/>
        <s v="BH1671-04E for Men (Analog Watch, Black)"/>
        <s v="Chanel Coco for women - 100 ml - EDT"/>
        <s v="Casio Analog Pink Dial Watch for Women (LTP-1165A-4CDF)"/>
        <s v="Apple iPhone 6s Plus 64 GB, Space gray"/>
        <s v="Desire 828 (16 GB, 4G LTE, Grey/Rose Gold Dual SIM)"/>
        <s v="Casio Quartz Classic Analog Women's Watch (LTP-1169N-7ARDF)"/>
        <s v="MacBook Air MMGG2 (Intel Core i5,13.3 inches, 256 GB SSD, Mac OS X Yosemite, Silver)"/>
        <s v="Portable Speaker (REX-10, Black)"/>
        <s v="Wallet for Men (RTWBRW 001, Brown)"/>
        <s v="Casio Youth Series AW-80V-3BVDF"/>
        <s v="Blackberry Torch 9810 (8 GB, 3G Wifi, Grey, Arabic Keypad)"/>
        <s v="Blackberry Torch 9810 (8 GB, 3G Wifi, Black, Arabic Keypad)"/>
        <s v="MTP-1374D-1AVDF for Men (Analog Watch, Black)"/>
        <s v="Crunchy Fashion Madly in Love Pendant Necklace (Gold) - CFN0453"/>
        <s v="Ray Ban RB4125-601 Aviator Grey Shaded Unisex Sunglasses - RB4125-601/32-59"/>
        <s v="A6020 (16 GB, 4G LTE, Silver Dual SIM)"/>
        <s v="Voluminous Butterfly Waterproof Mascara"/>
        <s v="Nail Enamel - Matt Top Coat"/>
        <s v="Listen &amp; Talk In-Ear Earphones (LT-487, White/Black)"/>
        <s v="Glance Speakers (G-5, Black)"/>
        <s v="Viva New York Briefcase Soft Bag (Size: 39X9X29.5cm, Colour: Black) - NY-1001"/>
        <s v="Farlin Fish Shaped Nail Cutter - BF-160D"/>
        <s v="His &amp; Her Watch Set MTP V004G -9B + LTP V004G -9B (Analog Watch, Gold)"/>
      </sharedItems>
    </cacheField>
    <cacheField name="Qty" numFmtId="0">
      <sharedItems containsSemiMixedTypes="0" containsString="0" containsNumber="1" containsInteger="1" minValue="1" maxValue="1"/>
    </cacheField>
    <cacheField name="Selling Price" numFmtId="0">
      <sharedItems containsSemiMixedTypes="0" containsString="0" containsNumber="1" minValue="3" maxValue="8575"/>
    </cacheField>
    <cacheField name="PO no." numFmtId="0">
      <sharedItems count="188">
        <s v="UPO011863"/>
        <s v="UPO011870"/>
        <s v="UPO011861"/>
        <s v="UPO011857"/>
        <s v="UPO011856"/>
        <s v="UPO011854"/>
        <s v="UPO011868"/>
        <s v="UPO011833"/>
        <s v="UPO011840"/>
        <s v="UPO011852"/>
        <s v="UPO011865"/>
        <s v="UPO011820"/>
        <s v="UPO011809"/>
        <s v="UPO011866"/>
        <s v="UPO011847"/>
        <s v="UPO011814"/>
        <s v="UPO011836"/>
        <s v="UPO011813"/>
        <s v="UPO011790"/>
        <s v="UPO011757"/>
        <s v="UPO011708"/>
        <s v="UPO011869"/>
        <s v="UPO011691"/>
        <s v="UPO011654"/>
        <s v="UPO011571"/>
        <s v="UPO011126"/>
        <s v="PO040845"/>
        <s v="PO040987"/>
        <s v="PO041457"/>
        <s v="PO042785"/>
        <s v="PO041996"/>
        <s v="PO042370"/>
        <s v="PO042310"/>
        <s v="PO042940"/>
        <s v="PO043078"/>
        <s v="PO043159"/>
        <s v="PO043284"/>
        <s v="PO043127"/>
        <s v="PO043203"/>
        <s v="PO043321"/>
        <s v="PO044734"/>
        <s v="PO043389"/>
        <s v="PO043597"/>
        <s v="PO043441"/>
        <s v="PO043510"/>
        <s v="PO044641"/>
        <s v="PO043767"/>
        <s v="PO043703"/>
        <s v="PO043914"/>
        <s v="PO044029"/>
        <s v="PO044087"/>
        <s v="PO043750"/>
        <s v="PO043792"/>
        <s v="PO043822"/>
        <s v="PO043891"/>
        <s v="PO044009"/>
        <s v="PO044833"/>
        <s v="PO044130"/>
        <s v="PO044183"/>
        <s v="PO044191"/>
        <s v="PO044242"/>
        <s v="PO044322"/>
        <s v="PO044277"/>
        <s v="PO044367"/>
        <s v="PO044254"/>
        <s v="PO044550"/>
        <s v="PO044317"/>
        <s v="PO044264"/>
        <s v="PO044313"/>
        <s v="PO044378"/>
        <s v="PO044388"/>
        <s v="PO045013"/>
        <s v="PO044363"/>
        <s v="PO045011"/>
        <s v="PO045015"/>
        <s v="PO044697"/>
        <s v="PO044557"/>
        <s v="PO044987"/>
        <s v="PO045014"/>
        <s v="PO044482"/>
        <s v="PO044484"/>
        <s v="PO044477"/>
        <s v="PO044429"/>
        <s v="PO044364"/>
        <s v="PO044959"/>
        <s v="PO044500"/>
        <s v="PO044383"/>
        <s v="PO045012"/>
        <s v="PO044852"/>
        <s v="PO044394"/>
        <s v="PO044858"/>
        <s v="PO044481"/>
        <s v="PO044830"/>
        <s v="PO045029"/>
        <s v="PO044892"/>
        <s v="PO044951"/>
        <s v="PO044634"/>
        <s v="PO044559"/>
        <s v="PO044564"/>
        <s v="PO044617"/>
        <s v="PO044870"/>
        <s v="PO044562"/>
        <s v="PO044635"/>
        <s v="PO044442"/>
        <s v="PO045009"/>
        <s v="PO044777"/>
        <s v="PO045006"/>
        <s v="PO044573"/>
        <s v="PO044681"/>
        <s v="PO044855"/>
        <s v="PO044727"/>
        <s v="PO044978"/>
        <s v="PO045021"/>
        <s v="PO044662"/>
        <s v="PO044775"/>
        <s v="PO044680"/>
        <s v="PO044725"/>
        <s v="PO044969"/>
        <s v="PO044580"/>
        <s v="PO044764"/>
        <s v="PO044738"/>
        <s v="PO044602"/>
        <s v="PO044922"/>
        <s v="PO044694"/>
        <s v="PO044587"/>
        <s v="PO045018"/>
        <s v="PO044875"/>
        <s v="PO044683"/>
        <s v="PO044660"/>
        <s v="PO044785"/>
        <s v="PO044769"/>
        <s v="PO044942"/>
        <s v="PO044696"/>
        <s v="PO044821"/>
        <s v="PO044848"/>
        <s v="PO044998"/>
        <s v="PO044914"/>
        <s v="PO044706"/>
        <s v="PO044883"/>
        <s v="PO044918"/>
        <s v="PO044960"/>
        <s v="PO044838"/>
        <s v="PO044836"/>
        <s v="PO044809"/>
        <s v="PO044802"/>
        <s v="PO044901"/>
        <s v="PO044790"/>
        <s v="PO044885"/>
        <s v="PO044890"/>
        <s v="PO044814"/>
        <s v="PO044887"/>
        <s v="PO044961"/>
        <s v="PO044861"/>
        <s v="PO044810"/>
        <s v="PO044920"/>
        <s v="PO044789"/>
        <s v="PO044948"/>
        <s v="PO044929"/>
        <s v="PO044869"/>
        <s v="PO044888"/>
        <s v="PO045024"/>
        <s v="PO044924"/>
        <s v="PO044957"/>
        <s v="PO044991"/>
        <s v="PO044862"/>
        <s v="PO045001"/>
        <s v="PO044934"/>
        <s v="PO044919"/>
        <s v="PO044965"/>
        <s v="PO045031"/>
        <s v="PO044975"/>
        <s v="PO044952"/>
        <s v="PO044954"/>
        <s v="PO044938"/>
        <s v="PO044953"/>
        <s v="PO044940"/>
        <s v="PO045028"/>
        <s v="PO044973"/>
        <s v="PO044899"/>
        <s v="PO045000"/>
        <s v="PO044980"/>
        <s v="PO044968"/>
        <s v="PO045004"/>
        <s v="PO045022"/>
        <s v="PO044995"/>
        <s v="PO045030"/>
        <s v="PO045025"/>
        <s v="PO044985"/>
      </sharedItems>
    </cacheField>
    <cacheField name="PO Date" numFmtId="15">
      <sharedItems containsSemiMixedTypes="0" containsNonDate="0" containsDate="1" containsString="0" minDate="2017-02-12T07:03:35" maxDate="2017-03-23T17:27:11"/>
    </cacheField>
    <cacheField name="Transfer Price" numFmtId="0">
      <sharedItems containsSemiMixedTypes="0" containsString="0" containsNumber="1" containsInteger="1" minValue="4" maxValue="7650"/>
    </cacheField>
    <cacheField name="Seller Name" numFmtId="0">
      <sharedItems count="48">
        <s v="SEB Electronics"/>
        <s v="BAIT AL ARAB LLC"/>
        <s v="Al Kunuz General Trading LLC"/>
        <s v="Kanary Commercial Brokers"/>
        <s v="Jaseena Trading Co LLC"/>
        <s v="OSKAR PHONES LLC"/>
        <s v="Al Arqam General Trading LLC"/>
        <s v="AL JABAR OPTICAL CENTER"/>
        <s v="REDINGTON MIDDLE EAST LLC"/>
        <s v="Axiom telecom"/>
        <s v="Sheeba General trading LL"/>
        <s v="TRIZONE ELECTRONICS TRADING LLC"/>
        <s v="LDHS General Trading"/>
        <s v="King of Computers LLC"/>
        <s v="MK TRADING FZE"/>
        <s v="MUSEUM ZONE GENERAL TRADING LLC"/>
        <s v="Universal Holdings, LLC"/>
        <s v="LDHS General Trading (mobiles)"/>
        <s v="Optoline LLC"/>
        <s v="MARGOUN GENERAL TRADING LLC"/>
        <s v="Jubilee store LLC"/>
        <s v="MID ASIA TRADING (LLC)"/>
        <s v="Comcom Communications LLC"/>
        <s v="Al Shula General Trading Co . L.L.C"/>
        <s v="Compunics Technologies LLC"/>
        <s v="4G COM GENERAL TRADING LLC"/>
        <s v="Baby Kish General Trading LCC"/>
        <s v="Sleek International General Trading LLC"/>
        <s v="Derta Trading FZCO"/>
        <s v="Al Wifaq Genral Trading LLC"/>
        <s v="Muhammad Talha General Trading LLC"/>
        <s v="FLICKON TECHNOLOGIES LLC"/>
        <s v="UNICOM INT GEN TRADING LLC"/>
        <s v="Al Wakil Trading LLC"/>
        <s v="Goodhope General Trading"/>
        <s v="SAFE ELECTRONICS FZ LLC"/>
        <s v="ULYSSE INTERNATIONAL TRADING"/>
        <s v="Global Tech General Trading LLC"/>
        <s v="Ninja Computers LLC"/>
        <s v="AL ERSHAD COMPUTER TRADING LLC"/>
        <s v="Al Barsha Vision Electronics LLC"/>
        <s v="Vestis International FZC"/>
        <s v="Dubai Trade Link LLC"/>
        <s v="Gulf Sources FZCO"/>
        <s v="A&amp;A INTERNATIONAL TRDADING LLC"/>
        <s v="Italy Motors DWC-LLC"/>
        <s v="ROSELINE TRADING COMPANY LLC"/>
        <s v="RTEE GENERAL TRADING L.L.C"/>
      </sharedItems>
    </cacheField>
    <cacheField name="Seller code" numFmtId="0">
      <sharedItems/>
    </cacheField>
    <cacheField name="Payment_Ter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arpreet Singh" refreshedDate="42819.562396990739" createdVersion="3" refreshedVersion="6" minRefreshableVersion="3" recordCount="1122" xr:uid="{00000000-000A-0000-FFFF-FFFF02000000}">
  <cacheSource type="worksheet">
    <worksheetSource ref="A1:O1123" sheet="Data"/>
  </cacheSource>
  <cacheFields count="15">
    <cacheField name="Item ID" numFmtId="0">
      <sharedItems/>
    </cacheField>
    <cacheField name="Order date &amp; time" numFmtId="22">
      <sharedItems containsSemiMixedTypes="0" containsNonDate="0" containsDate="1" containsString="0" minDate="2017-02-08T21:22:58" maxDate="2017-03-23T11:22:24"/>
    </cacheField>
    <cacheField name="Order no." numFmtId="0">
      <sharedItems/>
    </cacheField>
    <cacheField name="SKU code" numFmtId="0">
      <sharedItems/>
    </cacheField>
    <cacheField name="Seller SKU code" numFmtId="0">
      <sharedItems/>
    </cacheField>
    <cacheField name="Item ID2" numFmtId="0">
      <sharedItems/>
    </cacheField>
    <cacheField name="Product Description" numFmtId="0">
      <sharedItems/>
    </cacheField>
    <cacheField name="Qty" numFmtId="0">
      <sharedItems containsSemiMixedTypes="0" containsString="0" containsNumber="1" containsInteger="1" minValue="1" maxValue="1"/>
    </cacheField>
    <cacheField name="Selling Price" numFmtId="0">
      <sharedItems containsSemiMixedTypes="0" containsString="0" containsNumber="1" minValue="3" maxValue="8575"/>
    </cacheField>
    <cacheField name="PO no." numFmtId="0">
      <sharedItems count="188">
        <s v="UPO011863"/>
        <s v="UPO011870"/>
        <s v="UPO011861"/>
        <s v="UPO011857"/>
        <s v="UPO011856"/>
        <s v="UPO011854"/>
        <s v="UPO011868"/>
        <s v="UPO011833"/>
        <s v="UPO011840"/>
        <s v="UPO011852"/>
        <s v="UPO011865"/>
        <s v="UPO011820"/>
        <s v="UPO011809"/>
        <s v="UPO011866"/>
        <s v="UPO011847"/>
        <s v="UPO011814"/>
        <s v="UPO011836"/>
        <s v="UPO011813"/>
        <s v="UPO011790"/>
        <s v="UPO011757"/>
        <s v="UPO011708"/>
        <s v="UPO011869"/>
        <s v="UPO011691"/>
        <s v="UPO011654"/>
        <s v="UPO011571"/>
        <s v="UPO011126"/>
        <s v="PO040845"/>
        <s v="PO040987"/>
        <s v="PO041457"/>
        <s v="PO042785"/>
        <s v="PO041996"/>
        <s v="PO042370"/>
        <s v="PO042310"/>
        <s v="PO042940"/>
        <s v="PO043078"/>
        <s v="PO043159"/>
        <s v="PO043284"/>
        <s v="PO043127"/>
        <s v="PO043203"/>
        <s v="PO043321"/>
        <s v="PO044734"/>
        <s v="PO043389"/>
        <s v="PO043597"/>
        <s v="PO043441"/>
        <s v="PO043510"/>
        <s v="PO044641"/>
        <s v="PO043767"/>
        <s v="PO043703"/>
        <s v="PO043914"/>
        <s v="PO044029"/>
        <s v="PO044087"/>
        <s v="PO043750"/>
        <s v="PO043792"/>
        <s v="PO043822"/>
        <s v="PO043891"/>
        <s v="PO044009"/>
        <s v="PO044833"/>
        <s v="PO044130"/>
        <s v="PO044183"/>
        <s v="PO044191"/>
        <s v="PO044242"/>
        <s v="PO044322"/>
        <s v="PO044277"/>
        <s v="PO044367"/>
        <s v="PO044254"/>
        <s v="PO044550"/>
        <s v="PO044317"/>
        <s v="PO044264"/>
        <s v="PO044313"/>
        <s v="PO044378"/>
        <s v="PO044388"/>
        <s v="PO045013"/>
        <s v="PO044363"/>
        <s v="PO045011"/>
        <s v="PO045015"/>
        <s v="PO044697"/>
        <s v="PO044557"/>
        <s v="PO044987"/>
        <s v="PO045014"/>
        <s v="PO044482"/>
        <s v="PO044484"/>
        <s v="PO044477"/>
        <s v="PO044429"/>
        <s v="PO044364"/>
        <s v="PO044959"/>
        <s v="PO044500"/>
        <s v="PO044383"/>
        <s v="PO045012"/>
        <s v="PO044852"/>
        <s v="PO044394"/>
        <s v="PO044858"/>
        <s v="PO044481"/>
        <s v="PO044830"/>
        <s v="PO045029"/>
        <s v="PO044892"/>
        <s v="PO044951"/>
        <s v="PO044634"/>
        <s v="PO044559"/>
        <s v="PO044564"/>
        <s v="PO044617"/>
        <s v="PO044870"/>
        <s v="PO044562"/>
        <s v="PO044635"/>
        <s v="PO044442"/>
        <s v="PO045009"/>
        <s v="PO044777"/>
        <s v="PO045006"/>
        <s v="PO044573"/>
        <s v="PO044681"/>
        <s v="PO044855"/>
        <s v="PO044727"/>
        <s v="PO044978"/>
        <s v="PO045021"/>
        <s v="PO044662"/>
        <s v="PO044775"/>
        <s v="PO044680"/>
        <s v="PO044725"/>
        <s v="PO044969"/>
        <s v="PO044580"/>
        <s v="PO044764"/>
        <s v="PO044738"/>
        <s v="PO044602"/>
        <s v="PO044922"/>
        <s v="PO044694"/>
        <s v="PO044587"/>
        <s v="PO045018"/>
        <s v="PO044875"/>
        <s v="PO044683"/>
        <s v="PO044660"/>
        <s v="PO044785"/>
        <s v="PO044769"/>
        <s v="PO044942"/>
        <s v="PO044696"/>
        <s v="PO044821"/>
        <s v="PO044848"/>
        <s v="PO044998"/>
        <s v="PO044914"/>
        <s v="PO044706"/>
        <s v="PO044883"/>
        <s v="PO044918"/>
        <s v="PO044960"/>
        <s v="PO044838"/>
        <s v="PO044836"/>
        <s v="PO044809"/>
        <s v="PO044802"/>
        <s v="PO044901"/>
        <s v="PO044790"/>
        <s v="PO044885"/>
        <s v="PO044890"/>
        <s v="PO044814"/>
        <s v="PO044887"/>
        <s v="PO044961"/>
        <s v="PO044861"/>
        <s v="PO044810"/>
        <s v="PO044920"/>
        <s v="PO044789"/>
        <s v="PO044948"/>
        <s v="PO044929"/>
        <s v="PO044869"/>
        <s v="PO044888"/>
        <s v="PO045024"/>
        <s v="PO044924"/>
        <s v="PO044957"/>
        <s v="PO044991"/>
        <s v="PO044862"/>
        <s v="PO045001"/>
        <s v="PO044934"/>
        <s v="PO044919"/>
        <s v="PO044965"/>
        <s v="PO045031"/>
        <s v="PO044975"/>
        <s v="PO044952"/>
        <s v="PO044954"/>
        <s v="PO044938"/>
        <s v="PO044953"/>
        <s v="PO044940"/>
        <s v="PO045028"/>
        <s v="PO044973"/>
        <s v="PO044899"/>
        <s v="PO045000"/>
        <s v="PO044980"/>
        <s v="PO044968"/>
        <s v="PO045004"/>
        <s v="PO045022"/>
        <s v="PO044995"/>
        <s v="PO045030"/>
        <s v="PO045025"/>
        <s v="PO044985"/>
      </sharedItems>
    </cacheField>
    <cacheField name="PO Date" numFmtId="15">
      <sharedItems containsSemiMixedTypes="0" containsNonDate="0" containsDate="1" containsString="0" minDate="2017-02-12T07:03:35" maxDate="2017-03-23T17:27:11"/>
    </cacheField>
    <cacheField name="Transfer Price" numFmtId="0">
      <sharedItems containsSemiMixedTypes="0" containsString="0" containsNumber="1" containsInteger="1" minValue="4" maxValue="7650"/>
    </cacheField>
    <cacheField name="Seller Name" numFmtId="0">
      <sharedItems count="48">
        <s v="SEB Electronics"/>
        <s v="BAIT AL ARAB LLC"/>
        <s v="Al Kunuz General Trading LLC"/>
        <s v="Kanary Commercial Brokers"/>
        <s v="Jaseena Trading Co LLC"/>
        <s v="OSKAR PHONES LLC"/>
        <s v="Al Arqam General Trading LLC"/>
        <s v="AL JABAR OPTICAL CENTER"/>
        <s v="REDINGTON MIDDLE EAST LLC"/>
        <s v="Axiom telecom"/>
        <s v="Sheeba General trading LL"/>
        <s v="TRIZONE ELECTRONICS TRADING LLC"/>
        <s v="LDHS General Trading"/>
        <s v="King of Computers LLC"/>
        <s v="MK TRADING FZE"/>
        <s v="MUSEUM ZONE GENERAL TRADING LLC"/>
        <s v="Universal Holdings, LLC"/>
        <s v="LDHS General Trading (mobiles)"/>
        <s v="Optoline LLC"/>
        <s v="MARGOUN GENERAL TRADING LLC"/>
        <s v="Jubilee store LLC"/>
        <s v="MID ASIA TRADING (LLC)"/>
        <s v="Comcom Communications LLC"/>
        <s v="Al Shula General Trading Co . L.L.C"/>
        <s v="Compunics Technologies LLC"/>
        <s v="4G COM GENERAL TRADING LLC"/>
        <s v="Baby Kish General Trading LCC"/>
        <s v="Sleek International General Trading LLC"/>
        <s v="Derta Trading FZCO"/>
        <s v="Al Wifaq Genral Trading LLC"/>
        <s v="Muhammad Talha General Trading LLC"/>
        <s v="FLICKON TECHNOLOGIES LLC"/>
        <s v="UNICOM INT GEN TRADING LLC"/>
        <s v="Al Wakil Trading LLC"/>
        <s v="Goodhope General Trading"/>
        <s v="SAFE ELECTRONICS FZ LLC"/>
        <s v="ULYSSE INTERNATIONAL TRADING"/>
        <s v="Global Tech General Trading LLC"/>
        <s v="Ninja Computers LLC"/>
        <s v="AL ERSHAD COMPUTER TRADING LLC"/>
        <s v="Al Barsha Vision Electronics LLC"/>
        <s v="Vestis International FZC"/>
        <s v="Dubai Trade Link LLC"/>
        <s v="Gulf Sources FZCO"/>
        <s v="A&amp;A INTERNATIONAL TRDADING LLC"/>
        <s v="Italy Motors DWC-LLC"/>
        <s v="ROSELINE TRADING COMPANY LLC"/>
        <s v="RTEE GENERAL TRADING L.L.C"/>
      </sharedItems>
    </cacheField>
    <cacheField name="Seller code" numFmtId="0">
      <sharedItems/>
    </cacheField>
    <cacheField name="Payment_Terms" numFmtId="0">
      <sharedItems containsBlank="1" count="3">
        <s v="Credit"/>
        <s v="Cas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7" cacheId="2" applyNumberFormats="0" applyBorderFormats="0" applyFontFormats="0" applyPatternFormats="0" applyAlignmentFormats="0" applyWidthHeightFormats="1" dataCaption="Values" updatedVersion="6" minRefreshableVersion="3" showDataTips="0" useAutoFormatting="1" itemPrintTitles="1" createdVersion="4" indent="0" compact="0" compactData="0" multipleFieldFilters="0" chartFormat="168">
  <location ref="A3:C13" firstHeaderRow="1" firstDataRow="1" firstDataCol="2" rowPageCount="1" colPageCount="1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88"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70"/>
        <item x="33"/>
        <item x="43"/>
        <item x="34"/>
        <item x="35"/>
        <item x="36"/>
        <item x="37"/>
        <item x="38"/>
        <item x="39"/>
        <item x="41"/>
        <item x="42"/>
        <item x="44"/>
        <item x="48"/>
        <item x="45"/>
        <item x="46"/>
        <item x="53"/>
        <item x="47"/>
        <item x="49"/>
        <item x="50"/>
        <item x="51"/>
        <item x="52"/>
        <item x="54"/>
        <item x="55"/>
        <item x="60"/>
        <item x="57"/>
        <item x="58"/>
        <item x="67"/>
        <item x="59"/>
        <item x="61"/>
        <item x="62"/>
        <item x="68"/>
        <item x="63"/>
        <item x="64"/>
        <item x="65"/>
        <item x="66"/>
        <item x="80"/>
        <item x="82"/>
        <item x="69"/>
        <item x="72"/>
        <item x="83"/>
        <item x="89"/>
        <item x="76"/>
        <item x="86"/>
        <item x="79"/>
        <item x="81"/>
        <item x="85"/>
        <item x="103"/>
        <item x="91"/>
        <item x="99"/>
        <item x="97"/>
        <item x="96"/>
        <item x="98"/>
        <item x="124"/>
        <item x="101"/>
        <item x="102"/>
        <item x="107"/>
        <item x="113"/>
        <item x="118"/>
        <item x="121"/>
        <item x="1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40"/>
        <item x="56"/>
        <item x="71"/>
        <item x="73"/>
        <item x="74"/>
        <item x="75"/>
        <item x="77"/>
        <item x="78"/>
        <item x="84"/>
        <item x="87"/>
        <item x="88"/>
        <item x="90"/>
        <item x="92"/>
        <item x="93"/>
        <item x="94"/>
        <item x="95"/>
        <item x="100"/>
        <item x="104"/>
        <item x="105"/>
        <item x="106"/>
        <item x="108"/>
        <item x="109"/>
        <item x="110"/>
        <item x="111"/>
        <item x="112"/>
        <item x="114"/>
        <item x="115"/>
        <item x="116"/>
        <item x="117"/>
        <item x="119"/>
        <item x="120"/>
        <item x="122"/>
        <item x="123"/>
        <item x="125"/>
        <item x="126"/>
        <item x="12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</items>
    </pivotField>
    <pivotField compact="0" outline="0" showAll="0" defaultSubtotal="0"/>
    <pivotField dataField="1" compact="0" outline="0" showAll="0" defaultSubtotal="0"/>
    <pivotField name="Seller Name" axis="axisRow" compact="0" outline="0" showAll="0" defaultSubtotal="0">
      <items count="48">
        <item x="25"/>
        <item x="12"/>
        <item x="22"/>
        <item x="5"/>
        <item x="33"/>
        <item x="4"/>
        <item x="30"/>
        <item x="6"/>
        <item x="14"/>
        <item x="2"/>
        <item x="24"/>
        <item x="7"/>
        <item x="11"/>
        <item x="27"/>
        <item x="3"/>
        <item x="10"/>
        <item x="45"/>
        <item x="20"/>
        <item x="1"/>
        <item x="21"/>
        <item x="37"/>
        <item x="15"/>
        <item x="16"/>
        <item x="17"/>
        <item x="18"/>
        <item x="19"/>
        <item x="28"/>
        <item x="9"/>
        <item x="47"/>
        <item x="39"/>
        <item x="8"/>
        <item x="26"/>
        <item x="13"/>
        <item x="0"/>
        <item x="32"/>
        <item x="23"/>
        <item x="34"/>
        <item x="44"/>
        <item x="41"/>
        <item x="43"/>
        <item x="29"/>
        <item x="31"/>
        <item x="38"/>
        <item x="35"/>
        <item x="36"/>
        <item x="40"/>
        <item x="42"/>
        <item x="46"/>
      </items>
    </pivotField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</pivotFields>
  <rowFields count="2">
    <field x="12"/>
    <field x="9"/>
  </rowFields>
  <rowItems count="10">
    <i>
      <x v="10"/>
      <x v="50"/>
    </i>
    <i r="1">
      <x v="126"/>
    </i>
    <i>
      <x v="29"/>
      <x v="137"/>
    </i>
    <i>
      <x v="30"/>
      <x v="83"/>
    </i>
    <i r="1">
      <x v="109"/>
    </i>
    <i r="1">
      <x v="145"/>
    </i>
    <i>
      <x v="35"/>
      <x v="46"/>
    </i>
    <i r="1">
      <x v="115"/>
    </i>
    <i r="1">
      <x v="131"/>
    </i>
    <i t="grand">
      <x/>
    </i>
  </rowItems>
  <colItems count="1">
    <i/>
  </colItems>
  <pageFields count="1">
    <pageField fld="14" hier="-1"/>
  </pageFields>
  <dataFields count="1">
    <dataField name="Amount" fld="11" baseField="0" baseItem="0"/>
  </dataFields>
  <formats count="19">
    <format dxfId="18">
      <pivotArea type="all" dataOnly="0" outline="0" fieldPosition="0"/>
    </format>
    <format dxfId="17">
      <pivotArea type="all" dataOnly="0" outline="0" fieldPosition="0"/>
    </format>
    <format dxfId="16">
      <pivotArea type="all" dataOnly="0" outline="0" fieldPosition="0"/>
    </format>
    <format dxfId="15">
      <pivotArea type="all" dataOnly="0" outline="0" fieldPosition="0"/>
    </format>
    <format dxfId="14">
      <pivotArea field="12" type="button" dataOnly="0" labelOnly="1" outline="0" axis="axisRow" fieldPosition="0"/>
    </format>
    <format dxfId="13">
      <pivotArea field="9" type="button" dataOnly="0" labelOnly="1" outline="0" axis="axisRow" fieldPosition="1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field="12" type="button" dataOnly="0" labelOnly="1" outline="0" axis="axisRow" fieldPosition="0"/>
    </format>
    <format dxfId="9">
      <pivotArea field="9" type="button" dataOnly="0" labelOnly="1" outline="0" axis="axisRow" fieldPosition="1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field="12" type="button" dataOnly="0" labelOnly="1" outline="0" axis="axisRow" fieldPosition="0"/>
    </format>
    <format dxfId="5">
      <pivotArea field="9" type="button" dataOnly="0" labelOnly="1" outline="0" axis="axisRow" fieldPosition="1"/>
    </format>
    <format dxfId="4">
      <pivotArea dataOnly="0" labelOnly="1" outline="0" axis="axisValues" fieldPosition="0"/>
    </format>
    <format dxfId="3">
      <pivotArea type="all" dataOnly="0" outline="0" fieldPosition="0"/>
    </format>
    <format dxfId="2">
      <pivotArea field="12" type="button" dataOnly="0" labelOnly="1" outline="0" axis="axisRow" fieldPosition="0"/>
    </format>
    <format dxfId="1">
      <pivotArea field="9" type="button" dataOnly="0" labelOnly="1" outline="0" axis="axisRow" fieldPosition="1"/>
    </format>
    <format dxfId="0">
      <pivotArea dataOnly="0" labelOnly="1" outline="0" axis="axisValues" fieldPosition="0"/>
    </format>
  </formats>
  <pivotTableStyleInfo name="PivotStyleLight23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3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B3:D193" firstHeaderRow="2" firstDataRow="2" firstDataCol="2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compact="0" outline="0" showAll="0"/>
    <pivotField axis="axisRow" compact="0" outline="0" showAll="0" defaultSubtotal="0">
      <items count="188"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70"/>
        <item x="33"/>
        <item x="43"/>
        <item x="34"/>
        <item x="35"/>
        <item x="36"/>
        <item x="37"/>
        <item x="38"/>
        <item x="39"/>
        <item x="41"/>
        <item x="42"/>
        <item x="44"/>
        <item x="48"/>
        <item x="45"/>
        <item x="46"/>
        <item x="53"/>
        <item x="47"/>
        <item x="49"/>
        <item x="50"/>
        <item x="51"/>
        <item x="52"/>
        <item x="54"/>
        <item x="55"/>
        <item x="60"/>
        <item x="57"/>
        <item x="58"/>
        <item x="67"/>
        <item x="59"/>
        <item x="61"/>
        <item x="62"/>
        <item x="68"/>
        <item x="63"/>
        <item x="64"/>
        <item x="65"/>
        <item x="66"/>
        <item x="80"/>
        <item x="82"/>
        <item x="69"/>
        <item x="72"/>
        <item x="83"/>
        <item x="89"/>
        <item x="76"/>
        <item x="86"/>
        <item x="79"/>
        <item x="81"/>
        <item x="85"/>
        <item x="103"/>
        <item x="91"/>
        <item x="99"/>
        <item x="97"/>
        <item x="96"/>
        <item x="98"/>
        <item x="124"/>
        <item x="101"/>
        <item x="102"/>
        <item x="107"/>
        <item x="113"/>
        <item x="118"/>
        <item x="121"/>
        <item x="1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40"/>
        <item x="56"/>
        <item x="71"/>
        <item x="73"/>
        <item x="74"/>
        <item x="75"/>
        <item x="77"/>
        <item x="78"/>
        <item x="84"/>
        <item x="87"/>
        <item x="88"/>
        <item x="90"/>
        <item x="92"/>
        <item x="93"/>
        <item x="94"/>
        <item x="95"/>
        <item x="100"/>
        <item x="104"/>
        <item x="105"/>
        <item x="106"/>
        <item x="108"/>
        <item x="109"/>
        <item x="110"/>
        <item x="111"/>
        <item x="112"/>
        <item x="114"/>
        <item x="115"/>
        <item x="116"/>
        <item x="117"/>
        <item x="119"/>
        <item x="120"/>
        <item x="122"/>
        <item x="123"/>
        <item x="125"/>
        <item x="126"/>
        <item x="12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</items>
    </pivotField>
    <pivotField compact="0" outline="0" showAll="0"/>
    <pivotField compact="0" outline="0" showAll="0"/>
    <pivotField axis="axisRow" compact="0" outline="0" showAll="0" defaultSubtotal="0">
      <items count="48">
        <item x="25"/>
        <item x="12"/>
        <item x="22"/>
        <item x="5"/>
        <item x="33"/>
        <item x="4"/>
        <item x="30"/>
        <item x="6"/>
        <item x="14"/>
        <item x="2"/>
        <item x="24"/>
        <item x="7"/>
        <item x="11"/>
        <item x="27"/>
        <item x="3"/>
        <item x="10"/>
        <item x="45"/>
        <item x="20"/>
        <item x="1"/>
        <item x="21"/>
        <item x="37"/>
        <item x="15"/>
        <item x="16"/>
        <item x="17"/>
        <item x="18"/>
        <item x="19"/>
        <item x="28"/>
        <item x="9"/>
        <item x="47"/>
        <item x="39"/>
        <item x="8"/>
        <item x="26"/>
        <item x="13"/>
        <item x="0"/>
        <item x="32"/>
        <item x="23"/>
        <item x="34"/>
        <item x="44"/>
        <item x="41"/>
        <item x="43"/>
        <item x="29"/>
        <item x="31"/>
        <item x="38"/>
        <item x="35"/>
        <item x="36"/>
        <item x="40"/>
        <item x="42"/>
        <item x="46"/>
      </items>
    </pivotField>
    <pivotField compact="0" outline="0" showAll="0"/>
    <pivotField compact="0" outline="0" showAll="0" defaultSubtotal="0"/>
  </pivotFields>
  <rowFields count="2">
    <field x="12"/>
    <field x="9"/>
  </rowFields>
  <rowItems count="189">
    <i>
      <x/>
      <x v="95"/>
    </i>
    <i r="1">
      <x v="102"/>
    </i>
    <i r="1">
      <x v="136"/>
    </i>
    <i r="1">
      <x v="149"/>
    </i>
    <i r="1">
      <x v="175"/>
    </i>
    <i r="1">
      <x v="184"/>
    </i>
    <i>
      <x v="1"/>
      <x v="13"/>
    </i>
    <i r="1">
      <x v="51"/>
    </i>
    <i r="1">
      <x v="53"/>
    </i>
    <i r="1">
      <x v="59"/>
    </i>
    <i r="1">
      <x v="60"/>
    </i>
    <i r="1">
      <x v="65"/>
    </i>
    <i r="1">
      <x v="88"/>
    </i>
    <i r="1">
      <x v="97"/>
    </i>
    <i r="1">
      <x v="117"/>
    </i>
    <i r="1">
      <x v="129"/>
    </i>
    <i r="1">
      <x v="152"/>
    </i>
    <i r="1">
      <x v="163"/>
    </i>
    <i r="1">
      <x v="173"/>
    </i>
    <i>
      <x v="2"/>
      <x v="45"/>
    </i>
    <i r="1">
      <x v="70"/>
    </i>
    <i>
      <x v="3"/>
      <x v="32"/>
    </i>
    <i r="1">
      <x v="39"/>
    </i>
    <i r="1">
      <x v="41"/>
    </i>
    <i r="1">
      <x v="61"/>
    </i>
    <i r="1">
      <x v="79"/>
    </i>
    <i r="1">
      <x v="99"/>
    </i>
    <i r="1">
      <x v="107"/>
    </i>
    <i r="1">
      <x v="112"/>
    </i>
    <i r="1">
      <x v="118"/>
    </i>
    <i r="1">
      <x v="133"/>
    </i>
    <i r="1">
      <x v="134"/>
    </i>
    <i>
      <x v="4"/>
      <x v="72"/>
    </i>
    <i r="1">
      <x v="122"/>
    </i>
    <i r="1">
      <x v="165"/>
    </i>
    <i r="1">
      <x v="172"/>
    </i>
    <i>
      <x v="5"/>
      <x v="55"/>
    </i>
    <i r="1">
      <x v="62"/>
    </i>
    <i r="1">
      <x v="63"/>
    </i>
    <i r="1">
      <x v="78"/>
    </i>
    <i r="1">
      <x v="84"/>
    </i>
    <i r="1">
      <x v="94"/>
    </i>
    <i r="1">
      <x v="108"/>
    </i>
    <i r="1">
      <x v="119"/>
    </i>
    <i r="1">
      <x v="150"/>
    </i>
    <i r="1">
      <x v="176"/>
    </i>
    <i>
      <x v="6"/>
      <x v="66"/>
    </i>
    <i r="1">
      <x v="182"/>
    </i>
    <i>
      <x v="7"/>
      <x v="80"/>
    </i>
    <i r="1">
      <x v="82"/>
    </i>
    <i r="1">
      <x v="143"/>
    </i>
    <i>
      <x v="8"/>
      <x v="68"/>
    </i>
    <i r="1">
      <x v="90"/>
    </i>
    <i r="1">
      <x v="158"/>
    </i>
    <i r="1">
      <x v="178"/>
    </i>
    <i>
      <x v="9"/>
      <x/>
    </i>
    <i r="1">
      <x v="1"/>
    </i>
    <i r="1">
      <x v="4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7"/>
    </i>
    <i r="1">
      <x v="28"/>
    </i>
    <i r="1">
      <x v="29"/>
    </i>
    <i r="1">
      <x v="30"/>
    </i>
    <i r="1">
      <x v="33"/>
    </i>
    <i r="1">
      <x v="34"/>
    </i>
    <i r="1">
      <x v="36"/>
    </i>
    <i r="1">
      <x v="37"/>
    </i>
    <i r="1">
      <x v="38"/>
    </i>
    <i r="1">
      <x v="40"/>
    </i>
    <i r="1">
      <x v="43"/>
    </i>
    <i r="1">
      <x v="44"/>
    </i>
    <i r="1">
      <x v="49"/>
    </i>
    <i r="1">
      <x v="58"/>
    </i>
    <i r="1">
      <x v="64"/>
    </i>
    <i r="1">
      <x v="75"/>
    </i>
    <i r="1">
      <x v="91"/>
    </i>
    <i r="1">
      <x v="98"/>
    </i>
    <i r="1">
      <x v="116"/>
    </i>
    <i>
      <x v="10"/>
      <x v="50"/>
    </i>
    <i r="1">
      <x v="126"/>
    </i>
    <i>
      <x v="11"/>
      <x v="3"/>
    </i>
    <i r="1">
      <x v="47"/>
    </i>
    <i r="1">
      <x v="81"/>
    </i>
    <i r="1">
      <x v="141"/>
    </i>
    <i r="1">
      <x v="174"/>
    </i>
    <i r="1">
      <x v="185"/>
    </i>
    <i>
      <x v="12"/>
      <x v="87"/>
    </i>
    <i>
      <x v="13"/>
      <x v="57"/>
    </i>
    <i r="1">
      <x v="111"/>
    </i>
    <i r="1">
      <x v="153"/>
    </i>
    <i r="1">
      <x v="164"/>
    </i>
    <i r="1">
      <x v="181"/>
    </i>
    <i>
      <x v="14"/>
      <x v="17"/>
    </i>
    <i r="1">
      <x v="35"/>
    </i>
    <i r="1">
      <x v="42"/>
    </i>
    <i r="1">
      <x v="48"/>
    </i>
    <i r="1">
      <x v="77"/>
    </i>
    <i r="1">
      <x v="93"/>
    </i>
    <i r="1">
      <x v="103"/>
    </i>
    <i r="1">
      <x v="162"/>
    </i>
    <i>
      <x v="15"/>
      <x v="86"/>
    </i>
    <i r="1">
      <x v="110"/>
    </i>
    <i r="1">
      <x v="155"/>
    </i>
    <i r="1">
      <x v="179"/>
    </i>
    <i>
      <x v="16"/>
      <x v="168"/>
    </i>
    <i>
      <x v="17"/>
      <x v="26"/>
    </i>
    <i r="1">
      <x v="138"/>
    </i>
    <i r="1">
      <x v="160"/>
    </i>
    <i>
      <x v="18"/>
      <x v="2"/>
    </i>
    <i r="1">
      <x v="74"/>
    </i>
    <i r="1">
      <x v="76"/>
    </i>
    <i r="1">
      <x v="128"/>
    </i>
    <i r="1">
      <x v="151"/>
    </i>
    <i r="1">
      <x v="169"/>
    </i>
    <i>
      <x v="19"/>
      <x v="31"/>
    </i>
    <i r="1">
      <x v="140"/>
    </i>
    <i>
      <x v="20"/>
      <x v="127"/>
    </i>
    <i r="1">
      <x v="157"/>
    </i>
    <i r="1">
      <x v="187"/>
    </i>
    <i>
      <x v="21"/>
      <x v="92"/>
    </i>
    <i r="1">
      <x v="106"/>
    </i>
    <i r="1">
      <x v="113"/>
    </i>
    <i r="1">
      <x v="114"/>
    </i>
    <i r="1">
      <x v="148"/>
    </i>
    <i>
      <x v="22"/>
      <x v="5"/>
    </i>
    <i>
      <x v="23"/>
      <x v="6"/>
    </i>
    <i r="1">
      <x v="7"/>
    </i>
    <i r="1">
      <x v="8"/>
    </i>
    <i>
      <x v="24"/>
      <x v="9"/>
    </i>
    <i r="1">
      <x v="10"/>
    </i>
    <i r="1">
      <x v="11"/>
    </i>
    <i>
      <x v="25"/>
      <x v="12"/>
    </i>
    <i r="1">
      <x v="124"/>
    </i>
    <i>
      <x v="26"/>
      <x v="52"/>
    </i>
    <i r="1">
      <x v="130"/>
    </i>
    <i r="1">
      <x v="132"/>
    </i>
    <i r="1">
      <x v="166"/>
    </i>
    <i>
      <x v="27"/>
      <x v="85"/>
    </i>
    <i r="1">
      <x v="104"/>
    </i>
    <i r="1">
      <x v="146"/>
    </i>
    <i r="1">
      <x v="170"/>
    </i>
    <i>
      <x v="28"/>
      <x v="183"/>
    </i>
    <i>
      <x v="29"/>
      <x v="137"/>
    </i>
    <i>
      <x v="30"/>
      <x v="83"/>
    </i>
    <i r="1">
      <x v="109"/>
    </i>
    <i r="1">
      <x v="145"/>
    </i>
    <i>
      <x v="31"/>
      <x v="54"/>
    </i>
    <i r="1">
      <x v="56"/>
    </i>
    <i r="1">
      <x v="105"/>
    </i>
    <i r="1">
      <x v="147"/>
    </i>
    <i r="1">
      <x v="156"/>
    </i>
    <i r="1">
      <x v="186"/>
    </i>
    <i>
      <x v="32"/>
      <x v="89"/>
    </i>
    <i>
      <x v="33"/>
      <x v="73"/>
    </i>
    <i r="1">
      <x v="96"/>
    </i>
    <i r="1">
      <x v="100"/>
    </i>
    <i r="1">
      <x v="121"/>
    </i>
    <i>
      <x v="34"/>
      <x v="120"/>
    </i>
    <i r="1">
      <x v="144"/>
    </i>
    <i>
      <x v="35"/>
      <x v="46"/>
    </i>
    <i r="1">
      <x v="115"/>
    </i>
    <i r="1">
      <x v="131"/>
    </i>
    <i>
      <x v="36"/>
      <x v="123"/>
    </i>
    <i>
      <x v="37"/>
      <x v="167"/>
    </i>
    <i r="1">
      <x v="180"/>
    </i>
    <i>
      <x v="38"/>
      <x v="142"/>
    </i>
    <i r="1">
      <x v="171"/>
    </i>
    <i>
      <x v="39"/>
      <x v="161"/>
    </i>
    <i>
      <x v="40"/>
      <x v="67"/>
    </i>
    <i r="1">
      <x v="101"/>
    </i>
    <i r="1">
      <x v="159"/>
    </i>
    <i>
      <x v="41"/>
      <x v="69"/>
    </i>
    <i>
      <x v="42"/>
      <x v="135"/>
    </i>
    <i>
      <x v="43"/>
      <x v="71"/>
    </i>
    <i>
      <x v="44"/>
      <x v="125"/>
    </i>
    <i>
      <x v="45"/>
      <x v="139"/>
    </i>
    <i>
      <x v="46"/>
      <x v="154"/>
    </i>
    <i>
      <x v="47"/>
      <x v="177"/>
    </i>
    <i t="grand">
      <x/>
    </i>
  </rowItems>
  <colItems count="1">
    <i/>
  </colItems>
  <dataFields count="1">
    <dataField name="Count of Qty" fld="7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4" cacheId="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gridDropZones="1" multipleFieldFilters="0">
  <location ref="B3:I1127" firstHeaderRow="1" firstDataRow="2" firstDataCol="6"/>
  <pivotFields count="15">
    <pivotField compact="0" outline="0" showAll="0"/>
    <pivotField compact="0" outline="0" showAll="0"/>
    <pivotField compact="0" outline="0" showAll="0"/>
    <pivotField axis="axisRow" compact="0" outline="0" showAll="0" defaultSubtotal="0">
      <items count="750">
        <item x="158"/>
        <item x="159"/>
        <item x="29"/>
        <item x="30"/>
        <item x="31"/>
        <item x="32"/>
        <item x="33"/>
        <item x="34"/>
        <item x="35"/>
        <item x="690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377"/>
        <item x="17"/>
        <item x="50"/>
        <item x="51"/>
        <item x="391"/>
        <item x="52"/>
        <item x="53"/>
        <item x="57"/>
        <item x="451"/>
        <item x="54"/>
        <item x="55"/>
        <item x="56"/>
        <item x="58"/>
        <item x="59"/>
        <item x="60"/>
        <item x="61"/>
        <item x="62"/>
        <item x="147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38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291"/>
        <item x="95"/>
        <item x="96"/>
        <item x="97"/>
        <item x="98"/>
        <item x="99"/>
        <item x="100"/>
        <item x="101"/>
        <item x="102"/>
        <item x="298"/>
        <item x="103"/>
        <item x="104"/>
        <item x="105"/>
        <item x="106"/>
        <item x="107"/>
        <item x="108"/>
        <item x="135"/>
        <item x="109"/>
        <item x="110"/>
        <item x="196"/>
        <item x="407"/>
        <item x="111"/>
        <item x="331"/>
        <item x="112"/>
        <item x="113"/>
        <item x="114"/>
        <item x="136"/>
        <item x="115"/>
        <item x="187"/>
        <item x="116"/>
        <item x="117"/>
        <item x="118"/>
        <item x="461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78"/>
        <item x="169"/>
        <item x="130"/>
        <item x="131"/>
        <item x="278"/>
        <item x="688"/>
        <item x="132"/>
        <item x="133"/>
        <item x="378"/>
        <item x="134"/>
        <item x="182"/>
        <item x="719"/>
        <item x="137"/>
        <item x="138"/>
        <item x="663"/>
        <item x="149"/>
        <item x="139"/>
        <item x="222"/>
        <item x="418"/>
        <item x="140"/>
        <item x="141"/>
        <item x="142"/>
        <item x="143"/>
        <item x="163"/>
        <item x="582"/>
        <item x="144"/>
        <item x="321"/>
        <item x="499"/>
        <item x="145"/>
        <item x="535"/>
        <item x="510"/>
        <item x="148"/>
        <item x="150"/>
        <item x="151"/>
        <item x="152"/>
        <item x="362"/>
        <item x="153"/>
        <item x="154"/>
        <item x="239"/>
        <item x="155"/>
        <item x="469"/>
        <item x="156"/>
        <item x="157"/>
        <item x="160"/>
        <item x="162"/>
        <item x="164"/>
        <item x="165"/>
        <item x="166"/>
        <item x="167"/>
        <item x="168"/>
        <item x="715"/>
        <item x="326"/>
        <item x="457"/>
        <item x="171"/>
        <item x="176"/>
        <item x="177"/>
        <item x="179"/>
        <item x="180"/>
        <item x="181"/>
        <item x="183"/>
        <item x="185"/>
        <item x="186"/>
        <item x="188"/>
        <item x="189"/>
        <item x="190"/>
        <item x="191"/>
        <item x="426"/>
        <item x="689"/>
        <item x="192"/>
        <item x="193"/>
        <item x="194"/>
        <item x="195"/>
        <item x="197"/>
        <item x="198"/>
        <item x="199"/>
        <item x="739"/>
        <item x="630"/>
        <item x="201"/>
        <item x="477"/>
        <item x="202"/>
        <item x="203"/>
        <item x="204"/>
        <item x="205"/>
        <item x="627"/>
        <item x="206"/>
        <item x="207"/>
        <item x="208"/>
        <item x="209"/>
        <item x="210"/>
        <item x="211"/>
        <item x="213"/>
        <item x="214"/>
        <item x="215"/>
        <item x="216"/>
        <item x="217"/>
        <item x="218"/>
        <item x="694"/>
        <item x="450"/>
        <item x="219"/>
        <item x="220"/>
        <item x="221"/>
        <item x="716"/>
        <item x="661"/>
        <item x="223"/>
        <item x="7"/>
        <item x="224"/>
        <item x="225"/>
        <item x="398"/>
        <item x="226"/>
        <item x="227"/>
        <item x="228"/>
        <item x="229"/>
        <item x="230"/>
        <item x="479"/>
        <item x="231"/>
        <item x="232"/>
        <item x="233"/>
        <item x="234"/>
        <item x="235"/>
        <item x="452"/>
        <item x="641"/>
        <item x="236"/>
        <item x="237"/>
        <item x="238"/>
        <item x="240"/>
        <item x="242"/>
        <item x="243"/>
        <item x="244"/>
        <item x="245"/>
        <item x="246"/>
        <item x="247"/>
        <item x="415"/>
        <item x="249"/>
        <item x="250"/>
        <item x="251"/>
        <item x="252"/>
        <item x="492"/>
        <item x="253"/>
        <item x="254"/>
        <item x="255"/>
        <item x="256"/>
        <item x="257"/>
        <item x="258"/>
        <item x="259"/>
        <item x="260"/>
        <item x="620"/>
        <item x="626"/>
        <item x="261"/>
        <item x="262"/>
        <item x="263"/>
        <item x="459"/>
        <item x="264"/>
        <item x="667"/>
        <item x="569"/>
        <item x="265"/>
        <item x="266"/>
        <item x="267"/>
        <item x="268"/>
        <item x="269"/>
        <item x="700"/>
        <item x="270"/>
        <item x="271"/>
        <item x="564"/>
        <item x="273"/>
        <item x="274"/>
        <item x="275"/>
        <item x="276"/>
        <item x="277"/>
        <item x="392"/>
        <item x="279"/>
        <item x="280"/>
        <item x="281"/>
        <item x="282"/>
        <item x="283"/>
        <item x="285"/>
        <item x="184"/>
        <item x="286"/>
        <item x="287"/>
        <item x="692"/>
        <item x="288"/>
        <item x="289"/>
        <item x="290"/>
        <item x="292"/>
        <item x="293"/>
        <item x="294"/>
        <item x="295"/>
        <item x="296"/>
        <item x="297"/>
        <item x="639"/>
        <item x="299"/>
        <item x="381"/>
        <item x="300"/>
        <item x="301"/>
        <item x="303"/>
        <item x="304"/>
        <item x="305"/>
        <item x="306"/>
        <item x="307"/>
        <item x="308"/>
        <item x="309"/>
        <item x="310"/>
        <item x="311"/>
        <item x="680"/>
        <item x="312"/>
        <item x="314"/>
        <item x="315"/>
        <item x="316"/>
        <item x="318"/>
        <item x="319"/>
        <item x="320"/>
        <item x="322"/>
        <item x="323"/>
        <item x="324"/>
        <item x="325"/>
        <item x="327"/>
        <item x="696"/>
        <item x="649"/>
        <item x="328"/>
        <item x="329"/>
        <item x="330"/>
        <item x="332"/>
        <item x="333"/>
        <item x="334"/>
        <item x="335"/>
        <item x="336"/>
        <item x="337"/>
        <item x="340"/>
        <item x="342"/>
        <item x="343"/>
        <item x="346"/>
        <item x="347"/>
        <item x="348"/>
        <item x="349"/>
        <item x="352"/>
        <item x="353"/>
        <item x="354"/>
        <item x="355"/>
        <item x="356"/>
        <item x="357"/>
        <item x="341"/>
        <item x="697"/>
        <item x="19"/>
        <item x="10"/>
        <item x="396"/>
        <item x="745"/>
        <item x="574"/>
        <item x="399"/>
        <item x="733"/>
        <item x="20"/>
        <item x="410"/>
        <item x="425"/>
        <item x="434"/>
        <item x="677"/>
        <item x="449"/>
        <item x="732"/>
        <item x="460"/>
        <item x="482"/>
        <item x="0"/>
        <item x="1"/>
        <item x="2"/>
        <item x="3"/>
        <item x="4"/>
        <item x="5"/>
        <item x="6"/>
        <item x="8"/>
        <item x="9"/>
        <item x="11"/>
        <item x="12"/>
        <item x="13"/>
        <item x="14"/>
        <item x="15"/>
        <item x="16"/>
        <item x="18"/>
        <item x="21"/>
        <item x="22"/>
        <item x="23"/>
        <item x="24"/>
        <item x="25"/>
        <item x="26"/>
        <item x="27"/>
        <item x="28"/>
        <item x="38"/>
        <item x="65"/>
        <item x="146"/>
        <item x="161"/>
        <item x="170"/>
        <item x="172"/>
        <item x="173"/>
        <item x="174"/>
        <item x="175"/>
        <item x="200"/>
        <item x="212"/>
        <item x="241"/>
        <item x="248"/>
        <item x="272"/>
        <item x="284"/>
        <item x="302"/>
        <item x="313"/>
        <item x="317"/>
        <item x="338"/>
        <item x="339"/>
        <item x="344"/>
        <item x="345"/>
        <item x="350"/>
        <item x="351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9"/>
        <item x="380"/>
        <item x="382"/>
        <item x="383"/>
        <item x="384"/>
        <item x="385"/>
        <item x="386"/>
        <item x="387"/>
        <item x="389"/>
        <item x="390"/>
        <item x="393"/>
        <item x="394"/>
        <item x="395"/>
        <item x="397"/>
        <item x="400"/>
        <item x="401"/>
        <item x="402"/>
        <item x="403"/>
        <item x="404"/>
        <item x="405"/>
        <item x="406"/>
        <item x="408"/>
        <item x="409"/>
        <item x="411"/>
        <item x="412"/>
        <item x="413"/>
        <item x="414"/>
        <item x="416"/>
        <item x="417"/>
        <item x="419"/>
        <item x="420"/>
        <item x="421"/>
        <item x="422"/>
        <item x="423"/>
        <item x="424"/>
        <item x="427"/>
        <item x="428"/>
        <item x="429"/>
        <item x="430"/>
        <item x="431"/>
        <item x="432"/>
        <item x="433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3"/>
        <item x="454"/>
        <item x="455"/>
        <item x="456"/>
        <item x="458"/>
        <item x="462"/>
        <item x="463"/>
        <item x="464"/>
        <item x="465"/>
        <item x="466"/>
        <item x="467"/>
        <item x="468"/>
        <item x="470"/>
        <item x="471"/>
        <item x="472"/>
        <item x="473"/>
        <item x="474"/>
        <item x="475"/>
        <item x="476"/>
        <item x="478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5"/>
        <item x="566"/>
        <item x="567"/>
        <item x="568"/>
        <item x="570"/>
        <item x="571"/>
        <item x="572"/>
        <item x="573"/>
        <item x="575"/>
        <item x="576"/>
        <item x="577"/>
        <item x="578"/>
        <item x="579"/>
        <item x="580"/>
        <item x="581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1"/>
        <item x="622"/>
        <item x="623"/>
        <item x="624"/>
        <item x="625"/>
        <item x="628"/>
        <item x="629"/>
        <item x="631"/>
        <item x="632"/>
        <item x="633"/>
        <item x="634"/>
        <item x="635"/>
        <item x="636"/>
        <item x="637"/>
        <item x="638"/>
        <item x="640"/>
        <item x="642"/>
        <item x="643"/>
        <item x="644"/>
        <item x="645"/>
        <item x="646"/>
        <item x="647"/>
        <item x="648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2"/>
        <item x="664"/>
        <item x="665"/>
        <item x="666"/>
        <item x="668"/>
        <item x="669"/>
        <item x="670"/>
        <item x="671"/>
        <item x="672"/>
        <item x="673"/>
        <item x="674"/>
        <item x="675"/>
        <item x="676"/>
        <item x="678"/>
        <item x="679"/>
        <item x="681"/>
        <item x="682"/>
        <item x="683"/>
        <item x="684"/>
        <item x="685"/>
        <item x="686"/>
        <item x="687"/>
        <item x="691"/>
        <item x="693"/>
        <item x="695"/>
        <item x="698"/>
        <item x="699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4"/>
        <item x="735"/>
        <item x="736"/>
        <item x="737"/>
        <item x="738"/>
        <item x="740"/>
        <item x="741"/>
        <item x="742"/>
        <item x="743"/>
        <item x="744"/>
        <item x="746"/>
        <item x="747"/>
        <item x="748"/>
        <item x="749"/>
      </items>
    </pivotField>
    <pivotField axis="axisRow" compact="0" outline="0" showAll="0" defaultSubtotal="0">
      <items count="750">
        <item x="158"/>
        <item x="159"/>
        <item x="29"/>
        <item x="30"/>
        <item x="31"/>
        <item x="32"/>
        <item x="33"/>
        <item x="34"/>
        <item x="35"/>
        <item x="690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377"/>
        <item x="17"/>
        <item x="50"/>
        <item x="51"/>
        <item x="391"/>
        <item x="52"/>
        <item x="53"/>
        <item x="57"/>
        <item x="451"/>
        <item x="54"/>
        <item x="55"/>
        <item x="56"/>
        <item x="58"/>
        <item x="59"/>
        <item x="60"/>
        <item x="61"/>
        <item x="62"/>
        <item x="147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38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291"/>
        <item x="95"/>
        <item x="96"/>
        <item x="97"/>
        <item x="98"/>
        <item x="99"/>
        <item x="100"/>
        <item x="101"/>
        <item x="102"/>
        <item x="298"/>
        <item x="103"/>
        <item x="104"/>
        <item x="105"/>
        <item x="106"/>
        <item x="107"/>
        <item x="108"/>
        <item x="135"/>
        <item x="109"/>
        <item x="110"/>
        <item x="196"/>
        <item x="407"/>
        <item x="111"/>
        <item x="331"/>
        <item x="112"/>
        <item x="113"/>
        <item x="114"/>
        <item x="136"/>
        <item x="115"/>
        <item x="187"/>
        <item x="116"/>
        <item x="117"/>
        <item x="118"/>
        <item x="461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78"/>
        <item x="169"/>
        <item x="130"/>
        <item x="131"/>
        <item x="278"/>
        <item x="688"/>
        <item x="132"/>
        <item x="133"/>
        <item x="378"/>
        <item x="134"/>
        <item x="182"/>
        <item x="719"/>
        <item x="137"/>
        <item x="138"/>
        <item x="663"/>
        <item x="149"/>
        <item x="139"/>
        <item x="222"/>
        <item x="418"/>
        <item x="140"/>
        <item x="141"/>
        <item x="142"/>
        <item x="143"/>
        <item x="163"/>
        <item x="582"/>
        <item x="144"/>
        <item x="321"/>
        <item x="499"/>
        <item x="145"/>
        <item x="535"/>
        <item x="510"/>
        <item x="148"/>
        <item x="150"/>
        <item x="151"/>
        <item x="152"/>
        <item x="362"/>
        <item x="153"/>
        <item x="154"/>
        <item x="239"/>
        <item x="155"/>
        <item x="469"/>
        <item x="156"/>
        <item x="157"/>
        <item x="160"/>
        <item x="162"/>
        <item x="164"/>
        <item x="165"/>
        <item x="166"/>
        <item x="167"/>
        <item x="168"/>
        <item x="715"/>
        <item x="326"/>
        <item x="457"/>
        <item x="171"/>
        <item x="176"/>
        <item x="177"/>
        <item x="179"/>
        <item x="180"/>
        <item x="181"/>
        <item x="183"/>
        <item x="185"/>
        <item x="186"/>
        <item x="188"/>
        <item x="189"/>
        <item x="190"/>
        <item x="191"/>
        <item x="426"/>
        <item x="689"/>
        <item x="192"/>
        <item x="193"/>
        <item x="194"/>
        <item x="195"/>
        <item x="197"/>
        <item x="198"/>
        <item x="199"/>
        <item x="739"/>
        <item x="630"/>
        <item x="201"/>
        <item x="477"/>
        <item x="202"/>
        <item x="203"/>
        <item x="204"/>
        <item x="205"/>
        <item x="627"/>
        <item x="206"/>
        <item x="207"/>
        <item x="208"/>
        <item x="209"/>
        <item x="210"/>
        <item x="211"/>
        <item x="213"/>
        <item x="214"/>
        <item x="215"/>
        <item x="216"/>
        <item x="217"/>
        <item x="218"/>
        <item x="694"/>
        <item x="450"/>
        <item x="219"/>
        <item x="220"/>
        <item x="221"/>
        <item x="716"/>
        <item x="661"/>
        <item x="223"/>
        <item x="7"/>
        <item x="224"/>
        <item x="225"/>
        <item x="398"/>
        <item x="226"/>
        <item x="227"/>
        <item x="228"/>
        <item x="229"/>
        <item x="230"/>
        <item x="479"/>
        <item x="231"/>
        <item x="232"/>
        <item x="233"/>
        <item x="234"/>
        <item x="235"/>
        <item x="452"/>
        <item x="641"/>
        <item x="236"/>
        <item x="237"/>
        <item x="238"/>
        <item x="240"/>
        <item x="242"/>
        <item x="243"/>
        <item x="244"/>
        <item x="245"/>
        <item x="246"/>
        <item x="247"/>
        <item x="415"/>
        <item x="249"/>
        <item x="250"/>
        <item x="251"/>
        <item x="252"/>
        <item x="492"/>
        <item x="253"/>
        <item x="254"/>
        <item x="255"/>
        <item x="256"/>
        <item x="257"/>
        <item x="258"/>
        <item x="259"/>
        <item x="260"/>
        <item x="620"/>
        <item x="626"/>
        <item x="261"/>
        <item x="262"/>
        <item x="263"/>
        <item x="459"/>
        <item x="264"/>
        <item x="667"/>
        <item x="569"/>
        <item x="265"/>
        <item x="266"/>
        <item x="267"/>
        <item x="268"/>
        <item x="269"/>
        <item x="700"/>
        <item x="270"/>
        <item x="271"/>
        <item x="564"/>
        <item x="273"/>
        <item x="274"/>
        <item x="275"/>
        <item x="276"/>
        <item x="277"/>
        <item x="392"/>
        <item x="279"/>
        <item x="280"/>
        <item x="281"/>
        <item x="282"/>
        <item x="283"/>
        <item x="285"/>
        <item x="184"/>
        <item x="286"/>
        <item x="287"/>
        <item x="692"/>
        <item x="288"/>
        <item x="289"/>
        <item x="290"/>
        <item x="292"/>
        <item x="293"/>
        <item x="294"/>
        <item x="295"/>
        <item x="296"/>
        <item x="297"/>
        <item x="639"/>
        <item x="299"/>
        <item x="381"/>
        <item x="300"/>
        <item x="301"/>
        <item x="303"/>
        <item x="304"/>
        <item x="305"/>
        <item x="306"/>
        <item x="307"/>
        <item x="308"/>
        <item x="309"/>
        <item x="310"/>
        <item x="311"/>
        <item x="680"/>
        <item x="312"/>
        <item x="314"/>
        <item x="315"/>
        <item x="316"/>
        <item x="318"/>
        <item x="319"/>
        <item x="320"/>
        <item x="322"/>
        <item x="323"/>
        <item x="324"/>
        <item x="325"/>
        <item x="327"/>
        <item x="696"/>
        <item x="649"/>
        <item x="328"/>
        <item x="329"/>
        <item x="330"/>
        <item x="332"/>
        <item x="333"/>
        <item x="334"/>
        <item x="335"/>
        <item x="336"/>
        <item x="337"/>
        <item x="340"/>
        <item x="342"/>
        <item x="343"/>
        <item x="346"/>
        <item x="347"/>
        <item x="348"/>
        <item x="349"/>
        <item x="352"/>
        <item x="353"/>
        <item x="354"/>
        <item x="355"/>
        <item x="356"/>
        <item x="357"/>
        <item x="341"/>
        <item x="697"/>
        <item x="19"/>
        <item x="10"/>
        <item x="396"/>
        <item x="745"/>
        <item x="574"/>
        <item x="399"/>
        <item x="733"/>
        <item x="20"/>
        <item x="410"/>
        <item x="425"/>
        <item x="434"/>
        <item x="677"/>
        <item x="449"/>
        <item x="732"/>
        <item x="460"/>
        <item x="482"/>
        <item x="0"/>
        <item x="1"/>
        <item x="2"/>
        <item x="3"/>
        <item x="4"/>
        <item x="5"/>
        <item x="6"/>
        <item x="8"/>
        <item x="9"/>
        <item x="11"/>
        <item x="12"/>
        <item x="13"/>
        <item x="14"/>
        <item x="15"/>
        <item x="16"/>
        <item x="18"/>
        <item x="21"/>
        <item x="22"/>
        <item x="23"/>
        <item x="24"/>
        <item x="25"/>
        <item x="26"/>
        <item x="27"/>
        <item x="28"/>
        <item x="38"/>
        <item x="65"/>
        <item x="146"/>
        <item x="161"/>
        <item x="170"/>
        <item x="172"/>
        <item x="173"/>
        <item x="174"/>
        <item x="175"/>
        <item x="200"/>
        <item x="212"/>
        <item x="241"/>
        <item x="248"/>
        <item x="272"/>
        <item x="284"/>
        <item x="302"/>
        <item x="313"/>
        <item x="317"/>
        <item x="338"/>
        <item x="339"/>
        <item x="344"/>
        <item x="345"/>
        <item x="350"/>
        <item x="351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9"/>
        <item x="380"/>
        <item x="382"/>
        <item x="383"/>
        <item x="384"/>
        <item x="385"/>
        <item x="386"/>
        <item x="387"/>
        <item x="389"/>
        <item x="390"/>
        <item x="393"/>
        <item x="394"/>
        <item x="395"/>
        <item x="397"/>
        <item x="400"/>
        <item x="401"/>
        <item x="402"/>
        <item x="403"/>
        <item x="404"/>
        <item x="405"/>
        <item x="406"/>
        <item x="408"/>
        <item x="409"/>
        <item x="411"/>
        <item x="412"/>
        <item x="413"/>
        <item x="414"/>
        <item x="416"/>
        <item x="417"/>
        <item x="419"/>
        <item x="420"/>
        <item x="421"/>
        <item x="422"/>
        <item x="423"/>
        <item x="424"/>
        <item x="427"/>
        <item x="428"/>
        <item x="429"/>
        <item x="430"/>
        <item x="431"/>
        <item x="432"/>
        <item x="433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3"/>
        <item x="454"/>
        <item x="455"/>
        <item x="456"/>
        <item x="458"/>
        <item x="462"/>
        <item x="463"/>
        <item x="464"/>
        <item x="465"/>
        <item x="466"/>
        <item x="467"/>
        <item x="468"/>
        <item x="470"/>
        <item x="471"/>
        <item x="472"/>
        <item x="473"/>
        <item x="474"/>
        <item x="475"/>
        <item x="476"/>
        <item x="478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5"/>
        <item x="566"/>
        <item x="567"/>
        <item x="568"/>
        <item x="570"/>
        <item x="571"/>
        <item x="572"/>
        <item x="573"/>
        <item x="575"/>
        <item x="576"/>
        <item x="577"/>
        <item x="578"/>
        <item x="579"/>
        <item x="580"/>
        <item x="581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1"/>
        <item x="622"/>
        <item x="623"/>
        <item x="624"/>
        <item x="625"/>
        <item x="628"/>
        <item x="629"/>
        <item x="631"/>
        <item x="632"/>
        <item x="633"/>
        <item x="634"/>
        <item x="635"/>
        <item x="636"/>
        <item x="637"/>
        <item x="638"/>
        <item x="640"/>
        <item x="642"/>
        <item x="643"/>
        <item x="644"/>
        <item x="645"/>
        <item x="646"/>
        <item x="647"/>
        <item x="648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2"/>
        <item x="664"/>
        <item x="665"/>
        <item x="666"/>
        <item x="668"/>
        <item x="669"/>
        <item x="670"/>
        <item x="671"/>
        <item x="672"/>
        <item x="673"/>
        <item x="674"/>
        <item x="675"/>
        <item x="676"/>
        <item x="678"/>
        <item x="679"/>
        <item x="681"/>
        <item x="682"/>
        <item x="683"/>
        <item x="684"/>
        <item x="685"/>
        <item x="686"/>
        <item x="687"/>
        <item x="691"/>
        <item x="693"/>
        <item x="695"/>
        <item x="698"/>
        <item x="699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4"/>
        <item x="735"/>
        <item x="736"/>
        <item x="737"/>
        <item x="738"/>
        <item x="740"/>
        <item x="741"/>
        <item x="742"/>
        <item x="743"/>
        <item x="744"/>
        <item x="746"/>
        <item x="747"/>
        <item x="748"/>
        <item x="749"/>
      </items>
    </pivotField>
    <pivotField axis="axisRow" compact="0" outline="0" showAll="0" defaultSubtotal="0">
      <items count="1122"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3"/>
        <item x="184"/>
        <item x="185"/>
        <item x="186"/>
        <item x="187"/>
        <item x="188"/>
        <item x="189"/>
        <item x="190"/>
        <item x="193"/>
        <item x="200"/>
        <item x="202"/>
        <item x="203"/>
        <item x="204"/>
        <item x="206"/>
        <item x="207"/>
        <item x="208"/>
        <item x="209"/>
        <item x="210"/>
        <item x="211"/>
        <item x="212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2"/>
        <item x="233"/>
        <item x="234"/>
        <item x="235"/>
        <item x="236"/>
        <item x="239"/>
        <item x="240"/>
        <item x="241"/>
        <item x="242"/>
        <item x="243"/>
        <item x="244"/>
        <item x="24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4"/>
        <item x="285"/>
        <item x="286"/>
        <item x="287"/>
        <item x="288"/>
        <item x="289"/>
        <item x="290"/>
        <item x="291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7"/>
        <item x="318"/>
        <item x="319"/>
        <item x="320"/>
        <item x="321"/>
        <item x="322"/>
        <item x="323"/>
        <item x="326"/>
        <item x="327"/>
        <item x="328"/>
        <item x="329"/>
        <item x="330"/>
        <item x="332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5"/>
        <item x="366"/>
        <item x="367"/>
        <item x="368"/>
        <item x="369"/>
        <item x="371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8"/>
        <item x="389"/>
        <item x="390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6"/>
        <item x="407"/>
        <item x="408"/>
        <item x="409"/>
        <item x="411"/>
        <item x="412"/>
        <item x="413"/>
        <item x="414"/>
        <item x="415"/>
        <item x="416"/>
        <item x="417"/>
        <item x="418"/>
        <item x="421"/>
        <item x="423"/>
        <item x="424"/>
        <item x="430"/>
        <item x="431"/>
        <item x="432"/>
        <item x="433"/>
        <item x="434"/>
        <item x="437"/>
        <item x="438"/>
        <item x="439"/>
        <item x="440"/>
        <item x="441"/>
        <item x="442"/>
        <item x="443"/>
        <item x="444"/>
        <item x="449"/>
        <item x="461"/>
        <item x="496"/>
        <item x="498"/>
        <item x="500"/>
        <item x="510"/>
        <item x="513"/>
        <item x="519"/>
        <item x="522"/>
        <item x="523"/>
        <item x="524"/>
        <item x="525"/>
        <item x="539"/>
        <item x="540"/>
        <item x="554"/>
        <item x="565"/>
        <item x="572"/>
        <item x="573"/>
        <item x="576"/>
        <item x="584"/>
        <item x="596"/>
        <item x="6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0"/>
        <item x="67"/>
        <item x="162"/>
        <item x="182"/>
        <item x="191"/>
        <item x="192"/>
        <item x="194"/>
        <item x="195"/>
        <item x="196"/>
        <item x="197"/>
        <item x="198"/>
        <item x="199"/>
        <item x="201"/>
        <item x="205"/>
        <item x="213"/>
        <item x="214"/>
        <item x="231"/>
        <item x="237"/>
        <item x="238"/>
        <item x="246"/>
        <item x="270"/>
        <item x="283"/>
        <item x="292"/>
        <item x="313"/>
        <item x="316"/>
        <item x="324"/>
        <item x="325"/>
        <item x="331"/>
        <item x="333"/>
        <item x="348"/>
        <item x="364"/>
        <item x="370"/>
        <item x="372"/>
        <item x="387"/>
        <item x="391"/>
        <item x="405"/>
        <item x="410"/>
        <item x="419"/>
        <item x="420"/>
        <item x="422"/>
        <item x="425"/>
        <item x="426"/>
        <item x="427"/>
        <item x="428"/>
        <item x="429"/>
        <item x="435"/>
        <item x="436"/>
        <item x="445"/>
        <item x="446"/>
        <item x="447"/>
        <item x="448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9"/>
        <item x="501"/>
        <item x="502"/>
        <item x="503"/>
        <item x="504"/>
        <item x="505"/>
        <item x="506"/>
        <item x="507"/>
        <item x="508"/>
        <item x="509"/>
        <item x="511"/>
        <item x="512"/>
        <item x="514"/>
        <item x="515"/>
        <item x="516"/>
        <item x="517"/>
        <item x="518"/>
        <item x="520"/>
        <item x="521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8"/>
        <item x="569"/>
        <item x="570"/>
        <item x="571"/>
        <item x="574"/>
        <item x="575"/>
        <item x="577"/>
        <item x="578"/>
        <item x="579"/>
        <item x="580"/>
        <item x="581"/>
        <item x="582"/>
        <item x="583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</items>
    </pivotField>
    <pivotField axis="axisRow" compact="0" outline="0" showAll="0" defaultSubtotal="0">
      <items count="695">
        <item x="62"/>
        <item x="153"/>
        <item x="29"/>
        <item x="30"/>
        <item x="31"/>
        <item x="32"/>
        <item x="33"/>
        <item x="34"/>
        <item x="35"/>
        <item x="6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351"/>
        <item x="17"/>
        <item x="50"/>
        <item x="51"/>
        <item x="178"/>
        <item x="93"/>
        <item x="228"/>
        <item x="52"/>
        <item x="53"/>
        <item x="27"/>
        <item x="57"/>
        <item x="414"/>
        <item x="54"/>
        <item x="55"/>
        <item x="56"/>
        <item x="58"/>
        <item x="59"/>
        <item x="60"/>
        <item x="494"/>
        <item x="61"/>
        <item x="141"/>
        <item x="63"/>
        <item x="64"/>
        <item x="66"/>
        <item x="67"/>
        <item x="68"/>
        <item x="70"/>
        <item x="71"/>
        <item x="72"/>
        <item x="73"/>
        <item x="74"/>
        <item x="75"/>
        <item x="76"/>
        <item x="77"/>
        <item x="78"/>
        <item x="79"/>
        <item x="260"/>
        <item x="359"/>
        <item x="81"/>
        <item x="525"/>
        <item x="82"/>
        <item x="83"/>
        <item x="84"/>
        <item x="85"/>
        <item x="87"/>
        <item x="88"/>
        <item x="89"/>
        <item x="90"/>
        <item x="91"/>
        <item x="92"/>
        <item x="434"/>
        <item x="94"/>
        <item x="95"/>
        <item x="96"/>
        <item x="97"/>
        <item x="98"/>
        <item x="99"/>
        <item x="100"/>
        <item x="101"/>
        <item x="275"/>
        <item x="102"/>
        <item x="103"/>
        <item x="104"/>
        <item x="105"/>
        <item x="106"/>
        <item x="126"/>
        <item x="175"/>
        <item x="190"/>
        <item x="107"/>
        <item x="131"/>
        <item x="108"/>
        <item x="109"/>
        <item x="163"/>
        <item x="171"/>
        <item x="376"/>
        <item x="526"/>
        <item x="206"/>
        <item x="110"/>
        <item x="186"/>
        <item x="224"/>
        <item x="111"/>
        <item x="112"/>
        <item x="132"/>
        <item x="156"/>
        <item x="113"/>
        <item x="180"/>
        <item x="114"/>
        <item x="115"/>
        <item x="116"/>
        <item x="222"/>
        <item x="117"/>
        <item x="173"/>
        <item x="118"/>
        <item x="119"/>
        <item x="120"/>
        <item x="121"/>
        <item x="122"/>
        <item x="123"/>
        <item x="124"/>
        <item x="125"/>
        <item x="258"/>
        <item x="256"/>
        <item x="236"/>
        <item x="127"/>
        <item x="633"/>
        <item x="129"/>
        <item x="130"/>
        <item x="664"/>
        <item x="133"/>
        <item x="609"/>
        <item x="143"/>
        <item x="209"/>
        <item x="308"/>
        <item x="135"/>
        <item x="136"/>
        <item x="183"/>
        <item x="137"/>
        <item x="157"/>
        <item x="138"/>
        <item x="298"/>
        <item x="458"/>
        <item x="139"/>
        <item x="469"/>
        <item x="348"/>
        <item x="142"/>
        <item x="144"/>
        <item x="630"/>
        <item x="145"/>
        <item x="146"/>
        <item x="336"/>
        <item x="147"/>
        <item x="148"/>
        <item x="310"/>
        <item x="149"/>
        <item x="428"/>
        <item x="150"/>
        <item x="151"/>
        <item x="154"/>
        <item x="159"/>
        <item x="160"/>
        <item x="161"/>
        <item x="162"/>
        <item x="660"/>
        <item x="303"/>
        <item x="418"/>
        <item x="169"/>
        <item x="170"/>
        <item x="172"/>
        <item x="174"/>
        <item x="176"/>
        <item x="179"/>
        <item x="181"/>
        <item x="182"/>
        <item x="184"/>
        <item x="446"/>
        <item x="392"/>
        <item x="634"/>
        <item x="185"/>
        <item x="445"/>
        <item x="187"/>
        <item x="188"/>
        <item x="189"/>
        <item x="684"/>
        <item x="192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07"/>
        <item x="542"/>
        <item x="639"/>
        <item x="208"/>
        <item x="661"/>
        <item x="607"/>
        <item x="210"/>
        <item x="7"/>
        <item x="211"/>
        <item x="212"/>
        <item x="213"/>
        <item x="214"/>
        <item x="215"/>
        <item x="216"/>
        <item x="363"/>
        <item x="438"/>
        <item x="217"/>
        <item x="219"/>
        <item x="220"/>
        <item x="221"/>
        <item x="361"/>
        <item x="588"/>
        <item x="223"/>
        <item x="226"/>
        <item x="227"/>
        <item x="230"/>
        <item x="231"/>
        <item x="232"/>
        <item x="233"/>
        <item x="234"/>
        <item x="235"/>
        <item x="237"/>
        <item x="238"/>
        <item x="239"/>
        <item x="240"/>
        <item x="567"/>
        <item x="318"/>
        <item x="241"/>
        <item x="242"/>
        <item x="243"/>
        <item x="419"/>
        <item x="244"/>
        <item x="613"/>
        <item x="523"/>
        <item x="245"/>
        <item x="246"/>
        <item x="247"/>
        <item x="248"/>
        <item x="249"/>
        <item x="645"/>
        <item x="250"/>
        <item x="251"/>
        <item x="518"/>
        <item x="253"/>
        <item x="254"/>
        <item x="255"/>
        <item x="257"/>
        <item x="362"/>
        <item x="259"/>
        <item x="261"/>
        <item x="262"/>
        <item x="177"/>
        <item x="264"/>
        <item x="265"/>
        <item x="637"/>
        <item x="266"/>
        <item x="268"/>
        <item x="271"/>
        <item x="272"/>
        <item x="273"/>
        <item x="274"/>
        <item x="586"/>
        <item x="276"/>
        <item x="354"/>
        <item x="277"/>
        <item x="278"/>
        <item x="280"/>
        <item x="282"/>
        <item x="283"/>
        <item x="284"/>
        <item x="285"/>
        <item x="286"/>
        <item x="287"/>
        <item x="288"/>
        <item x="626"/>
        <item x="289"/>
        <item x="291"/>
        <item x="292"/>
        <item x="293"/>
        <item x="295"/>
        <item x="296"/>
        <item x="297"/>
        <item x="299"/>
        <item x="300"/>
        <item x="301"/>
        <item x="302"/>
        <item x="304"/>
        <item x="595"/>
        <item x="305"/>
        <item x="306"/>
        <item x="307"/>
        <item x="309"/>
        <item x="311"/>
        <item x="314"/>
        <item x="316"/>
        <item x="317"/>
        <item x="320"/>
        <item x="321"/>
        <item x="322"/>
        <item x="323"/>
        <item x="326"/>
        <item x="327"/>
        <item x="328"/>
        <item x="329"/>
        <item x="330"/>
        <item x="331"/>
        <item x="315"/>
        <item x="642"/>
        <item x="19"/>
        <item x="10"/>
        <item x="366"/>
        <item x="690"/>
        <item x="678"/>
        <item x="20"/>
        <item x="391"/>
        <item x="399"/>
        <item x="623"/>
        <item x="677"/>
        <item x="420"/>
        <item x="0"/>
        <item x="1"/>
        <item x="2"/>
        <item x="3"/>
        <item x="4"/>
        <item x="5"/>
        <item x="6"/>
        <item x="8"/>
        <item x="9"/>
        <item x="11"/>
        <item x="12"/>
        <item x="13"/>
        <item x="14"/>
        <item x="15"/>
        <item x="16"/>
        <item x="18"/>
        <item x="21"/>
        <item x="22"/>
        <item x="23"/>
        <item x="24"/>
        <item x="25"/>
        <item x="26"/>
        <item x="28"/>
        <item x="38"/>
        <item x="65"/>
        <item x="69"/>
        <item x="80"/>
        <item x="86"/>
        <item x="128"/>
        <item x="134"/>
        <item x="140"/>
        <item x="152"/>
        <item x="155"/>
        <item x="158"/>
        <item x="164"/>
        <item x="165"/>
        <item x="166"/>
        <item x="167"/>
        <item x="168"/>
        <item x="191"/>
        <item x="202"/>
        <item x="218"/>
        <item x="225"/>
        <item x="229"/>
        <item x="252"/>
        <item x="263"/>
        <item x="267"/>
        <item x="269"/>
        <item x="270"/>
        <item x="279"/>
        <item x="281"/>
        <item x="290"/>
        <item x="294"/>
        <item x="312"/>
        <item x="313"/>
        <item x="319"/>
        <item x="324"/>
        <item x="325"/>
        <item x="332"/>
        <item x="333"/>
        <item x="334"/>
        <item x="335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9"/>
        <item x="350"/>
        <item x="352"/>
        <item x="353"/>
        <item x="355"/>
        <item x="356"/>
        <item x="357"/>
        <item x="358"/>
        <item x="360"/>
        <item x="364"/>
        <item x="365"/>
        <item x="367"/>
        <item x="368"/>
        <item x="369"/>
        <item x="370"/>
        <item x="371"/>
        <item x="372"/>
        <item x="373"/>
        <item x="374"/>
        <item x="375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3"/>
        <item x="394"/>
        <item x="395"/>
        <item x="396"/>
        <item x="397"/>
        <item x="398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5"/>
        <item x="416"/>
        <item x="417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x="433"/>
        <item x="435"/>
        <item x="436"/>
        <item x="437"/>
        <item x="439"/>
        <item x="440"/>
        <item x="441"/>
        <item x="442"/>
        <item x="443"/>
        <item x="444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9"/>
        <item x="460"/>
        <item x="461"/>
        <item x="462"/>
        <item x="463"/>
        <item x="464"/>
        <item x="465"/>
        <item x="466"/>
        <item x="467"/>
        <item x="468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9"/>
        <item x="520"/>
        <item x="521"/>
        <item x="522"/>
        <item x="524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7"/>
        <item x="589"/>
        <item x="590"/>
        <item x="591"/>
        <item x="592"/>
        <item x="593"/>
        <item x="594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8"/>
        <item x="610"/>
        <item x="611"/>
        <item x="612"/>
        <item x="614"/>
        <item x="615"/>
        <item x="616"/>
        <item x="617"/>
        <item x="618"/>
        <item x="619"/>
        <item x="620"/>
        <item x="621"/>
        <item x="622"/>
        <item x="624"/>
        <item x="625"/>
        <item x="627"/>
        <item x="628"/>
        <item x="629"/>
        <item x="631"/>
        <item x="632"/>
        <item x="636"/>
        <item x="638"/>
        <item x="640"/>
        <item x="641"/>
        <item x="643"/>
        <item x="644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2"/>
        <item x="663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9"/>
        <item x="680"/>
        <item x="681"/>
        <item x="682"/>
        <item x="683"/>
        <item x="685"/>
        <item x="686"/>
        <item x="687"/>
        <item x="688"/>
        <item x="689"/>
        <item x="691"/>
        <item x="692"/>
        <item x="693"/>
        <item x="694"/>
      </items>
    </pivotField>
    <pivotField dataField="1" compact="0" outline="0" showAll="0" defaultSubtotal="0"/>
    <pivotField compact="0" outline="0" showAll="0"/>
    <pivotField axis="axisRow" compact="0" outline="0" showAll="0" defaultSubtotal="0">
      <items count="188"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70"/>
        <item x="33"/>
        <item x="43"/>
        <item x="34"/>
        <item x="35"/>
        <item x="36"/>
        <item x="37"/>
        <item x="38"/>
        <item x="39"/>
        <item x="41"/>
        <item x="42"/>
        <item x="44"/>
        <item x="48"/>
        <item x="45"/>
        <item x="46"/>
        <item x="53"/>
        <item x="47"/>
        <item x="49"/>
        <item x="50"/>
        <item x="51"/>
        <item x="52"/>
        <item x="54"/>
        <item x="55"/>
        <item x="60"/>
        <item x="57"/>
        <item x="58"/>
        <item x="67"/>
        <item x="59"/>
        <item x="61"/>
        <item x="62"/>
        <item x="68"/>
        <item x="63"/>
        <item x="64"/>
        <item x="65"/>
        <item x="66"/>
        <item x="80"/>
        <item x="82"/>
        <item x="69"/>
        <item x="72"/>
        <item x="83"/>
        <item x="89"/>
        <item x="76"/>
        <item x="86"/>
        <item x="79"/>
        <item x="81"/>
        <item x="85"/>
        <item x="103"/>
        <item x="91"/>
        <item x="99"/>
        <item x="97"/>
        <item x="96"/>
        <item x="98"/>
        <item x="124"/>
        <item x="101"/>
        <item x="102"/>
        <item x="107"/>
        <item x="113"/>
        <item x="118"/>
        <item x="121"/>
        <item x="1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40"/>
        <item x="56"/>
        <item x="71"/>
        <item x="73"/>
        <item x="74"/>
        <item x="75"/>
        <item x="77"/>
        <item x="78"/>
        <item x="84"/>
        <item x="87"/>
        <item x="88"/>
        <item x="90"/>
        <item x="92"/>
        <item x="93"/>
        <item x="94"/>
        <item x="95"/>
        <item x="100"/>
        <item x="104"/>
        <item x="105"/>
        <item x="106"/>
        <item x="108"/>
        <item x="109"/>
        <item x="110"/>
        <item x="111"/>
        <item x="112"/>
        <item x="114"/>
        <item x="115"/>
        <item x="116"/>
        <item x="117"/>
        <item x="119"/>
        <item x="120"/>
        <item x="122"/>
        <item x="123"/>
        <item x="125"/>
        <item x="126"/>
        <item x="12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</items>
    </pivotField>
    <pivotField compact="0" outline="0" showAll="0"/>
    <pivotField dataField="1" compact="0" outline="0" showAll="0"/>
    <pivotField axis="axisRow" compact="0" outline="0" showAll="0" defaultSubtotal="0">
      <items count="48">
        <item x="25"/>
        <item x="12"/>
        <item x="22"/>
        <item x="5"/>
        <item x="33"/>
        <item x="4"/>
        <item x="30"/>
        <item x="6"/>
        <item x="14"/>
        <item x="2"/>
        <item x="24"/>
        <item x="7"/>
        <item x="11"/>
        <item x="27"/>
        <item x="3"/>
        <item x="10"/>
        <item x="45"/>
        <item x="20"/>
        <item x="1"/>
        <item x="21"/>
        <item x="37"/>
        <item x="15"/>
        <item x="16"/>
        <item x="17"/>
        <item x="18"/>
        <item x="19"/>
        <item x="28"/>
        <item x="9"/>
        <item x="47"/>
        <item x="39"/>
        <item x="8"/>
        <item x="26"/>
        <item x="13"/>
        <item x="0"/>
        <item x="32"/>
        <item x="23"/>
        <item x="34"/>
        <item x="44"/>
        <item x="41"/>
        <item x="43"/>
        <item x="29"/>
        <item x="31"/>
        <item x="38"/>
        <item x="35"/>
        <item x="36"/>
        <item x="40"/>
        <item x="42"/>
        <item x="46"/>
      </items>
    </pivotField>
    <pivotField compact="0" outline="0" showAll="0"/>
    <pivotField compact="0" outline="0" showAll="0" defaultSubtotal="0"/>
  </pivotFields>
  <rowFields count="6">
    <field x="12"/>
    <field x="3"/>
    <field x="4"/>
    <field x="9"/>
    <field x="6"/>
    <field x="5"/>
  </rowFields>
  <rowItems count="1123">
    <i>
      <x/>
      <x v="262"/>
      <x v="262"/>
      <x v="149"/>
      <x v="234"/>
      <x v="866"/>
    </i>
    <i r="1">
      <x v="319"/>
      <x v="319"/>
      <x v="175"/>
      <x v="283"/>
      <x v="997"/>
    </i>
    <i r="1">
      <x v="401"/>
      <x v="401"/>
      <x v="95"/>
      <x v="360"/>
      <x v="423"/>
    </i>
    <i r="5">
      <x v="425"/>
    </i>
    <i r="5">
      <x v="427"/>
    </i>
    <i r="5">
      <x v="433"/>
    </i>
    <i r="5">
      <x v="435"/>
    </i>
    <i r="1">
      <x v="409"/>
      <x v="409"/>
      <x v="102"/>
      <x v="370"/>
      <x v="441"/>
    </i>
    <i r="5">
      <x v="448"/>
    </i>
    <i r="5">
      <x v="451"/>
    </i>
    <i r="5">
      <x v="463"/>
    </i>
    <i r="1">
      <x v="413"/>
      <x v="413"/>
      <x v="102"/>
      <x v="377"/>
      <x v="452"/>
    </i>
    <i r="1">
      <x v="569"/>
      <x v="569"/>
      <x v="136"/>
      <x v="526"/>
      <x v="720"/>
    </i>
    <i r="1">
      <x v="739"/>
      <x v="739"/>
      <x v="184"/>
      <x v="684"/>
      <x v="1097"/>
    </i>
    <i r="5">
      <x v="1098"/>
    </i>
    <i r="5">
      <x v="1099"/>
    </i>
    <i r="1">
      <x v="740"/>
      <x v="740"/>
      <x v="184"/>
      <x v="685"/>
      <x v="1100"/>
    </i>
    <i r="5">
      <x v="1101"/>
    </i>
    <i r="5">
      <x v="1102"/>
    </i>
    <i>
      <x v="1"/>
      <x v="1"/>
      <x v="1"/>
      <x v="13"/>
      <x v="1"/>
      <x v="145"/>
    </i>
    <i r="5">
      <x v="146"/>
    </i>
    <i r="5">
      <x v="211"/>
    </i>
    <i r="3">
      <x v="53"/>
      <x v="1"/>
      <x v="255"/>
    </i>
    <i r="3">
      <x v="59"/>
      <x v="1"/>
      <x v="350"/>
    </i>
    <i r="1">
      <x v="82"/>
      <x v="82"/>
      <x v="60"/>
      <x v="82"/>
      <x v="303"/>
    </i>
    <i r="5">
      <x v="309"/>
    </i>
    <i r="1">
      <x v="163"/>
      <x v="163"/>
      <x v="51"/>
      <x v="161"/>
      <x v="151"/>
    </i>
    <i r="1">
      <x v="169"/>
      <x v="169"/>
      <x v="65"/>
      <x v="167"/>
      <x v="386"/>
    </i>
    <i r="1">
      <x v="182"/>
      <x v="182"/>
      <x v="51"/>
      <x v="176"/>
      <x v="175"/>
    </i>
    <i r="3">
      <x v="60"/>
      <x v="176"/>
      <x v="269"/>
    </i>
    <i r="5">
      <x v="270"/>
    </i>
    <i r="1">
      <x v="192"/>
      <x v="192"/>
      <x v="117"/>
      <x v="185"/>
      <x v="1103"/>
    </i>
    <i r="1">
      <x v="285"/>
      <x v="285"/>
      <x v="117"/>
      <x v="256"/>
      <x v="512"/>
    </i>
    <i r="1">
      <x v="315"/>
      <x v="315"/>
      <x v="59"/>
      <x v="279"/>
      <x v="317"/>
    </i>
    <i r="1">
      <x v="371"/>
      <x v="371"/>
      <x v="117"/>
      <x v="326"/>
      <x v="1089"/>
    </i>
    <i r="5">
      <x v="1090"/>
    </i>
    <i r="1">
      <x v="392"/>
      <x v="392"/>
      <x v="88"/>
      <x v="346"/>
      <x v="412"/>
    </i>
    <i r="5">
      <x v="413"/>
    </i>
    <i r="1">
      <x v="403"/>
      <x v="403"/>
      <x v="97"/>
      <x v="363"/>
      <x v="426"/>
    </i>
    <i r="5">
      <x v="432"/>
    </i>
    <i r="5">
      <x v="443"/>
    </i>
    <i r="5">
      <x v="446"/>
    </i>
    <i r="1">
      <x v="529"/>
      <x v="529"/>
      <x v="129"/>
      <x v="486"/>
      <x v="634"/>
    </i>
    <i r="1">
      <x v="547"/>
      <x v="547"/>
      <x v="117"/>
      <x v="504"/>
      <x v="672"/>
    </i>
    <i r="1">
      <x v="653"/>
      <x v="653"/>
      <x v="152"/>
      <x v="599"/>
      <x v="891"/>
    </i>
    <i r="5">
      <x v="905"/>
    </i>
    <i r="5">
      <x v="929"/>
    </i>
    <i r="3">
      <x v="173"/>
      <x v="599"/>
      <x v="994"/>
    </i>
    <i r="1">
      <x v="679"/>
      <x v="679"/>
      <x v="163"/>
      <x v="625"/>
      <x v="944"/>
    </i>
    <i r="1">
      <x v="733"/>
      <x v="733"/>
      <x v="117"/>
      <x v="678"/>
      <x v="1085"/>
    </i>
    <i r="1">
      <x v="734"/>
      <x v="734"/>
      <x v="163"/>
      <x v="679"/>
      <x v="1086"/>
    </i>
    <i r="1">
      <x v="738"/>
      <x v="738"/>
      <x v="117"/>
      <x v="683"/>
      <x v="1095"/>
    </i>
    <i r="1">
      <x v="749"/>
      <x v="749"/>
      <x v="117"/>
      <x v="694"/>
      <x v="1121"/>
    </i>
    <i>
      <x v="2"/>
      <x v="148"/>
      <x v="148"/>
      <x v="45"/>
      <x v="147"/>
      <x v="130"/>
    </i>
    <i r="3">
      <x v="70"/>
      <x v="147"/>
      <x v="375"/>
    </i>
    <i>
      <x v="3"/>
      <x v="66"/>
      <x v="66"/>
      <x v="32"/>
      <x v="67"/>
      <x v="59"/>
    </i>
    <i r="3">
      <x v="39"/>
      <x v="67"/>
      <x v="137"/>
    </i>
    <i r="1">
      <x v="93"/>
      <x v="93"/>
      <x v="61"/>
      <x v="97"/>
      <x v="372"/>
    </i>
    <i r="5">
      <x v="374"/>
    </i>
    <i r="5">
      <x v="380"/>
    </i>
    <i r="3">
      <x v="118"/>
      <x v="97"/>
      <x v="526"/>
    </i>
    <i r="5">
      <x v="640"/>
    </i>
    <i r="5">
      <x v="647"/>
    </i>
    <i r="5">
      <x v="687"/>
    </i>
    <i r="5">
      <x v="699"/>
    </i>
    <i r="5">
      <x v="777"/>
    </i>
    <i r="3">
      <x v="134"/>
      <x v="97"/>
      <x v="863"/>
    </i>
    <i r="5">
      <x v="870"/>
    </i>
    <i r="1">
      <x v="99"/>
      <x v="99"/>
      <x v="41"/>
      <x v="105"/>
      <x v="116"/>
    </i>
    <i r="1">
      <x v="168"/>
      <x v="168"/>
      <x v="112"/>
      <x v="166"/>
      <x v="455"/>
    </i>
    <i r="5">
      <x v="667"/>
    </i>
    <i r="5">
      <x v="738"/>
    </i>
    <i r="5">
      <x v="856"/>
    </i>
    <i r="5">
      <x v="864"/>
    </i>
    <i r="5">
      <x v="924"/>
    </i>
    <i r="5">
      <x v="932"/>
    </i>
    <i r="5">
      <x v="933"/>
    </i>
    <i r="5">
      <x v="972"/>
    </i>
    <i r="5">
      <x v="981"/>
    </i>
    <i r="5">
      <x v="982"/>
    </i>
    <i r="5">
      <x v="983"/>
    </i>
    <i r="5">
      <x v="986"/>
    </i>
    <i r="5">
      <x v="987"/>
    </i>
    <i r="5">
      <x v="995"/>
    </i>
    <i r="5">
      <x v="1004"/>
    </i>
    <i r="5">
      <x v="1023"/>
    </i>
    <i r="5">
      <x v="1035"/>
    </i>
    <i r="5">
      <x v="1039"/>
    </i>
    <i r="5">
      <x v="1040"/>
    </i>
    <i r="5">
      <x v="1066"/>
    </i>
    <i r="5">
      <x v="1093"/>
    </i>
    <i r="5">
      <x v="1096"/>
    </i>
    <i r="3">
      <x v="133"/>
      <x v="166"/>
      <x v="674"/>
    </i>
    <i r="5">
      <x v="694"/>
    </i>
    <i r="5">
      <x v="698"/>
    </i>
    <i r="5">
      <x v="700"/>
    </i>
    <i r="5">
      <x v="704"/>
    </i>
    <i r="5">
      <x v="705"/>
    </i>
    <i r="5">
      <x v="706"/>
    </i>
    <i r="5">
      <x v="714"/>
    </i>
    <i r="5">
      <x v="715"/>
    </i>
    <i r="5">
      <x v="737"/>
    </i>
    <i r="5">
      <x v="745"/>
    </i>
    <i r="5">
      <x v="748"/>
    </i>
    <i r="5">
      <x v="752"/>
    </i>
    <i r="5">
      <x v="753"/>
    </i>
    <i r="5">
      <x v="782"/>
    </i>
    <i r="5">
      <x v="783"/>
    </i>
    <i r="5">
      <x v="784"/>
    </i>
    <i r="5">
      <x v="793"/>
    </i>
    <i r="5">
      <x v="812"/>
    </i>
    <i r="5">
      <x v="818"/>
    </i>
    <i r="5">
      <x v="846"/>
    </i>
    <i r="5">
      <x v="852"/>
    </i>
    <i r="5">
      <x v="855"/>
    </i>
    <i r="5">
      <x v="857"/>
    </i>
    <i r="5">
      <x v="858"/>
    </i>
    <i r="5">
      <x v="890"/>
    </i>
    <i r="5">
      <x v="895"/>
    </i>
    <i r="5">
      <x v="899"/>
    </i>
    <i r="5">
      <x v="904"/>
    </i>
    <i r="5">
      <x v="910"/>
    </i>
    <i r="5">
      <x v="911"/>
    </i>
    <i r="1">
      <x v="221"/>
      <x v="221"/>
      <x v="79"/>
      <x v="206"/>
      <x v="396"/>
    </i>
    <i r="3">
      <x v="112"/>
      <x v="206"/>
      <x v="925"/>
    </i>
    <i r="5">
      <x v="930"/>
    </i>
    <i r="5">
      <x v="1050"/>
    </i>
    <i r="3">
      <x v="133"/>
      <x v="206"/>
      <x v="833"/>
    </i>
    <i r="5">
      <x v="834"/>
    </i>
    <i r="5">
      <x v="851"/>
    </i>
    <i r="5">
      <x v="853"/>
    </i>
    <i r="5">
      <x v="854"/>
    </i>
    <i r="5">
      <x v="871"/>
    </i>
    <i r="5">
      <x v="874"/>
    </i>
    <i r="5">
      <x v="875"/>
    </i>
    <i r="5">
      <x v="885"/>
    </i>
    <i r="5">
      <x v="886"/>
    </i>
    <i r="5">
      <x v="887"/>
    </i>
    <i r="5">
      <x v="889"/>
    </i>
    <i r="5">
      <x v="898"/>
    </i>
    <i r="1">
      <x v="292"/>
      <x v="292"/>
      <x v="99"/>
      <x v="260"/>
      <x v="434"/>
    </i>
    <i r="5">
      <x v="511"/>
    </i>
    <i r="5">
      <x v="560"/>
    </i>
    <i r="5">
      <x v="561"/>
    </i>
    <i r="3">
      <x v="107"/>
      <x v="260"/>
      <x v="289"/>
    </i>
    <i r="5">
      <x v="368"/>
    </i>
    <i r="1">
      <x v="304"/>
      <x v="304"/>
      <x v="61"/>
      <x v="269"/>
      <x v="302"/>
    </i>
    <i r="5">
      <x v="387"/>
    </i>
    <i r="3">
      <x v="134"/>
      <x v="269"/>
      <x v="697"/>
    </i>
    <i r="5">
      <x v="888"/>
    </i>
    <i r="1">
      <x v="333"/>
      <x v="333"/>
      <x v="99"/>
      <x v="296"/>
      <x v="971"/>
    </i>
    <i r="3">
      <x v="107"/>
      <x v="296"/>
      <x v="923"/>
    </i>
    <i r="1">
      <x v="363"/>
      <x v="363"/>
      <x v="61"/>
      <x v="413"/>
      <x v="371"/>
    </i>
    <i>
      <x v="4"/>
      <x v="305"/>
      <x v="305"/>
      <x v="165"/>
      <x v="270"/>
      <x v="947"/>
    </i>
    <i r="1">
      <x v="369"/>
      <x v="369"/>
      <x v="172"/>
      <x v="325"/>
      <x v="991"/>
    </i>
    <i r="5">
      <x v="1063"/>
    </i>
    <i r="1">
      <x v="373"/>
      <x v="373"/>
      <x v="72"/>
      <x v="475"/>
      <x v="388"/>
    </i>
    <i r="1">
      <x v="470"/>
      <x v="470"/>
      <x v="122"/>
      <x v="430"/>
      <x v="544"/>
    </i>
    <i>
      <x v="5"/>
      <x v="73"/>
      <x v="73"/>
      <x v="63"/>
      <x v="375"/>
      <x v="296"/>
    </i>
    <i r="3">
      <x v="119"/>
      <x v="375"/>
      <x v="529"/>
    </i>
    <i r="3">
      <x v="150"/>
      <x v="375"/>
      <x v="883"/>
    </i>
    <i r="5">
      <x v="922"/>
    </i>
    <i r="1">
      <x v="123"/>
      <x v="123"/>
      <x v="94"/>
      <x v="356"/>
      <x v="108"/>
    </i>
    <i r="5">
      <x v="118"/>
    </i>
    <i r="5">
      <x v="124"/>
    </i>
    <i r="1">
      <x v="133"/>
      <x v="133"/>
      <x v="94"/>
      <x v="357"/>
      <x v="120"/>
    </i>
    <i r="1">
      <x v="193"/>
      <x v="193"/>
      <x v="94"/>
      <x v="600"/>
      <x v="893"/>
    </i>
    <i r="1">
      <x v="200"/>
      <x v="200"/>
      <x v="94"/>
      <x v="597"/>
      <x v="882"/>
    </i>
    <i r="3">
      <x v="108"/>
      <x v="597"/>
      <x v="992"/>
    </i>
    <i r="1">
      <x v="214"/>
      <x v="214"/>
      <x v="63"/>
      <x v="454"/>
      <x v="384"/>
    </i>
    <i r="3">
      <x v="108"/>
      <x v="454"/>
      <x v="1054"/>
    </i>
    <i r="1">
      <x v="224"/>
      <x v="224"/>
      <x v="63"/>
      <x v="412"/>
      <x v="370"/>
    </i>
    <i r="3">
      <x v="94"/>
      <x v="412"/>
      <x v="723"/>
    </i>
    <i r="5">
      <x v="843"/>
    </i>
    <i r="5">
      <x v="869"/>
    </i>
    <i r="1">
      <x v="232"/>
      <x v="232"/>
      <x v="55"/>
      <x v="369"/>
      <x v="221"/>
    </i>
    <i r="1">
      <x v="248"/>
      <x v="248"/>
      <x v="63"/>
      <x v="427"/>
      <x v="376"/>
    </i>
    <i r="5">
      <x v="377"/>
    </i>
    <i r="5">
      <x v="378"/>
    </i>
    <i r="3">
      <x v="94"/>
      <x v="427"/>
      <x v="641"/>
    </i>
    <i r="5">
      <x v="724"/>
    </i>
    <i r="5">
      <x v="892"/>
    </i>
    <i r="1">
      <x v="253"/>
      <x v="253"/>
      <x v="94"/>
      <x v="483"/>
      <x v="630"/>
    </i>
    <i r="5">
      <x v="907"/>
    </i>
    <i r="1">
      <x v="263"/>
      <x v="263"/>
      <x v="94"/>
      <x v="596"/>
      <x v="881"/>
    </i>
    <i r="3">
      <x v="150"/>
      <x v="596"/>
      <x v="942"/>
    </i>
    <i r="3">
      <x v="176"/>
      <x v="596"/>
      <x v="1045"/>
    </i>
    <i r="5">
      <x v="1087"/>
    </i>
    <i r="1">
      <x v="297"/>
      <x v="297"/>
      <x v="94"/>
      <x v="374"/>
      <x v="850"/>
    </i>
    <i r="3">
      <x v="108"/>
      <x v="374"/>
      <x v="294"/>
    </i>
    <i r="5">
      <x v="367"/>
    </i>
    <i r="1">
      <x v="299"/>
      <x v="299"/>
      <x v="62"/>
      <x v="376"/>
      <x v="297"/>
    </i>
    <i r="3">
      <x v="63"/>
      <x v="376"/>
      <x v="382"/>
    </i>
    <i r="3">
      <x v="94"/>
      <x v="376"/>
      <x v="844"/>
    </i>
    <i r="3">
      <x v="108"/>
      <x v="376"/>
      <x v="946"/>
    </i>
    <i r="1">
      <x v="332"/>
      <x v="332"/>
      <x v="108"/>
      <x v="650"/>
      <x v="1024"/>
    </i>
    <i r="1">
      <x v="362"/>
      <x v="362"/>
      <x v="94"/>
      <x v="552"/>
      <x v="776"/>
    </i>
    <i r="3">
      <x v="108"/>
      <x v="552"/>
      <x v="1006"/>
    </i>
    <i r="1">
      <x v="366"/>
      <x v="366"/>
      <x v="63"/>
      <x v="423"/>
      <x v="373"/>
    </i>
    <i r="5">
      <x v="385"/>
    </i>
    <i r="1">
      <x v="370"/>
      <x v="370"/>
      <x v="63"/>
      <x v="453"/>
      <x v="383"/>
    </i>
    <i r="1">
      <x v="380"/>
      <x v="380"/>
      <x v="78"/>
      <x v="334"/>
      <x v="395"/>
    </i>
    <i r="1">
      <x v="389"/>
      <x v="389"/>
      <x v="84"/>
      <x v="343"/>
      <x v="407"/>
    </i>
    <i r="3">
      <x v="94"/>
      <x v="343"/>
      <x v="673"/>
    </i>
    <i r="1">
      <x v="538"/>
      <x v="538"/>
      <x v="94"/>
      <x v="495"/>
      <x v="656"/>
    </i>
    <i r="1">
      <x v="551"/>
      <x v="551"/>
      <x v="94"/>
      <x v="508"/>
      <x v="682"/>
    </i>
    <i r="1">
      <x v="605"/>
      <x v="605"/>
      <x v="94"/>
      <x v="555"/>
      <x v="781"/>
    </i>
    <i r="1">
      <x v="611"/>
      <x v="611"/>
      <x v="94"/>
      <x v="559"/>
      <x v="794"/>
    </i>
    <i r="1">
      <x v="616"/>
      <x v="616"/>
      <x v="94"/>
      <x v="564"/>
      <x v="806"/>
    </i>
    <i r="3">
      <x v="108"/>
      <x v="564"/>
      <x v="1038"/>
    </i>
    <i r="5">
      <x v="1046"/>
    </i>
    <i r="1">
      <x v="619"/>
      <x v="619"/>
      <x v="94"/>
      <x v="566"/>
      <x v="814"/>
    </i>
    <i r="5">
      <x v="880"/>
    </i>
    <i r="3">
      <x v="108"/>
      <x v="566"/>
      <x v="829"/>
    </i>
    <i r="1">
      <x v="638"/>
      <x v="638"/>
      <x v="94"/>
      <x v="583"/>
      <x v="839"/>
    </i>
    <i r="1">
      <x v="654"/>
      <x v="654"/>
      <x v="94"/>
      <x v="601"/>
      <x v="894"/>
    </i>
    <i r="1">
      <x v="708"/>
      <x v="708"/>
      <x v="108"/>
      <x v="653"/>
      <x v="1030"/>
    </i>
    <i r="1">
      <x v="732"/>
      <x v="732"/>
      <x v="176"/>
      <x v="677"/>
      <x v="1084"/>
    </i>
    <i>
      <x v="6"/>
      <x v="306"/>
      <x v="306"/>
      <x v="66"/>
      <x v="271"/>
      <x v="304"/>
    </i>
    <i r="1">
      <x v="361"/>
      <x v="361"/>
      <x v="182"/>
      <x v="320"/>
      <x v="1109"/>
    </i>
    <i r="1">
      <x v="736"/>
      <x v="736"/>
      <x v="182"/>
      <x v="681"/>
      <x v="1092"/>
    </i>
    <i r="1">
      <x v="746"/>
      <x v="746"/>
      <x v="182"/>
      <x v="691"/>
      <x v="1110"/>
    </i>
    <i r="5">
      <x v="1120"/>
    </i>
    <i>
      <x v="7"/>
      <x v="381"/>
      <x v="381"/>
      <x v="80"/>
      <x v="335"/>
      <x v="397"/>
    </i>
    <i r="1">
      <x v="386"/>
      <x v="386"/>
      <x v="82"/>
      <x v="340"/>
      <x v="403"/>
    </i>
    <i r="1">
      <x v="622"/>
      <x v="622"/>
      <x v="143"/>
      <x v="567"/>
      <x v="819"/>
    </i>
    <i>
      <x v="8"/>
      <x v="342"/>
      <x v="342"/>
      <x v="68"/>
      <x v="301"/>
      <x v="349"/>
    </i>
    <i r="1">
      <x v="394"/>
      <x v="394"/>
      <x v="90"/>
      <x v="348"/>
      <x v="415"/>
    </i>
    <i r="1">
      <x v="667"/>
      <x v="667"/>
      <x v="158"/>
      <x v="613"/>
      <x v="918"/>
    </i>
    <i r="1">
      <x v="718"/>
      <x v="718"/>
      <x v="178"/>
      <x v="663"/>
      <x v="1058"/>
    </i>
    <i>
      <x v="9"/>
      <x v="2"/>
      <x v="2"/>
      <x/>
      <x v="2"/>
      <x/>
    </i>
    <i r="3">
      <x v="98"/>
      <x v="2"/>
      <x v="765"/>
    </i>
    <i r="1">
      <x v="3"/>
      <x v="3"/>
      <x/>
      <x v="3"/>
      <x v="1"/>
    </i>
    <i r="1">
      <x v="4"/>
      <x v="4"/>
      <x/>
      <x v="4"/>
      <x v="2"/>
    </i>
    <i r="1">
      <x v="5"/>
      <x v="5"/>
      <x/>
      <x v="5"/>
      <x v="3"/>
    </i>
    <i r="1">
      <x v="6"/>
      <x v="6"/>
      <x/>
      <x v="6"/>
      <x v="4"/>
    </i>
    <i r="1">
      <x v="7"/>
      <x v="7"/>
      <x/>
      <x v="7"/>
      <x v="5"/>
    </i>
    <i r="3">
      <x v="30"/>
      <x v="7"/>
      <x v="81"/>
    </i>
    <i r="3">
      <x v="44"/>
      <x v="7"/>
      <x v="194"/>
    </i>
    <i r="3">
      <x v="98"/>
      <x v="7"/>
      <x v="623"/>
    </i>
    <i r="1">
      <x v="8"/>
      <x v="8"/>
      <x v="1"/>
      <x v="8"/>
      <x v="6"/>
    </i>
    <i r="1">
      <x v="10"/>
      <x v="10"/>
      <x v="1"/>
      <x v="10"/>
      <x v="7"/>
    </i>
    <i r="1">
      <x v="11"/>
      <x v="11"/>
      <x v="1"/>
      <x v="11"/>
      <x v="8"/>
    </i>
    <i r="1">
      <x v="14"/>
      <x v="14"/>
      <x v="4"/>
      <x v="14"/>
      <x v="11"/>
    </i>
    <i r="3">
      <x v="44"/>
      <x v="14"/>
      <x v="161"/>
    </i>
    <i r="5">
      <x v="162"/>
    </i>
    <i r="1">
      <x v="23"/>
      <x v="23"/>
      <x v="116"/>
      <x v="23"/>
      <x v="493"/>
    </i>
    <i r="1">
      <x v="24"/>
      <x v="24"/>
      <x v="75"/>
      <x v="24"/>
      <x v="406"/>
    </i>
    <i r="3">
      <x v="116"/>
      <x v="24"/>
      <x v="583"/>
    </i>
    <i r="5">
      <x v="1056"/>
    </i>
    <i r="1">
      <x v="25"/>
      <x v="25"/>
      <x v="14"/>
      <x v="25"/>
      <x v="20"/>
    </i>
    <i r="1">
      <x v="26"/>
      <x v="26"/>
      <x v="14"/>
      <x v="26"/>
      <x v="21"/>
    </i>
    <i r="1">
      <x v="27"/>
      <x v="27"/>
      <x v="98"/>
      <x v="28"/>
      <x v="510"/>
    </i>
    <i r="1">
      <x v="28"/>
      <x v="28"/>
      <x v="16"/>
      <x v="30"/>
      <x v="22"/>
    </i>
    <i r="1">
      <x v="30"/>
      <x v="30"/>
      <x v="20"/>
      <x v="33"/>
      <x v="27"/>
    </i>
    <i r="1">
      <x v="31"/>
      <x v="31"/>
      <x v="98"/>
      <x v="34"/>
      <x v="578"/>
    </i>
    <i r="1">
      <x v="32"/>
      <x v="32"/>
      <x v="18"/>
      <x v="35"/>
      <x v="24"/>
    </i>
    <i r="1">
      <x v="33"/>
      <x v="33"/>
      <x v="19"/>
      <x v="36"/>
      <x v="25"/>
    </i>
    <i r="1">
      <x v="34"/>
      <x v="34"/>
      <x v="20"/>
      <x v="37"/>
      <x v="26"/>
    </i>
    <i r="1">
      <x v="35"/>
      <x v="35"/>
      <x v="20"/>
      <x v="38"/>
      <x v="28"/>
    </i>
    <i r="1">
      <x v="36"/>
      <x v="36"/>
      <x v="20"/>
      <x v="39"/>
      <x v="29"/>
    </i>
    <i r="1">
      <x v="37"/>
      <x v="37"/>
      <x v="20"/>
      <x v="40"/>
      <x v="30"/>
    </i>
    <i r="1">
      <x v="38"/>
      <x v="38"/>
      <x v="21"/>
      <x v="42"/>
      <x v="31"/>
    </i>
    <i r="1">
      <x v="39"/>
      <x v="39"/>
      <x v="21"/>
      <x/>
      <x v="32"/>
    </i>
    <i r="1">
      <x v="40"/>
      <x v="40"/>
      <x v="44"/>
      <x v="43"/>
      <x v="129"/>
    </i>
    <i r="1">
      <x v="41"/>
      <x v="41"/>
      <x v="20"/>
      <x v="44"/>
      <x v="33"/>
    </i>
    <i r="1">
      <x v="42"/>
      <x v="42"/>
      <x v="18"/>
      <x v="45"/>
      <x v="34"/>
    </i>
    <i r="1">
      <x v="43"/>
      <x v="43"/>
      <x v="22"/>
      <x v="46"/>
      <x v="35"/>
    </i>
    <i r="1">
      <x v="44"/>
      <x v="44"/>
      <x v="21"/>
      <x v="47"/>
      <x v="36"/>
    </i>
    <i r="1">
      <x v="45"/>
      <x v="45"/>
      <x v="21"/>
      <x v="48"/>
      <x v="37"/>
    </i>
    <i r="1">
      <x v="46"/>
      <x v="46"/>
      <x v="21"/>
      <x v="353"/>
      <x v="38"/>
    </i>
    <i r="1">
      <x v="47"/>
      <x v="47"/>
      <x v="22"/>
      <x v="49"/>
      <x v="39"/>
    </i>
    <i r="1">
      <x v="48"/>
      <x v="48"/>
      <x v="23"/>
      <x v="50"/>
      <x v="40"/>
    </i>
    <i r="1">
      <x v="49"/>
      <x v="49"/>
      <x v="15"/>
      <x v="51"/>
      <x v="41"/>
    </i>
    <i r="1">
      <x v="50"/>
      <x v="50"/>
      <x v="15"/>
      <x v="52"/>
      <x v="42"/>
    </i>
    <i r="1">
      <x v="51"/>
      <x v="51"/>
      <x v="15"/>
      <x v="53"/>
      <x v="43"/>
    </i>
    <i r="3">
      <x v="24"/>
      <x v="53"/>
      <x v="48"/>
    </i>
    <i r="1">
      <x v="52"/>
      <x v="52"/>
      <x v="15"/>
      <x v="54"/>
      <x v="44"/>
    </i>
    <i r="1">
      <x v="53"/>
      <x v="53"/>
      <x v="15"/>
      <x v="55"/>
      <x v="45"/>
    </i>
    <i r="1">
      <x v="54"/>
      <x v="54"/>
      <x v="15"/>
      <x v="56"/>
      <x v="46"/>
    </i>
    <i r="1">
      <x v="55"/>
      <x v="55"/>
      <x v="23"/>
      <x v="57"/>
      <x v="47"/>
    </i>
    <i r="3">
      <x v="27"/>
      <x v="57"/>
      <x v="52"/>
    </i>
    <i r="1">
      <x v="56"/>
      <x v="56"/>
      <x v="23"/>
      <x v="58"/>
      <x v="49"/>
    </i>
    <i r="1">
      <x v="57"/>
      <x v="57"/>
      <x v="98"/>
      <x v="60"/>
      <x v="507"/>
    </i>
    <i r="1">
      <x v="59"/>
      <x v="59"/>
      <x v="23"/>
      <x v="61"/>
      <x v="51"/>
    </i>
    <i r="3">
      <x v="30"/>
      <x v="61"/>
      <x v="103"/>
    </i>
    <i r="1">
      <x v="60"/>
      <x v="60"/>
      <x v="29"/>
      <x v="63"/>
      <x v="53"/>
    </i>
    <i r="1">
      <x v="61"/>
      <x v="61"/>
      <x v="25"/>
      <x v="64"/>
      <x v="54"/>
    </i>
    <i r="1">
      <x v="62"/>
      <x v="62"/>
      <x v="29"/>
      <x v="65"/>
      <x v="55"/>
    </i>
    <i r="1">
      <x v="63"/>
      <x v="63"/>
      <x v="30"/>
      <x v="55"/>
      <x v="56"/>
    </i>
    <i r="1">
      <x v="64"/>
      <x v="64"/>
      <x v="29"/>
      <x v="66"/>
      <x v="57"/>
    </i>
    <i r="1">
      <x v="67"/>
      <x v="67"/>
      <x v="29"/>
      <x v="68"/>
      <x v="60"/>
    </i>
    <i r="1">
      <x v="68"/>
      <x v="68"/>
      <x v="29"/>
      <x v="69"/>
      <x v="61"/>
    </i>
    <i r="1">
      <x v="69"/>
      <x v="69"/>
      <x v="29"/>
      <x v="70"/>
      <x v="62"/>
    </i>
    <i r="1">
      <x v="70"/>
      <x v="70"/>
      <x v="29"/>
      <x v="71"/>
      <x v="63"/>
    </i>
    <i r="1">
      <x v="71"/>
      <x v="71"/>
      <x v="29"/>
      <x v="72"/>
      <x v="64"/>
    </i>
    <i r="5">
      <x v="65"/>
    </i>
    <i r="1">
      <x v="72"/>
      <x v="72"/>
      <x v="27"/>
      <x v="28"/>
      <x v="66"/>
    </i>
    <i r="1">
      <x v="74"/>
      <x v="74"/>
      <x v="33"/>
      <x v="74"/>
      <x v="67"/>
    </i>
    <i r="1">
      <x v="75"/>
      <x v="75"/>
      <x v="33"/>
      <x v="75"/>
      <x v="68"/>
    </i>
    <i r="1">
      <x v="76"/>
      <x v="76"/>
      <x v="28"/>
      <x v="76"/>
      <x v="69"/>
    </i>
    <i r="1">
      <x v="77"/>
      <x v="77"/>
      <x v="28"/>
      <x v="77"/>
      <x v="70"/>
    </i>
    <i r="1">
      <x v="78"/>
      <x v="78"/>
      <x v="28"/>
      <x v="78"/>
      <x v="71"/>
    </i>
    <i r="5">
      <x v="77"/>
    </i>
    <i r="1">
      <x v="79"/>
      <x v="79"/>
      <x v="28"/>
      <x v="79"/>
      <x v="72"/>
    </i>
    <i r="1">
      <x v="80"/>
      <x v="80"/>
      <x v="28"/>
      <x v="80"/>
      <x v="73"/>
    </i>
    <i r="1">
      <x v="81"/>
      <x v="81"/>
      <x v="28"/>
      <x v="81"/>
      <x v="74"/>
    </i>
    <i r="1">
      <x v="83"/>
      <x v="83"/>
      <x v="28"/>
      <x v="83"/>
      <x v="75"/>
    </i>
    <i r="1">
      <x v="84"/>
      <x v="84"/>
      <x v="28"/>
      <x v="84"/>
      <x v="76"/>
    </i>
    <i r="1">
      <x v="85"/>
      <x v="85"/>
      <x v="28"/>
      <x v="85"/>
      <x v="78"/>
    </i>
    <i r="1">
      <x v="86"/>
      <x v="86"/>
      <x v="34"/>
      <x v="86"/>
      <x v="79"/>
    </i>
    <i r="1">
      <x v="87"/>
      <x v="87"/>
      <x v="25"/>
      <x v="87"/>
      <x v="80"/>
    </i>
    <i r="1">
      <x v="88"/>
      <x v="88"/>
      <x v="25"/>
      <x v="91"/>
      <x v="82"/>
    </i>
    <i r="1">
      <x v="89"/>
      <x v="89"/>
      <x v="36"/>
      <x v="92"/>
      <x v="115"/>
    </i>
    <i r="1">
      <x v="90"/>
      <x v="90"/>
      <x v="30"/>
      <x v="93"/>
      <x v="83"/>
    </i>
    <i r="5">
      <x v="84"/>
    </i>
    <i r="1">
      <x v="91"/>
      <x v="91"/>
      <x v="30"/>
      <x v="94"/>
      <x v="85"/>
    </i>
    <i r="3">
      <x v="44"/>
      <x v="94"/>
      <x v="174"/>
    </i>
    <i r="1">
      <x v="92"/>
      <x v="92"/>
      <x v="44"/>
      <x v="88"/>
      <x v="180"/>
    </i>
    <i r="5">
      <x v="197"/>
    </i>
    <i r="1">
      <x v="94"/>
      <x v="94"/>
      <x v="25"/>
      <x v="37"/>
      <x v="86"/>
    </i>
    <i r="1">
      <x v="95"/>
      <x v="95"/>
      <x v="58"/>
      <x v="88"/>
      <x v="343"/>
    </i>
    <i r="1">
      <x v="97"/>
      <x v="97"/>
      <x v="30"/>
      <x v="103"/>
      <x v="88"/>
    </i>
    <i r="1">
      <x v="98"/>
      <x v="98"/>
      <x v="30"/>
      <x v="104"/>
      <x v="89"/>
    </i>
    <i r="1">
      <x v="100"/>
      <x v="100"/>
      <x v="30"/>
      <x v="107"/>
      <x v="90"/>
    </i>
    <i r="1">
      <x v="101"/>
      <x v="101"/>
      <x v="44"/>
      <x v="108"/>
      <x v="170"/>
    </i>
    <i r="1">
      <x v="102"/>
      <x v="102"/>
      <x v="30"/>
      <x v="109"/>
      <x v="91"/>
    </i>
    <i r="1">
      <x v="103"/>
      <x v="103"/>
      <x v="30"/>
      <x v="110"/>
      <x v="92"/>
    </i>
    <i r="1">
      <x v="104"/>
      <x v="104"/>
      <x v="30"/>
      <x v="111"/>
      <x v="93"/>
    </i>
    <i r="1">
      <x v="105"/>
      <x v="105"/>
      <x v="98"/>
      <x v="112"/>
      <x v="594"/>
    </i>
    <i r="1">
      <x v="106"/>
      <x v="106"/>
      <x v="30"/>
      <x v="113"/>
      <x v="94"/>
    </i>
    <i r="1">
      <x v="107"/>
      <x v="107"/>
      <x v="30"/>
      <x v="115"/>
      <x v="95"/>
    </i>
    <i r="1">
      <x v="108"/>
      <x v="108"/>
      <x v="30"/>
      <x v="116"/>
      <x v="96"/>
    </i>
    <i r="1">
      <x v="109"/>
      <x v="109"/>
      <x v="30"/>
      <x v="113"/>
      <x v="97"/>
    </i>
    <i r="3">
      <x v="37"/>
      <x v="113"/>
      <x v="110"/>
    </i>
    <i r="1">
      <x v="110"/>
      <x v="110"/>
      <x v="30"/>
      <x v="117"/>
      <x v="98"/>
    </i>
    <i r="1">
      <x v="111"/>
      <x v="111"/>
      <x v="30"/>
      <x v="118"/>
      <x v="99"/>
    </i>
    <i r="1">
      <x v="112"/>
      <x v="112"/>
      <x v="30"/>
      <x v="119"/>
      <x v="100"/>
    </i>
    <i r="1">
      <x v="113"/>
      <x v="113"/>
      <x v="30"/>
      <x v="120"/>
      <x v="101"/>
    </i>
    <i r="3">
      <x v="44"/>
      <x v="120"/>
      <x v="230"/>
    </i>
    <i r="1">
      <x v="114"/>
      <x v="114"/>
      <x v="30"/>
      <x v="121"/>
      <x v="102"/>
    </i>
    <i r="1">
      <x v="115"/>
      <x v="115"/>
      <x v="30"/>
      <x v="122"/>
      <x v="104"/>
    </i>
    <i r="1">
      <x v="116"/>
      <x v="116"/>
      <x v="30"/>
      <x v="88"/>
      <x v="105"/>
    </i>
    <i r="3">
      <x v="40"/>
      <x v="88"/>
      <x v="114"/>
    </i>
    <i r="1">
      <x v="117"/>
      <x v="117"/>
      <x v="44"/>
      <x v="96"/>
      <x v="160"/>
    </i>
    <i r="3">
      <x v="49"/>
      <x v="96"/>
      <x v="199"/>
    </i>
    <i r="1">
      <x v="118"/>
      <x v="118"/>
      <x v="44"/>
      <x v="95"/>
      <x v="155"/>
    </i>
    <i r="3">
      <x v="98"/>
      <x v="95"/>
      <x v="461"/>
    </i>
    <i r="5">
      <x v="477"/>
    </i>
    <i r="5">
      <x v="488"/>
    </i>
    <i r="1">
      <x v="119"/>
      <x v="119"/>
      <x v="30"/>
      <x v="109"/>
      <x v="106"/>
    </i>
    <i r="1">
      <x v="120"/>
      <x v="120"/>
      <x v="30"/>
      <x v="126"/>
      <x v="107"/>
    </i>
    <i r="1">
      <x v="121"/>
      <x v="121"/>
      <x v="58"/>
      <x v="123"/>
      <x v="278"/>
    </i>
    <i r="1">
      <x v="124"/>
      <x v="124"/>
      <x v="36"/>
      <x v="128"/>
      <x v="123"/>
    </i>
    <i r="3">
      <x v="37"/>
      <x v="128"/>
      <x v="109"/>
    </i>
    <i r="3">
      <x v="98"/>
      <x v="128"/>
      <x v="490"/>
    </i>
    <i r="1">
      <x v="125"/>
      <x v="125"/>
      <x v="98"/>
      <x v="102"/>
      <x v="494"/>
    </i>
    <i r="5">
      <x v="615"/>
    </i>
    <i r="1">
      <x v="126"/>
      <x v="126"/>
      <x v="38"/>
      <x v="129"/>
      <x v="111"/>
    </i>
    <i r="5">
      <x v="112"/>
    </i>
    <i r="5">
      <x v="113"/>
    </i>
    <i r="1">
      <x v="127"/>
      <x v="127"/>
      <x v="44"/>
      <x v="89"/>
      <x v="166"/>
    </i>
    <i r="1">
      <x v="129"/>
      <x v="129"/>
      <x v="36"/>
      <x v="113"/>
      <x v="117"/>
    </i>
    <i r="1">
      <x v="130"/>
      <x v="130"/>
      <x v="36"/>
      <x v="131"/>
      <x v="119"/>
    </i>
    <i r="1">
      <x v="131"/>
      <x v="131"/>
      <x v="116"/>
      <x v="132"/>
      <x v="952"/>
    </i>
    <i r="1">
      <x v="132"/>
      <x v="132"/>
      <x v="36"/>
      <x v="133"/>
      <x v="131"/>
    </i>
    <i r="3">
      <x v="98"/>
      <x v="133"/>
      <x v="648"/>
    </i>
    <i r="1">
      <x v="134"/>
      <x v="134"/>
      <x v="58"/>
      <x v="134"/>
      <x v="209"/>
    </i>
    <i r="3">
      <x v="98"/>
      <x v="134"/>
      <x v="540"/>
    </i>
    <i r="5">
      <x v="541"/>
    </i>
    <i r="1">
      <x v="135"/>
      <x v="135"/>
      <x v="98"/>
      <x v="135"/>
      <x v="542"/>
    </i>
    <i r="1">
      <x v="136"/>
      <x v="136"/>
      <x v="36"/>
      <x v="136"/>
      <x v="121"/>
    </i>
    <i r="1">
      <x v="137"/>
      <x v="137"/>
      <x v="36"/>
      <x v="137"/>
      <x v="122"/>
    </i>
    <i r="1">
      <x v="138"/>
      <x v="138"/>
      <x v="36"/>
      <x v="139"/>
      <x v="125"/>
    </i>
    <i r="1">
      <x v="139"/>
      <x v="139"/>
      <x v="36"/>
      <x v="113"/>
      <x v="126"/>
    </i>
    <i r="1">
      <x v="140"/>
      <x v="140"/>
      <x v="44"/>
      <x v="140"/>
      <x v="149"/>
    </i>
    <i r="3">
      <x v="98"/>
      <x v="140"/>
      <x v="589"/>
    </i>
    <i r="1">
      <x v="141"/>
      <x v="141"/>
      <x v="116"/>
      <x v="114"/>
      <x v="791"/>
    </i>
    <i r="1">
      <x v="142"/>
      <x v="142"/>
      <x v="36"/>
      <x v="141"/>
      <x v="127"/>
    </i>
    <i r="3">
      <x v="98"/>
      <x v="141"/>
      <x v="579"/>
    </i>
    <i r="1">
      <x v="143"/>
      <x v="143"/>
      <x v="58"/>
      <x v="142"/>
      <x v="330"/>
    </i>
    <i r="1">
      <x v="144"/>
      <x v="144"/>
      <x v="98"/>
      <x v="143"/>
      <x v="646"/>
    </i>
    <i r="1">
      <x v="146"/>
      <x v="146"/>
      <x v="98"/>
      <x v="41"/>
      <x v="712"/>
    </i>
    <i r="1">
      <x v="147"/>
      <x v="147"/>
      <x v="98"/>
      <x v="145"/>
      <x v="661"/>
    </i>
    <i r="1">
      <x v="151"/>
      <x v="151"/>
      <x v="36"/>
      <x v="151"/>
      <x v="136"/>
    </i>
    <i r="1">
      <x v="152"/>
      <x v="152"/>
      <x v="98"/>
      <x v="152"/>
      <x v="473"/>
    </i>
    <i r="1">
      <x v="153"/>
      <x v="153"/>
      <x v="44"/>
      <x v="153"/>
      <x v="138"/>
    </i>
    <i r="5">
      <x v="159"/>
    </i>
    <i r="1">
      <x v="154"/>
      <x v="154"/>
      <x v="43"/>
      <x v="154"/>
      <x v="139"/>
    </i>
    <i r="1">
      <x v="155"/>
      <x v="155"/>
      <x v="49"/>
      <x v="102"/>
      <x v="228"/>
    </i>
    <i r="1">
      <x v="160"/>
      <x v="160"/>
      <x v="44"/>
      <x v="160"/>
      <x v="147"/>
    </i>
    <i r="1">
      <x v="161"/>
      <x v="161"/>
      <x v="44"/>
      <x v="106"/>
      <x v="148"/>
    </i>
    <i r="1">
      <x v="162"/>
      <x v="162"/>
      <x v="44"/>
      <x v="361"/>
      <x v="150"/>
    </i>
    <i r="1">
      <x v="164"/>
      <x v="164"/>
      <x v="44"/>
      <x v="162"/>
      <x v="152"/>
    </i>
    <i r="1">
      <x v="165"/>
      <x v="165"/>
      <x v="44"/>
      <x v="163"/>
      <x v="153"/>
    </i>
    <i r="1">
      <x v="166"/>
      <x v="166"/>
      <x v="44"/>
      <x v="164"/>
      <x v="154"/>
    </i>
    <i r="1">
      <x v="170"/>
      <x v="170"/>
      <x v="44"/>
      <x v="113"/>
      <x v="156"/>
    </i>
    <i r="1">
      <x v="172"/>
      <x v="172"/>
      <x v="44"/>
      <x v="169"/>
      <x v="158"/>
    </i>
    <i r="1">
      <x v="173"/>
      <x v="173"/>
      <x v="44"/>
      <x v="170"/>
      <x v="163"/>
    </i>
    <i r="1">
      <x v="174"/>
      <x v="174"/>
      <x v="44"/>
      <x v="114"/>
      <x v="164"/>
    </i>
    <i r="1">
      <x v="175"/>
      <x v="175"/>
      <x v="44"/>
      <x v="171"/>
      <x v="165"/>
    </i>
    <i r="3">
      <x v="98"/>
      <x v="171"/>
      <x v="539"/>
    </i>
    <i r="1">
      <x v="176"/>
      <x v="176"/>
      <x v="44"/>
      <x v="172"/>
      <x v="167"/>
    </i>
    <i r="1">
      <x v="177"/>
      <x v="177"/>
      <x v="44"/>
      <x v="27"/>
      <x v="168"/>
    </i>
    <i r="1">
      <x v="178"/>
      <x v="178"/>
      <x v="44"/>
      <x v="173"/>
      <x v="169"/>
    </i>
    <i r="1">
      <x v="179"/>
      <x v="179"/>
      <x v="44"/>
      <x v="174"/>
      <x v="171"/>
    </i>
    <i r="1">
      <x v="180"/>
      <x v="180"/>
      <x v="44"/>
      <x v="175"/>
      <x v="172"/>
    </i>
    <i r="1">
      <x v="181"/>
      <x v="181"/>
      <x v="44"/>
      <x v="138"/>
      <x v="173"/>
    </i>
    <i r="1">
      <x v="185"/>
      <x v="185"/>
      <x v="44"/>
      <x v="180"/>
      <x v="176"/>
    </i>
    <i r="1">
      <x v="186"/>
      <x v="186"/>
      <x v="44"/>
      <x v="101"/>
      <x v="177"/>
    </i>
    <i r="1">
      <x v="187"/>
      <x v="187"/>
      <x v="44"/>
      <x v="182"/>
      <x v="178"/>
    </i>
    <i r="1">
      <x v="188"/>
      <x v="188"/>
      <x v="44"/>
      <x v="183"/>
      <x v="179"/>
    </i>
    <i r="1">
      <x v="189"/>
      <x v="189"/>
      <x v="44"/>
      <x v="184"/>
      <x v="181"/>
    </i>
    <i r="1">
      <x v="190"/>
      <x v="190"/>
      <x v="44"/>
      <x v="90"/>
      <x v="182"/>
    </i>
    <i r="1">
      <x v="191"/>
      <x v="191"/>
      <x v="44"/>
      <x v="74"/>
      <x v="183"/>
    </i>
    <i r="1">
      <x v="194"/>
      <x v="194"/>
      <x v="44"/>
      <x v="114"/>
      <x v="184"/>
    </i>
    <i r="1">
      <x v="201"/>
      <x v="201"/>
      <x v="44"/>
      <x v="190"/>
      <x v="189"/>
    </i>
    <i r="1">
      <x v="202"/>
      <x v="202"/>
      <x v="44"/>
      <x v="191"/>
      <x v="190"/>
    </i>
    <i r="3">
      <x v="116"/>
      <x v="191"/>
      <x v="1078"/>
    </i>
    <i r="1">
      <x v="203"/>
      <x v="203"/>
      <x v="44"/>
      <x v="192"/>
      <x v="191"/>
    </i>
    <i r="1">
      <x v="204"/>
      <x v="204"/>
      <x v="44"/>
      <x v="193"/>
      <x v="192"/>
    </i>
    <i r="3">
      <x v="98"/>
      <x v="193"/>
      <x v="588"/>
    </i>
    <i r="5">
      <x v="717"/>
    </i>
    <i r="1">
      <x v="205"/>
      <x v="205"/>
      <x v="44"/>
      <x v="194"/>
      <x v="193"/>
    </i>
    <i r="3">
      <x v="98"/>
      <x v="194"/>
      <x v="644"/>
    </i>
    <i r="1">
      <x v="207"/>
      <x v="207"/>
      <x v="44"/>
      <x v="196"/>
      <x v="196"/>
    </i>
    <i r="1">
      <x v="208"/>
      <x v="208"/>
      <x v="49"/>
      <x v="180"/>
      <x v="198"/>
    </i>
    <i r="1">
      <x v="210"/>
      <x v="210"/>
      <x v="44"/>
      <x v="198"/>
      <x v="201"/>
    </i>
    <i r="1">
      <x v="211"/>
      <x v="211"/>
      <x v="44"/>
      <x v="99"/>
      <x v="202"/>
    </i>
    <i r="1">
      <x v="215"/>
      <x v="215"/>
      <x v="58"/>
      <x v="202"/>
      <x v="204"/>
    </i>
    <i r="5">
      <x v="207"/>
    </i>
    <i r="1">
      <x v="216"/>
      <x v="216"/>
      <x v="58"/>
      <x v="134"/>
      <x v="205"/>
    </i>
    <i r="5">
      <x v="208"/>
    </i>
    <i r="5">
      <x v="326"/>
    </i>
    <i r="1">
      <x v="217"/>
      <x v="217"/>
      <x v="58"/>
      <x v="95"/>
      <x v="206"/>
    </i>
    <i r="1">
      <x v="220"/>
      <x v="220"/>
      <x v="49"/>
      <x v="205"/>
      <x v="210"/>
    </i>
    <i r="1">
      <x v="222"/>
      <x v="222"/>
      <x v="44"/>
      <x v="207"/>
      <x v="212"/>
    </i>
    <i r="1">
      <x v="223"/>
      <x v="223"/>
      <x v="44"/>
      <x v="134"/>
      <x v="213"/>
    </i>
    <i r="1">
      <x v="225"/>
      <x v="225"/>
      <x v="44"/>
      <x v="208"/>
      <x v="214"/>
    </i>
    <i r="1">
      <x v="226"/>
      <x v="226"/>
      <x v="44"/>
      <x v="209"/>
      <x v="215"/>
    </i>
    <i r="1">
      <x v="227"/>
      <x v="227"/>
      <x v="44"/>
      <x v="210"/>
      <x v="216"/>
    </i>
    <i r="1">
      <x v="228"/>
      <x v="228"/>
      <x v="44"/>
      <x v="211"/>
      <x v="217"/>
    </i>
    <i r="1">
      <x v="230"/>
      <x v="230"/>
      <x v="98"/>
      <x v="214"/>
      <x v="617"/>
    </i>
    <i r="5">
      <x v="652"/>
    </i>
    <i r="1">
      <x v="231"/>
      <x v="231"/>
      <x v="44"/>
      <x v="215"/>
      <x v="220"/>
    </i>
    <i r="1">
      <x v="233"/>
      <x v="233"/>
      <x v="44"/>
      <x v="216"/>
      <x v="222"/>
    </i>
    <i r="1">
      <x v="234"/>
      <x v="234"/>
      <x v="44"/>
      <x v="217"/>
      <x v="223"/>
    </i>
    <i r="1">
      <x v="235"/>
      <x v="235"/>
      <x v="44"/>
      <x v="218"/>
      <x v="224"/>
    </i>
    <i r="1">
      <x v="236"/>
      <x v="236"/>
      <x v="98"/>
      <x v="219"/>
      <x v="581"/>
    </i>
    <i r="5">
      <x v="746"/>
    </i>
    <i r="1">
      <x v="238"/>
      <x v="238"/>
      <x v="44"/>
      <x v="74"/>
      <x v="225"/>
    </i>
    <i r="1">
      <x v="239"/>
      <x v="239"/>
      <x v="44"/>
      <x v="112"/>
      <x v="226"/>
    </i>
    <i r="1">
      <x v="240"/>
      <x v="240"/>
      <x v="44"/>
      <x v="221"/>
      <x v="227"/>
    </i>
    <i r="1">
      <x v="241"/>
      <x v="241"/>
      <x v="44"/>
      <x v="134"/>
      <x v="229"/>
    </i>
    <i r="3">
      <x v="58"/>
      <x v="134"/>
      <x v="307"/>
    </i>
    <i r="1">
      <x v="244"/>
      <x v="244"/>
      <x v="44"/>
      <x v="29"/>
      <x v="233"/>
    </i>
    <i r="3">
      <x v="98"/>
      <x v="29"/>
      <x v="757"/>
    </i>
    <i r="1">
      <x v="245"/>
      <x v="245"/>
      <x v="44"/>
      <x v="114"/>
      <x v="234"/>
    </i>
    <i r="1">
      <x v="246"/>
      <x v="246"/>
      <x v="44"/>
      <x v="29"/>
      <x v="235"/>
    </i>
    <i r="1">
      <x v="247"/>
      <x v="247"/>
      <x v="44"/>
      <x v="29"/>
      <x v="236"/>
    </i>
    <i r="1">
      <x v="249"/>
      <x v="249"/>
      <x v="49"/>
      <x v="224"/>
      <x v="239"/>
    </i>
    <i r="1">
      <x v="250"/>
      <x v="250"/>
      <x v="49"/>
      <x v="225"/>
      <x v="240"/>
    </i>
    <i r="1">
      <x v="251"/>
      <x v="251"/>
      <x v="49"/>
      <x v="226"/>
      <x v="241"/>
    </i>
    <i r="1">
      <x v="252"/>
      <x v="252"/>
      <x v="49"/>
      <x v="46"/>
      <x v="242"/>
    </i>
    <i r="1">
      <x v="254"/>
      <x v="254"/>
      <x v="44"/>
      <x v="227"/>
      <x v="243"/>
    </i>
    <i r="1">
      <x v="255"/>
      <x v="255"/>
      <x v="44"/>
      <x v="228"/>
      <x v="244"/>
    </i>
    <i r="1">
      <x v="256"/>
      <x v="256"/>
      <x v="44"/>
      <x v="229"/>
      <x v="245"/>
    </i>
    <i r="3">
      <x v="58"/>
      <x v="229"/>
      <x v="261"/>
    </i>
    <i r="1">
      <x v="257"/>
      <x v="257"/>
      <x v="44"/>
      <x v="125"/>
      <x v="249"/>
    </i>
    <i r="3">
      <x v="98"/>
      <x v="125"/>
      <x v="464"/>
    </i>
    <i r="5">
      <x v="536"/>
    </i>
    <i r="3">
      <x v="116"/>
      <x v="125"/>
      <x v="964"/>
    </i>
    <i r="1">
      <x v="258"/>
      <x v="258"/>
      <x v="44"/>
      <x v="230"/>
      <x v="250"/>
    </i>
    <i r="3">
      <x v="116"/>
      <x v="230"/>
      <x v="632"/>
    </i>
    <i r="5">
      <x v="988"/>
    </i>
    <i r="1">
      <x v="259"/>
      <x v="259"/>
      <x v="49"/>
      <x v="231"/>
      <x v="251"/>
    </i>
    <i r="1">
      <x v="260"/>
      <x v="260"/>
      <x v="49"/>
      <x v="232"/>
      <x v="252"/>
    </i>
    <i r="1">
      <x v="261"/>
      <x v="261"/>
      <x v="49"/>
      <x v="233"/>
      <x v="253"/>
    </i>
    <i r="3">
      <x v="98"/>
      <x v="233"/>
      <x v="761"/>
    </i>
    <i r="3">
      <x v="116"/>
      <x v="233"/>
      <x v="786"/>
    </i>
    <i r="1">
      <x v="264"/>
      <x v="264"/>
      <x v="49"/>
      <x v="236"/>
      <x v="254"/>
    </i>
    <i r="1">
      <x v="265"/>
      <x v="265"/>
      <x v="49"/>
      <x v="237"/>
      <x v="256"/>
    </i>
    <i r="1">
      <x v="268"/>
      <x v="268"/>
      <x v="58"/>
      <x v="240"/>
      <x v="259"/>
    </i>
    <i r="1">
      <x v="271"/>
      <x v="271"/>
      <x v="58"/>
      <x v="243"/>
      <x v="260"/>
    </i>
    <i r="1">
      <x v="273"/>
      <x v="273"/>
      <x v="58"/>
      <x v="245"/>
      <x v="264"/>
    </i>
    <i r="5">
      <x v="265"/>
    </i>
    <i r="1">
      <x v="274"/>
      <x v="274"/>
      <x v="58"/>
      <x v="246"/>
      <x v="266"/>
    </i>
    <i r="1">
      <x v="275"/>
      <x v="275"/>
      <x v="58"/>
      <x v="247"/>
      <x v="267"/>
    </i>
    <i r="1">
      <x v="280"/>
      <x v="280"/>
      <x v="58"/>
      <x v="252"/>
      <x v="273"/>
    </i>
    <i r="1">
      <x v="281"/>
      <x v="281"/>
      <x v="58"/>
      <x v="253"/>
      <x v="274"/>
    </i>
    <i r="1">
      <x v="282"/>
      <x v="282"/>
      <x v="58"/>
      <x v="254"/>
      <x v="275"/>
    </i>
    <i r="1">
      <x v="283"/>
      <x v="283"/>
      <x v="58"/>
      <x v="124"/>
      <x v="276"/>
    </i>
    <i r="1">
      <x v="286"/>
      <x v="286"/>
      <x v="58"/>
      <x v="257"/>
      <x v="279"/>
    </i>
    <i r="1">
      <x v="287"/>
      <x v="287"/>
      <x v="58"/>
      <x v="59"/>
      <x v="280"/>
    </i>
    <i r="1">
      <x v="288"/>
      <x v="288"/>
      <x v="58"/>
      <x v="258"/>
      <x v="281"/>
    </i>
    <i r="1">
      <x v="289"/>
      <x v="289"/>
      <x v="58"/>
      <x v="259"/>
      <x v="282"/>
    </i>
    <i r="1">
      <x v="290"/>
      <x v="290"/>
      <x v="58"/>
      <x v="77"/>
      <x v="286"/>
    </i>
    <i r="5">
      <x v="287"/>
    </i>
    <i r="1">
      <x v="291"/>
      <x v="291"/>
      <x v="58"/>
      <x v="108"/>
      <x v="288"/>
    </i>
    <i r="1">
      <x v="293"/>
      <x v="293"/>
      <x v="58"/>
      <x v="261"/>
      <x v="290"/>
    </i>
    <i r="1">
      <x v="294"/>
      <x v="294"/>
      <x v="58"/>
      <x v="262"/>
      <x v="291"/>
    </i>
    <i r="1">
      <x v="298"/>
      <x v="298"/>
      <x v="58"/>
      <x v="265"/>
      <x v="295"/>
    </i>
    <i r="1">
      <x v="300"/>
      <x v="300"/>
      <x v="58"/>
      <x v="266"/>
      <x v="298"/>
    </i>
    <i r="1">
      <x v="301"/>
      <x v="301"/>
      <x v="58"/>
      <x v="267"/>
      <x v="299"/>
    </i>
    <i r="1">
      <x v="302"/>
      <x v="302"/>
      <x v="64"/>
      <x/>
      <x v="300"/>
    </i>
    <i r="1">
      <x v="312"/>
      <x v="312"/>
      <x v="58"/>
      <x v="276"/>
      <x v="312"/>
    </i>
    <i r="1">
      <x v="313"/>
      <x v="313"/>
      <x v="58"/>
      <x v="277"/>
      <x v="315"/>
    </i>
    <i r="1">
      <x v="321"/>
      <x v="321"/>
      <x v="58"/>
      <x v="285"/>
      <x v="323"/>
    </i>
    <i r="1">
      <x v="322"/>
      <x v="322"/>
      <x v="58"/>
      <x v="286"/>
      <x v="324"/>
    </i>
    <i r="1">
      <x v="323"/>
      <x v="323"/>
      <x v="58"/>
      <x v="287"/>
      <x v="325"/>
    </i>
    <i r="3">
      <x v="98"/>
      <x v="287"/>
      <x v="675"/>
    </i>
    <i r="1">
      <x v="324"/>
      <x v="324"/>
      <x v="58"/>
      <x v="288"/>
      <x v="327"/>
    </i>
    <i r="1">
      <x v="325"/>
      <x v="325"/>
      <x v="58"/>
      <x v="289"/>
      <x v="328"/>
    </i>
    <i r="1">
      <x v="326"/>
      <x v="326"/>
      <x v="58"/>
      <x v="290"/>
      <x v="329"/>
    </i>
    <i r="1">
      <x v="327"/>
      <x v="327"/>
      <x v="58"/>
      <x v="291"/>
      <x v="331"/>
    </i>
    <i r="1">
      <x v="331"/>
      <x v="331"/>
      <x v="58"/>
      <x v="295"/>
      <x v="339"/>
    </i>
    <i r="1">
      <x v="334"/>
      <x v="334"/>
      <x v="58"/>
      <x v="297"/>
      <x v="340"/>
    </i>
    <i r="1">
      <x v="335"/>
      <x v="335"/>
      <x v="58"/>
      <x v="298"/>
      <x v="341"/>
    </i>
    <i r="1">
      <x v="336"/>
      <x v="336"/>
      <x v="58"/>
      <x v="299"/>
      <x v="342"/>
    </i>
    <i r="1">
      <x v="337"/>
      <x v="337"/>
      <x v="58"/>
      <x v="135"/>
      <x v="344"/>
    </i>
    <i r="1">
      <x v="338"/>
      <x v="338"/>
      <x v="58"/>
      <x v="196"/>
      <x v="345"/>
    </i>
    <i r="1">
      <x v="339"/>
      <x v="339"/>
      <x v="58"/>
      <x v="180"/>
      <x v="346"/>
    </i>
    <i r="1">
      <x v="340"/>
      <x v="340"/>
      <x v="58"/>
      <x v="300"/>
      <x v="347"/>
    </i>
    <i r="1">
      <x v="341"/>
      <x v="341"/>
      <x v="58"/>
      <x v="155"/>
      <x v="348"/>
    </i>
    <i r="1">
      <x v="343"/>
      <x v="343"/>
      <x v="58"/>
      <x v="302"/>
      <x v="351"/>
    </i>
    <i r="1">
      <x v="344"/>
      <x v="344"/>
      <x v="58"/>
      <x v="303"/>
      <x v="352"/>
    </i>
    <i r="1">
      <x v="345"/>
      <x v="345"/>
      <x v="58"/>
      <x v="304"/>
      <x v="353"/>
    </i>
    <i r="1">
      <x v="376"/>
      <x v="376"/>
      <x v="75"/>
      <x v="330"/>
      <x v="391"/>
    </i>
    <i r="1">
      <x v="377"/>
      <x v="377"/>
      <x v="75"/>
      <x v="331"/>
      <x v="392"/>
    </i>
    <i r="1">
      <x v="382"/>
      <x v="382"/>
      <x v="75"/>
      <x v="336"/>
      <x v="398"/>
    </i>
    <i r="1">
      <x v="383"/>
      <x v="383"/>
      <x v="75"/>
      <x v="337"/>
      <x v="400"/>
    </i>
    <i r="1">
      <x v="384"/>
      <x v="384"/>
      <x v="75"/>
      <x v="338"/>
      <x v="401"/>
    </i>
    <i r="1">
      <x v="385"/>
      <x v="385"/>
      <x v="75"/>
      <x v="339"/>
      <x v="402"/>
    </i>
    <i r="1">
      <x v="387"/>
      <x v="387"/>
      <x v="75"/>
      <x v="341"/>
      <x v="404"/>
    </i>
    <i r="1">
      <x v="391"/>
      <x v="391"/>
      <x v="75"/>
      <x v="345"/>
      <x v="411"/>
    </i>
    <i r="3">
      <x v="91"/>
      <x v="345"/>
      <x v="417"/>
    </i>
    <i r="3">
      <x v="98"/>
      <x v="345"/>
      <x v="718"/>
    </i>
    <i r="1">
      <x v="395"/>
      <x v="395"/>
      <x v="91"/>
      <x v="349"/>
      <x v="416"/>
    </i>
    <i r="1">
      <x v="396"/>
      <x v="396"/>
      <x v="91"/>
      <x v="32"/>
      <x v="418"/>
    </i>
    <i r="1">
      <x v="397"/>
      <x v="397"/>
      <x v="91"/>
      <x v="350"/>
      <x v="419"/>
    </i>
    <i r="1">
      <x v="404"/>
      <x v="404"/>
      <x v="98"/>
      <x v="364"/>
      <x v="428"/>
    </i>
    <i r="5">
      <x v="429"/>
    </i>
    <i r="1">
      <x v="405"/>
      <x v="405"/>
      <x v="98"/>
      <x v="365"/>
      <x v="430"/>
    </i>
    <i r="1">
      <x v="406"/>
      <x v="406"/>
      <x v="98"/>
      <x v="366"/>
      <x v="431"/>
    </i>
    <i r="1">
      <x v="417"/>
      <x v="417"/>
      <x v="98"/>
      <x v="382"/>
      <x v="458"/>
    </i>
    <i r="1">
      <x v="418"/>
      <x v="418"/>
      <x v="98"/>
      <x v="235"/>
      <x v="460"/>
    </i>
    <i r="1">
      <x v="419"/>
      <x v="419"/>
      <x v="98"/>
      <x v="383"/>
      <x v="462"/>
    </i>
    <i r="1">
      <x v="422"/>
      <x v="422"/>
      <x v="98"/>
      <x v="386"/>
      <x v="467"/>
    </i>
    <i r="5">
      <x v="468"/>
    </i>
    <i r="5">
      <x v="469"/>
    </i>
    <i r="1">
      <x v="423"/>
      <x v="423"/>
      <x v="98"/>
      <x v="387"/>
      <x v="470"/>
    </i>
    <i r="1">
      <x v="424"/>
      <x v="424"/>
      <x v="98"/>
      <x v="388"/>
      <x v="471"/>
    </i>
    <i r="1">
      <x v="425"/>
      <x v="425"/>
      <x v="98"/>
      <x v="389"/>
      <x v="472"/>
    </i>
    <i r="1">
      <x v="426"/>
      <x v="426"/>
      <x v="98"/>
      <x v="390"/>
      <x v="474"/>
    </i>
    <i r="1">
      <x v="427"/>
      <x v="427"/>
      <x v="98"/>
      <x v="391"/>
      <x v="475"/>
    </i>
    <i r="1">
      <x v="428"/>
      <x v="428"/>
      <x v="98"/>
      <x v="392"/>
      <x v="476"/>
    </i>
    <i r="1">
      <x v="429"/>
      <x v="429"/>
      <x v="98"/>
      <x v="393"/>
      <x v="478"/>
    </i>
    <i r="1">
      <x v="430"/>
      <x v="430"/>
      <x v="98"/>
      <x v="394"/>
      <x v="479"/>
    </i>
    <i r="1">
      <x v="431"/>
      <x v="431"/>
      <x v="98"/>
      <x v="395"/>
      <x v="480"/>
    </i>
    <i r="1">
      <x v="432"/>
      <x v="432"/>
      <x v="98"/>
      <x v="396"/>
      <x v="481"/>
    </i>
    <i r="1">
      <x v="433"/>
      <x v="433"/>
      <x v="98"/>
      <x v="397"/>
      <x v="482"/>
    </i>
    <i r="5">
      <x v="483"/>
    </i>
    <i r="5">
      <x v="772"/>
    </i>
    <i r="1">
      <x v="434"/>
      <x v="434"/>
      <x v="98"/>
      <x v="398"/>
      <x v="484"/>
    </i>
    <i r="1">
      <x v="435"/>
      <x v="435"/>
      <x v="98"/>
      <x v="399"/>
      <x v="485"/>
    </i>
    <i r="1">
      <x v="436"/>
      <x v="436"/>
      <x v="98"/>
      <x v="400"/>
      <x v="486"/>
    </i>
    <i r="1">
      <x v="437"/>
      <x v="437"/>
      <x v="98"/>
      <x v="146"/>
      <x v="487"/>
    </i>
    <i r="1">
      <x v="438"/>
      <x v="438"/>
      <x v="98"/>
      <x v="401"/>
      <x v="489"/>
    </i>
    <i r="1">
      <x v="440"/>
      <x v="440"/>
      <x v="98"/>
      <x v="403"/>
      <x v="495"/>
    </i>
    <i r="1">
      <x v="442"/>
      <x v="442"/>
      <x v="98"/>
      <x v="131"/>
      <x v="501"/>
    </i>
    <i r="1">
      <x v="443"/>
      <x v="443"/>
      <x v="98"/>
      <x v="405"/>
      <x v="502"/>
    </i>
    <i r="1">
      <x v="444"/>
      <x v="444"/>
      <x v="98"/>
      <x v="406"/>
      <x v="503"/>
    </i>
    <i r="1">
      <x v="445"/>
      <x v="445"/>
      <x v="98"/>
      <x v="407"/>
      <x v="504"/>
    </i>
    <i r="1">
      <x v="446"/>
      <x v="446"/>
      <x v="98"/>
      <x v="102"/>
      <x v="505"/>
    </i>
    <i r="1">
      <x v="447"/>
      <x v="447"/>
      <x v="98"/>
      <x v="408"/>
      <x v="506"/>
    </i>
    <i r="1">
      <x v="448"/>
      <x v="448"/>
      <x v="98"/>
      <x v="409"/>
      <x v="508"/>
    </i>
    <i r="1">
      <x v="449"/>
      <x v="449"/>
      <x v="98"/>
      <x v="219"/>
      <x v="509"/>
    </i>
    <i r="1">
      <x v="450"/>
      <x v="450"/>
      <x v="98"/>
      <x v="213"/>
      <x v="513"/>
    </i>
    <i r="1">
      <x v="451"/>
      <x v="451"/>
      <x v="98"/>
      <x v="410"/>
      <x v="514"/>
    </i>
    <i r="1">
      <x v="452"/>
      <x v="452"/>
      <x v="98"/>
      <x v="411"/>
      <x v="515"/>
    </i>
    <i r="5">
      <x v="755"/>
    </i>
    <i r="3">
      <x v="116"/>
      <x v="411"/>
      <x v="1073"/>
    </i>
    <i r="1">
      <x v="453"/>
      <x v="453"/>
      <x v="98"/>
      <x v="45"/>
      <x v="516"/>
    </i>
    <i r="1">
      <x v="454"/>
      <x v="454"/>
      <x v="98"/>
      <x v="414"/>
      <x v="519"/>
    </i>
    <i r="1">
      <x v="455"/>
      <x v="455"/>
      <x v="98"/>
      <x v="415"/>
      <x v="520"/>
    </i>
    <i r="1">
      <x v="456"/>
      <x v="456"/>
      <x v="98"/>
      <x v="416"/>
      <x v="521"/>
    </i>
    <i r="1">
      <x v="457"/>
      <x v="457"/>
      <x v="98"/>
      <x v="417"/>
      <x v="522"/>
    </i>
    <i r="1">
      <x v="458"/>
      <x v="458"/>
      <x v="98"/>
      <x v="418"/>
      <x v="523"/>
    </i>
    <i r="1">
      <x v="459"/>
      <x v="459"/>
      <x v="98"/>
      <x v="419"/>
      <x v="524"/>
    </i>
    <i r="1">
      <x v="460"/>
      <x v="460"/>
      <x v="98"/>
      <x v="420"/>
      <x v="525"/>
    </i>
    <i r="1">
      <x v="461"/>
      <x v="461"/>
      <x v="98"/>
      <x v="421"/>
      <x v="527"/>
    </i>
    <i r="1">
      <x v="462"/>
      <x v="462"/>
      <x v="98"/>
      <x v="422"/>
      <x v="528"/>
    </i>
    <i r="1">
      <x v="463"/>
      <x v="463"/>
      <x v="98"/>
      <x v="424"/>
      <x v="532"/>
    </i>
    <i r="5">
      <x v="587"/>
    </i>
    <i r="3">
      <x v="116"/>
      <x v="424"/>
      <x v="842"/>
    </i>
    <i r="1">
      <x v="465"/>
      <x v="465"/>
      <x v="98"/>
      <x v="113"/>
      <x v="534"/>
    </i>
    <i r="1">
      <x v="467"/>
      <x v="467"/>
      <x v="98"/>
      <x v="428"/>
      <x v="537"/>
    </i>
    <i r="1">
      <x v="468"/>
      <x v="468"/>
      <x v="98"/>
      <x v="429"/>
      <x v="538"/>
    </i>
    <i r="1">
      <x v="469"/>
      <x v="469"/>
      <x v="98"/>
      <x v="95"/>
      <x v="543"/>
    </i>
    <i r="5">
      <x v="568"/>
    </i>
    <i r="5">
      <x v="779"/>
    </i>
    <i r="1">
      <x v="471"/>
      <x v="471"/>
      <x v="116"/>
      <x v="431"/>
      <x v="545"/>
    </i>
    <i r="5">
      <x v="1032"/>
    </i>
    <i r="1">
      <x v="472"/>
      <x v="472"/>
      <x v="98"/>
      <x v="432"/>
      <x v="546"/>
    </i>
    <i r="1">
      <x v="473"/>
      <x v="473"/>
      <x v="98"/>
      <x v="433"/>
      <x v="547"/>
    </i>
    <i r="1">
      <x v="476"/>
      <x v="476"/>
      <x v="98"/>
      <x v="436"/>
      <x v="553"/>
    </i>
    <i r="1">
      <x v="477"/>
      <x v="477"/>
      <x v="98"/>
      <x v="152"/>
      <x v="555"/>
    </i>
    <i r="1">
      <x v="478"/>
      <x v="478"/>
      <x v="98"/>
      <x v="437"/>
      <x v="556"/>
    </i>
    <i r="1">
      <x v="479"/>
      <x v="479"/>
      <x v="98"/>
      <x v="438"/>
      <x v="557"/>
    </i>
    <i r="1">
      <x v="480"/>
      <x v="480"/>
      <x v="98"/>
      <x v="439"/>
      <x v="558"/>
    </i>
    <i r="1">
      <x v="481"/>
      <x v="481"/>
      <x v="98"/>
      <x v="440"/>
      <x v="559"/>
    </i>
    <i r="1">
      <x v="483"/>
      <x v="483"/>
      <x v="98"/>
      <x v="442"/>
      <x v="563"/>
    </i>
    <i r="1">
      <x v="488"/>
      <x v="488"/>
      <x v="98"/>
      <x v="79"/>
      <x v="569"/>
    </i>
    <i r="1">
      <x v="489"/>
      <x v="489"/>
      <x v="98"/>
      <x v="447"/>
      <x v="570"/>
    </i>
    <i r="1">
      <x v="490"/>
      <x v="490"/>
      <x v="98"/>
      <x v="448"/>
      <x v="571"/>
    </i>
    <i r="1">
      <x v="491"/>
      <x v="491"/>
      <x v="98"/>
      <x v="449"/>
      <x v="572"/>
    </i>
    <i r="5">
      <x v="716"/>
    </i>
    <i r="1">
      <x v="492"/>
      <x v="492"/>
      <x v="98"/>
      <x v="450"/>
      <x v="573"/>
    </i>
    <i r="1">
      <x v="494"/>
      <x v="494"/>
      <x v="98"/>
      <x v="452"/>
      <x v="576"/>
    </i>
    <i r="1">
      <x v="495"/>
      <x v="495"/>
      <x v="98"/>
      <x v="213"/>
      <x v="577"/>
    </i>
    <i r="1">
      <x v="496"/>
      <x v="496"/>
      <x v="98"/>
      <x v="125"/>
      <x v="582"/>
    </i>
    <i r="1">
      <x v="497"/>
      <x v="497"/>
      <x v="98"/>
      <x v="455"/>
      <x v="584"/>
    </i>
    <i r="1">
      <x v="498"/>
      <x v="498"/>
      <x v="98"/>
      <x v="456"/>
      <x v="585"/>
    </i>
    <i r="1">
      <x v="500"/>
      <x v="500"/>
      <x v="98"/>
      <x v="77"/>
      <x v="591"/>
    </i>
    <i r="1">
      <x v="501"/>
      <x v="501"/>
      <x v="98"/>
      <x v="458"/>
      <x v="595"/>
    </i>
    <i r="1">
      <x v="502"/>
      <x v="502"/>
      <x v="98"/>
      <x v="459"/>
      <x v="596"/>
    </i>
    <i r="1">
      <x v="503"/>
      <x v="503"/>
      <x v="98"/>
      <x v="460"/>
      <x v="597"/>
    </i>
    <i r="1">
      <x v="506"/>
      <x v="506"/>
      <x v="98"/>
      <x v="463"/>
      <x v="601"/>
    </i>
    <i r="5">
      <x v="754"/>
    </i>
    <i r="3">
      <x v="116"/>
      <x v="463"/>
      <x v="828"/>
    </i>
    <i r="1">
      <x v="511"/>
      <x v="511"/>
      <x v="98"/>
      <x v="468"/>
      <x v="609"/>
    </i>
    <i r="1">
      <x v="512"/>
      <x v="512"/>
      <x v="98"/>
      <x v="469"/>
      <x v="610"/>
    </i>
    <i r="5">
      <x v="611"/>
    </i>
    <i r="1">
      <x v="513"/>
      <x v="513"/>
      <x v="98"/>
      <x v="73"/>
      <x v="612"/>
    </i>
    <i r="1">
      <x v="514"/>
      <x v="514"/>
      <x v="98"/>
      <x v="470"/>
      <x v="613"/>
    </i>
    <i r="1">
      <x v="515"/>
      <x v="515"/>
      <x v="116"/>
      <x v="472"/>
      <x v="616"/>
    </i>
    <i r="1">
      <x v="516"/>
      <x v="516"/>
      <x v="98"/>
      <x v="473"/>
      <x v="618"/>
    </i>
    <i r="1">
      <x v="517"/>
      <x v="517"/>
      <x v="98"/>
      <x v="474"/>
      <x v="619"/>
    </i>
    <i r="1">
      <x v="520"/>
      <x v="520"/>
      <x v="98"/>
      <x v="478"/>
      <x v="622"/>
    </i>
    <i r="1">
      <x v="521"/>
      <x v="521"/>
      <x v="98"/>
      <x v="181"/>
      <x v="624"/>
    </i>
    <i r="1">
      <x v="522"/>
      <x v="522"/>
      <x v="98"/>
      <x v="177"/>
      <x v="625"/>
    </i>
    <i r="1">
      <x v="523"/>
      <x v="523"/>
      <x v="98"/>
      <x v="479"/>
      <x v="626"/>
    </i>
    <i r="1">
      <x v="524"/>
      <x v="524"/>
      <x v="98"/>
      <x v="480"/>
      <x v="627"/>
    </i>
    <i r="1">
      <x v="525"/>
      <x v="525"/>
      <x v="98"/>
      <x v="481"/>
      <x v="628"/>
    </i>
    <i r="1">
      <x v="526"/>
      <x v="526"/>
      <x v="98"/>
      <x v="482"/>
      <x v="629"/>
    </i>
    <i r="5">
      <x v="743"/>
    </i>
    <i r="1">
      <x v="527"/>
      <x v="527"/>
      <x v="116"/>
      <x v="484"/>
      <x v="631"/>
    </i>
    <i r="1">
      <x v="530"/>
      <x v="530"/>
      <x v="98"/>
      <x v="487"/>
      <x v="635"/>
    </i>
    <i r="1">
      <x v="533"/>
      <x v="533"/>
      <x v="98"/>
      <x v="490"/>
      <x v="649"/>
    </i>
    <i r="1">
      <x v="534"/>
      <x v="534"/>
      <x v="98"/>
      <x v="491"/>
      <x v="650"/>
    </i>
    <i r="5">
      <x v="651"/>
    </i>
    <i r="1">
      <x v="535"/>
      <x v="535"/>
      <x v="98"/>
      <x v="492"/>
      <x v="653"/>
    </i>
    <i r="1">
      <x v="536"/>
      <x v="536"/>
      <x v="98"/>
      <x v="493"/>
      <x v="654"/>
    </i>
    <i r="1">
      <x v="539"/>
      <x v="539"/>
      <x v="116"/>
      <x v="496"/>
      <x v="657"/>
    </i>
    <i r="1">
      <x v="540"/>
      <x v="540"/>
      <x v="116"/>
      <x v="497"/>
      <x v="658"/>
    </i>
    <i r="1">
      <x v="541"/>
      <x v="541"/>
      <x v="116"/>
      <x v="498"/>
      <x v="659"/>
    </i>
    <i r="5">
      <x v="951"/>
    </i>
    <i r="1">
      <x v="542"/>
      <x v="542"/>
      <x v="116"/>
      <x v="499"/>
      <x v="660"/>
    </i>
    <i r="1">
      <x v="543"/>
      <x v="543"/>
      <x v="98"/>
      <x v="500"/>
      <x v="662"/>
    </i>
    <i r="1">
      <x v="545"/>
      <x v="545"/>
      <x v="98"/>
      <x v="502"/>
      <x v="669"/>
    </i>
    <i r="5">
      <x v="670"/>
    </i>
    <i r="1">
      <x v="546"/>
      <x v="546"/>
      <x v="116"/>
      <x v="503"/>
      <x v="671"/>
    </i>
    <i r="1">
      <x v="548"/>
      <x v="548"/>
      <x v="98"/>
      <x v="505"/>
      <x v="676"/>
    </i>
    <i r="5">
      <x v="677"/>
    </i>
    <i r="1">
      <x v="549"/>
      <x v="549"/>
      <x v="98"/>
      <x v="506"/>
      <x v="678"/>
    </i>
    <i r="1">
      <x v="550"/>
      <x v="550"/>
      <x v="98"/>
      <x v="507"/>
      <x v="679"/>
    </i>
    <i r="1">
      <x v="553"/>
      <x v="553"/>
      <x v="98"/>
      <x v="510"/>
      <x v="685"/>
    </i>
    <i r="1">
      <x v="554"/>
      <x v="554"/>
      <x v="98"/>
      <x v="511"/>
      <x v="686"/>
    </i>
    <i r="1">
      <x v="556"/>
      <x v="556"/>
      <x v="98"/>
      <x v="513"/>
      <x v="693"/>
    </i>
    <i r="1">
      <x v="562"/>
      <x v="562"/>
      <x v="98"/>
      <x v="519"/>
      <x v="707"/>
    </i>
    <i r="1">
      <x v="563"/>
      <x v="563"/>
      <x v="98"/>
      <x v="520"/>
      <x v="708"/>
    </i>
    <i r="1">
      <x v="564"/>
      <x v="564"/>
      <x v="98"/>
      <x v="521"/>
      <x v="709"/>
    </i>
    <i r="1">
      <x v="565"/>
      <x v="565"/>
      <x v="98"/>
      <x v="522"/>
      <x v="710"/>
    </i>
    <i r="1">
      <x v="566"/>
      <x v="566"/>
      <x v="98"/>
      <x v="523"/>
      <x v="711"/>
    </i>
    <i r="1">
      <x v="568"/>
      <x v="568"/>
      <x v="98"/>
      <x v="525"/>
      <x v="719"/>
    </i>
    <i r="1">
      <x v="570"/>
      <x v="570"/>
      <x v="116"/>
      <x v="527"/>
      <x v="721"/>
    </i>
    <i r="5">
      <x v="788"/>
    </i>
    <i r="1">
      <x v="572"/>
      <x v="572"/>
      <x v="98"/>
      <x v="169"/>
      <x v="725"/>
    </i>
    <i r="1">
      <x v="573"/>
      <x v="573"/>
      <x v="98"/>
      <x v="529"/>
      <x v="726"/>
    </i>
    <i r="1">
      <x v="574"/>
      <x v="574"/>
      <x v="98"/>
      <x v="437"/>
      <x v="727"/>
    </i>
    <i r="1">
      <x v="575"/>
      <x v="575"/>
      <x v="98"/>
      <x v="530"/>
      <x v="728"/>
    </i>
    <i r="1">
      <x v="577"/>
      <x v="577"/>
      <x v="98"/>
      <x v="532"/>
      <x v="730"/>
    </i>
    <i r="1">
      <x v="579"/>
      <x v="579"/>
      <x v="98"/>
      <x v="534"/>
      <x v="732"/>
    </i>
    <i r="1">
      <x v="580"/>
      <x v="580"/>
      <x v="98"/>
      <x v="535"/>
      <x v="733"/>
    </i>
    <i r="1">
      <x v="581"/>
      <x v="581"/>
      <x v="98"/>
      <x v="536"/>
      <x v="734"/>
    </i>
    <i r="1">
      <x v="583"/>
      <x v="583"/>
      <x v="116"/>
      <x v="538"/>
      <x v="736"/>
    </i>
    <i r="1">
      <x v="584"/>
      <x v="584"/>
      <x v="98"/>
      <x v="61"/>
      <x v="739"/>
    </i>
    <i r="1">
      <x v="585"/>
      <x v="585"/>
      <x v="98"/>
      <x v="539"/>
      <x v="740"/>
    </i>
    <i r="1">
      <x v="586"/>
      <x v="586"/>
      <x v="98"/>
      <x v="534"/>
      <x v="741"/>
    </i>
    <i r="1">
      <x v="587"/>
      <x v="587"/>
      <x v="98"/>
      <x v="540"/>
      <x v="744"/>
    </i>
    <i r="1">
      <x v="588"/>
      <x v="588"/>
      <x v="98"/>
      <x v="541"/>
      <x v="747"/>
    </i>
    <i r="1">
      <x v="589"/>
      <x v="589"/>
      <x v="98"/>
      <x v="542"/>
      <x v="749"/>
    </i>
    <i r="1">
      <x v="590"/>
      <x v="590"/>
      <x v="98"/>
      <x v="543"/>
      <x v="750"/>
    </i>
    <i r="1">
      <x v="591"/>
      <x v="591"/>
      <x v="98"/>
      <x v="544"/>
      <x v="751"/>
    </i>
    <i r="1">
      <x v="592"/>
      <x v="592"/>
      <x v="98"/>
      <x v="545"/>
      <x v="756"/>
    </i>
    <i r="1">
      <x v="594"/>
      <x v="594"/>
      <x v="98"/>
      <x v="545"/>
      <x v="759"/>
    </i>
    <i r="1">
      <x v="595"/>
      <x v="595"/>
      <x v="98"/>
      <x v="547"/>
      <x v="762"/>
    </i>
    <i r="1">
      <x v="596"/>
      <x v="596"/>
      <x v="98"/>
      <x v="548"/>
      <x v="763"/>
    </i>
    <i r="1">
      <x v="597"/>
      <x v="597"/>
      <x v="98"/>
      <x v="549"/>
      <x v="764"/>
    </i>
    <i r="1">
      <x v="599"/>
      <x v="599"/>
      <x v="98"/>
      <x v="74"/>
      <x v="768"/>
    </i>
    <i r="1">
      <x v="600"/>
      <x v="600"/>
      <x v="98"/>
      <x v="551"/>
      <x v="769"/>
    </i>
    <i r="1">
      <x v="601"/>
      <x v="601"/>
      <x v="98"/>
      <x v="62"/>
      <x v="770"/>
    </i>
    <i r="1">
      <x v="602"/>
      <x v="602"/>
      <x v="98"/>
      <x v="98"/>
      <x v="775"/>
    </i>
    <i r="1">
      <x v="603"/>
      <x v="603"/>
      <x v="98"/>
      <x v="553"/>
      <x v="778"/>
    </i>
    <i r="1">
      <x v="604"/>
      <x v="604"/>
      <x v="98"/>
      <x v="554"/>
      <x v="780"/>
    </i>
    <i r="1">
      <x v="607"/>
      <x v="607"/>
      <x v="116"/>
      <x v="557"/>
      <x v="787"/>
    </i>
    <i r="1">
      <x v="608"/>
      <x v="608"/>
      <x v="116"/>
      <x v="29"/>
      <x v="789"/>
    </i>
    <i r="1">
      <x v="609"/>
      <x v="609"/>
      <x v="116"/>
      <x v="545"/>
      <x v="790"/>
    </i>
    <i r="1">
      <x v="615"/>
      <x v="615"/>
      <x v="116"/>
      <x v="563"/>
      <x v="805"/>
    </i>
    <i r="1">
      <x v="617"/>
      <x v="617"/>
      <x v="116"/>
      <x v="109"/>
      <x v="807"/>
    </i>
    <i r="1">
      <x v="618"/>
      <x v="618"/>
      <x v="116"/>
      <x v="565"/>
      <x v="813"/>
    </i>
    <i r="1">
      <x v="621"/>
      <x v="621"/>
      <x v="116"/>
      <x v="106"/>
      <x v="817"/>
    </i>
    <i r="1">
      <x v="624"/>
      <x v="624"/>
      <x v="116"/>
      <x v="569"/>
      <x v="821"/>
    </i>
    <i r="1">
      <x v="627"/>
      <x v="627"/>
      <x v="116"/>
      <x v="572"/>
      <x v="824"/>
    </i>
    <i r="1">
      <x v="628"/>
      <x v="628"/>
      <x v="116"/>
      <x v="573"/>
      <x v="825"/>
    </i>
    <i r="1">
      <x v="629"/>
      <x v="629"/>
      <x v="116"/>
      <x v="574"/>
      <x v="826"/>
    </i>
    <i r="1">
      <x v="632"/>
      <x v="632"/>
      <x v="116"/>
      <x v="577"/>
      <x v="831"/>
    </i>
    <i r="1">
      <x v="634"/>
      <x v="634"/>
      <x v="116"/>
      <x v="579"/>
      <x v="835"/>
    </i>
    <i r="1">
      <x v="635"/>
      <x v="635"/>
      <x v="116"/>
      <x v="580"/>
      <x v="836"/>
    </i>
    <i r="1">
      <x v="636"/>
      <x v="636"/>
      <x v="116"/>
      <x v="581"/>
      <x v="837"/>
    </i>
    <i r="1">
      <x v="639"/>
      <x v="639"/>
      <x v="116"/>
      <x v="584"/>
      <x v="840"/>
    </i>
    <i r="5">
      <x v="841"/>
    </i>
    <i r="1">
      <x v="640"/>
      <x v="640"/>
      <x v="116"/>
      <x v="585"/>
      <x v="845"/>
    </i>
    <i r="1">
      <x v="641"/>
      <x v="641"/>
      <x v="116"/>
      <x v="109"/>
      <x v="847"/>
    </i>
    <i r="1">
      <x v="642"/>
      <x v="642"/>
      <x v="116"/>
      <x v="586"/>
      <x v="848"/>
    </i>
    <i r="1">
      <x v="643"/>
      <x v="643"/>
      <x v="116"/>
      <x v="587"/>
      <x v="849"/>
    </i>
    <i r="1">
      <x v="647"/>
      <x v="647"/>
      <x v="116"/>
      <x v="591"/>
      <x v="868"/>
    </i>
    <i r="1">
      <x v="648"/>
      <x v="648"/>
      <x v="116"/>
      <x v="592"/>
      <x v="876"/>
    </i>
    <i r="1">
      <x v="657"/>
      <x v="657"/>
      <x v="116"/>
      <x v="604"/>
      <x v="900"/>
    </i>
    <i r="1">
      <x v="658"/>
      <x v="658"/>
      <x v="116"/>
      <x v="605"/>
      <x v="901"/>
    </i>
    <i r="1">
      <x v="661"/>
      <x v="661"/>
      <x v="116"/>
      <x v="608"/>
      <x v="906"/>
    </i>
    <i r="1">
      <x v="663"/>
      <x v="663"/>
      <x v="116"/>
      <x v="6"/>
      <x v="914"/>
    </i>
    <i r="1">
      <x v="664"/>
      <x v="664"/>
      <x v="116"/>
      <x v="610"/>
      <x v="915"/>
    </i>
    <i r="1">
      <x v="665"/>
      <x v="665"/>
      <x v="116"/>
      <x v="611"/>
      <x v="916"/>
    </i>
    <i r="1">
      <x v="666"/>
      <x v="666"/>
      <x v="116"/>
      <x v="612"/>
      <x v="917"/>
    </i>
    <i r="1">
      <x v="669"/>
      <x v="669"/>
      <x v="116"/>
      <x v="615"/>
      <x v="921"/>
    </i>
    <i r="1">
      <x v="672"/>
      <x v="672"/>
      <x v="116"/>
      <x v="618"/>
      <x v="928"/>
    </i>
    <i r="1">
      <x v="681"/>
      <x v="681"/>
      <x v="116"/>
      <x v="627"/>
      <x v="950"/>
    </i>
    <i r="1">
      <x v="682"/>
      <x v="682"/>
      <x v="116"/>
      <x v="628"/>
      <x v="953"/>
    </i>
    <i r="1">
      <x v="684"/>
      <x v="684"/>
      <x v="116"/>
      <x v="630"/>
      <x v="959"/>
    </i>
    <i r="1">
      <x v="698"/>
      <x v="698"/>
      <x v="116"/>
      <x v="586"/>
      <x v="1000"/>
    </i>
    <i r="1">
      <x v="699"/>
      <x v="699"/>
      <x v="116"/>
      <x v="644"/>
      <x v="1001"/>
    </i>
    <i r="1">
      <x v="700"/>
      <x v="700"/>
      <x v="116"/>
      <x v="149"/>
      <x v="1002"/>
    </i>
    <i r="1">
      <x v="701"/>
      <x v="701"/>
      <x v="116"/>
      <x v="645"/>
      <x v="1003"/>
    </i>
    <i r="1">
      <x v="705"/>
      <x v="705"/>
      <x v="116"/>
      <x v="649"/>
      <x v="1022"/>
    </i>
    <i r="1">
      <x v="706"/>
      <x v="706"/>
      <x v="116"/>
      <x v="651"/>
      <x v="1026"/>
    </i>
    <i r="1">
      <x v="707"/>
      <x v="707"/>
      <x v="116"/>
      <x v="652"/>
      <x v="1027"/>
    </i>
    <i r="1">
      <x v="710"/>
      <x v="710"/>
      <x v="116"/>
      <x v="655"/>
      <x v="1036"/>
    </i>
    <i r="1">
      <x v="711"/>
      <x v="711"/>
      <x v="116"/>
      <x v="656"/>
      <x v="1037"/>
    </i>
    <i r="1">
      <x v="716"/>
      <x v="716"/>
      <x v="116"/>
      <x v="661"/>
      <x v="1051"/>
    </i>
    <i r="1">
      <x v="722"/>
      <x v="722"/>
      <x v="116"/>
      <x v="667"/>
      <x v="1070"/>
    </i>
    <i r="1">
      <x v="723"/>
      <x v="723"/>
      <x v="116"/>
      <x v="668"/>
      <x v="1071"/>
    </i>
    <i r="1">
      <x v="724"/>
      <x v="724"/>
      <x v="116"/>
      <x v="669"/>
      <x v="1074"/>
    </i>
    <i r="1">
      <x v="725"/>
      <x v="725"/>
      <x v="116"/>
      <x v="670"/>
      <x v="1075"/>
    </i>
    <i r="1">
      <x v="726"/>
      <x v="726"/>
      <x v="116"/>
      <x v="671"/>
      <x v="1076"/>
    </i>
    <i r="1">
      <x v="727"/>
      <x v="727"/>
      <x v="116"/>
      <x v="672"/>
      <x v="1077"/>
    </i>
    <i r="1">
      <x v="741"/>
      <x v="741"/>
      <x v="116"/>
      <x v="686"/>
      <x v="1104"/>
    </i>
    <i r="1">
      <x v="744"/>
      <x v="744"/>
      <x v="116"/>
      <x v="689"/>
      <x v="1107"/>
    </i>
    <i r="1">
      <x v="745"/>
      <x v="745"/>
      <x v="116"/>
      <x v="690"/>
      <x v="1108"/>
    </i>
    <i>
      <x v="10"/>
      <x/>
      <x/>
      <x v="50"/>
      <x v="359"/>
      <x v="144"/>
    </i>
    <i r="3">
      <x v="126"/>
      <x v="359"/>
      <x v="742"/>
    </i>
    <i r="1">
      <x v="267"/>
      <x v="267"/>
      <x v="126"/>
      <x v="239"/>
      <x v="592"/>
    </i>
    <i r="5">
      <x v="1057"/>
    </i>
    <i>
      <x v="11"/>
      <x v="13"/>
      <x v="13"/>
      <x v="3"/>
      <x v="13"/>
      <x v="10"/>
    </i>
    <i r="1">
      <x v="19"/>
      <x v="19"/>
      <x v="141"/>
      <x v="19"/>
      <x v="815"/>
    </i>
    <i r="1">
      <x v="150"/>
      <x v="150"/>
      <x v="47"/>
      <x v="150"/>
      <x v="135"/>
    </i>
    <i r="1">
      <x v="359"/>
      <x v="359"/>
      <x v="81"/>
      <x v="318"/>
      <x v="399"/>
    </i>
    <i r="3">
      <x v="141"/>
      <x v="318"/>
      <x v="867"/>
    </i>
    <i r="1">
      <x v="695"/>
      <x v="695"/>
      <x v="174"/>
      <x v="641"/>
      <x v="996"/>
    </i>
    <i r="1">
      <x v="704"/>
      <x v="704"/>
      <x v="174"/>
      <x v="648"/>
      <x v="1019"/>
    </i>
    <i r="1">
      <x v="742"/>
      <x v="742"/>
      <x v="185"/>
      <x v="687"/>
      <x v="1105"/>
    </i>
    <i>
      <x v="12"/>
      <x v="390"/>
      <x v="390"/>
      <x v="87"/>
      <x v="344"/>
      <x v="410"/>
    </i>
    <i>
      <x v="13"/>
      <x v="206"/>
      <x v="206"/>
      <x v="57"/>
      <x v="195"/>
      <x v="195"/>
    </i>
    <i r="1">
      <x v="415"/>
      <x v="415"/>
      <x v="111"/>
      <x v="380"/>
      <x v="454"/>
    </i>
    <i r="1">
      <x v="655"/>
      <x v="655"/>
      <x v="153"/>
      <x v="602"/>
      <x v="896"/>
    </i>
    <i r="1">
      <x v="680"/>
      <x v="680"/>
      <x v="164"/>
      <x v="626"/>
      <x v="945"/>
    </i>
    <i r="1">
      <x v="729"/>
      <x v="729"/>
      <x v="181"/>
      <x v="674"/>
      <x v="1081"/>
    </i>
    <i r="1">
      <x v="735"/>
      <x v="735"/>
      <x v="181"/>
      <x v="680"/>
      <x v="1088"/>
    </i>
    <i>
      <x v="14"/>
      <x v="29"/>
      <x v="29"/>
      <x v="17"/>
      <x v="31"/>
      <x v="23"/>
    </i>
    <i r="1">
      <x v="96"/>
      <x v="96"/>
      <x v="35"/>
      <x v="100"/>
      <x v="87"/>
    </i>
    <i r="1">
      <x v="145"/>
      <x v="145"/>
      <x v="42"/>
      <x v="144"/>
      <x v="128"/>
    </i>
    <i r="1">
      <x v="197"/>
      <x v="197"/>
      <x v="48"/>
      <x v="187"/>
      <x v="186"/>
    </i>
    <i r="1">
      <x v="218"/>
      <x v="218"/>
      <x v="162"/>
      <x v="203"/>
      <x v="1065"/>
    </i>
    <i r="1">
      <x v="379"/>
      <x v="379"/>
      <x v="77"/>
      <x v="333"/>
      <x v="394"/>
    </i>
    <i r="1">
      <x v="399"/>
      <x v="399"/>
      <x v="93"/>
      <x v="352"/>
      <x v="421"/>
    </i>
    <i r="1">
      <x v="400"/>
      <x v="400"/>
      <x v="93"/>
      <x v="358"/>
      <x v="422"/>
    </i>
    <i r="1">
      <x v="408"/>
      <x v="408"/>
      <x v="93"/>
      <x v="368"/>
      <x v="439"/>
    </i>
    <i r="1">
      <x v="410"/>
      <x v="410"/>
      <x v="103"/>
      <x v="371"/>
      <x v="442"/>
    </i>
    <i r="1">
      <x v="518"/>
      <x v="518"/>
      <x v="93"/>
      <x v="476"/>
      <x v="620"/>
    </i>
    <i r="1">
      <x v="519"/>
      <x v="519"/>
      <x v="93"/>
      <x v="477"/>
      <x v="621"/>
    </i>
    <i r="1">
      <x v="528"/>
      <x v="528"/>
      <x v="93"/>
      <x v="485"/>
      <x v="633"/>
    </i>
    <i r="1">
      <x v="558"/>
      <x v="558"/>
      <x v="103"/>
      <x v="515"/>
      <x v="696"/>
    </i>
    <i r="1">
      <x v="571"/>
      <x v="571"/>
      <x v="93"/>
      <x v="528"/>
      <x v="722"/>
    </i>
    <i r="1">
      <x v="582"/>
      <x v="582"/>
      <x v="93"/>
      <x v="537"/>
      <x v="735"/>
    </i>
    <i r="1">
      <x v="593"/>
      <x v="593"/>
      <x v="93"/>
      <x v="546"/>
      <x v="758"/>
    </i>
    <i r="1">
      <x v="623"/>
      <x v="623"/>
      <x v="103"/>
      <x v="568"/>
      <x v="820"/>
    </i>
    <i r="5">
      <x v="872"/>
    </i>
    <i r="1">
      <x v="626"/>
      <x v="626"/>
      <x v="103"/>
      <x v="571"/>
      <x v="823"/>
    </i>
    <i r="1">
      <x v="677"/>
      <x v="677"/>
      <x v="162"/>
      <x v="623"/>
      <x v="940"/>
    </i>
    <i>
      <x v="15"/>
      <x v="305"/>
      <x v="305"/>
      <x v="155"/>
      <x v="270"/>
      <x v="908"/>
    </i>
    <i r="1">
      <x v="365"/>
      <x v="365"/>
      <x v="86"/>
      <x v="322"/>
      <x v="409"/>
    </i>
    <i r="1">
      <x v="414"/>
      <x v="414"/>
      <x v="110"/>
      <x v="379"/>
      <x v="453"/>
    </i>
    <i r="1">
      <x v="721"/>
      <x v="721"/>
      <x v="179"/>
      <x v="666"/>
      <x v="1061"/>
    </i>
    <i>
      <x v="16"/>
      <x v="685"/>
      <x v="685"/>
      <x v="168"/>
      <x v="631"/>
      <x v="965"/>
    </i>
    <i>
      <x v="17"/>
      <x v="9"/>
      <x v="9"/>
      <x v="160"/>
      <x v="9"/>
      <x v="1011"/>
    </i>
    <i r="1">
      <x v="58"/>
      <x v="58"/>
      <x v="26"/>
      <x v="354"/>
      <x v="50"/>
    </i>
    <i r="1">
      <x v="270"/>
      <x v="270"/>
      <x v="138"/>
      <x v="242"/>
      <x v="767"/>
    </i>
    <i r="5">
      <x v="873"/>
    </i>
    <i r="3">
      <x v="160"/>
      <x v="242"/>
      <x v="963"/>
    </i>
    <i r="5">
      <x v="1079"/>
    </i>
    <i r="1">
      <x v="295"/>
      <x v="295"/>
      <x v="160"/>
      <x v="263"/>
      <x v="1013"/>
    </i>
    <i r="1">
      <x v="674"/>
      <x v="674"/>
      <x v="160"/>
      <x v="620"/>
      <x v="934"/>
    </i>
    <i r="1">
      <x v="676"/>
      <x v="676"/>
      <x v="160"/>
      <x v="622"/>
      <x v="936"/>
    </i>
    <i r="5">
      <x v="937"/>
    </i>
    <i r="5">
      <x v="938"/>
    </i>
    <i r="1">
      <x v="688"/>
      <x v="688"/>
      <x v="160"/>
      <x v="634"/>
      <x v="973"/>
    </i>
    <i r="1">
      <x v="719"/>
      <x v="719"/>
      <x v="160"/>
      <x v="664"/>
      <x v="1059"/>
    </i>
    <i>
      <x v="18"/>
      <x v="12"/>
      <x v="12"/>
      <x v="2"/>
      <x v="12"/>
      <x v="9"/>
    </i>
    <i r="1">
      <x v="184"/>
      <x v="184"/>
      <x v="151"/>
      <x v="179"/>
      <x v="1009"/>
    </i>
    <i r="1">
      <x v="195"/>
      <x v="195"/>
      <x v="128"/>
      <x v="471"/>
      <x v="614"/>
    </i>
    <i r="1">
      <x v="213"/>
      <x v="213"/>
      <x v="151"/>
      <x v="201"/>
      <x v="1020"/>
    </i>
    <i r="1">
      <x v="375"/>
      <x v="375"/>
      <x v="74"/>
      <x v="329"/>
      <x v="390"/>
    </i>
    <i r="1">
      <x v="378"/>
      <x v="378"/>
      <x v="76"/>
      <x v="332"/>
      <x v="393"/>
    </i>
    <i r="1">
      <x v="652"/>
      <x v="652"/>
      <x v="151"/>
      <x v="598"/>
      <x v="884"/>
    </i>
    <i r="1">
      <x v="686"/>
      <x v="686"/>
      <x v="151"/>
      <x v="632"/>
      <x v="968"/>
    </i>
    <i r="5">
      <x v="1062"/>
    </i>
    <i r="1">
      <x v="687"/>
      <x v="687"/>
      <x v="169"/>
      <x v="633"/>
      <x v="969"/>
    </i>
    <i r="1">
      <x v="709"/>
      <x v="709"/>
      <x v="151"/>
      <x v="654"/>
      <x v="1033"/>
    </i>
    <i r="1">
      <x v="714"/>
      <x v="714"/>
      <x v="151"/>
      <x v="659"/>
      <x v="1044"/>
    </i>
    <i r="1">
      <x v="747"/>
      <x v="747"/>
      <x v="169"/>
      <x v="692"/>
      <x v="1114"/>
    </i>
    <i>
      <x v="19"/>
      <x v="65"/>
      <x v="65"/>
      <x v="31"/>
      <x v="355"/>
      <x v="58"/>
    </i>
    <i r="1">
      <x v="610"/>
      <x v="610"/>
      <x v="140"/>
      <x v="558"/>
      <x v="792"/>
    </i>
    <i r="1">
      <x v="683"/>
      <x v="683"/>
      <x v="140"/>
      <x v="629"/>
      <x v="958"/>
    </i>
    <i>
      <x v="20"/>
      <x v="237"/>
      <x v="237"/>
      <x v="157"/>
      <x v="220"/>
      <x v="913"/>
    </i>
    <i r="5">
      <x v="949"/>
    </i>
    <i r="5">
      <x v="955"/>
    </i>
    <i r="5">
      <x v="966"/>
    </i>
    <i r="5">
      <x v="967"/>
    </i>
    <i r="5">
      <x v="970"/>
    </i>
    <i r="5">
      <x v="978"/>
    </i>
    <i r="5">
      <x v="979"/>
    </i>
    <i r="5">
      <x v="980"/>
    </i>
    <i r="5">
      <x v="1010"/>
    </i>
    <i r="5">
      <x v="1034"/>
    </i>
    <i r="5">
      <x v="1067"/>
    </i>
    <i r="3">
      <x v="187"/>
      <x v="220"/>
      <x v="1113"/>
    </i>
    <i r="1">
      <x v="372"/>
      <x v="372"/>
      <x v="127"/>
      <x v="327"/>
      <x v="593"/>
    </i>
    <i>
      <x v="21"/>
      <x v="128"/>
      <x v="128"/>
      <x v="106"/>
      <x v="130"/>
      <x v="1072"/>
    </i>
    <i r="1">
      <x v="276"/>
      <x v="276"/>
      <x v="106"/>
      <x v="248"/>
      <x v="1029"/>
    </i>
    <i r="1">
      <x v="356"/>
      <x v="356"/>
      <x v="114"/>
      <x v="315"/>
      <x v="459"/>
    </i>
    <i r="1">
      <x v="398"/>
      <x v="398"/>
      <x v="92"/>
      <x v="351"/>
      <x v="420"/>
    </i>
    <i r="1">
      <x v="412"/>
      <x v="412"/>
      <x v="106"/>
      <x v="373"/>
      <x v="449"/>
    </i>
    <i r="1">
      <x v="416"/>
      <x v="416"/>
      <x v="113"/>
      <x v="381"/>
      <x v="457"/>
    </i>
    <i r="1">
      <x v="482"/>
      <x v="482"/>
      <x v="113"/>
      <x v="441"/>
      <x v="562"/>
    </i>
    <i r="1">
      <x v="537"/>
      <x v="537"/>
      <x v="114"/>
      <x v="494"/>
      <x v="655"/>
    </i>
    <i r="1">
      <x v="630"/>
      <x v="630"/>
      <x v="114"/>
      <x v="575"/>
      <x v="827"/>
    </i>
    <i r="1">
      <x v="644"/>
      <x v="644"/>
      <x v="114"/>
      <x v="588"/>
      <x v="861"/>
    </i>
    <i r="1">
      <x v="646"/>
      <x v="646"/>
      <x v="148"/>
      <x v="590"/>
      <x v="865"/>
    </i>
    <i r="1">
      <x v="650"/>
      <x v="650"/>
      <x v="114"/>
      <x v="594"/>
      <x v="878"/>
    </i>
    <i r="1">
      <x v="651"/>
      <x v="651"/>
      <x v="114"/>
      <x v="595"/>
      <x v="879"/>
    </i>
    <i r="1">
      <x v="691"/>
      <x v="691"/>
      <x v="106"/>
      <x v="637"/>
      <x v="977"/>
    </i>
    <i r="1">
      <x v="692"/>
      <x v="692"/>
      <x v="106"/>
      <x v="638"/>
      <x v="989"/>
    </i>
    <i r="1">
      <x v="694"/>
      <x v="694"/>
      <x v="106"/>
      <x v="640"/>
      <x v="993"/>
    </i>
    <i r="1">
      <x v="730"/>
      <x v="730"/>
      <x v="106"/>
      <x v="675"/>
      <x v="1082"/>
    </i>
    <i r="1">
      <x v="731"/>
      <x v="731"/>
      <x v="106"/>
      <x v="676"/>
      <x v="1083"/>
    </i>
    <i>
      <x v="22"/>
      <x v="15"/>
      <x v="15"/>
      <x v="5"/>
      <x v="15"/>
      <x v="12"/>
    </i>
    <i>
      <x v="23"/>
      <x v="16"/>
      <x v="16"/>
      <x v="6"/>
      <x v="16"/>
      <x v="13"/>
    </i>
    <i r="1">
      <x v="17"/>
      <x v="17"/>
      <x v="7"/>
      <x v="17"/>
      <x v="14"/>
    </i>
    <i r="1">
      <x v="18"/>
      <x v="18"/>
      <x v="8"/>
      <x v="18"/>
      <x v="15"/>
    </i>
    <i>
      <x v="24"/>
      <x v="19"/>
      <x v="19"/>
      <x v="9"/>
      <x v="19"/>
      <x v="16"/>
    </i>
    <i r="1">
      <x v="20"/>
      <x v="20"/>
      <x v="10"/>
      <x v="20"/>
      <x v="17"/>
    </i>
    <i r="1">
      <x v="21"/>
      <x v="21"/>
      <x v="11"/>
      <x v="21"/>
      <x v="18"/>
    </i>
    <i>
      <x v="25"/>
      <x v="22"/>
      <x v="22"/>
      <x v="12"/>
      <x v="22"/>
      <x v="19"/>
    </i>
    <i r="3">
      <x v="124"/>
      <x v="22"/>
      <x v="554"/>
    </i>
    <i>
      <x v="26"/>
      <x v="209"/>
      <x v="209"/>
      <x v="52"/>
      <x v="197"/>
      <x v="200"/>
    </i>
    <i r="1">
      <x v="219"/>
      <x v="219"/>
      <x v="166"/>
      <x v="204"/>
      <x v="948"/>
    </i>
    <i r="1">
      <x v="221"/>
      <x v="221"/>
      <x v="132"/>
      <x v="206"/>
      <x v="668"/>
    </i>
    <i r="5">
      <x v="680"/>
    </i>
    <i r="5">
      <x v="681"/>
    </i>
    <i r="1">
      <x v="279"/>
      <x v="279"/>
      <x v="132"/>
      <x v="251"/>
      <x v="760"/>
    </i>
    <i r="1">
      <x v="357"/>
      <x v="357"/>
      <x v="166"/>
      <x v="316"/>
      <x v="1025"/>
    </i>
    <i r="5">
      <x v="1068"/>
    </i>
    <i r="1">
      <x v="531"/>
      <x v="531"/>
      <x v="130"/>
      <x v="488"/>
      <x v="636"/>
    </i>
    <i>
      <x v="27"/>
      <x v="358"/>
      <x v="358"/>
      <x v="85"/>
      <x v="317"/>
      <x v="408"/>
    </i>
    <i r="3">
      <x v="104"/>
      <x v="317"/>
      <x v="445"/>
    </i>
    <i r="5">
      <x v="954"/>
    </i>
    <i r="5">
      <x v="960"/>
    </i>
    <i r="5">
      <x v="961"/>
    </i>
    <i r="3">
      <x v="170"/>
      <x v="317"/>
      <x v="984"/>
    </i>
    <i r="5">
      <x v="985"/>
    </i>
    <i r="1">
      <x v="637"/>
      <x v="637"/>
      <x v="146"/>
      <x v="582"/>
      <x v="838"/>
    </i>
    <i r="1">
      <x v="668"/>
      <x v="668"/>
      <x v="104"/>
      <x v="614"/>
      <x v="919"/>
    </i>
    <i r="5">
      <x v="939"/>
    </i>
    <i r="1">
      <x v="671"/>
      <x v="671"/>
      <x v="104"/>
      <x v="617"/>
      <x v="927"/>
    </i>
    <i r="1">
      <x v="690"/>
      <x v="690"/>
      <x v="104"/>
      <x v="636"/>
      <x v="975"/>
    </i>
    <i r="3">
      <x v="170"/>
      <x v="636"/>
      <x v="1031"/>
    </i>
    <i r="1">
      <x v="712"/>
      <x v="712"/>
      <x v="170"/>
      <x v="657"/>
      <x v="1041"/>
    </i>
    <i r="1">
      <x v="728"/>
      <x v="728"/>
      <x v="170"/>
      <x v="673"/>
      <x v="1080"/>
    </i>
    <i r="1">
      <x v="743"/>
      <x v="743"/>
      <x v="170"/>
      <x v="688"/>
      <x v="1106"/>
    </i>
    <i>
      <x v="28"/>
      <x v="737"/>
      <x v="737"/>
      <x v="183"/>
      <x v="682"/>
      <x v="1094"/>
    </i>
    <i>
      <x v="29"/>
      <x v="576"/>
      <x v="576"/>
      <x v="137"/>
      <x v="531"/>
      <x v="729"/>
    </i>
    <i>
      <x v="30"/>
      <x v="122"/>
      <x v="122"/>
      <x v="145"/>
      <x v="127"/>
      <x v="1008"/>
    </i>
    <i r="1">
      <x v="388"/>
      <x v="388"/>
      <x v="83"/>
      <x v="342"/>
      <x v="405"/>
    </i>
    <i r="3">
      <x v="109"/>
      <x v="342"/>
      <x v="450"/>
    </i>
    <i r="5">
      <x v="531"/>
    </i>
    <i r="1">
      <x v="633"/>
      <x v="633"/>
      <x v="145"/>
      <x v="578"/>
      <x v="832"/>
    </i>
    <i r="5">
      <x v="859"/>
    </i>
    <i r="1">
      <x v="689"/>
      <x v="689"/>
      <x v="145"/>
      <x v="635"/>
      <x v="974"/>
    </i>
    <i r="1">
      <x v="702"/>
      <x v="702"/>
      <x v="145"/>
      <x v="646"/>
      <x v="1007"/>
    </i>
    <i>
      <x v="31"/>
      <x v="171"/>
      <x v="171"/>
      <x v="54"/>
      <x v="168"/>
      <x v="157"/>
    </i>
    <i r="5">
      <x v="272"/>
    </i>
    <i r="1">
      <x v="196"/>
      <x v="196"/>
      <x v="56"/>
      <x v="186"/>
      <x v="185"/>
    </i>
    <i r="1">
      <x v="229"/>
      <x v="229"/>
      <x v="56"/>
      <x v="212"/>
      <x v="219"/>
    </i>
    <i r="5">
      <x v="246"/>
    </i>
    <i r="5">
      <x v="247"/>
    </i>
    <i r="5">
      <x v="248"/>
    </i>
    <i r="5">
      <x v="285"/>
    </i>
    <i r="3">
      <x v="156"/>
      <x v="212"/>
      <x v="1049"/>
    </i>
    <i r="3">
      <x v="186"/>
      <x v="212"/>
      <x v="1111"/>
    </i>
    <i r="5">
      <x v="1112"/>
    </i>
    <i r="1">
      <x v="242"/>
      <x v="242"/>
      <x v="56"/>
      <x v="222"/>
      <x v="231"/>
    </i>
    <i r="5">
      <x v="337"/>
    </i>
    <i r="3">
      <x v="105"/>
      <x v="222"/>
      <x v="518"/>
    </i>
    <i r="5">
      <x v="645"/>
    </i>
    <i r="5">
      <x v="920"/>
    </i>
    <i r="1">
      <x v="243"/>
      <x v="243"/>
      <x v="56"/>
      <x v="223"/>
      <x v="232"/>
    </i>
    <i r="1">
      <x v="277"/>
      <x v="277"/>
      <x v="54"/>
      <x v="249"/>
      <x v="268"/>
    </i>
    <i r="3">
      <x v="105"/>
      <x v="249"/>
      <x v="575"/>
    </i>
    <i r="3">
      <x v="147"/>
      <x v="249"/>
      <x v="860"/>
    </i>
    <i r="1">
      <x v="278"/>
      <x v="278"/>
      <x v="54"/>
      <x v="250"/>
      <x v="271"/>
    </i>
    <i r="5">
      <x v="354"/>
    </i>
    <i r="1">
      <x v="284"/>
      <x v="284"/>
      <x v="54"/>
      <x v="255"/>
      <x v="277"/>
    </i>
    <i r="5">
      <x v="283"/>
    </i>
    <i r="5">
      <x v="284"/>
    </i>
    <i r="3">
      <x v="105"/>
      <x v="255"/>
      <x v="500"/>
    </i>
    <i r="5">
      <x v="637"/>
    </i>
    <i r="3">
      <x v="156"/>
      <x v="255"/>
      <x v="1069"/>
    </i>
    <i r="1">
      <x v="296"/>
      <x v="296"/>
      <x v="54"/>
      <x v="264"/>
      <x v="293"/>
    </i>
    <i r="1">
      <x v="303"/>
      <x v="303"/>
      <x v="54"/>
      <x v="268"/>
      <x v="301"/>
    </i>
    <i r="1">
      <x v="307"/>
      <x v="307"/>
      <x v="105"/>
      <x v="272"/>
      <x v="499"/>
    </i>
    <i r="5">
      <x v="688"/>
    </i>
    <i r="5">
      <x v="773"/>
    </i>
    <i r="3">
      <x v="156"/>
      <x v="272"/>
      <x v="1014"/>
    </i>
    <i r="1">
      <x v="308"/>
      <x v="308"/>
      <x v="54"/>
      <x v="273"/>
      <x v="305"/>
    </i>
    <i r="3">
      <x v="105"/>
      <x v="273"/>
      <x v="801"/>
    </i>
    <i r="5">
      <x v="802"/>
    </i>
    <i r="1">
      <x v="309"/>
      <x v="309"/>
      <x v="54"/>
      <x v="274"/>
      <x v="306"/>
    </i>
    <i r="5">
      <x v="313"/>
    </i>
    <i r="5">
      <x v="361"/>
    </i>
    <i r="3">
      <x v="105"/>
      <x v="274"/>
      <x v="800"/>
    </i>
    <i r="3">
      <x v="186"/>
      <x v="274"/>
      <x v="1116"/>
    </i>
    <i r="1">
      <x v="310"/>
      <x v="310"/>
      <x v="54"/>
      <x v="275"/>
      <x v="310"/>
    </i>
    <i r="1">
      <x v="314"/>
      <x v="314"/>
      <x v="54"/>
      <x v="278"/>
      <x v="316"/>
    </i>
    <i r="1">
      <x v="320"/>
      <x v="320"/>
      <x v="54"/>
      <x v="284"/>
      <x v="322"/>
    </i>
    <i r="1">
      <x v="346"/>
      <x v="346"/>
      <x v="54"/>
      <x v="305"/>
      <x v="355"/>
    </i>
    <i r="3">
      <x v="105"/>
      <x v="305"/>
      <x v="497"/>
    </i>
    <i r="5">
      <x v="771"/>
    </i>
    <i r="5">
      <x v="803"/>
    </i>
    <i r="5">
      <x v="811"/>
    </i>
    <i r="1">
      <x v="347"/>
      <x v="347"/>
      <x v="54"/>
      <x v="306"/>
      <x v="356"/>
    </i>
    <i r="1">
      <x v="348"/>
      <x v="348"/>
      <x v="54"/>
      <x v="307"/>
      <x v="357"/>
    </i>
    <i r="1">
      <x v="349"/>
      <x v="349"/>
      <x v="54"/>
      <x v="308"/>
      <x v="358"/>
    </i>
    <i r="1">
      <x v="350"/>
      <x v="350"/>
      <x v="54"/>
      <x v="309"/>
      <x v="359"/>
    </i>
    <i r="3">
      <x v="105"/>
      <x v="309"/>
      <x v="498"/>
    </i>
    <i r="1">
      <x v="351"/>
      <x v="351"/>
      <x v="54"/>
      <x v="310"/>
      <x v="360"/>
    </i>
    <i r="3">
      <x v="105"/>
      <x v="310"/>
      <x v="552"/>
    </i>
    <i r="3">
      <x v="156"/>
      <x v="310"/>
      <x v="1028"/>
    </i>
    <i r="1">
      <x v="352"/>
      <x v="352"/>
      <x v="54"/>
      <x v="311"/>
      <x v="362"/>
    </i>
    <i r="3">
      <x v="105"/>
      <x v="311"/>
      <x v="580"/>
    </i>
    <i r="3">
      <x v="156"/>
      <x v="311"/>
      <x v="1053"/>
    </i>
    <i r="1">
      <x v="353"/>
      <x v="353"/>
      <x v="54"/>
      <x v="312"/>
      <x v="364"/>
    </i>
    <i r="3">
      <x v="105"/>
      <x v="312"/>
      <x v="810"/>
    </i>
    <i r="3">
      <x v="156"/>
      <x v="312"/>
      <x v="909"/>
    </i>
    <i r="5">
      <x v="956"/>
    </i>
    <i r="5">
      <x v="957"/>
    </i>
    <i r="5">
      <x v="1047"/>
    </i>
    <i r="3">
      <x v="186"/>
      <x v="312"/>
      <x v="1119"/>
    </i>
    <i r="1">
      <x v="354"/>
      <x v="354"/>
      <x v="54"/>
      <x v="313"/>
      <x v="365"/>
    </i>
    <i r="3">
      <x v="105"/>
      <x v="313"/>
      <x v="797"/>
    </i>
    <i r="1">
      <x v="355"/>
      <x v="355"/>
      <x v="54"/>
      <x v="314"/>
      <x v="366"/>
    </i>
    <i r="3">
      <x v="105"/>
      <x v="314"/>
      <x v="638"/>
    </i>
    <i r="5">
      <x v="774"/>
    </i>
    <i r="3">
      <x v="156"/>
      <x v="314"/>
      <x v="1015"/>
    </i>
    <i r="1">
      <x v="411"/>
      <x v="411"/>
      <x v="105"/>
      <x v="372"/>
      <x v="447"/>
    </i>
    <i r="1">
      <x v="420"/>
      <x v="420"/>
      <x v="105"/>
      <x v="384"/>
      <x v="465"/>
    </i>
    <i r="1">
      <x v="421"/>
      <x v="421"/>
      <x v="105"/>
      <x v="385"/>
      <x v="466"/>
    </i>
    <i r="3">
      <x v="156"/>
      <x v="385"/>
      <x v="1016"/>
    </i>
    <i r="5">
      <x v="1017"/>
    </i>
    <i r="5">
      <x v="1018"/>
    </i>
    <i r="1">
      <x v="441"/>
      <x v="441"/>
      <x v="105"/>
      <x v="404"/>
      <x v="496"/>
    </i>
    <i r="5">
      <x v="590"/>
    </i>
    <i r="1">
      <x v="475"/>
      <x v="475"/>
      <x v="105"/>
      <x v="435"/>
      <x v="551"/>
    </i>
    <i r="1">
      <x v="493"/>
      <x v="493"/>
      <x v="105"/>
      <x v="451"/>
      <x v="574"/>
    </i>
    <i r="5">
      <x v="684"/>
    </i>
    <i r="5">
      <x v="690"/>
    </i>
    <i r="1">
      <x v="504"/>
      <x v="504"/>
      <x v="105"/>
      <x v="461"/>
      <x v="598"/>
    </i>
    <i r="5">
      <x v="808"/>
    </i>
    <i r="5">
      <x v="809"/>
    </i>
    <i r="1">
      <x v="505"/>
      <x v="505"/>
      <x v="105"/>
      <x v="462"/>
      <x v="599"/>
    </i>
    <i r="5">
      <x v="600"/>
    </i>
    <i r="1">
      <x v="532"/>
      <x v="532"/>
      <x v="105"/>
      <x v="489"/>
      <x v="639"/>
    </i>
    <i r="5">
      <x v="689"/>
    </i>
    <i r="1">
      <x v="598"/>
      <x v="598"/>
      <x v="105"/>
      <x v="550"/>
      <x v="766"/>
    </i>
    <i r="1">
      <x v="613"/>
      <x v="613"/>
      <x v="105"/>
      <x v="561"/>
      <x v="798"/>
    </i>
    <i r="3">
      <x v="186"/>
      <x v="561"/>
      <x v="1117"/>
    </i>
    <i r="1">
      <x v="614"/>
      <x v="614"/>
      <x v="105"/>
      <x v="562"/>
      <x v="799"/>
    </i>
    <i r="3">
      <x v="186"/>
      <x v="562"/>
      <x v="1115"/>
    </i>
    <i r="1">
      <x v="645"/>
      <x v="645"/>
      <x v="147"/>
      <x v="589"/>
      <x v="862"/>
    </i>
    <i r="1">
      <x v="649"/>
      <x v="649"/>
      <x v="105"/>
      <x v="593"/>
      <x v="877"/>
    </i>
    <i r="1">
      <x v="670"/>
      <x v="670"/>
      <x v="147"/>
      <x v="616"/>
      <x v="926"/>
    </i>
    <i r="5">
      <x v="941"/>
    </i>
    <i r="1">
      <x v="696"/>
      <x v="696"/>
      <x v="156"/>
      <x v="642"/>
      <x v="998"/>
    </i>
    <i r="5">
      <x v="1052"/>
    </i>
    <i r="1">
      <x v="697"/>
      <x v="697"/>
      <x v="156"/>
      <x v="643"/>
      <x v="999"/>
    </i>
    <i r="5">
      <x v="1043"/>
    </i>
    <i r="1">
      <x v="715"/>
      <x v="715"/>
      <x v="156"/>
      <x v="660"/>
      <x v="1048"/>
    </i>
    <i r="1">
      <x v="748"/>
      <x v="748"/>
      <x v="186"/>
      <x v="693"/>
      <x v="1118"/>
    </i>
    <i>
      <x v="32"/>
      <x v="393"/>
      <x v="393"/>
      <x v="89"/>
      <x v="347"/>
      <x v="414"/>
    </i>
    <i>
      <x v="33"/>
      <x v="374"/>
      <x v="374"/>
      <x v="73"/>
      <x v="328"/>
      <x v="389"/>
    </i>
    <i r="1">
      <x v="402"/>
      <x v="402"/>
      <x v="96"/>
      <x v="362"/>
      <x v="424"/>
    </i>
    <i r="5">
      <x v="437"/>
    </i>
    <i r="5">
      <x v="438"/>
    </i>
    <i r="5">
      <x v="440"/>
    </i>
    <i r="1">
      <x v="407"/>
      <x v="407"/>
      <x v="100"/>
      <x v="367"/>
      <x v="436"/>
    </i>
    <i r="5">
      <x v="444"/>
    </i>
    <i r="5">
      <x v="456"/>
    </i>
    <i r="1">
      <x v="466"/>
      <x v="466"/>
      <x v="121"/>
      <x v="426"/>
      <x v="535"/>
    </i>
    <i>
      <x v="34"/>
      <x v="464"/>
      <x v="464"/>
      <x v="120"/>
      <x v="425"/>
      <x v="533"/>
    </i>
    <i r="1">
      <x v="631"/>
      <x v="631"/>
      <x v="144"/>
      <x v="576"/>
      <x v="830"/>
    </i>
    <i>
      <x v="35"/>
      <x v="149"/>
      <x v="149"/>
      <x v="46"/>
      <x v="148"/>
      <x v="132"/>
    </i>
    <i r="5">
      <x v="133"/>
    </i>
    <i r="5">
      <x v="134"/>
    </i>
    <i r="5">
      <x v="142"/>
    </i>
    <i r="5">
      <x v="237"/>
    </i>
    <i r="1">
      <x v="156"/>
      <x v="156"/>
      <x v="46"/>
      <x v="156"/>
      <x v="140"/>
    </i>
    <i r="5">
      <x v="218"/>
    </i>
    <i r="5">
      <x v="257"/>
    </i>
    <i r="5">
      <x v="292"/>
    </i>
    <i r="5">
      <x v="314"/>
    </i>
    <i r="1">
      <x v="157"/>
      <x v="157"/>
      <x v="115"/>
      <x v="157"/>
      <x v="603"/>
    </i>
    <i r="3">
      <x v="131"/>
      <x v="157"/>
      <x v="795"/>
    </i>
    <i r="1">
      <x v="158"/>
      <x v="158"/>
      <x v="46"/>
      <x v="158"/>
      <x v="141"/>
    </i>
    <i r="5">
      <x v="363"/>
    </i>
    <i r="3">
      <x v="115"/>
      <x v="158"/>
      <x v="530"/>
    </i>
    <i r="5">
      <x v="550"/>
    </i>
    <i r="5">
      <x v="605"/>
    </i>
    <i r="1">
      <x v="159"/>
      <x v="159"/>
      <x v="46"/>
      <x v="159"/>
      <x v="143"/>
    </i>
    <i r="3">
      <x v="115"/>
      <x v="159"/>
      <x v="608"/>
    </i>
    <i r="5">
      <x v="642"/>
    </i>
    <i r="5">
      <x v="643"/>
    </i>
    <i r="5">
      <x v="666"/>
    </i>
    <i r="1">
      <x v="198"/>
      <x v="198"/>
      <x v="46"/>
      <x v="188"/>
      <x v="187"/>
    </i>
    <i r="5">
      <x v="238"/>
    </i>
    <i r="5">
      <x v="318"/>
    </i>
    <i r="1">
      <x v="199"/>
      <x v="199"/>
      <x v="46"/>
      <x v="189"/>
      <x v="188"/>
    </i>
    <i r="1">
      <x v="266"/>
      <x v="266"/>
      <x v="46"/>
      <x v="238"/>
      <x v="258"/>
    </i>
    <i r="1">
      <x v="272"/>
      <x v="272"/>
      <x v="46"/>
      <x v="244"/>
      <x v="262"/>
    </i>
    <i r="5">
      <x v="263"/>
    </i>
    <i r="5">
      <x v="335"/>
    </i>
    <i r="5">
      <x v="336"/>
    </i>
    <i r="1">
      <x v="316"/>
      <x v="316"/>
      <x v="46"/>
      <x v="280"/>
      <x v="319"/>
    </i>
    <i r="1">
      <x v="317"/>
      <x v="317"/>
      <x v="46"/>
      <x v="281"/>
      <x v="320"/>
    </i>
    <i r="3">
      <x v="115"/>
      <x v="281"/>
      <x v="517"/>
    </i>
    <i r="3">
      <x v="131"/>
      <x v="281"/>
      <x v="663"/>
    </i>
    <i r="1">
      <x v="318"/>
      <x v="318"/>
      <x v="46"/>
      <x v="282"/>
      <x v="321"/>
    </i>
    <i r="1">
      <x v="328"/>
      <x v="328"/>
      <x v="46"/>
      <x v="292"/>
      <x v="332"/>
    </i>
    <i r="1">
      <x v="329"/>
      <x v="329"/>
      <x v="46"/>
      <x v="293"/>
      <x v="333"/>
    </i>
    <i r="5">
      <x v="334"/>
    </i>
    <i r="1">
      <x v="439"/>
      <x v="439"/>
      <x v="115"/>
      <x v="402"/>
      <x v="491"/>
    </i>
    <i r="5">
      <x v="492"/>
    </i>
    <i r="3">
      <x v="131"/>
      <x v="402"/>
      <x v="804"/>
    </i>
    <i r="1">
      <x v="484"/>
      <x v="484"/>
      <x v="115"/>
      <x v="443"/>
      <x v="564"/>
    </i>
    <i r="1">
      <x v="485"/>
      <x v="485"/>
      <x v="115"/>
      <x v="444"/>
      <x v="565"/>
    </i>
    <i r="1">
      <x v="486"/>
      <x v="486"/>
      <x v="115"/>
      <x v="445"/>
      <x v="566"/>
    </i>
    <i r="1">
      <x v="487"/>
      <x v="487"/>
      <x v="115"/>
      <x v="446"/>
      <x v="567"/>
    </i>
    <i r="1">
      <x v="507"/>
      <x v="507"/>
      <x v="115"/>
      <x v="464"/>
      <x v="602"/>
    </i>
    <i r="1">
      <x v="508"/>
      <x v="508"/>
      <x v="115"/>
      <x v="465"/>
      <x v="604"/>
    </i>
    <i r="5">
      <x v="664"/>
    </i>
    <i r="1">
      <x v="509"/>
      <x v="509"/>
      <x v="115"/>
      <x v="466"/>
      <x v="606"/>
    </i>
    <i r="1">
      <x v="510"/>
      <x v="510"/>
      <x v="115"/>
      <x v="467"/>
      <x v="607"/>
    </i>
    <i r="1">
      <x v="544"/>
      <x v="544"/>
      <x v="115"/>
      <x v="501"/>
      <x v="665"/>
    </i>
    <i r="1">
      <x v="552"/>
      <x v="552"/>
      <x v="115"/>
      <x v="509"/>
      <x v="683"/>
    </i>
    <i r="1">
      <x v="555"/>
      <x v="555"/>
      <x v="115"/>
      <x v="512"/>
      <x v="691"/>
    </i>
    <i r="5">
      <x v="692"/>
    </i>
    <i r="1">
      <x v="557"/>
      <x v="557"/>
      <x v="115"/>
      <x v="514"/>
      <x v="695"/>
    </i>
    <i r="1">
      <x v="559"/>
      <x v="559"/>
      <x v="115"/>
      <x v="516"/>
      <x v="701"/>
    </i>
    <i r="1">
      <x v="578"/>
      <x v="578"/>
      <x v="115"/>
      <x v="533"/>
      <x v="731"/>
    </i>
    <i r="1">
      <x v="612"/>
      <x v="612"/>
      <x v="131"/>
      <x v="560"/>
      <x v="796"/>
    </i>
    <i r="1">
      <x v="625"/>
      <x v="625"/>
      <x v="131"/>
      <x v="570"/>
      <x v="822"/>
    </i>
    <i r="1">
      <x v="659"/>
      <x v="659"/>
      <x v="131"/>
      <x v="606"/>
      <x v="902"/>
    </i>
    <i r="1">
      <x v="660"/>
      <x v="660"/>
      <x v="131"/>
      <x v="607"/>
      <x v="903"/>
    </i>
    <i>
      <x v="36"/>
      <x v="183"/>
      <x v="183"/>
      <x v="123"/>
      <x v="178"/>
      <x v="549"/>
    </i>
    <i r="1">
      <x v="474"/>
      <x v="474"/>
      <x v="123"/>
      <x v="434"/>
      <x v="548"/>
    </i>
    <i>
      <x v="37"/>
      <x v="167"/>
      <x v="167"/>
      <x v="180"/>
      <x v="165"/>
      <x v="1064"/>
    </i>
    <i r="1">
      <x v="269"/>
      <x v="269"/>
      <x v="167"/>
      <x v="241"/>
      <x v="962"/>
    </i>
    <i>
      <x v="38"/>
      <x v="620"/>
      <x v="620"/>
      <x v="142"/>
      <x v="200"/>
      <x v="816"/>
    </i>
    <i r="1">
      <x v="693"/>
      <x v="693"/>
      <x v="171"/>
      <x v="639"/>
      <x v="990"/>
    </i>
    <i r="1">
      <x v="720"/>
      <x v="720"/>
      <x v="171"/>
      <x v="665"/>
      <x v="1060"/>
    </i>
    <i>
      <x v="39"/>
      <x v="675"/>
      <x v="675"/>
      <x v="161"/>
      <x v="621"/>
      <x v="935"/>
    </i>
    <i>
      <x v="40"/>
      <x v="212"/>
      <x v="212"/>
      <x v="67"/>
      <x v="199"/>
      <x v="308"/>
    </i>
    <i r="3">
      <x v="101"/>
      <x v="199"/>
      <x v="203"/>
    </i>
    <i r="1">
      <x v="311"/>
      <x v="311"/>
      <x v="67"/>
      <x v="378"/>
      <x v="311"/>
    </i>
    <i r="3">
      <x v="101"/>
      <x v="378"/>
      <x v="976"/>
    </i>
    <i r="1">
      <x v="330"/>
      <x v="330"/>
      <x v="67"/>
      <x v="294"/>
      <x v="338"/>
    </i>
    <i r="1">
      <x v="368"/>
      <x v="368"/>
      <x v="67"/>
      <x v="324"/>
      <x v="381"/>
    </i>
    <i r="1">
      <x v="470"/>
      <x v="470"/>
      <x v="101"/>
      <x v="430"/>
      <x v="1005"/>
    </i>
    <i r="1">
      <x v="560"/>
      <x v="560"/>
      <x v="101"/>
      <x v="517"/>
      <x v="702"/>
    </i>
    <i r="1">
      <x v="561"/>
      <x v="561"/>
      <x v="101"/>
      <x v="518"/>
      <x v="703"/>
    </i>
    <i r="1">
      <x v="662"/>
      <x v="662"/>
      <x v="101"/>
      <x v="609"/>
      <x v="912"/>
    </i>
    <i r="1">
      <x v="673"/>
      <x v="673"/>
      <x v="101"/>
      <x v="619"/>
      <x v="1021"/>
    </i>
    <i r="3">
      <x v="159"/>
      <x v="619"/>
      <x v="931"/>
    </i>
    <i r="1">
      <x v="678"/>
      <x v="678"/>
      <x v="159"/>
      <x v="624"/>
      <x v="943"/>
    </i>
    <i r="1">
      <x v="703"/>
      <x v="703"/>
      <x v="101"/>
      <x v="647"/>
      <x v="1012"/>
    </i>
    <i r="1">
      <x v="713"/>
      <x v="713"/>
      <x v="101"/>
      <x v="658"/>
      <x v="1042"/>
    </i>
    <i>
      <x v="41"/>
      <x v="360"/>
      <x v="360"/>
      <x v="69"/>
      <x v="319"/>
      <x v="369"/>
    </i>
    <i>
      <x v="42"/>
      <x v="364"/>
      <x v="364"/>
      <x v="135"/>
      <x v="321"/>
      <x v="1091"/>
    </i>
    <i r="1">
      <x v="567"/>
      <x v="567"/>
      <x v="135"/>
      <x v="524"/>
      <x v="713"/>
    </i>
    <i>
      <x v="43"/>
      <x v="367"/>
      <x v="367"/>
      <x v="71"/>
      <x v="323"/>
      <x v="379"/>
    </i>
    <i>
      <x v="44"/>
      <x v="499"/>
      <x v="499"/>
      <x v="125"/>
      <x v="457"/>
      <x v="586"/>
    </i>
    <i>
      <x v="45"/>
      <x v="606"/>
      <x v="606"/>
      <x v="139"/>
      <x v="556"/>
      <x v="785"/>
    </i>
    <i>
      <x v="46"/>
      <x v="656"/>
      <x v="656"/>
      <x v="154"/>
      <x v="603"/>
      <x v="897"/>
    </i>
    <i>
      <x v="47"/>
      <x v="717"/>
      <x v="717"/>
      <x v="177"/>
      <x v="662"/>
      <x v="105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ty" fld="7" baseField="0" baseItem="0"/>
    <dataField name="Sum of Transfer Price" fld="1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H161"/>
  <sheetViews>
    <sheetView topLeftCell="A31" workbookViewId="0">
      <selection activeCell="D44" sqref="D44"/>
    </sheetView>
  </sheetViews>
  <sheetFormatPr defaultRowHeight="15" x14ac:dyDescent="0.25"/>
  <cols>
    <col min="1" max="1" width="40.85546875" style="13" customWidth="1"/>
    <col min="2" max="2" width="10.7109375" style="13" customWidth="1"/>
    <col min="3" max="3" width="7.42578125" style="13" customWidth="1"/>
    <col min="6" max="6" width="35.7109375" customWidth="1"/>
    <col min="7" max="8" width="10.7109375" customWidth="1"/>
  </cols>
  <sheetData>
    <row r="1" spans="1:8" ht="15.75" thickBot="1" x14ac:dyDescent="0.3">
      <c r="A1" s="17" t="s">
        <v>223</v>
      </c>
      <c r="B1" s="14" t="s">
        <v>786</v>
      </c>
    </row>
    <row r="2" spans="1:8" x14ac:dyDescent="0.25">
      <c r="F2" t="s">
        <v>3037</v>
      </c>
      <c r="G2" t="str">
        <f>F2</f>
        <v>&lt;table border="1" cellpadding="2" cellspacing="2" style="font-family: Trebuchet MS; font-size: 11px; width:70%; border-collapse: collapse; text-align:center"&gt;</v>
      </c>
    </row>
    <row r="3" spans="1:8" x14ac:dyDescent="0.25">
      <c r="A3" s="16" t="s">
        <v>31</v>
      </c>
      <c r="B3" s="16" t="s">
        <v>8</v>
      </c>
      <c r="C3" s="16" t="s">
        <v>222</v>
      </c>
      <c r="F3" t="str">
        <f>"&lt;tr style='background-color:  #a1cbfc;'&gt;&lt;th&gt;"&amp;A3&amp;"&lt;/th&gt;&lt;th&gt;"&amp;B3&amp;"&lt;/th&gt;&lt;th&gt;"&amp;C3&amp;"&lt;/th&gt;&lt;/tr&gt;"</f>
        <v>&lt;tr style='background-color:  #a1cbfc;'&gt;&lt;th&gt;Seller Name&lt;/th&gt;&lt;th&gt;PO no.&lt;/th&gt;&lt;th&gt;Amount&lt;/th&gt;&lt;/tr&gt;</v>
      </c>
      <c r="G3" t="str">
        <f>G2&amp;" "&amp;F3</f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</v>
      </c>
      <c r="H3" s="25"/>
    </row>
    <row r="4" spans="1:8" x14ac:dyDescent="0.25">
      <c r="A4" s="14" t="s">
        <v>2691</v>
      </c>
      <c r="B4" s="14" t="s">
        <v>3830</v>
      </c>
      <c r="C4" s="15">
        <v>27</v>
      </c>
      <c r="F4" t="str">
        <f t="shared" ref="F4:F10" si="0">IF(C4="","","&lt;tr&gt;&lt;td&gt;"&amp;A4&amp;"&lt;/td&gt;&lt;td&gt;"&amp;B4&amp;"&lt;/td&gt;&lt;td&gt;"&amp;C4&amp;"&lt;/td&gt;&lt;/tr&gt;")</f>
        <v>&lt;tr&gt;&lt;td&gt;Compunics Technologies LLC&lt;/td&gt;&lt;td&gt;PO044378&lt;/td&gt;&lt;td&gt;27&lt;/td&gt;&lt;/tr&gt;</v>
      </c>
      <c r="G4" t="str">
        <f t="shared" ref="G4:G67" si="1">G3&amp;" "&amp;F4</f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</v>
      </c>
    </row>
    <row r="5" spans="1:8" x14ac:dyDescent="0.25">
      <c r="A5" s="14"/>
      <c r="B5" s="14" t="s">
        <v>5377</v>
      </c>
      <c r="C5" s="15">
        <v>591</v>
      </c>
      <c r="F5" t="str">
        <f t="shared" si="0"/>
        <v>&lt;tr&gt;&lt;td&gt;&lt;/td&gt;&lt;td&gt;PO045018&lt;/td&gt;&lt;td&gt;591&lt;/td&gt;&lt;/tr&gt;</v>
      </c>
      <c r="G5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</v>
      </c>
    </row>
    <row r="6" spans="1:8" x14ac:dyDescent="0.25">
      <c r="A6" s="14" t="s">
        <v>188</v>
      </c>
      <c r="B6" s="14" t="s">
        <v>5751</v>
      </c>
      <c r="C6" s="15">
        <v>432</v>
      </c>
      <c r="F6" t="str">
        <f t="shared" si="0"/>
        <v>&lt;tr&gt;&lt;td&gt;AL ERSHAD COMPUTER TRADING LLC&lt;/td&gt;&lt;td&gt;PO044706&lt;/td&gt;&lt;td&gt;432&lt;/td&gt;&lt;/tr&gt;</v>
      </c>
      <c r="G6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</v>
      </c>
    </row>
    <row r="7" spans="1:8" x14ac:dyDescent="0.25">
      <c r="A7" s="14" t="s">
        <v>43</v>
      </c>
      <c r="B7" s="14" t="s">
        <v>4808</v>
      </c>
      <c r="C7" s="15">
        <v>1471</v>
      </c>
      <c r="F7" t="str">
        <f t="shared" si="0"/>
        <v>&lt;tr&gt;&lt;td&gt;REDINGTON MIDDLE EAST LLC&lt;/td&gt;&lt;td&gt;UPO011865&lt;/td&gt;&lt;td&gt;1471&lt;/td&gt;&lt;/tr&gt;</v>
      </c>
      <c r="G7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</v>
      </c>
    </row>
    <row r="8" spans="1:8" x14ac:dyDescent="0.25">
      <c r="A8" s="14"/>
      <c r="B8" s="14" t="s">
        <v>4961</v>
      </c>
      <c r="C8" s="15">
        <v>2942</v>
      </c>
      <c r="F8" t="str">
        <f t="shared" si="0"/>
        <v>&lt;tr&gt;&lt;td&gt;&lt;/td&gt;&lt;td&gt;PO044870&lt;/td&gt;&lt;td&gt;2942&lt;/td&gt;&lt;/tr&gt;</v>
      </c>
      <c r="G8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</v>
      </c>
    </row>
    <row r="9" spans="1:8" x14ac:dyDescent="0.25">
      <c r="A9" s="14"/>
      <c r="B9" s="14" t="s">
        <v>6023</v>
      </c>
      <c r="C9" s="15">
        <v>8164</v>
      </c>
      <c r="F9" t="str">
        <f t="shared" si="0"/>
        <v>&lt;tr&gt;&lt;td&gt;&lt;/td&gt;&lt;td&gt;PO044901&lt;/td&gt;&lt;td&gt;8164&lt;/td&gt;&lt;/tr&gt;</v>
      </c>
      <c r="G9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</v>
      </c>
    </row>
    <row r="10" spans="1:8" x14ac:dyDescent="0.25">
      <c r="A10" s="14" t="s">
        <v>2735</v>
      </c>
      <c r="B10" s="14" t="s">
        <v>3783</v>
      </c>
      <c r="C10" s="15">
        <v>754</v>
      </c>
      <c r="F10" t="str">
        <f t="shared" si="0"/>
        <v>&lt;tr&gt;&lt;td&gt;Al Shula General Trading Co . L.L.C&lt;/td&gt;&lt;td&gt;PO044550&lt;/td&gt;&lt;td&gt;754&lt;/td&gt;&lt;/tr&gt;</v>
      </c>
      <c r="G10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</v>
      </c>
    </row>
    <row r="11" spans="1:8" x14ac:dyDescent="0.25">
      <c r="A11" s="14"/>
      <c r="B11" s="14" t="s">
        <v>5088</v>
      </c>
      <c r="C11" s="15">
        <v>1633</v>
      </c>
      <c r="F11" t="str">
        <f t="shared" ref="F11:F68" si="2">IF(C11="","","&lt;tr&gt;&lt;td&gt;"&amp;A11&amp;"&lt;/td&gt;&lt;td&gt;"&amp;B11&amp;"&lt;/td&gt;&lt;td&gt;"&amp;C11&amp;"&lt;/td&gt;&lt;/tr&gt;")</f>
        <v>&lt;tr&gt;&lt;td&gt;&lt;/td&gt;&lt;td&gt;PO044727&lt;/td&gt;&lt;td&gt;1633&lt;/td&gt;&lt;/tr&gt;</v>
      </c>
      <c r="G11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</v>
      </c>
    </row>
    <row r="12" spans="1:8" x14ac:dyDescent="0.25">
      <c r="A12" s="14"/>
      <c r="B12" s="14" t="s">
        <v>5582</v>
      </c>
      <c r="C12" s="15">
        <v>577</v>
      </c>
      <c r="F12" t="str">
        <f t="shared" si="2"/>
        <v>&lt;tr&gt;&lt;td&gt;&lt;/td&gt;&lt;td&gt;PO044942&lt;/td&gt;&lt;td&gt;577&lt;/td&gt;&lt;/tr&gt;</v>
      </c>
      <c r="G12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</v>
      </c>
    </row>
    <row r="13" spans="1:8" x14ac:dyDescent="0.25">
      <c r="A13" s="14" t="s">
        <v>19</v>
      </c>
      <c r="B13" s="14"/>
      <c r="C13" s="15">
        <v>16591</v>
      </c>
      <c r="F13" t="str">
        <f t="shared" si="2"/>
        <v>&lt;tr&gt;&lt;td&gt;Grand Total&lt;/td&gt;&lt;td&gt;&lt;/td&gt;&lt;td&gt;16591&lt;/td&gt;&lt;/tr&gt;</v>
      </c>
      <c r="G13" t="str">
        <f t="shared" si="1"/>
        <v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</v>
      </c>
    </row>
    <row r="14" spans="1:8" x14ac:dyDescent="0.25">
      <c r="A14"/>
      <c r="B14"/>
      <c r="C14"/>
      <c r="F14" t="str">
        <f t="shared" si="2"/>
        <v/>
      </c>
      <c r="G14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</v>
      </c>
    </row>
    <row r="15" spans="1:8" x14ac:dyDescent="0.25">
      <c r="A15"/>
      <c r="B15"/>
      <c r="C15"/>
      <c r="F15" t="str">
        <f t="shared" si="2"/>
        <v/>
      </c>
      <c r="G15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</v>
      </c>
    </row>
    <row r="16" spans="1:8" x14ac:dyDescent="0.25">
      <c r="A16"/>
      <c r="B16"/>
      <c r="C16"/>
      <c r="F16" t="str">
        <f t="shared" si="2"/>
        <v/>
      </c>
      <c r="G16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</v>
      </c>
    </row>
    <row r="17" spans="1:7" x14ac:dyDescent="0.25">
      <c r="A17"/>
      <c r="B17"/>
      <c r="C17"/>
      <c r="F17" t="str">
        <f t="shared" si="2"/>
        <v/>
      </c>
      <c r="G17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</v>
      </c>
    </row>
    <row r="18" spans="1:7" x14ac:dyDescent="0.25">
      <c r="A18"/>
      <c r="B18"/>
      <c r="C18"/>
      <c r="F18" t="str">
        <f t="shared" si="2"/>
        <v/>
      </c>
      <c r="G18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</v>
      </c>
    </row>
    <row r="19" spans="1:7" x14ac:dyDescent="0.25">
      <c r="A19"/>
      <c r="B19"/>
      <c r="C19"/>
      <c r="F19" t="str">
        <f t="shared" si="2"/>
        <v/>
      </c>
      <c r="G19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</v>
      </c>
    </row>
    <row r="20" spans="1:7" x14ac:dyDescent="0.25">
      <c r="A20"/>
      <c r="B20"/>
      <c r="C20"/>
      <c r="F20" t="str">
        <f t="shared" si="2"/>
        <v/>
      </c>
      <c r="G20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</v>
      </c>
    </row>
    <row r="21" spans="1:7" x14ac:dyDescent="0.25">
      <c r="A21"/>
      <c r="B21"/>
      <c r="C21"/>
      <c r="F21" t="str">
        <f t="shared" si="2"/>
        <v/>
      </c>
      <c r="G21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</v>
      </c>
    </row>
    <row r="22" spans="1:7" x14ac:dyDescent="0.25">
      <c r="A22"/>
      <c r="B22"/>
      <c r="C22"/>
      <c r="F22" t="str">
        <f t="shared" si="2"/>
        <v/>
      </c>
      <c r="G22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</v>
      </c>
    </row>
    <row r="23" spans="1:7" x14ac:dyDescent="0.25">
      <c r="A23"/>
      <c r="B23"/>
      <c r="C23"/>
      <c r="F23" t="str">
        <f t="shared" si="2"/>
        <v/>
      </c>
      <c r="G23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</v>
      </c>
    </row>
    <row r="24" spans="1:7" x14ac:dyDescent="0.25">
      <c r="A24"/>
      <c r="B24"/>
      <c r="C24"/>
      <c r="F24" t="str">
        <f t="shared" si="2"/>
        <v/>
      </c>
      <c r="G24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</v>
      </c>
    </row>
    <row r="25" spans="1:7" ht="15.75" thickBot="1" x14ac:dyDescent="0.3">
      <c r="A25"/>
      <c r="B25"/>
      <c r="C25"/>
      <c r="F25" t="str">
        <f t="shared" si="2"/>
        <v/>
      </c>
      <c r="G25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</v>
      </c>
    </row>
    <row r="26" spans="1:7" x14ac:dyDescent="0.25">
      <c r="A26"/>
      <c r="B26"/>
      <c r="C26"/>
      <c r="F26" t="str">
        <f t="shared" si="2"/>
        <v/>
      </c>
      <c r="G26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</v>
      </c>
    </row>
    <row r="27" spans="1:7" x14ac:dyDescent="0.25">
      <c r="A27"/>
      <c r="B27"/>
      <c r="C27"/>
      <c r="F27" t="str">
        <f t="shared" si="2"/>
        <v/>
      </c>
      <c r="G27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</v>
      </c>
    </row>
    <row r="28" spans="1:7" ht="15.75" thickBot="1" x14ac:dyDescent="0.3">
      <c r="A28"/>
      <c r="B28"/>
      <c r="C28"/>
      <c r="F28" t="str">
        <f t="shared" si="2"/>
        <v/>
      </c>
      <c r="G28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</v>
      </c>
    </row>
    <row r="29" spans="1:7" x14ac:dyDescent="0.25">
      <c r="A29"/>
      <c r="B29"/>
      <c r="C29"/>
      <c r="F29" t="str">
        <f t="shared" si="2"/>
        <v/>
      </c>
      <c r="G29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</v>
      </c>
    </row>
    <row r="30" spans="1:7" x14ac:dyDescent="0.25">
      <c r="A30"/>
      <c r="B30"/>
      <c r="C30"/>
      <c r="F30" t="str">
        <f t="shared" si="2"/>
        <v/>
      </c>
      <c r="G30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</v>
      </c>
    </row>
    <row r="31" spans="1:7" x14ac:dyDescent="0.25">
      <c r="A31"/>
      <c r="B31"/>
      <c r="C31"/>
      <c r="F31" t="str">
        <f t="shared" si="2"/>
        <v/>
      </c>
      <c r="G31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</v>
      </c>
    </row>
    <row r="32" spans="1:7" x14ac:dyDescent="0.25">
      <c r="A32"/>
      <c r="B32"/>
      <c r="C32"/>
      <c r="F32" t="str">
        <f t="shared" si="2"/>
        <v/>
      </c>
      <c r="G32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</v>
      </c>
    </row>
    <row r="33" spans="1:7" x14ac:dyDescent="0.25">
      <c r="A33"/>
      <c r="B33"/>
      <c r="C33"/>
      <c r="F33" t="str">
        <f t="shared" si="2"/>
        <v/>
      </c>
      <c r="G33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</v>
      </c>
    </row>
    <row r="34" spans="1:7" x14ac:dyDescent="0.25">
      <c r="A34"/>
      <c r="B34"/>
      <c r="C34"/>
      <c r="F34" t="str">
        <f t="shared" si="2"/>
        <v/>
      </c>
      <c r="G34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</v>
      </c>
    </row>
    <row r="35" spans="1:7" x14ac:dyDescent="0.25">
      <c r="A35"/>
      <c r="B35"/>
      <c r="C35"/>
      <c r="F35" t="str">
        <f t="shared" si="2"/>
        <v/>
      </c>
      <c r="G35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</v>
      </c>
    </row>
    <row r="36" spans="1:7" x14ac:dyDescent="0.25">
      <c r="A36"/>
      <c r="B36"/>
      <c r="C36"/>
      <c r="F36" t="str">
        <f t="shared" si="2"/>
        <v/>
      </c>
      <c r="G36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</v>
      </c>
    </row>
    <row r="37" spans="1:7" x14ac:dyDescent="0.25">
      <c r="A37"/>
      <c r="B37"/>
      <c r="C37"/>
      <c r="F37" t="str">
        <f t="shared" si="2"/>
        <v/>
      </c>
      <c r="G37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</v>
      </c>
    </row>
    <row r="38" spans="1:7" x14ac:dyDescent="0.25">
      <c r="A38"/>
      <c r="B38"/>
      <c r="C38"/>
      <c r="F38" t="str">
        <f t="shared" si="2"/>
        <v/>
      </c>
      <c r="G38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</v>
      </c>
    </row>
    <row r="39" spans="1:7" x14ac:dyDescent="0.25">
      <c r="A39"/>
      <c r="B39"/>
      <c r="C39"/>
      <c r="F39" t="str">
        <f t="shared" si="2"/>
        <v/>
      </c>
      <c r="G39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</v>
      </c>
    </row>
    <row r="40" spans="1:7" x14ac:dyDescent="0.25">
      <c r="A40"/>
      <c r="B40"/>
      <c r="C40"/>
      <c r="F40" t="str">
        <f t="shared" si="2"/>
        <v/>
      </c>
      <c r="G40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</v>
      </c>
    </row>
    <row r="41" spans="1:7" x14ac:dyDescent="0.25">
      <c r="A41"/>
      <c r="B41"/>
      <c r="C41"/>
      <c r="F41" t="str">
        <f t="shared" si="2"/>
        <v/>
      </c>
      <c r="G41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</v>
      </c>
    </row>
    <row r="42" spans="1:7" x14ac:dyDescent="0.25">
      <c r="A42"/>
      <c r="B42"/>
      <c r="C42"/>
      <c r="F42" t="str">
        <f t="shared" si="2"/>
        <v/>
      </c>
      <c r="G42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</v>
      </c>
    </row>
    <row r="43" spans="1:7" x14ac:dyDescent="0.25">
      <c r="A43"/>
      <c r="B43"/>
      <c r="C43"/>
      <c r="F43" t="str">
        <f t="shared" si="2"/>
        <v/>
      </c>
      <c r="G43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</v>
      </c>
    </row>
    <row r="44" spans="1:7" x14ac:dyDescent="0.25">
      <c r="A44"/>
      <c r="B44"/>
      <c r="C44"/>
      <c r="F44" t="str">
        <f t="shared" si="2"/>
        <v/>
      </c>
      <c r="G44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</v>
      </c>
    </row>
    <row r="45" spans="1:7" x14ac:dyDescent="0.25">
      <c r="A45"/>
      <c r="B45"/>
      <c r="C45"/>
      <c r="F45" t="str">
        <f t="shared" si="2"/>
        <v/>
      </c>
      <c r="G45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</v>
      </c>
    </row>
    <row r="46" spans="1:7" x14ac:dyDescent="0.25">
      <c r="A46"/>
      <c r="B46"/>
      <c r="C46"/>
      <c r="F46" t="str">
        <f t="shared" si="2"/>
        <v/>
      </c>
      <c r="G46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</v>
      </c>
    </row>
    <row r="47" spans="1:7" x14ac:dyDescent="0.25">
      <c r="A47"/>
      <c r="B47"/>
      <c r="C47"/>
      <c r="F47" t="str">
        <f t="shared" si="2"/>
        <v/>
      </c>
      <c r="G47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</v>
      </c>
    </row>
    <row r="48" spans="1:7" x14ac:dyDescent="0.25">
      <c r="A48"/>
      <c r="B48"/>
      <c r="C48"/>
      <c r="F48" t="str">
        <f t="shared" si="2"/>
        <v/>
      </c>
      <c r="G48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</v>
      </c>
    </row>
    <row r="49" spans="1:7" x14ac:dyDescent="0.25">
      <c r="A49"/>
      <c r="B49"/>
      <c r="C49"/>
      <c r="F49" t="str">
        <f t="shared" si="2"/>
        <v/>
      </c>
      <c r="G49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</v>
      </c>
    </row>
    <row r="50" spans="1:7" x14ac:dyDescent="0.25">
      <c r="A50"/>
      <c r="B50"/>
      <c r="C50"/>
      <c r="F50" t="str">
        <f t="shared" si="2"/>
        <v/>
      </c>
      <c r="G50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</v>
      </c>
    </row>
    <row r="51" spans="1:7" x14ac:dyDescent="0.25">
      <c r="A51"/>
      <c r="B51"/>
      <c r="C51"/>
      <c r="F51" t="str">
        <f t="shared" si="2"/>
        <v/>
      </c>
      <c r="G51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</v>
      </c>
    </row>
    <row r="52" spans="1:7" x14ac:dyDescent="0.25">
      <c r="A52"/>
      <c r="B52"/>
      <c r="C52"/>
      <c r="F52" t="str">
        <f t="shared" si="2"/>
        <v/>
      </c>
      <c r="G52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</v>
      </c>
    </row>
    <row r="53" spans="1:7" x14ac:dyDescent="0.25">
      <c r="A53"/>
      <c r="B53"/>
      <c r="C53"/>
      <c r="F53" t="str">
        <f t="shared" si="2"/>
        <v/>
      </c>
      <c r="G53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</v>
      </c>
    </row>
    <row r="54" spans="1:7" x14ac:dyDescent="0.25">
      <c r="A54"/>
      <c r="B54"/>
      <c r="C54"/>
      <c r="F54" t="str">
        <f t="shared" si="2"/>
        <v/>
      </c>
      <c r="G54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</v>
      </c>
    </row>
    <row r="55" spans="1:7" x14ac:dyDescent="0.25">
      <c r="A55"/>
      <c r="B55"/>
      <c r="C55"/>
      <c r="F55" t="str">
        <f t="shared" si="2"/>
        <v/>
      </c>
      <c r="G55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</v>
      </c>
    </row>
    <row r="56" spans="1:7" x14ac:dyDescent="0.25">
      <c r="A56"/>
      <c r="B56"/>
      <c r="C56"/>
      <c r="F56" t="str">
        <f t="shared" si="2"/>
        <v/>
      </c>
      <c r="G56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</v>
      </c>
    </row>
    <row r="57" spans="1:7" x14ac:dyDescent="0.25">
      <c r="A57"/>
      <c r="B57"/>
      <c r="C57"/>
      <c r="F57" t="str">
        <f t="shared" si="2"/>
        <v/>
      </c>
      <c r="G57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</v>
      </c>
    </row>
    <row r="58" spans="1:7" x14ac:dyDescent="0.25">
      <c r="A58"/>
      <c r="B58"/>
      <c r="C58"/>
      <c r="F58" t="str">
        <f t="shared" si="2"/>
        <v/>
      </c>
      <c r="G58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</v>
      </c>
    </row>
    <row r="59" spans="1:7" x14ac:dyDescent="0.25">
      <c r="A59"/>
      <c r="B59"/>
      <c r="C59"/>
      <c r="F59" t="str">
        <f t="shared" si="2"/>
        <v/>
      </c>
      <c r="G59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</v>
      </c>
    </row>
    <row r="60" spans="1:7" x14ac:dyDescent="0.25">
      <c r="A60"/>
      <c r="B60"/>
      <c r="C60"/>
      <c r="F60" t="str">
        <f t="shared" si="2"/>
        <v/>
      </c>
      <c r="G60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</v>
      </c>
    </row>
    <row r="61" spans="1:7" x14ac:dyDescent="0.25">
      <c r="A61"/>
      <c r="B61"/>
      <c r="C61"/>
      <c r="F61" t="str">
        <f t="shared" si="2"/>
        <v/>
      </c>
      <c r="G61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</v>
      </c>
    </row>
    <row r="62" spans="1:7" x14ac:dyDescent="0.25">
      <c r="A62"/>
      <c r="B62"/>
      <c r="C62"/>
      <c r="F62" t="str">
        <f t="shared" si="2"/>
        <v/>
      </c>
      <c r="G62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</v>
      </c>
    </row>
    <row r="63" spans="1:7" x14ac:dyDescent="0.25">
      <c r="A63"/>
      <c r="B63"/>
      <c r="C63"/>
      <c r="F63" t="str">
        <f t="shared" si="2"/>
        <v/>
      </c>
      <c r="G63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</v>
      </c>
    </row>
    <row r="64" spans="1:7" x14ac:dyDescent="0.25">
      <c r="A64"/>
      <c r="B64"/>
      <c r="C64"/>
      <c r="F64" t="str">
        <f t="shared" si="2"/>
        <v/>
      </c>
      <c r="G64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</v>
      </c>
    </row>
    <row r="65" spans="1:7" x14ac:dyDescent="0.25">
      <c r="A65"/>
      <c r="B65"/>
      <c r="C65"/>
      <c r="F65" t="str">
        <f t="shared" si="2"/>
        <v/>
      </c>
      <c r="G65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</v>
      </c>
    </row>
    <row r="66" spans="1:7" x14ac:dyDescent="0.25">
      <c r="A66"/>
      <c r="B66"/>
      <c r="C66"/>
      <c r="F66" t="str">
        <f t="shared" si="2"/>
        <v/>
      </c>
      <c r="G66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</v>
      </c>
    </row>
    <row r="67" spans="1:7" x14ac:dyDescent="0.25">
      <c r="A67"/>
      <c r="B67"/>
      <c r="C67"/>
      <c r="F67" t="str">
        <f t="shared" si="2"/>
        <v/>
      </c>
      <c r="G67" t="str">
        <f t="shared" si="1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</v>
      </c>
    </row>
    <row r="68" spans="1:7" x14ac:dyDescent="0.25">
      <c r="A68"/>
      <c r="B68"/>
      <c r="C68"/>
      <c r="F68" t="str">
        <f t="shared" si="2"/>
        <v/>
      </c>
      <c r="G68" t="str">
        <f t="shared" ref="G68:G100" si="3">G67&amp;" "&amp;F68</f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</v>
      </c>
    </row>
    <row r="69" spans="1:7" x14ac:dyDescent="0.25">
      <c r="A69"/>
      <c r="B69"/>
      <c r="C69"/>
      <c r="F69" t="str">
        <f t="shared" ref="F69:F100" si="4">IF(C69="","","&lt;tr&gt;&lt;td&gt;"&amp;A69&amp;"&lt;/td&gt;&lt;td&gt;"&amp;B69&amp;"&lt;/td&gt;&lt;td&gt;"&amp;C69&amp;"&lt;/td&gt;&lt;/tr&gt;")</f>
        <v/>
      </c>
      <c r="G69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</v>
      </c>
    </row>
    <row r="70" spans="1:7" x14ac:dyDescent="0.25">
      <c r="A70"/>
      <c r="B70"/>
      <c r="C70"/>
      <c r="F70" t="str">
        <f t="shared" si="4"/>
        <v/>
      </c>
      <c r="G70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</v>
      </c>
    </row>
    <row r="71" spans="1:7" x14ac:dyDescent="0.25">
      <c r="A71"/>
      <c r="B71"/>
      <c r="C71"/>
      <c r="F71" t="str">
        <f t="shared" si="4"/>
        <v/>
      </c>
      <c r="G71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</v>
      </c>
    </row>
    <row r="72" spans="1:7" x14ac:dyDescent="0.25">
      <c r="A72"/>
      <c r="B72"/>
      <c r="C72"/>
      <c r="F72" t="str">
        <f t="shared" si="4"/>
        <v/>
      </c>
      <c r="G72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</v>
      </c>
    </row>
    <row r="73" spans="1:7" x14ac:dyDescent="0.25">
      <c r="A73"/>
      <c r="B73"/>
      <c r="C73"/>
      <c r="F73" t="str">
        <f t="shared" si="4"/>
        <v/>
      </c>
      <c r="G73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</v>
      </c>
    </row>
    <row r="74" spans="1:7" x14ac:dyDescent="0.25">
      <c r="A74"/>
      <c r="B74"/>
      <c r="C74"/>
      <c r="F74" t="str">
        <f t="shared" si="4"/>
        <v/>
      </c>
      <c r="G74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</v>
      </c>
    </row>
    <row r="75" spans="1:7" x14ac:dyDescent="0.25">
      <c r="A75"/>
      <c r="B75"/>
      <c r="C75"/>
      <c r="F75" t="str">
        <f t="shared" si="4"/>
        <v/>
      </c>
      <c r="G75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</v>
      </c>
    </row>
    <row r="76" spans="1:7" x14ac:dyDescent="0.25">
      <c r="A76"/>
      <c r="B76"/>
      <c r="C76"/>
      <c r="F76" t="str">
        <f t="shared" si="4"/>
        <v/>
      </c>
      <c r="G76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</v>
      </c>
    </row>
    <row r="77" spans="1:7" x14ac:dyDescent="0.25">
      <c r="A77"/>
      <c r="B77"/>
      <c r="C77"/>
      <c r="F77" t="str">
        <f t="shared" si="4"/>
        <v/>
      </c>
      <c r="G77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</v>
      </c>
    </row>
    <row r="78" spans="1:7" x14ac:dyDescent="0.25">
      <c r="A78"/>
      <c r="B78"/>
      <c r="C78"/>
      <c r="F78" t="str">
        <f t="shared" si="4"/>
        <v/>
      </c>
      <c r="G78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</v>
      </c>
    </row>
    <row r="79" spans="1:7" x14ac:dyDescent="0.25">
      <c r="A79"/>
      <c r="B79"/>
      <c r="C79"/>
      <c r="F79" t="str">
        <f t="shared" si="4"/>
        <v/>
      </c>
      <c r="G79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</v>
      </c>
    </row>
    <row r="80" spans="1:7" x14ac:dyDescent="0.25">
      <c r="A80"/>
      <c r="B80"/>
      <c r="C80"/>
      <c r="F80" t="str">
        <f t="shared" si="4"/>
        <v/>
      </c>
      <c r="G80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</v>
      </c>
    </row>
    <row r="81" spans="1:7" x14ac:dyDescent="0.25">
      <c r="A81"/>
      <c r="B81"/>
      <c r="C81"/>
      <c r="F81" t="str">
        <f t="shared" si="4"/>
        <v/>
      </c>
      <c r="G81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</v>
      </c>
    </row>
    <row r="82" spans="1:7" x14ac:dyDescent="0.25">
      <c r="A82"/>
      <c r="B82"/>
      <c r="C82"/>
      <c r="F82" t="str">
        <f t="shared" si="4"/>
        <v/>
      </c>
      <c r="G82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</v>
      </c>
    </row>
    <row r="83" spans="1:7" x14ac:dyDescent="0.25">
      <c r="A83"/>
      <c r="B83"/>
      <c r="C83"/>
      <c r="F83" t="str">
        <f t="shared" si="4"/>
        <v/>
      </c>
      <c r="G83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</v>
      </c>
    </row>
    <row r="84" spans="1:7" x14ac:dyDescent="0.25">
      <c r="A84"/>
      <c r="B84"/>
      <c r="C84"/>
      <c r="F84" t="str">
        <f t="shared" si="4"/>
        <v/>
      </c>
      <c r="G84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</v>
      </c>
    </row>
    <row r="85" spans="1:7" x14ac:dyDescent="0.25">
      <c r="A85"/>
      <c r="B85"/>
      <c r="C85"/>
      <c r="F85" t="str">
        <f t="shared" si="4"/>
        <v/>
      </c>
      <c r="G85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</v>
      </c>
    </row>
    <row r="86" spans="1:7" x14ac:dyDescent="0.25">
      <c r="A86"/>
      <c r="B86"/>
      <c r="C86"/>
      <c r="F86" t="str">
        <f t="shared" si="4"/>
        <v/>
      </c>
      <c r="G86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</v>
      </c>
    </row>
    <row r="87" spans="1:7" x14ac:dyDescent="0.25">
      <c r="A87"/>
      <c r="B87"/>
      <c r="C87"/>
      <c r="F87" t="str">
        <f t="shared" si="4"/>
        <v/>
      </c>
      <c r="G87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</v>
      </c>
    </row>
    <row r="88" spans="1:7" x14ac:dyDescent="0.25">
      <c r="A88"/>
      <c r="B88"/>
      <c r="C88"/>
      <c r="F88" t="str">
        <f t="shared" si="4"/>
        <v/>
      </c>
      <c r="G88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</v>
      </c>
    </row>
    <row r="89" spans="1:7" x14ac:dyDescent="0.25">
      <c r="A89"/>
      <c r="B89"/>
      <c r="C89"/>
      <c r="F89" t="str">
        <f t="shared" si="4"/>
        <v/>
      </c>
      <c r="G89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</v>
      </c>
    </row>
    <row r="90" spans="1:7" x14ac:dyDescent="0.25">
      <c r="A90"/>
      <c r="B90"/>
      <c r="C90"/>
      <c r="F90" t="str">
        <f t="shared" si="4"/>
        <v/>
      </c>
      <c r="G90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</v>
      </c>
    </row>
    <row r="91" spans="1:7" x14ac:dyDescent="0.25">
      <c r="A91"/>
      <c r="B91"/>
      <c r="C91"/>
      <c r="F91" t="str">
        <f t="shared" si="4"/>
        <v/>
      </c>
      <c r="G91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</v>
      </c>
    </row>
    <row r="92" spans="1:7" x14ac:dyDescent="0.25">
      <c r="A92"/>
      <c r="B92"/>
      <c r="C92"/>
      <c r="F92" t="str">
        <f t="shared" si="4"/>
        <v/>
      </c>
      <c r="G92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</v>
      </c>
    </row>
    <row r="93" spans="1:7" x14ac:dyDescent="0.25">
      <c r="A93"/>
      <c r="B93"/>
      <c r="C93"/>
      <c r="F93" t="str">
        <f t="shared" si="4"/>
        <v/>
      </c>
      <c r="G93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</v>
      </c>
    </row>
    <row r="94" spans="1:7" x14ac:dyDescent="0.25">
      <c r="A94"/>
      <c r="B94"/>
      <c r="C94"/>
      <c r="F94" t="str">
        <f t="shared" si="4"/>
        <v/>
      </c>
      <c r="G94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</v>
      </c>
    </row>
    <row r="95" spans="1:7" x14ac:dyDescent="0.25">
      <c r="A95"/>
      <c r="B95"/>
      <c r="C95"/>
      <c r="F95" t="str">
        <f t="shared" si="4"/>
        <v/>
      </c>
      <c r="G95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 </v>
      </c>
    </row>
    <row r="96" spans="1:7" x14ac:dyDescent="0.25">
      <c r="A96"/>
      <c r="B96"/>
      <c r="C96"/>
      <c r="F96" t="str">
        <f t="shared" si="4"/>
        <v/>
      </c>
      <c r="G96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  </v>
      </c>
    </row>
    <row r="97" spans="1:7" x14ac:dyDescent="0.25">
      <c r="A97"/>
      <c r="B97"/>
      <c r="C97"/>
      <c r="F97" t="str">
        <f t="shared" si="4"/>
        <v/>
      </c>
      <c r="G97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   </v>
      </c>
    </row>
    <row r="98" spans="1:7" x14ac:dyDescent="0.25">
      <c r="A98"/>
      <c r="B98"/>
      <c r="C98"/>
      <c r="F98" t="str">
        <f t="shared" si="4"/>
        <v/>
      </c>
      <c r="G98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    </v>
      </c>
    </row>
    <row r="99" spans="1:7" x14ac:dyDescent="0.25">
      <c r="A99"/>
      <c r="B99"/>
      <c r="C99"/>
      <c r="F99" t="str">
        <f t="shared" si="4"/>
        <v/>
      </c>
      <c r="G99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     </v>
      </c>
    </row>
    <row r="100" spans="1:7" x14ac:dyDescent="0.25">
      <c r="A100"/>
      <c r="B100"/>
      <c r="C100"/>
      <c r="F100" t="str">
        <f t="shared" si="4"/>
        <v/>
      </c>
      <c r="G100" t="str">
        <f t="shared" si="3"/>
        <v xml:space="preserve">&lt;table border="1" cellpadding="2" cellspacing="2" style="font-family: Trebuchet MS; font-size: 11px; width:70%; border-collapse: collapse; text-align:center"&gt; &lt;tr style='background-color:  #a1cbfc;'&gt;&lt;th&gt;Seller Name&lt;/th&gt;&lt;th&gt;PO no.&lt;/th&gt;&lt;th&gt;Amount&lt;/th&gt;&lt;/tr&gt; &lt;tr&gt;&lt;td&gt;Compunics Technologies LLC&lt;/td&gt;&lt;td&gt;PO044378&lt;/td&gt;&lt;td&gt;27&lt;/td&gt;&lt;/tr&gt; &lt;tr&gt;&lt;td&gt;&lt;/td&gt;&lt;td&gt;PO045018&lt;/td&gt;&lt;td&gt;591&lt;/td&gt;&lt;/tr&gt; &lt;tr&gt;&lt;td&gt;AL ERSHAD COMPUTER TRADING LLC&lt;/td&gt;&lt;td&gt;PO044706&lt;/td&gt;&lt;td&gt;432&lt;/td&gt;&lt;/tr&gt; &lt;tr&gt;&lt;td&gt;REDINGTON MIDDLE EAST LLC&lt;/td&gt;&lt;td&gt;UPO011865&lt;/td&gt;&lt;td&gt;1471&lt;/td&gt;&lt;/tr&gt; &lt;tr&gt;&lt;td&gt;&lt;/td&gt;&lt;td&gt;PO044870&lt;/td&gt;&lt;td&gt;2942&lt;/td&gt;&lt;/tr&gt; &lt;tr&gt;&lt;td&gt;&lt;/td&gt;&lt;td&gt;PO044901&lt;/td&gt;&lt;td&gt;8164&lt;/td&gt;&lt;/tr&gt; &lt;tr&gt;&lt;td&gt;Al Shula General Trading Co . L.L.C&lt;/td&gt;&lt;td&gt;PO044550&lt;/td&gt;&lt;td&gt;754&lt;/td&gt;&lt;/tr&gt; &lt;tr&gt;&lt;td&gt;&lt;/td&gt;&lt;td&gt;PO044727&lt;/td&gt;&lt;td&gt;1633&lt;/td&gt;&lt;/tr&gt; &lt;tr&gt;&lt;td&gt;&lt;/td&gt;&lt;td&gt;PO044942&lt;/td&gt;&lt;td&gt;577&lt;/td&gt;&lt;/tr&gt; &lt;tr&gt;&lt;td&gt;Grand Total&lt;/td&gt;&lt;td&gt;&lt;/td&gt;&lt;td&gt;16591&lt;/td&gt;&lt;/tr&gt;                                                                                       </v>
      </c>
    </row>
    <row r="101" spans="1:7" x14ac:dyDescent="0.25">
      <c r="A101"/>
      <c r="B101"/>
      <c r="C101"/>
    </row>
    <row r="102" spans="1:7" x14ac:dyDescent="0.25">
      <c r="A102"/>
      <c r="B102"/>
      <c r="C102"/>
    </row>
    <row r="103" spans="1:7" x14ac:dyDescent="0.25">
      <c r="A103"/>
      <c r="B103"/>
      <c r="C103"/>
    </row>
    <row r="104" spans="1:7" x14ac:dyDescent="0.25">
      <c r="A104"/>
      <c r="B104"/>
      <c r="C104"/>
    </row>
    <row r="105" spans="1:7" x14ac:dyDescent="0.25">
      <c r="A105"/>
      <c r="B105"/>
      <c r="C105"/>
    </row>
    <row r="106" spans="1:7" x14ac:dyDescent="0.25">
      <c r="A106"/>
      <c r="B106"/>
      <c r="C106"/>
    </row>
    <row r="107" spans="1:7" x14ac:dyDescent="0.25">
      <c r="A107"/>
      <c r="B107"/>
      <c r="C107"/>
    </row>
    <row r="108" spans="1:7" x14ac:dyDescent="0.25">
      <c r="A108"/>
      <c r="B108"/>
      <c r="C108"/>
    </row>
    <row r="109" spans="1:7" x14ac:dyDescent="0.25">
      <c r="A109"/>
      <c r="B109"/>
      <c r="C109"/>
    </row>
    <row r="110" spans="1:7" x14ac:dyDescent="0.25">
      <c r="A110"/>
      <c r="B110"/>
      <c r="C110"/>
    </row>
    <row r="111" spans="1:7" x14ac:dyDescent="0.25">
      <c r="A111"/>
      <c r="B111"/>
      <c r="C111"/>
    </row>
    <row r="112" spans="1:7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3322"/>
  <sheetViews>
    <sheetView workbookViewId="0">
      <selection activeCell="D15" sqref="D15"/>
    </sheetView>
  </sheetViews>
  <sheetFormatPr defaultColWidth="9.140625" defaultRowHeight="15" x14ac:dyDescent="0.25"/>
  <cols>
    <col min="1" max="1" width="9.28515625" bestFit="1" customWidth="1"/>
    <col min="2" max="2" width="6" customWidth="1"/>
    <col min="3" max="3" width="12.5703125" bestFit="1" customWidth="1"/>
    <col min="4" max="4" width="12.85546875" bestFit="1" customWidth="1"/>
    <col min="5" max="5" width="15.5703125" customWidth="1"/>
    <col min="6" max="6" width="9.28515625" bestFit="1" customWidth="1"/>
    <col min="7" max="7" width="20.7109375" customWidth="1"/>
    <col min="8" max="8" width="4.140625" bestFit="1" customWidth="1"/>
    <col min="9" max="9" width="5.5703125" customWidth="1"/>
    <col min="10" max="10" width="10.85546875" bestFit="1" customWidth="1"/>
    <col min="11" max="11" width="13.5703125" style="12" bestFit="1" customWidth="1"/>
    <col min="12" max="12" width="13.28515625" bestFit="1" customWidth="1"/>
    <col min="13" max="13" width="31.7109375" bestFit="1" customWidth="1"/>
    <col min="14" max="14" width="10.85546875" bestFit="1" customWidth="1"/>
    <col min="15" max="15" width="15.42578125" style="4" bestFit="1" customWidth="1"/>
    <col min="16" max="16384" width="9.140625" style="4"/>
  </cols>
  <sheetData>
    <row r="1" spans="1:15" x14ac:dyDescent="0.25">
      <c r="A1" t="s">
        <v>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s="12" t="s">
        <v>9</v>
      </c>
      <c r="L1" t="s">
        <v>10</v>
      </c>
      <c r="M1" t="s">
        <v>31</v>
      </c>
      <c r="N1" t="s">
        <v>12</v>
      </c>
      <c r="O1" t="s">
        <v>223</v>
      </c>
    </row>
    <row r="2" spans="1:15" x14ac:dyDescent="0.25">
      <c r="B2" s="18"/>
    </row>
    <row r="3" spans="1:15" x14ac:dyDescent="0.25">
      <c r="B3" s="18"/>
    </row>
    <row r="4" spans="1:15" x14ac:dyDescent="0.25">
      <c r="B4" s="18"/>
    </row>
    <row r="5" spans="1:15" x14ac:dyDescent="0.25">
      <c r="B5" s="18"/>
    </row>
    <row r="6" spans="1:15" x14ac:dyDescent="0.25">
      <c r="B6" s="18"/>
    </row>
    <row r="7" spans="1:15" x14ac:dyDescent="0.25">
      <c r="B7" s="18"/>
    </row>
    <row r="8" spans="1:15" x14ac:dyDescent="0.25">
      <c r="B8" s="18"/>
    </row>
    <row r="9" spans="1:15" x14ac:dyDescent="0.25">
      <c r="B9" s="18"/>
    </row>
    <row r="10" spans="1:15" x14ac:dyDescent="0.25">
      <c r="B10" s="18"/>
    </row>
    <row r="11" spans="1:15" x14ac:dyDescent="0.25">
      <c r="B11" s="18"/>
    </row>
    <row r="12" spans="1:15" x14ac:dyDescent="0.25">
      <c r="B12" s="18"/>
    </row>
    <row r="13" spans="1:15" x14ac:dyDescent="0.25">
      <c r="B13" s="18"/>
    </row>
    <row r="14" spans="1:15" x14ac:dyDescent="0.25">
      <c r="B14" s="18"/>
    </row>
    <row r="15" spans="1:15" x14ac:dyDescent="0.25">
      <c r="B15" s="18"/>
    </row>
    <row r="16" spans="1:15" x14ac:dyDescent="0.25">
      <c r="B16" s="18"/>
    </row>
    <row r="17" spans="2:2" x14ac:dyDescent="0.25">
      <c r="B17" s="18"/>
    </row>
    <row r="18" spans="2:2" x14ac:dyDescent="0.25">
      <c r="B18" s="18"/>
    </row>
    <row r="19" spans="2:2" x14ac:dyDescent="0.25">
      <c r="B19" s="18"/>
    </row>
    <row r="20" spans="2:2" x14ac:dyDescent="0.25">
      <c r="B20" s="18"/>
    </row>
    <row r="21" spans="2:2" x14ac:dyDescent="0.25">
      <c r="B21" s="18"/>
    </row>
    <row r="22" spans="2:2" x14ac:dyDescent="0.25">
      <c r="B22" s="18"/>
    </row>
    <row r="23" spans="2:2" x14ac:dyDescent="0.25">
      <c r="B23" s="18"/>
    </row>
    <row r="24" spans="2:2" x14ac:dyDescent="0.25">
      <c r="B24" s="18"/>
    </row>
    <row r="25" spans="2:2" x14ac:dyDescent="0.25">
      <c r="B25" s="18"/>
    </row>
    <row r="26" spans="2:2" x14ac:dyDescent="0.25">
      <c r="B26" s="18"/>
    </row>
    <row r="27" spans="2:2" x14ac:dyDescent="0.25">
      <c r="B27" s="18"/>
    </row>
    <row r="28" spans="2:2" x14ac:dyDescent="0.25">
      <c r="B28" s="18"/>
    </row>
    <row r="29" spans="2:2" x14ac:dyDescent="0.25">
      <c r="B29" s="18"/>
    </row>
    <row r="30" spans="2:2" x14ac:dyDescent="0.25">
      <c r="B30" s="18"/>
    </row>
    <row r="31" spans="2:2" x14ac:dyDescent="0.25">
      <c r="B31" s="18"/>
    </row>
    <row r="32" spans="2:2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4" spans="2:2" x14ac:dyDescent="0.25">
      <c r="B44" s="18"/>
    </row>
    <row r="45" spans="2:2" x14ac:dyDescent="0.25">
      <c r="B45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  <row r="49" spans="2:2" x14ac:dyDescent="0.25">
      <c r="B49" s="18"/>
    </row>
    <row r="50" spans="2:2" x14ac:dyDescent="0.25">
      <c r="B50" s="18"/>
    </row>
    <row r="51" spans="2:2" x14ac:dyDescent="0.25">
      <c r="B51" s="18"/>
    </row>
    <row r="52" spans="2:2" x14ac:dyDescent="0.25">
      <c r="B52" s="18"/>
    </row>
    <row r="53" spans="2:2" x14ac:dyDescent="0.25">
      <c r="B53" s="18"/>
    </row>
    <row r="54" spans="2:2" x14ac:dyDescent="0.25">
      <c r="B54" s="18"/>
    </row>
    <row r="55" spans="2:2" x14ac:dyDescent="0.25">
      <c r="B55" s="18"/>
    </row>
    <row r="56" spans="2:2" x14ac:dyDescent="0.25">
      <c r="B56" s="18"/>
    </row>
    <row r="57" spans="2:2" x14ac:dyDescent="0.25">
      <c r="B57" s="18"/>
    </row>
    <row r="58" spans="2:2" x14ac:dyDescent="0.25">
      <c r="B58" s="18"/>
    </row>
    <row r="59" spans="2:2" x14ac:dyDescent="0.25">
      <c r="B59" s="18"/>
    </row>
    <row r="60" spans="2:2" x14ac:dyDescent="0.25">
      <c r="B60" s="18"/>
    </row>
    <row r="61" spans="2:2" x14ac:dyDescent="0.25">
      <c r="B61" s="18"/>
    </row>
    <row r="62" spans="2:2" x14ac:dyDescent="0.25">
      <c r="B62" s="18"/>
    </row>
    <row r="63" spans="2:2" x14ac:dyDescent="0.25">
      <c r="B63" s="18"/>
    </row>
    <row r="64" spans="2:2" x14ac:dyDescent="0.25">
      <c r="B64" s="18"/>
    </row>
    <row r="65" spans="2:2" x14ac:dyDescent="0.25">
      <c r="B65" s="18"/>
    </row>
    <row r="66" spans="2:2" x14ac:dyDescent="0.25">
      <c r="B66" s="18"/>
    </row>
    <row r="67" spans="2:2" x14ac:dyDescent="0.25">
      <c r="B67" s="18"/>
    </row>
    <row r="68" spans="2:2" x14ac:dyDescent="0.25">
      <c r="B68" s="18"/>
    </row>
    <row r="69" spans="2:2" x14ac:dyDescent="0.25">
      <c r="B69" s="18"/>
    </row>
    <row r="70" spans="2:2" x14ac:dyDescent="0.25">
      <c r="B70" s="18"/>
    </row>
    <row r="71" spans="2:2" x14ac:dyDescent="0.25">
      <c r="B71" s="18"/>
    </row>
    <row r="72" spans="2:2" x14ac:dyDescent="0.25">
      <c r="B72" s="18"/>
    </row>
    <row r="73" spans="2:2" x14ac:dyDescent="0.25">
      <c r="B73" s="18"/>
    </row>
    <row r="74" spans="2:2" x14ac:dyDescent="0.25">
      <c r="B74" s="18"/>
    </row>
    <row r="75" spans="2:2" x14ac:dyDescent="0.25">
      <c r="B75" s="18"/>
    </row>
    <row r="76" spans="2:2" x14ac:dyDescent="0.25">
      <c r="B76" s="18"/>
    </row>
    <row r="77" spans="2:2" x14ac:dyDescent="0.25">
      <c r="B77" s="18"/>
    </row>
    <row r="78" spans="2:2" x14ac:dyDescent="0.25">
      <c r="B78" s="18"/>
    </row>
    <row r="79" spans="2:2" x14ac:dyDescent="0.25">
      <c r="B79" s="18"/>
    </row>
    <row r="80" spans="2:2" x14ac:dyDescent="0.25">
      <c r="B80" s="18"/>
    </row>
    <row r="81" spans="2:2" x14ac:dyDescent="0.25">
      <c r="B81" s="18"/>
    </row>
    <row r="82" spans="2:2" x14ac:dyDescent="0.25">
      <c r="B82" s="18"/>
    </row>
    <row r="83" spans="2:2" x14ac:dyDescent="0.25">
      <c r="B83" s="18"/>
    </row>
    <row r="84" spans="2:2" x14ac:dyDescent="0.25">
      <c r="B84" s="18"/>
    </row>
    <row r="85" spans="2:2" x14ac:dyDescent="0.25">
      <c r="B85" s="18"/>
    </row>
    <row r="86" spans="2:2" x14ac:dyDescent="0.25">
      <c r="B86" s="18"/>
    </row>
    <row r="87" spans="2:2" x14ac:dyDescent="0.25">
      <c r="B87" s="18"/>
    </row>
    <row r="88" spans="2:2" x14ac:dyDescent="0.25">
      <c r="B88" s="18"/>
    </row>
    <row r="89" spans="2:2" x14ac:dyDescent="0.25">
      <c r="B89" s="18"/>
    </row>
    <row r="90" spans="2:2" x14ac:dyDescent="0.25">
      <c r="B90" s="18"/>
    </row>
    <row r="91" spans="2:2" x14ac:dyDescent="0.25">
      <c r="B91" s="18"/>
    </row>
    <row r="92" spans="2:2" x14ac:dyDescent="0.25">
      <c r="B92" s="18"/>
    </row>
    <row r="93" spans="2:2" x14ac:dyDescent="0.25">
      <c r="B93" s="18"/>
    </row>
    <row r="94" spans="2:2" x14ac:dyDescent="0.25">
      <c r="B94" s="18"/>
    </row>
    <row r="95" spans="2:2" x14ac:dyDescent="0.25">
      <c r="B95" s="18"/>
    </row>
    <row r="96" spans="2:2" x14ac:dyDescent="0.25">
      <c r="B96" s="18"/>
    </row>
    <row r="97" spans="2:2" x14ac:dyDescent="0.25">
      <c r="B97" s="18"/>
    </row>
    <row r="98" spans="2:2" x14ac:dyDescent="0.25">
      <c r="B98" s="18"/>
    </row>
    <row r="99" spans="2:2" x14ac:dyDescent="0.25">
      <c r="B99" s="18"/>
    </row>
    <row r="100" spans="2:2" x14ac:dyDescent="0.25">
      <c r="B100" s="18"/>
    </row>
    <row r="101" spans="2:2" x14ac:dyDescent="0.25">
      <c r="B101" s="18"/>
    </row>
    <row r="102" spans="2:2" x14ac:dyDescent="0.25">
      <c r="B102" s="18"/>
    </row>
    <row r="103" spans="2:2" x14ac:dyDescent="0.25">
      <c r="B103" s="18"/>
    </row>
    <row r="104" spans="2:2" x14ac:dyDescent="0.25">
      <c r="B104" s="18"/>
    </row>
    <row r="105" spans="2:2" x14ac:dyDescent="0.25">
      <c r="B105" s="18"/>
    </row>
    <row r="106" spans="2:2" x14ac:dyDescent="0.25">
      <c r="B106" s="18"/>
    </row>
    <row r="107" spans="2:2" x14ac:dyDescent="0.25">
      <c r="B107" s="18"/>
    </row>
    <row r="108" spans="2:2" x14ac:dyDescent="0.25">
      <c r="B108" s="18"/>
    </row>
    <row r="109" spans="2:2" x14ac:dyDescent="0.25">
      <c r="B109" s="18"/>
    </row>
    <row r="110" spans="2:2" x14ac:dyDescent="0.25">
      <c r="B110" s="18"/>
    </row>
    <row r="111" spans="2:2" x14ac:dyDescent="0.25">
      <c r="B111" s="18"/>
    </row>
    <row r="112" spans="2:2" x14ac:dyDescent="0.25">
      <c r="B112" s="18"/>
    </row>
    <row r="113" spans="2:2" x14ac:dyDescent="0.25">
      <c r="B113" s="18"/>
    </row>
    <row r="114" spans="2:2" x14ac:dyDescent="0.25">
      <c r="B114" s="18"/>
    </row>
    <row r="115" spans="2:2" x14ac:dyDescent="0.25">
      <c r="B115" s="18"/>
    </row>
    <row r="116" spans="2:2" x14ac:dyDescent="0.25">
      <c r="B116" s="18"/>
    </row>
    <row r="117" spans="2:2" x14ac:dyDescent="0.25">
      <c r="B117" s="18"/>
    </row>
    <row r="118" spans="2:2" x14ac:dyDescent="0.25">
      <c r="B118" s="18"/>
    </row>
    <row r="119" spans="2:2" x14ac:dyDescent="0.25">
      <c r="B119" s="18"/>
    </row>
    <row r="120" spans="2:2" x14ac:dyDescent="0.25">
      <c r="B120" s="18"/>
    </row>
    <row r="121" spans="2:2" x14ac:dyDescent="0.25">
      <c r="B121" s="18"/>
    </row>
    <row r="122" spans="2:2" x14ac:dyDescent="0.25">
      <c r="B122" s="18"/>
    </row>
    <row r="123" spans="2:2" x14ac:dyDescent="0.25">
      <c r="B123" s="18"/>
    </row>
    <row r="124" spans="2:2" x14ac:dyDescent="0.25">
      <c r="B124" s="18"/>
    </row>
    <row r="125" spans="2:2" x14ac:dyDescent="0.25">
      <c r="B125" s="18"/>
    </row>
    <row r="126" spans="2:2" x14ac:dyDescent="0.25">
      <c r="B126" s="18"/>
    </row>
    <row r="127" spans="2:2" x14ac:dyDescent="0.25">
      <c r="B127" s="18"/>
    </row>
    <row r="128" spans="2:2" x14ac:dyDescent="0.25">
      <c r="B128" s="18"/>
    </row>
    <row r="129" spans="2:2" x14ac:dyDescent="0.25">
      <c r="B129" s="18"/>
    </row>
    <row r="130" spans="2:2" x14ac:dyDescent="0.25">
      <c r="B130" s="18"/>
    </row>
    <row r="131" spans="2:2" x14ac:dyDescent="0.25">
      <c r="B131" s="18"/>
    </row>
    <row r="132" spans="2:2" x14ac:dyDescent="0.25">
      <c r="B132" s="18"/>
    </row>
    <row r="133" spans="2:2" x14ac:dyDescent="0.25">
      <c r="B133" s="18"/>
    </row>
    <row r="134" spans="2:2" x14ac:dyDescent="0.25">
      <c r="B134" s="18"/>
    </row>
    <row r="135" spans="2:2" x14ac:dyDescent="0.25">
      <c r="B135" s="18"/>
    </row>
    <row r="136" spans="2:2" x14ac:dyDescent="0.25">
      <c r="B136" s="18"/>
    </row>
    <row r="137" spans="2:2" x14ac:dyDescent="0.25">
      <c r="B137" s="18"/>
    </row>
    <row r="138" spans="2:2" x14ac:dyDescent="0.25">
      <c r="B138" s="18"/>
    </row>
    <row r="139" spans="2:2" x14ac:dyDescent="0.25">
      <c r="B139" s="18"/>
    </row>
    <row r="140" spans="2:2" x14ac:dyDescent="0.25">
      <c r="B140" s="18"/>
    </row>
    <row r="141" spans="2:2" x14ac:dyDescent="0.25">
      <c r="B141" s="18"/>
    </row>
    <row r="142" spans="2:2" x14ac:dyDescent="0.25">
      <c r="B142" s="18"/>
    </row>
    <row r="143" spans="2:2" x14ac:dyDescent="0.25">
      <c r="B143" s="18"/>
    </row>
    <row r="144" spans="2:2" x14ac:dyDescent="0.25">
      <c r="B144" s="18"/>
    </row>
    <row r="145" spans="2:2" x14ac:dyDescent="0.25">
      <c r="B145" s="18"/>
    </row>
    <row r="146" spans="2:2" x14ac:dyDescent="0.25">
      <c r="B146" s="18"/>
    </row>
    <row r="147" spans="2:2" x14ac:dyDescent="0.25">
      <c r="B147" s="18"/>
    </row>
    <row r="148" spans="2:2" x14ac:dyDescent="0.25">
      <c r="B148" s="18"/>
    </row>
    <row r="149" spans="2:2" x14ac:dyDescent="0.25">
      <c r="B149" s="18"/>
    </row>
    <row r="150" spans="2:2" x14ac:dyDescent="0.25">
      <c r="B150" s="18"/>
    </row>
    <row r="151" spans="2:2" x14ac:dyDescent="0.25">
      <c r="B151" s="18"/>
    </row>
    <row r="152" spans="2:2" x14ac:dyDescent="0.25">
      <c r="B152" s="18"/>
    </row>
    <row r="153" spans="2:2" x14ac:dyDescent="0.25">
      <c r="B153" s="18"/>
    </row>
    <row r="154" spans="2:2" x14ac:dyDescent="0.25">
      <c r="B154" s="18"/>
    </row>
    <row r="155" spans="2:2" x14ac:dyDescent="0.25">
      <c r="B155" s="18"/>
    </row>
    <row r="156" spans="2:2" x14ac:dyDescent="0.25">
      <c r="B156" s="18"/>
    </row>
    <row r="157" spans="2:2" x14ac:dyDescent="0.25">
      <c r="B157" s="18"/>
    </row>
    <row r="158" spans="2:2" x14ac:dyDescent="0.25">
      <c r="B158" s="18"/>
    </row>
    <row r="159" spans="2:2" x14ac:dyDescent="0.25">
      <c r="B159" s="18"/>
    </row>
    <row r="160" spans="2:2" x14ac:dyDescent="0.25">
      <c r="B160" s="18"/>
    </row>
    <row r="161" spans="2:2" x14ac:dyDescent="0.25">
      <c r="B161" s="18"/>
    </row>
    <row r="162" spans="2:2" x14ac:dyDescent="0.25">
      <c r="B162" s="18"/>
    </row>
    <row r="163" spans="2:2" x14ac:dyDescent="0.25">
      <c r="B163" s="18"/>
    </row>
    <row r="164" spans="2:2" x14ac:dyDescent="0.25">
      <c r="B164" s="18"/>
    </row>
    <row r="165" spans="2:2" x14ac:dyDescent="0.25">
      <c r="B165" s="18"/>
    </row>
    <row r="166" spans="2:2" x14ac:dyDescent="0.25">
      <c r="B166" s="18"/>
    </row>
    <row r="167" spans="2:2" x14ac:dyDescent="0.25">
      <c r="B167" s="18"/>
    </row>
    <row r="168" spans="2:2" x14ac:dyDescent="0.25">
      <c r="B168" s="18"/>
    </row>
    <row r="169" spans="2:2" x14ac:dyDescent="0.25">
      <c r="B169" s="18"/>
    </row>
    <row r="170" spans="2:2" x14ac:dyDescent="0.25">
      <c r="B170" s="18"/>
    </row>
    <row r="171" spans="2:2" x14ac:dyDescent="0.25">
      <c r="B171" s="18"/>
    </row>
    <row r="172" spans="2:2" x14ac:dyDescent="0.25">
      <c r="B172" s="18"/>
    </row>
    <row r="173" spans="2:2" x14ac:dyDescent="0.25">
      <c r="B173" s="18"/>
    </row>
    <row r="174" spans="2:2" x14ac:dyDescent="0.25">
      <c r="B174" s="18"/>
    </row>
    <row r="175" spans="2:2" x14ac:dyDescent="0.25">
      <c r="B175" s="18"/>
    </row>
    <row r="176" spans="2:2" x14ac:dyDescent="0.25">
      <c r="B176" s="18"/>
    </row>
    <row r="177" spans="2:2" x14ac:dyDescent="0.25">
      <c r="B177" s="18"/>
    </row>
    <row r="178" spans="2:2" x14ac:dyDescent="0.25">
      <c r="B178" s="18"/>
    </row>
    <row r="179" spans="2:2" x14ac:dyDescent="0.25">
      <c r="B179" s="18"/>
    </row>
    <row r="180" spans="2:2" x14ac:dyDescent="0.25">
      <c r="B180" s="18"/>
    </row>
    <row r="181" spans="2:2" x14ac:dyDescent="0.25">
      <c r="B181" s="18"/>
    </row>
    <row r="182" spans="2:2" x14ac:dyDescent="0.25">
      <c r="B182" s="18"/>
    </row>
    <row r="183" spans="2:2" x14ac:dyDescent="0.25">
      <c r="B183" s="18"/>
    </row>
    <row r="184" spans="2:2" x14ac:dyDescent="0.25">
      <c r="B184" s="18"/>
    </row>
    <row r="185" spans="2:2" x14ac:dyDescent="0.25">
      <c r="B185" s="18"/>
    </row>
    <row r="186" spans="2:2" x14ac:dyDescent="0.25">
      <c r="B186" s="18"/>
    </row>
    <row r="187" spans="2:2" x14ac:dyDescent="0.25">
      <c r="B187" s="18"/>
    </row>
    <row r="188" spans="2:2" x14ac:dyDescent="0.25">
      <c r="B188" s="18"/>
    </row>
    <row r="189" spans="2:2" x14ac:dyDescent="0.25">
      <c r="B189" s="18"/>
    </row>
    <row r="190" spans="2:2" x14ac:dyDescent="0.25">
      <c r="B190" s="18"/>
    </row>
    <row r="191" spans="2:2" x14ac:dyDescent="0.25">
      <c r="B191" s="18"/>
    </row>
    <row r="192" spans="2:2" x14ac:dyDescent="0.25">
      <c r="B192" s="18"/>
    </row>
    <row r="193" spans="2:2" x14ac:dyDescent="0.25">
      <c r="B193" s="18"/>
    </row>
    <row r="194" spans="2:2" x14ac:dyDescent="0.25">
      <c r="B194" s="18"/>
    </row>
    <row r="195" spans="2:2" x14ac:dyDescent="0.25">
      <c r="B195" s="18"/>
    </row>
    <row r="196" spans="2:2" x14ac:dyDescent="0.25">
      <c r="B196" s="18"/>
    </row>
    <row r="197" spans="2:2" x14ac:dyDescent="0.25">
      <c r="B197" s="18"/>
    </row>
    <row r="198" spans="2:2" x14ac:dyDescent="0.25">
      <c r="B198" s="18"/>
    </row>
    <row r="199" spans="2:2" x14ac:dyDescent="0.25">
      <c r="B199" s="18"/>
    </row>
    <row r="200" spans="2:2" x14ac:dyDescent="0.25">
      <c r="B200" s="18"/>
    </row>
    <row r="201" spans="2:2" x14ac:dyDescent="0.25">
      <c r="B201" s="18"/>
    </row>
    <row r="202" spans="2:2" x14ac:dyDescent="0.25">
      <c r="B202" s="18"/>
    </row>
    <row r="203" spans="2:2" x14ac:dyDescent="0.25">
      <c r="B203" s="18"/>
    </row>
    <row r="204" spans="2:2" x14ac:dyDescent="0.25">
      <c r="B204" s="18"/>
    </row>
    <row r="205" spans="2:2" x14ac:dyDescent="0.25">
      <c r="B205" s="18"/>
    </row>
    <row r="206" spans="2:2" x14ac:dyDescent="0.25">
      <c r="B206" s="18"/>
    </row>
    <row r="207" spans="2:2" x14ac:dyDescent="0.25">
      <c r="B207" s="18"/>
    </row>
    <row r="208" spans="2:2" x14ac:dyDescent="0.25">
      <c r="B208" s="18"/>
    </row>
    <row r="209" spans="2:2" x14ac:dyDescent="0.25">
      <c r="B209" s="18"/>
    </row>
    <row r="210" spans="2:2" x14ac:dyDescent="0.25">
      <c r="B210" s="18"/>
    </row>
    <row r="211" spans="2:2" x14ac:dyDescent="0.25">
      <c r="B211" s="18"/>
    </row>
    <row r="212" spans="2:2" x14ac:dyDescent="0.25">
      <c r="B212" s="18"/>
    </row>
    <row r="213" spans="2:2" x14ac:dyDescent="0.25">
      <c r="B213" s="18"/>
    </row>
    <row r="214" spans="2:2" x14ac:dyDescent="0.25">
      <c r="B214" s="18"/>
    </row>
    <row r="215" spans="2:2" x14ac:dyDescent="0.25">
      <c r="B215" s="18"/>
    </row>
    <row r="216" spans="2:2" x14ac:dyDescent="0.25">
      <c r="B216" s="18"/>
    </row>
    <row r="217" spans="2:2" x14ac:dyDescent="0.25">
      <c r="B217" s="18"/>
    </row>
    <row r="218" spans="2:2" x14ac:dyDescent="0.25">
      <c r="B218" s="18"/>
    </row>
    <row r="219" spans="2:2" x14ac:dyDescent="0.25">
      <c r="B219" s="18"/>
    </row>
    <row r="220" spans="2:2" x14ac:dyDescent="0.25">
      <c r="B220" s="18"/>
    </row>
    <row r="221" spans="2:2" x14ac:dyDescent="0.25">
      <c r="B221" s="18"/>
    </row>
    <row r="222" spans="2:2" x14ac:dyDescent="0.25">
      <c r="B222" s="18"/>
    </row>
    <row r="223" spans="2:2" x14ac:dyDescent="0.25">
      <c r="B223" s="18"/>
    </row>
    <row r="224" spans="2:2" x14ac:dyDescent="0.25">
      <c r="B224" s="18"/>
    </row>
    <row r="225" spans="2:2" x14ac:dyDescent="0.25">
      <c r="B225" s="18"/>
    </row>
    <row r="226" spans="2:2" x14ac:dyDescent="0.25">
      <c r="B226" s="18"/>
    </row>
    <row r="227" spans="2:2" x14ac:dyDescent="0.25">
      <c r="B227" s="18"/>
    </row>
    <row r="228" spans="2:2" x14ac:dyDescent="0.25">
      <c r="B228" s="18"/>
    </row>
    <row r="229" spans="2:2" x14ac:dyDescent="0.25">
      <c r="B229" s="18"/>
    </row>
    <row r="230" spans="2:2" x14ac:dyDescent="0.25">
      <c r="B230" s="18"/>
    </row>
    <row r="231" spans="2:2" x14ac:dyDescent="0.25">
      <c r="B231" s="18"/>
    </row>
    <row r="232" spans="2:2" x14ac:dyDescent="0.25">
      <c r="B232" s="18"/>
    </row>
    <row r="233" spans="2:2" x14ac:dyDescent="0.25">
      <c r="B233" s="18"/>
    </row>
    <row r="234" spans="2:2" x14ac:dyDescent="0.25">
      <c r="B234" s="18"/>
    </row>
    <row r="235" spans="2:2" x14ac:dyDescent="0.25">
      <c r="B235" s="18"/>
    </row>
    <row r="236" spans="2:2" x14ac:dyDescent="0.25">
      <c r="B236" s="18"/>
    </row>
    <row r="237" spans="2:2" x14ac:dyDescent="0.25">
      <c r="B237" s="18"/>
    </row>
    <row r="238" spans="2:2" x14ac:dyDescent="0.25">
      <c r="B238" s="18"/>
    </row>
    <row r="239" spans="2:2" x14ac:dyDescent="0.25">
      <c r="B239" s="18"/>
    </row>
    <row r="240" spans="2:2" x14ac:dyDescent="0.25">
      <c r="B240" s="18"/>
    </row>
    <row r="241" spans="2:2" x14ac:dyDescent="0.25">
      <c r="B241" s="18"/>
    </row>
    <row r="242" spans="2:2" x14ac:dyDescent="0.25">
      <c r="B242" s="18"/>
    </row>
    <row r="243" spans="2:2" x14ac:dyDescent="0.25">
      <c r="B243" s="18"/>
    </row>
    <row r="244" spans="2:2" x14ac:dyDescent="0.25">
      <c r="B244" s="18"/>
    </row>
    <row r="245" spans="2:2" x14ac:dyDescent="0.25">
      <c r="B245" s="18"/>
    </row>
    <row r="246" spans="2:2" x14ac:dyDescent="0.25">
      <c r="B246" s="18"/>
    </row>
    <row r="247" spans="2:2" x14ac:dyDescent="0.25">
      <c r="B247" s="18"/>
    </row>
    <row r="248" spans="2:2" x14ac:dyDescent="0.25">
      <c r="B248" s="18"/>
    </row>
    <row r="249" spans="2:2" x14ac:dyDescent="0.25">
      <c r="B249" s="18"/>
    </row>
    <row r="250" spans="2:2" x14ac:dyDescent="0.25">
      <c r="B250" s="18"/>
    </row>
    <row r="251" spans="2:2" x14ac:dyDescent="0.25">
      <c r="B251" s="18"/>
    </row>
    <row r="252" spans="2:2" x14ac:dyDescent="0.25">
      <c r="B252" s="18"/>
    </row>
    <row r="253" spans="2:2" x14ac:dyDescent="0.25">
      <c r="B253" s="18"/>
    </row>
    <row r="254" spans="2:2" x14ac:dyDescent="0.25">
      <c r="B254" s="18"/>
    </row>
    <row r="255" spans="2:2" x14ac:dyDescent="0.25">
      <c r="B255" s="18"/>
    </row>
    <row r="256" spans="2:2" x14ac:dyDescent="0.25">
      <c r="B256" s="18"/>
    </row>
    <row r="257" spans="2:2" x14ac:dyDescent="0.25">
      <c r="B257" s="18"/>
    </row>
    <row r="258" spans="2:2" x14ac:dyDescent="0.25">
      <c r="B258" s="18"/>
    </row>
    <row r="259" spans="2:2" x14ac:dyDescent="0.25">
      <c r="B259" s="18"/>
    </row>
    <row r="260" spans="2:2" x14ac:dyDescent="0.25">
      <c r="B260" s="18"/>
    </row>
    <row r="261" spans="2:2" x14ac:dyDescent="0.25">
      <c r="B261" s="18"/>
    </row>
    <row r="262" spans="2:2" x14ac:dyDescent="0.25">
      <c r="B262" s="18"/>
    </row>
    <row r="263" spans="2:2" x14ac:dyDescent="0.25">
      <c r="B263" s="18"/>
    </row>
    <row r="264" spans="2:2" x14ac:dyDescent="0.25">
      <c r="B264" s="18"/>
    </row>
    <row r="265" spans="2:2" x14ac:dyDescent="0.25">
      <c r="B265" s="18"/>
    </row>
    <row r="266" spans="2:2" x14ac:dyDescent="0.25">
      <c r="B266" s="18"/>
    </row>
    <row r="267" spans="2:2" x14ac:dyDescent="0.25">
      <c r="B267" s="18"/>
    </row>
    <row r="268" spans="2:2" x14ac:dyDescent="0.25">
      <c r="B268" s="18"/>
    </row>
    <row r="269" spans="2:2" x14ac:dyDescent="0.25">
      <c r="B269" s="18"/>
    </row>
    <row r="270" spans="2:2" x14ac:dyDescent="0.25">
      <c r="B270" s="18"/>
    </row>
    <row r="271" spans="2:2" x14ac:dyDescent="0.25">
      <c r="B271" s="18"/>
    </row>
    <row r="272" spans="2:2" x14ac:dyDescent="0.25">
      <c r="B272" s="18"/>
    </row>
    <row r="273" spans="2:2" x14ac:dyDescent="0.25">
      <c r="B273" s="18"/>
    </row>
    <row r="274" spans="2:2" x14ac:dyDescent="0.25">
      <c r="B274" s="18"/>
    </row>
    <row r="275" spans="2:2" x14ac:dyDescent="0.25">
      <c r="B275" s="18"/>
    </row>
    <row r="276" spans="2:2" x14ac:dyDescent="0.25">
      <c r="B276" s="18"/>
    </row>
    <row r="277" spans="2:2" x14ac:dyDescent="0.25">
      <c r="B277" s="18"/>
    </row>
    <row r="278" spans="2:2" x14ac:dyDescent="0.25">
      <c r="B278" s="18"/>
    </row>
    <row r="279" spans="2:2" x14ac:dyDescent="0.25">
      <c r="B279" s="18"/>
    </row>
    <row r="280" spans="2:2" x14ac:dyDescent="0.25">
      <c r="B280" s="18"/>
    </row>
    <row r="281" spans="2:2" x14ac:dyDescent="0.25">
      <c r="B281" s="18"/>
    </row>
    <row r="282" spans="2:2" x14ac:dyDescent="0.25">
      <c r="B282" s="18"/>
    </row>
    <row r="283" spans="2:2" x14ac:dyDescent="0.25">
      <c r="B283" s="18"/>
    </row>
    <row r="284" spans="2:2" x14ac:dyDescent="0.25">
      <c r="B284" s="18"/>
    </row>
    <row r="285" spans="2:2" x14ac:dyDescent="0.25">
      <c r="B285" s="18"/>
    </row>
    <row r="286" spans="2:2" x14ac:dyDescent="0.25">
      <c r="B286" s="18"/>
    </row>
    <row r="287" spans="2:2" x14ac:dyDescent="0.25">
      <c r="B287" s="18"/>
    </row>
    <row r="288" spans="2:2" x14ac:dyDescent="0.25">
      <c r="B288" s="18"/>
    </row>
    <row r="289" spans="2:2" x14ac:dyDescent="0.25">
      <c r="B289" s="18"/>
    </row>
    <row r="290" spans="2:2" x14ac:dyDescent="0.25">
      <c r="B290" s="18"/>
    </row>
    <row r="291" spans="2:2" x14ac:dyDescent="0.25">
      <c r="B291" s="18"/>
    </row>
    <row r="292" spans="2:2" x14ac:dyDescent="0.25">
      <c r="B292" s="18"/>
    </row>
    <row r="293" spans="2:2" x14ac:dyDescent="0.25">
      <c r="B293" s="18"/>
    </row>
    <row r="294" spans="2:2" x14ac:dyDescent="0.25">
      <c r="B294" s="18"/>
    </row>
    <row r="295" spans="2:2" x14ac:dyDescent="0.25">
      <c r="B295" s="18"/>
    </row>
    <row r="296" spans="2:2" x14ac:dyDescent="0.25">
      <c r="B296" s="18"/>
    </row>
    <row r="297" spans="2:2" x14ac:dyDescent="0.25">
      <c r="B297" s="18"/>
    </row>
    <row r="298" spans="2:2" x14ac:dyDescent="0.25">
      <c r="B298" s="18"/>
    </row>
    <row r="299" spans="2:2" x14ac:dyDescent="0.25">
      <c r="B299" s="18"/>
    </row>
    <row r="300" spans="2:2" x14ac:dyDescent="0.25">
      <c r="B300" s="18"/>
    </row>
    <row r="301" spans="2:2" x14ac:dyDescent="0.25">
      <c r="B301" s="18"/>
    </row>
    <row r="302" spans="2:2" x14ac:dyDescent="0.25">
      <c r="B302" s="18"/>
    </row>
    <row r="303" spans="2:2" x14ac:dyDescent="0.25">
      <c r="B303" s="18"/>
    </row>
    <row r="304" spans="2:2" x14ac:dyDescent="0.25">
      <c r="B304" s="18"/>
    </row>
    <row r="305" spans="2:2" x14ac:dyDescent="0.25">
      <c r="B305" s="18"/>
    </row>
    <row r="306" spans="2:2" x14ac:dyDescent="0.25">
      <c r="B306" s="18"/>
    </row>
    <row r="307" spans="2:2" x14ac:dyDescent="0.25">
      <c r="B307" s="18"/>
    </row>
    <row r="308" spans="2:2" x14ac:dyDescent="0.25">
      <c r="B308" s="18"/>
    </row>
    <row r="309" spans="2:2" x14ac:dyDescent="0.25">
      <c r="B309" s="18"/>
    </row>
    <row r="310" spans="2:2" x14ac:dyDescent="0.25">
      <c r="B310" s="18"/>
    </row>
    <row r="311" spans="2:2" x14ac:dyDescent="0.25">
      <c r="B311" s="18"/>
    </row>
    <row r="312" spans="2:2" x14ac:dyDescent="0.25">
      <c r="B312" s="18"/>
    </row>
    <row r="313" spans="2:2" x14ac:dyDescent="0.25">
      <c r="B313" s="18"/>
    </row>
    <row r="314" spans="2:2" x14ac:dyDescent="0.25">
      <c r="B314" s="18"/>
    </row>
    <row r="315" spans="2:2" x14ac:dyDescent="0.25">
      <c r="B315" s="18"/>
    </row>
    <row r="316" spans="2:2" x14ac:dyDescent="0.25">
      <c r="B316" s="18"/>
    </row>
    <row r="317" spans="2:2" x14ac:dyDescent="0.25">
      <c r="B317" s="18"/>
    </row>
    <row r="318" spans="2:2" x14ac:dyDescent="0.25">
      <c r="B318" s="18"/>
    </row>
    <row r="319" spans="2:2" x14ac:dyDescent="0.25">
      <c r="B319" s="18"/>
    </row>
    <row r="320" spans="2:2" x14ac:dyDescent="0.25">
      <c r="B320" s="18"/>
    </row>
    <row r="321" spans="2:2" x14ac:dyDescent="0.25">
      <c r="B321" s="18"/>
    </row>
    <row r="322" spans="2:2" x14ac:dyDescent="0.25">
      <c r="B322" s="18"/>
    </row>
    <row r="323" spans="2:2" x14ac:dyDescent="0.25">
      <c r="B323" s="18"/>
    </row>
    <row r="324" spans="2:2" x14ac:dyDescent="0.25">
      <c r="B324" s="18"/>
    </row>
    <row r="325" spans="2:2" x14ac:dyDescent="0.25">
      <c r="B325" s="18"/>
    </row>
    <row r="326" spans="2:2" x14ac:dyDescent="0.25">
      <c r="B326" s="18"/>
    </row>
    <row r="327" spans="2:2" x14ac:dyDescent="0.25">
      <c r="B327" s="18"/>
    </row>
    <row r="328" spans="2:2" x14ac:dyDescent="0.25">
      <c r="B328" s="18"/>
    </row>
    <row r="329" spans="2:2" x14ac:dyDescent="0.25">
      <c r="B329" s="18"/>
    </row>
    <row r="330" spans="2:2" x14ac:dyDescent="0.25">
      <c r="B330" s="18"/>
    </row>
    <row r="331" spans="2:2" x14ac:dyDescent="0.25">
      <c r="B331" s="18"/>
    </row>
    <row r="332" spans="2:2" x14ac:dyDescent="0.25">
      <c r="B332" s="18"/>
    </row>
    <row r="333" spans="2:2" x14ac:dyDescent="0.25">
      <c r="B333" s="18"/>
    </row>
    <row r="334" spans="2:2" x14ac:dyDescent="0.25">
      <c r="B334" s="18"/>
    </row>
    <row r="335" spans="2:2" x14ac:dyDescent="0.25">
      <c r="B335" s="18"/>
    </row>
    <row r="336" spans="2:2" x14ac:dyDescent="0.25">
      <c r="B336" s="18"/>
    </row>
    <row r="337" spans="2:2" x14ac:dyDescent="0.25">
      <c r="B337" s="18"/>
    </row>
    <row r="338" spans="2:2" x14ac:dyDescent="0.25">
      <c r="B338" s="18"/>
    </row>
    <row r="339" spans="2:2" x14ac:dyDescent="0.25">
      <c r="B339" s="18"/>
    </row>
    <row r="340" spans="2:2" x14ac:dyDescent="0.25">
      <c r="B340" s="18"/>
    </row>
    <row r="341" spans="2:2" x14ac:dyDescent="0.25">
      <c r="B341" s="18"/>
    </row>
    <row r="342" spans="2:2" x14ac:dyDescent="0.25">
      <c r="B342" s="18"/>
    </row>
    <row r="343" spans="2:2" x14ac:dyDescent="0.25">
      <c r="B343" s="18"/>
    </row>
    <row r="344" spans="2:2" x14ac:dyDescent="0.25">
      <c r="B344" s="18"/>
    </row>
    <row r="345" spans="2:2" x14ac:dyDescent="0.25">
      <c r="B345" s="18"/>
    </row>
    <row r="346" spans="2:2" x14ac:dyDescent="0.25">
      <c r="B346" s="18"/>
    </row>
    <row r="347" spans="2:2" x14ac:dyDescent="0.25">
      <c r="B347" s="18"/>
    </row>
    <row r="348" spans="2:2" x14ac:dyDescent="0.25">
      <c r="B348" s="18"/>
    </row>
    <row r="349" spans="2:2" x14ac:dyDescent="0.25">
      <c r="B349" s="18"/>
    </row>
    <row r="350" spans="2:2" x14ac:dyDescent="0.25">
      <c r="B350" s="18"/>
    </row>
    <row r="351" spans="2:2" x14ac:dyDescent="0.25">
      <c r="B351" s="18"/>
    </row>
    <row r="352" spans="2:2" x14ac:dyDescent="0.25">
      <c r="B352" s="18"/>
    </row>
    <row r="353" spans="2:2" x14ac:dyDescent="0.25">
      <c r="B353" s="18"/>
    </row>
    <row r="354" spans="2:2" x14ac:dyDescent="0.25">
      <c r="B354" s="18"/>
    </row>
    <row r="355" spans="2:2" x14ac:dyDescent="0.25">
      <c r="B355" s="18"/>
    </row>
    <row r="356" spans="2:2" x14ac:dyDescent="0.25">
      <c r="B356" s="18"/>
    </row>
    <row r="357" spans="2:2" x14ac:dyDescent="0.25">
      <c r="B357" s="18"/>
    </row>
    <row r="358" spans="2:2" x14ac:dyDescent="0.25">
      <c r="B358" s="18"/>
    </row>
    <row r="359" spans="2:2" x14ac:dyDescent="0.25">
      <c r="B359" s="18"/>
    </row>
    <row r="360" spans="2:2" x14ac:dyDescent="0.25">
      <c r="B360" s="18"/>
    </row>
    <row r="361" spans="2:2" x14ac:dyDescent="0.25">
      <c r="B361" s="18"/>
    </row>
    <row r="362" spans="2:2" x14ac:dyDescent="0.25">
      <c r="B362" s="18"/>
    </row>
    <row r="363" spans="2:2" x14ac:dyDescent="0.25">
      <c r="B363" s="18"/>
    </row>
    <row r="364" spans="2:2" x14ac:dyDescent="0.25">
      <c r="B364" s="18"/>
    </row>
    <row r="365" spans="2:2" x14ac:dyDescent="0.25">
      <c r="B365" s="18"/>
    </row>
    <row r="366" spans="2:2" x14ac:dyDescent="0.25">
      <c r="B366" s="18"/>
    </row>
    <row r="367" spans="2:2" x14ac:dyDescent="0.25">
      <c r="B367" s="18"/>
    </row>
    <row r="368" spans="2:2" x14ac:dyDescent="0.25">
      <c r="B368" s="18"/>
    </row>
    <row r="369" spans="2:2" x14ac:dyDescent="0.25">
      <c r="B369" s="18"/>
    </row>
    <row r="370" spans="2:2" x14ac:dyDescent="0.25">
      <c r="B370" s="18"/>
    </row>
    <row r="371" spans="2:2" x14ac:dyDescent="0.25">
      <c r="B371" s="18"/>
    </row>
    <row r="372" spans="2:2" x14ac:dyDescent="0.25">
      <c r="B372" s="18"/>
    </row>
    <row r="373" spans="2:2" x14ac:dyDescent="0.25">
      <c r="B373" s="18"/>
    </row>
    <row r="374" spans="2:2" x14ac:dyDescent="0.25">
      <c r="B374" s="18"/>
    </row>
    <row r="375" spans="2:2" x14ac:dyDescent="0.25">
      <c r="B375" s="18"/>
    </row>
    <row r="376" spans="2:2" x14ac:dyDescent="0.25">
      <c r="B376" s="18"/>
    </row>
    <row r="377" spans="2:2" x14ac:dyDescent="0.25">
      <c r="B377" s="18"/>
    </row>
    <row r="378" spans="2:2" x14ac:dyDescent="0.25">
      <c r="B378" s="18"/>
    </row>
    <row r="379" spans="2:2" x14ac:dyDescent="0.25">
      <c r="B379" s="18"/>
    </row>
    <row r="380" spans="2:2" x14ac:dyDescent="0.25">
      <c r="B380" s="18"/>
    </row>
    <row r="381" spans="2:2" x14ac:dyDescent="0.25">
      <c r="B381" s="18"/>
    </row>
    <row r="382" spans="2:2" x14ac:dyDescent="0.25">
      <c r="B382" s="18"/>
    </row>
    <row r="383" spans="2:2" x14ac:dyDescent="0.25">
      <c r="B383" s="18"/>
    </row>
    <row r="384" spans="2:2" x14ac:dyDescent="0.25">
      <c r="B384" s="18"/>
    </row>
    <row r="385" spans="2:2" x14ac:dyDescent="0.25">
      <c r="B385" s="18"/>
    </row>
    <row r="386" spans="2:2" x14ac:dyDescent="0.25">
      <c r="B386" s="18"/>
    </row>
    <row r="387" spans="2:2" x14ac:dyDescent="0.25">
      <c r="B387" s="18"/>
    </row>
    <row r="388" spans="2:2" x14ac:dyDescent="0.25">
      <c r="B388" s="18"/>
    </row>
    <row r="389" spans="2:2" x14ac:dyDescent="0.25">
      <c r="B389" s="18"/>
    </row>
    <row r="390" spans="2:2" x14ac:dyDescent="0.25">
      <c r="B390" s="18"/>
    </row>
    <row r="391" spans="2:2" x14ac:dyDescent="0.25">
      <c r="B391" s="18"/>
    </row>
    <row r="392" spans="2:2" x14ac:dyDescent="0.25">
      <c r="B392" s="18"/>
    </row>
    <row r="393" spans="2:2" x14ac:dyDescent="0.25">
      <c r="B393" s="18"/>
    </row>
    <row r="394" spans="2:2" x14ac:dyDescent="0.25">
      <c r="B394" s="18"/>
    </row>
    <row r="395" spans="2:2" x14ac:dyDescent="0.25">
      <c r="B395" s="18"/>
    </row>
    <row r="396" spans="2:2" x14ac:dyDescent="0.25">
      <c r="B396" s="18"/>
    </row>
    <row r="397" spans="2:2" x14ac:dyDescent="0.25">
      <c r="B397" s="18"/>
    </row>
    <row r="398" spans="2:2" x14ac:dyDescent="0.25">
      <c r="B398" s="18"/>
    </row>
    <row r="399" spans="2:2" x14ac:dyDescent="0.25">
      <c r="B399" s="18"/>
    </row>
    <row r="400" spans="2:2" x14ac:dyDescent="0.25">
      <c r="B400" s="18"/>
    </row>
    <row r="401" spans="2:2" x14ac:dyDescent="0.25">
      <c r="B401" s="18"/>
    </row>
    <row r="402" spans="2:2" x14ac:dyDescent="0.25">
      <c r="B402" s="18"/>
    </row>
    <row r="403" spans="2:2" x14ac:dyDescent="0.25">
      <c r="B403" s="18"/>
    </row>
    <row r="404" spans="2:2" x14ac:dyDescent="0.25">
      <c r="B404" s="18"/>
    </row>
    <row r="405" spans="2:2" x14ac:dyDescent="0.25">
      <c r="B405" s="18"/>
    </row>
    <row r="406" spans="2:2" x14ac:dyDescent="0.25">
      <c r="B406" s="18"/>
    </row>
    <row r="407" spans="2:2" x14ac:dyDescent="0.25">
      <c r="B407" s="18"/>
    </row>
    <row r="408" spans="2:2" x14ac:dyDescent="0.25">
      <c r="B408" s="18"/>
    </row>
    <row r="409" spans="2:2" x14ac:dyDescent="0.25">
      <c r="B409" s="18"/>
    </row>
    <row r="410" spans="2:2" x14ac:dyDescent="0.25">
      <c r="B410" s="18"/>
    </row>
    <row r="411" spans="2:2" x14ac:dyDescent="0.25">
      <c r="B411" s="18"/>
    </row>
    <row r="412" spans="2:2" x14ac:dyDescent="0.25">
      <c r="B412" s="18"/>
    </row>
    <row r="413" spans="2:2" x14ac:dyDescent="0.25">
      <c r="B413" s="18"/>
    </row>
    <row r="414" spans="2:2" x14ac:dyDescent="0.25">
      <c r="B414" s="18"/>
    </row>
    <row r="415" spans="2:2" x14ac:dyDescent="0.25">
      <c r="B415" s="18"/>
    </row>
    <row r="416" spans="2:2" x14ac:dyDescent="0.25">
      <c r="B416" s="18"/>
    </row>
    <row r="417" spans="2:2" x14ac:dyDescent="0.25">
      <c r="B417" s="18"/>
    </row>
    <row r="418" spans="2:2" x14ac:dyDescent="0.25">
      <c r="B418" s="18"/>
    </row>
    <row r="419" spans="2:2" x14ac:dyDescent="0.25">
      <c r="B419" s="18"/>
    </row>
    <row r="420" spans="2:2" x14ac:dyDescent="0.25">
      <c r="B420" s="18"/>
    </row>
    <row r="421" spans="2:2" x14ac:dyDescent="0.25">
      <c r="B421" s="18"/>
    </row>
    <row r="422" spans="2:2" x14ac:dyDescent="0.25">
      <c r="B422" s="18"/>
    </row>
    <row r="423" spans="2:2" x14ac:dyDescent="0.25">
      <c r="B423" s="18"/>
    </row>
    <row r="424" spans="2:2" x14ac:dyDescent="0.25">
      <c r="B424" s="18"/>
    </row>
    <row r="425" spans="2:2" x14ac:dyDescent="0.25">
      <c r="B425" s="18"/>
    </row>
    <row r="426" spans="2:2" x14ac:dyDescent="0.25">
      <c r="B426" s="18"/>
    </row>
    <row r="427" spans="2:2" x14ac:dyDescent="0.25">
      <c r="B427" s="18"/>
    </row>
    <row r="428" spans="2:2" x14ac:dyDescent="0.25">
      <c r="B428" s="18"/>
    </row>
    <row r="429" spans="2:2" x14ac:dyDescent="0.25">
      <c r="B429" s="18"/>
    </row>
    <row r="430" spans="2:2" x14ac:dyDescent="0.25">
      <c r="B430" s="18"/>
    </row>
    <row r="431" spans="2:2" x14ac:dyDescent="0.25">
      <c r="B431" s="18"/>
    </row>
    <row r="432" spans="2:2" x14ac:dyDescent="0.25">
      <c r="B432" s="18"/>
    </row>
    <row r="433" spans="2:2" x14ac:dyDescent="0.25">
      <c r="B433" s="18"/>
    </row>
    <row r="434" spans="2:2" x14ac:dyDescent="0.25">
      <c r="B434" s="18"/>
    </row>
    <row r="435" spans="2:2" x14ac:dyDescent="0.25">
      <c r="B435" s="18"/>
    </row>
    <row r="436" spans="2:2" x14ac:dyDescent="0.25">
      <c r="B436" s="18"/>
    </row>
    <row r="437" spans="2:2" x14ac:dyDescent="0.25">
      <c r="B437" s="18"/>
    </row>
    <row r="438" spans="2:2" x14ac:dyDescent="0.25">
      <c r="B438" s="18"/>
    </row>
    <row r="439" spans="2:2" x14ac:dyDescent="0.25">
      <c r="B439" s="18"/>
    </row>
    <row r="440" spans="2:2" x14ac:dyDescent="0.25">
      <c r="B440" s="18"/>
    </row>
    <row r="441" spans="2:2" x14ac:dyDescent="0.25">
      <c r="B441" s="18"/>
    </row>
    <row r="442" spans="2:2" x14ac:dyDescent="0.25">
      <c r="B442" s="18"/>
    </row>
    <row r="443" spans="2:2" x14ac:dyDescent="0.25">
      <c r="B443" s="18"/>
    </row>
    <row r="444" spans="2:2" x14ac:dyDescent="0.25">
      <c r="B444" s="18"/>
    </row>
    <row r="445" spans="2:2" x14ac:dyDescent="0.25">
      <c r="B445" s="18"/>
    </row>
    <row r="446" spans="2:2" x14ac:dyDescent="0.25">
      <c r="B446" s="18"/>
    </row>
    <row r="447" spans="2:2" x14ac:dyDescent="0.25">
      <c r="B447" s="18"/>
    </row>
    <row r="448" spans="2:2" x14ac:dyDescent="0.25">
      <c r="B448" s="18"/>
    </row>
    <row r="449" spans="2:5" x14ac:dyDescent="0.25">
      <c r="B449" s="18"/>
    </row>
    <row r="450" spans="2:5" x14ac:dyDescent="0.25">
      <c r="B450" s="18"/>
    </row>
    <row r="451" spans="2:5" x14ac:dyDescent="0.25">
      <c r="B451" s="18"/>
      <c r="E451" s="26"/>
    </row>
    <row r="452" spans="2:5" x14ac:dyDescent="0.25">
      <c r="B452" s="18"/>
    </row>
    <row r="453" spans="2:5" x14ac:dyDescent="0.25">
      <c r="B453" s="18"/>
    </row>
    <row r="454" spans="2:5" x14ac:dyDescent="0.25">
      <c r="B454" s="18"/>
    </row>
    <row r="455" spans="2:5" x14ac:dyDescent="0.25">
      <c r="B455" s="18"/>
    </row>
    <row r="456" spans="2:5" x14ac:dyDescent="0.25">
      <c r="B456" s="18"/>
    </row>
    <row r="457" spans="2:5" x14ac:dyDescent="0.25">
      <c r="B457" s="18"/>
    </row>
    <row r="458" spans="2:5" x14ac:dyDescent="0.25">
      <c r="B458" s="18"/>
    </row>
    <row r="459" spans="2:5" x14ac:dyDescent="0.25">
      <c r="B459" s="18"/>
    </row>
    <row r="460" spans="2:5" x14ac:dyDescent="0.25">
      <c r="B460" s="18"/>
    </row>
    <row r="461" spans="2:5" x14ac:dyDescent="0.25">
      <c r="B461" s="18"/>
    </row>
    <row r="462" spans="2:5" x14ac:dyDescent="0.25">
      <c r="B462" s="18"/>
    </row>
    <row r="463" spans="2:5" x14ac:dyDescent="0.25">
      <c r="B463" s="18"/>
    </row>
    <row r="464" spans="2:5" x14ac:dyDescent="0.25">
      <c r="B464" s="18"/>
    </row>
    <row r="465" spans="2:2" x14ac:dyDescent="0.25">
      <c r="B465" s="18"/>
    </row>
    <row r="466" spans="2:2" x14ac:dyDescent="0.25">
      <c r="B466" s="18"/>
    </row>
    <row r="467" spans="2:2" x14ac:dyDescent="0.25">
      <c r="B467" s="18"/>
    </row>
    <row r="468" spans="2:2" x14ac:dyDescent="0.25">
      <c r="B468" s="18"/>
    </row>
    <row r="469" spans="2:2" x14ac:dyDescent="0.25">
      <c r="B469" s="18"/>
    </row>
    <row r="470" spans="2:2" x14ac:dyDescent="0.25">
      <c r="B470" s="18"/>
    </row>
    <row r="471" spans="2:2" x14ac:dyDescent="0.25">
      <c r="B471" s="18"/>
    </row>
    <row r="472" spans="2:2" x14ac:dyDescent="0.25">
      <c r="B472" s="18"/>
    </row>
    <row r="473" spans="2:2" x14ac:dyDescent="0.25">
      <c r="B473" s="18"/>
    </row>
    <row r="474" spans="2:2" x14ac:dyDescent="0.25">
      <c r="B474" s="18"/>
    </row>
    <row r="475" spans="2:2" x14ac:dyDescent="0.25">
      <c r="B475" s="18"/>
    </row>
    <row r="476" spans="2:2" x14ac:dyDescent="0.25">
      <c r="B476" s="18"/>
    </row>
    <row r="477" spans="2:2" x14ac:dyDescent="0.25">
      <c r="B477" s="18"/>
    </row>
    <row r="478" spans="2:2" x14ac:dyDescent="0.25">
      <c r="B478" s="18"/>
    </row>
    <row r="479" spans="2:2" x14ac:dyDescent="0.25">
      <c r="B479" s="18"/>
    </row>
    <row r="480" spans="2:2" x14ac:dyDescent="0.25">
      <c r="B480" s="18"/>
    </row>
    <row r="481" spans="2:2" x14ac:dyDescent="0.25">
      <c r="B481" s="18"/>
    </row>
    <row r="482" spans="2:2" x14ac:dyDescent="0.25">
      <c r="B482" s="18"/>
    </row>
    <row r="483" spans="2:2" x14ac:dyDescent="0.25">
      <c r="B483" s="18"/>
    </row>
    <row r="484" spans="2:2" x14ac:dyDescent="0.25">
      <c r="B484" s="18"/>
    </row>
    <row r="485" spans="2:2" x14ac:dyDescent="0.25">
      <c r="B485" s="18"/>
    </row>
    <row r="486" spans="2:2" x14ac:dyDescent="0.25">
      <c r="B486" s="18"/>
    </row>
    <row r="487" spans="2:2" x14ac:dyDescent="0.25">
      <c r="B487" s="18"/>
    </row>
    <row r="488" spans="2:2" x14ac:dyDescent="0.25">
      <c r="B488" s="18"/>
    </row>
    <row r="489" spans="2:2" x14ac:dyDescent="0.25">
      <c r="B489" s="18"/>
    </row>
    <row r="490" spans="2:2" x14ac:dyDescent="0.25">
      <c r="B490" s="18"/>
    </row>
    <row r="491" spans="2:2" x14ac:dyDescent="0.25">
      <c r="B491" s="18"/>
    </row>
    <row r="492" spans="2:2" x14ac:dyDescent="0.25">
      <c r="B492" s="18"/>
    </row>
    <row r="493" spans="2:2" x14ac:dyDescent="0.25">
      <c r="B493" s="18"/>
    </row>
    <row r="494" spans="2:2" x14ac:dyDescent="0.25">
      <c r="B494" s="18"/>
    </row>
    <row r="495" spans="2:2" x14ac:dyDescent="0.25">
      <c r="B495" s="18"/>
    </row>
    <row r="496" spans="2:2" x14ac:dyDescent="0.25">
      <c r="B496" s="18"/>
    </row>
    <row r="497" spans="2:2" x14ac:dyDescent="0.25">
      <c r="B497" s="18"/>
    </row>
    <row r="498" spans="2:2" x14ac:dyDescent="0.25">
      <c r="B498" s="18"/>
    </row>
    <row r="499" spans="2:2" x14ac:dyDescent="0.25">
      <c r="B499" s="18"/>
    </row>
    <row r="500" spans="2:2" x14ac:dyDescent="0.25">
      <c r="B500" s="18"/>
    </row>
    <row r="501" spans="2:2" x14ac:dyDescent="0.25">
      <c r="B501" s="18"/>
    </row>
    <row r="502" spans="2:2" x14ac:dyDescent="0.25">
      <c r="B502" s="18"/>
    </row>
    <row r="503" spans="2:2" x14ac:dyDescent="0.25">
      <c r="B503" s="18"/>
    </row>
    <row r="504" spans="2:2" x14ac:dyDescent="0.25">
      <c r="B504" s="18"/>
    </row>
    <row r="505" spans="2:2" x14ac:dyDescent="0.25">
      <c r="B505" s="18"/>
    </row>
    <row r="506" spans="2:2" x14ac:dyDescent="0.25">
      <c r="B506" s="18"/>
    </row>
    <row r="507" spans="2:2" x14ac:dyDescent="0.25">
      <c r="B507" s="18"/>
    </row>
    <row r="508" spans="2:2" x14ac:dyDescent="0.25">
      <c r="B508" s="18"/>
    </row>
    <row r="509" spans="2:2" x14ac:dyDescent="0.25">
      <c r="B509" s="18"/>
    </row>
    <row r="510" spans="2:2" x14ac:dyDescent="0.25">
      <c r="B510" s="18"/>
    </row>
    <row r="511" spans="2:2" x14ac:dyDescent="0.25">
      <c r="B511" s="18"/>
    </row>
    <row r="512" spans="2:2" x14ac:dyDescent="0.25">
      <c r="B512" s="18"/>
    </row>
    <row r="513" spans="2:2" x14ac:dyDescent="0.25">
      <c r="B513" s="18"/>
    </row>
    <row r="514" spans="2:2" x14ac:dyDescent="0.25">
      <c r="B514" s="18"/>
    </row>
    <row r="515" spans="2:2" x14ac:dyDescent="0.25">
      <c r="B515" s="18"/>
    </row>
    <row r="516" spans="2:2" x14ac:dyDescent="0.25">
      <c r="B516" s="18"/>
    </row>
    <row r="517" spans="2:2" x14ac:dyDescent="0.25">
      <c r="B517" s="18"/>
    </row>
    <row r="518" spans="2:2" x14ac:dyDescent="0.25">
      <c r="B518" s="18"/>
    </row>
    <row r="519" spans="2:2" x14ac:dyDescent="0.25">
      <c r="B519" s="18"/>
    </row>
    <row r="520" spans="2:2" x14ac:dyDescent="0.25">
      <c r="B520" s="18"/>
    </row>
    <row r="521" spans="2:2" x14ac:dyDescent="0.25">
      <c r="B521" s="18"/>
    </row>
    <row r="522" spans="2:2" x14ac:dyDescent="0.25">
      <c r="B522" s="18"/>
    </row>
    <row r="523" spans="2:2" x14ac:dyDescent="0.25">
      <c r="B523" s="18"/>
    </row>
    <row r="524" spans="2:2" x14ac:dyDescent="0.25">
      <c r="B524" s="18"/>
    </row>
    <row r="525" spans="2:2" x14ac:dyDescent="0.25">
      <c r="B525" s="18"/>
    </row>
    <row r="526" spans="2:2" x14ac:dyDescent="0.25">
      <c r="B526" s="18"/>
    </row>
    <row r="527" spans="2:2" x14ac:dyDescent="0.25">
      <c r="B527" s="18"/>
    </row>
    <row r="528" spans="2:2" x14ac:dyDescent="0.25">
      <c r="B528" s="18"/>
    </row>
    <row r="529" spans="2:2" x14ac:dyDescent="0.25">
      <c r="B529" s="18"/>
    </row>
    <row r="530" spans="2:2" x14ac:dyDescent="0.25">
      <c r="B530" s="18"/>
    </row>
    <row r="531" spans="2:2" x14ac:dyDescent="0.25">
      <c r="B531" s="18"/>
    </row>
    <row r="532" spans="2:2" x14ac:dyDescent="0.25">
      <c r="B532" s="18"/>
    </row>
    <row r="533" spans="2:2" x14ac:dyDescent="0.25">
      <c r="B533" s="18"/>
    </row>
    <row r="534" spans="2:2" x14ac:dyDescent="0.25">
      <c r="B534" s="18"/>
    </row>
    <row r="535" spans="2:2" x14ac:dyDescent="0.25">
      <c r="B535" s="18"/>
    </row>
    <row r="536" spans="2:2" x14ac:dyDescent="0.25">
      <c r="B536" s="18"/>
    </row>
    <row r="537" spans="2:2" x14ac:dyDescent="0.25">
      <c r="B537" s="18"/>
    </row>
    <row r="538" spans="2:2" x14ac:dyDescent="0.25">
      <c r="B538" s="18"/>
    </row>
    <row r="539" spans="2:2" x14ac:dyDescent="0.25">
      <c r="B539" s="18"/>
    </row>
    <row r="540" spans="2:2" x14ac:dyDescent="0.25">
      <c r="B540" s="18"/>
    </row>
    <row r="541" spans="2:2" x14ac:dyDescent="0.25">
      <c r="B541" s="18"/>
    </row>
    <row r="542" spans="2:2" x14ac:dyDescent="0.25">
      <c r="B542" s="18"/>
    </row>
    <row r="543" spans="2:2" x14ac:dyDescent="0.25">
      <c r="B543" s="18"/>
    </row>
    <row r="544" spans="2:2" x14ac:dyDescent="0.25">
      <c r="B544" s="18"/>
    </row>
    <row r="545" spans="2:5" x14ac:dyDescent="0.25">
      <c r="B545" s="18"/>
    </row>
    <row r="546" spans="2:5" x14ac:dyDescent="0.25">
      <c r="B546" s="18"/>
    </row>
    <row r="547" spans="2:5" x14ac:dyDescent="0.25">
      <c r="B547" s="18"/>
      <c r="E547" s="26"/>
    </row>
    <row r="548" spans="2:5" x14ac:dyDescent="0.25">
      <c r="B548" s="18"/>
    </row>
    <row r="549" spans="2:5" x14ac:dyDescent="0.25">
      <c r="B549" s="18"/>
    </row>
    <row r="550" spans="2:5" x14ac:dyDescent="0.25">
      <c r="B550" s="18"/>
    </row>
    <row r="551" spans="2:5" x14ac:dyDescent="0.25">
      <c r="B551" s="18"/>
    </row>
    <row r="552" spans="2:5" x14ac:dyDescent="0.25">
      <c r="B552" s="18"/>
    </row>
    <row r="553" spans="2:5" x14ac:dyDescent="0.25">
      <c r="B553" s="18"/>
    </row>
    <row r="554" spans="2:5" x14ac:dyDescent="0.25">
      <c r="B554" s="18"/>
    </row>
    <row r="555" spans="2:5" x14ac:dyDescent="0.25">
      <c r="B555" s="18"/>
    </row>
    <row r="556" spans="2:5" x14ac:dyDescent="0.25">
      <c r="B556" s="18"/>
    </row>
    <row r="557" spans="2:5" x14ac:dyDescent="0.25">
      <c r="B557" s="18"/>
    </row>
    <row r="558" spans="2:5" x14ac:dyDescent="0.25">
      <c r="B558" s="18"/>
    </row>
    <row r="559" spans="2:5" x14ac:dyDescent="0.25">
      <c r="B559" s="18"/>
    </row>
    <row r="560" spans="2:5" x14ac:dyDescent="0.25">
      <c r="B560" s="18"/>
    </row>
    <row r="561" spans="2:2" x14ac:dyDescent="0.25">
      <c r="B561" s="18"/>
    </row>
    <row r="562" spans="2:2" x14ac:dyDescent="0.25">
      <c r="B562" s="18"/>
    </row>
    <row r="563" spans="2:2" x14ac:dyDescent="0.25">
      <c r="B563" s="18"/>
    </row>
    <row r="564" spans="2:2" x14ac:dyDescent="0.25">
      <c r="B564" s="18"/>
    </row>
    <row r="565" spans="2:2" x14ac:dyDescent="0.25">
      <c r="B565" s="18"/>
    </row>
    <row r="566" spans="2:2" x14ac:dyDescent="0.25">
      <c r="B566" s="18"/>
    </row>
    <row r="567" spans="2:2" x14ac:dyDescent="0.25">
      <c r="B567" s="18"/>
    </row>
    <row r="568" spans="2:2" x14ac:dyDescent="0.25">
      <c r="B568" s="18"/>
    </row>
    <row r="569" spans="2:2" x14ac:dyDescent="0.25">
      <c r="B569" s="18"/>
    </row>
    <row r="570" spans="2:2" x14ac:dyDescent="0.25">
      <c r="B570" s="18"/>
    </row>
    <row r="571" spans="2:2" x14ac:dyDescent="0.25">
      <c r="B571" s="18"/>
    </row>
    <row r="572" spans="2:2" x14ac:dyDescent="0.25">
      <c r="B572" s="18"/>
    </row>
    <row r="573" spans="2:2" x14ac:dyDescent="0.25">
      <c r="B573" s="18"/>
    </row>
    <row r="574" spans="2:2" x14ac:dyDescent="0.25">
      <c r="B574" s="18"/>
    </row>
    <row r="575" spans="2:2" x14ac:dyDescent="0.25">
      <c r="B575" s="18"/>
    </row>
    <row r="576" spans="2:2" x14ac:dyDescent="0.25">
      <c r="B576" s="18"/>
    </row>
    <row r="577" spans="2:2" x14ac:dyDescent="0.25">
      <c r="B577" s="18"/>
    </row>
    <row r="578" spans="2:2" x14ac:dyDescent="0.25">
      <c r="B578" s="18"/>
    </row>
    <row r="579" spans="2:2" x14ac:dyDescent="0.25">
      <c r="B579" s="18"/>
    </row>
    <row r="580" spans="2:2" x14ac:dyDescent="0.25">
      <c r="B580" s="18"/>
    </row>
    <row r="581" spans="2:2" x14ac:dyDescent="0.25">
      <c r="B581" s="18"/>
    </row>
    <row r="582" spans="2:2" x14ac:dyDescent="0.25">
      <c r="B582" s="18"/>
    </row>
    <row r="583" spans="2:2" x14ac:dyDescent="0.25">
      <c r="B583" s="18"/>
    </row>
    <row r="584" spans="2:2" x14ac:dyDescent="0.25">
      <c r="B584" s="18"/>
    </row>
    <row r="585" spans="2:2" x14ac:dyDescent="0.25">
      <c r="B585" s="18"/>
    </row>
    <row r="586" spans="2:2" x14ac:dyDescent="0.25">
      <c r="B586" s="18"/>
    </row>
    <row r="587" spans="2:2" x14ac:dyDescent="0.25">
      <c r="B587" s="18"/>
    </row>
    <row r="588" spans="2:2" x14ac:dyDescent="0.25">
      <c r="B588" s="18"/>
    </row>
    <row r="589" spans="2:2" x14ac:dyDescent="0.25">
      <c r="B589" s="18"/>
    </row>
    <row r="590" spans="2:2" x14ac:dyDescent="0.25">
      <c r="B590" s="18"/>
    </row>
    <row r="591" spans="2:2" x14ac:dyDescent="0.25">
      <c r="B591" s="18"/>
    </row>
    <row r="592" spans="2:2" x14ac:dyDescent="0.25">
      <c r="B592" s="18"/>
    </row>
    <row r="593" spans="2:2" x14ac:dyDescent="0.25">
      <c r="B593" s="18"/>
    </row>
    <row r="594" spans="2:2" x14ac:dyDescent="0.25">
      <c r="B594" s="18"/>
    </row>
    <row r="595" spans="2:2" x14ac:dyDescent="0.25">
      <c r="B595" s="18"/>
    </row>
    <row r="596" spans="2:2" x14ac:dyDescent="0.25">
      <c r="B596" s="18"/>
    </row>
    <row r="597" spans="2:2" x14ac:dyDescent="0.25">
      <c r="B597" s="18"/>
    </row>
    <row r="598" spans="2:2" x14ac:dyDescent="0.25">
      <c r="B598" s="18"/>
    </row>
    <row r="599" spans="2:2" x14ac:dyDescent="0.25">
      <c r="B599" s="18"/>
    </row>
    <row r="600" spans="2:2" x14ac:dyDescent="0.25">
      <c r="B600" s="18"/>
    </row>
    <row r="601" spans="2:2" x14ac:dyDescent="0.25">
      <c r="B601" s="18"/>
    </row>
    <row r="602" spans="2:2" x14ac:dyDescent="0.25">
      <c r="B602" s="18"/>
    </row>
    <row r="603" spans="2:2" x14ac:dyDescent="0.25">
      <c r="B603" s="18"/>
    </row>
    <row r="604" spans="2:2" x14ac:dyDescent="0.25">
      <c r="B604" s="18"/>
    </row>
    <row r="605" spans="2:2" x14ac:dyDescent="0.25">
      <c r="B605" s="18"/>
    </row>
    <row r="606" spans="2:2" x14ac:dyDescent="0.25">
      <c r="B606" s="18"/>
    </row>
    <row r="607" spans="2:2" x14ac:dyDescent="0.25">
      <c r="B607" s="18"/>
    </row>
    <row r="608" spans="2:2" x14ac:dyDescent="0.25">
      <c r="B608" s="18"/>
    </row>
    <row r="609" spans="2:2" x14ac:dyDescent="0.25">
      <c r="B609" s="18"/>
    </row>
    <row r="610" spans="2:2" x14ac:dyDescent="0.25">
      <c r="B610" s="18"/>
    </row>
    <row r="611" spans="2:2" x14ac:dyDescent="0.25">
      <c r="B611" s="18"/>
    </row>
    <row r="612" spans="2:2" x14ac:dyDescent="0.25">
      <c r="B612" s="18"/>
    </row>
    <row r="613" spans="2:2" x14ac:dyDescent="0.25">
      <c r="B613" s="18"/>
    </row>
    <row r="614" spans="2:2" x14ac:dyDescent="0.25">
      <c r="B614" s="18"/>
    </row>
    <row r="615" spans="2:2" x14ac:dyDescent="0.25">
      <c r="B615" s="18"/>
    </row>
    <row r="616" spans="2:2" x14ac:dyDescent="0.25">
      <c r="B616" s="18"/>
    </row>
    <row r="617" spans="2:2" x14ac:dyDescent="0.25">
      <c r="B617" s="18"/>
    </row>
    <row r="618" spans="2:2" x14ac:dyDescent="0.25">
      <c r="B618" s="18"/>
    </row>
    <row r="619" spans="2:2" x14ac:dyDescent="0.25">
      <c r="B619" s="18"/>
    </row>
    <row r="620" spans="2:2" x14ac:dyDescent="0.25">
      <c r="B620" s="18"/>
    </row>
    <row r="621" spans="2:2" x14ac:dyDescent="0.25">
      <c r="B621" s="18"/>
    </row>
    <row r="622" spans="2:2" x14ac:dyDescent="0.25">
      <c r="B622" s="18"/>
    </row>
    <row r="623" spans="2:2" x14ac:dyDescent="0.25">
      <c r="B623" s="18"/>
    </row>
    <row r="624" spans="2:2" x14ac:dyDescent="0.25">
      <c r="B624" s="18"/>
    </row>
    <row r="625" spans="2:2" x14ac:dyDescent="0.25">
      <c r="B625" s="18"/>
    </row>
    <row r="626" spans="2:2" x14ac:dyDescent="0.25">
      <c r="B626" s="18"/>
    </row>
    <row r="627" spans="2:2" x14ac:dyDescent="0.25">
      <c r="B627" s="18"/>
    </row>
    <row r="628" spans="2:2" x14ac:dyDescent="0.25">
      <c r="B628" s="18"/>
    </row>
    <row r="629" spans="2:2" x14ac:dyDescent="0.25">
      <c r="B629" s="18"/>
    </row>
    <row r="630" spans="2:2" x14ac:dyDescent="0.25">
      <c r="B630" s="18"/>
    </row>
    <row r="631" spans="2:2" x14ac:dyDescent="0.25">
      <c r="B631" s="18"/>
    </row>
    <row r="632" spans="2:2" x14ac:dyDescent="0.25">
      <c r="B632" s="18"/>
    </row>
    <row r="633" spans="2:2" x14ac:dyDescent="0.25">
      <c r="B633" s="18"/>
    </row>
    <row r="634" spans="2:2" x14ac:dyDescent="0.25">
      <c r="B634" s="18"/>
    </row>
    <row r="635" spans="2:2" x14ac:dyDescent="0.25">
      <c r="B635" s="18"/>
    </row>
    <row r="636" spans="2:2" x14ac:dyDescent="0.25">
      <c r="B636" s="18"/>
    </row>
    <row r="637" spans="2:2" x14ac:dyDescent="0.25">
      <c r="B637" s="18"/>
    </row>
    <row r="638" spans="2:2" x14ac:dyDescent="0.25">
      <c r="B638" s="18"/>
    </row>
    <row r="639" spans="2:2" x14ac:dyDescent="0.25">
      <c r="B639" s="18"/>
    </row>
    <row r="640" spans="2:2" x14ac:dyDescent="0.25">
      <c r="B640" s="18"/>
    </row>
    <row r="641" spans="2:2" x14ac:dyDescent="0.25">
      <c r="B641" s="18"/>
    </row>
    <row r="642" spans="2:2" x14ac:dyDescent="0.25">
      <c r="B642" s="18"/>
    </row>
    <row r="643" spans="2:2" x14ac:dyDescent="0.25">
      <c r="B643" s="18"/>
    </row>
    <row r="644" spans="2:2" x14ac:dyDescent="0.25">
      <c r="B644" s="18"/>
    </row>
    <row r="645" spans="2:2" x14ac:dyDescent="0.25">
      <c r="B645" s="18"/>
    </row>
    <row r="646" spans="2:2" x14ac:dyDescent="0.25">
      <c r="B646" s="18"/>
    </row>
    <row r="647" spans="2:2" x14ac:dyDescent="0.25">
      <c r="B647" s="18"/>
    </row>
    <row r="648" spans="2:2" x14ac:dyDescent="0.25">
      <c r="B648" s="18"/>
    </row>
    <row r="649" spans="2:2" x14ac:dyDescent="0.25">
      <c r="B649" s="18"/>
    </row>
    <row r="650" spans="2:2" x14ac:dyDescent="0.25">
      <c r="B650" s="18"/>
    </row>
    <row r="651" spans="2:2" x14ac:dyDescent="0.25">
      <c r="B651" s="18"/>
    </row>
    <row r="652" spans="2:2" x14ac:dyDescent="0.25">
      <c r="B652" s="18"/>
    </row>
    <row r="653" spans="2:2" x14ac:dyDescent="0.25">
      <c r="B653" s="18"/>
    </row>
    <row r="654" spans="2:2" x14ac:dyDescent="0.25">
      <c r="B654" s="18"/>
    </row>
    <row r="655" spans="2:2" x14ac:dyDescent="0.25">
      <c r="B655" s="18"/>
    </row>
    <row r="656" spans="2:2" x14ac:dyDescent="0.25">
      <c r="B656" s="18"/>
    </row>
    <row r="657" spans="2:2" x14ac:dyDescent="0.25">
      <c r="B657" s="18"/>
    </row>
    <row r="658" spans="2:2" x14ac:dyDescent="0.25">
      <c r="B658" s="18"/>
    </row>
    <row r="659" spans="2:2" x14ac:dyDescent="0.25">
      <c r="B659" s="18"/>
    </row>
    <row r="660" spans="2:2" x14ac:dyDescent="0.25">
      <c r="B660" s="18"/>
    </row>
    <row r="661" spans="2:2" x14ac:dyDescent="0.25">
      <c r="B661" s="18"/>
    </row>
    <row r="662" spans="2:2" x14ac:dyDescent="0.25">
      <c r="B662" s="18"/>
    </row>
    <row r="663" spans="2:2" x14ac:dyDescent="0.25">
      <c r="B663" s="18"/>
    </row>
    <row r="664" spans="2:2" x14ac:dyDescent="0.25">
      <c r="B664" s="18"/>
    </row>
    <row r="665" spans="2:2" x14ac:dyDescent="0.25">
      <c r="B665" s="18"/>
    </row>
    <row r="666" spans="2:2" x14ac:dyDescent="0.25">
      <c r="B666" s="18"/>
    </row>
    <row r="667" spans="2:2" x14ac:dyDescent="0.25">
      <c r="B667" s="18"/>
    </row>
    <row r="668" spans="2:2" x14ac:dyDescent="0.25">
      <c r="B668" s="18"/>
    </row>
    <row r="669" spans="2:2" x14ac:dyDescent="0.25">
      <c r="B669" s="18"/>
    </row>
    <row r="670" spans="2:2" x14ac:dyDescent="0.25">
      <c r="B670" s="18"/>
    </row>
    <row r="671" spans="2:2" x14ac:dyDescent="0.25">
      <c r="B671" s="18"/>
    </row>
    <row r="672" spans="2:2" x14ac:dyDescent="0.25">
      <c r="B672" s="18"/>
    </row>
    <row r="673" spans="2:2" x14ac:dyDescent="0.25">
      <c r="B673" s="18"/>
    </row>
    <row r="674" spans="2:2" x14ac:dyDescent="0.25">
      <c r="B674" s="18"/>
    </row>
    <row r="675" spans="2:2" x14ac:dyDescent="0.25">
      <c r="B675" s="18"/>
    </row>
    <row r="676" spans="2:2" x14ac:dyDescent="0.25">
      <c r="B676" s="18"/>
    </row>
    <row r="677" spans="2:2" x14ac:dyDescent="0.25">
      <c r="B677" s="18"/>
    </row>
    <row r="678" spans="2:2" x14ac:dyDescent="0.25">
      <c r="B678" s="18"/>
    </row>
    <row r="679" spans="2:2" x14ac:dyDescent="0.25">
      <c r="B679" s="18"/>
    </row>
    <row r="680" spans="2:2" x14ac:dyDescent="0.25">
      <c r="B680" s="18"/>
    </row>
    <row r="681" spans="2:2" x14ac:dyDescent="0.25">
      <c r="B681" s="18"/>
    </row>
    <row r="682" spans="2:2" x14ac:dyDescent="0.25">
      <c r="B682" s="18"/>
    </row>
    <row r="683" spans="2:2" x14ac:dyDescent="0.25">
      <c r="B683" s="18"/>
    </row>
    <row r="684" spans="2:2" x14ac:dyDescent="0.25">
      <c r="B684" s="18"/>
    </row>
    <row r="685" spans="2:2" x14ac:dyDescent="0.25">
      <c r="B685" s="18"/>
    </row>
    <row r="686" spans="2:2" x14ac:dyDescent="0.25">
      <c r="B686" s="18"/>
    </row>
    <row r="687" spans="2:2" x14ac:dyDescent="0.25">
      <c r="B687" s="18"/>
    </row>
    <row r="688" spans="2:2" x14ac:dyDescent="0.25">
      <c r="B688" s="18"/>
    </row>
    <row r="689" spans="2:2" x14ac:dyDescent="0.25">
      <c r="B689" s="18"/>
    </row>
    <row r="690" spans="2:2" x14ac:dyDescent="0.25">
      <c r="B690" s="18"/>
    </row>
    <row r="691" spans="2:2" x14ac:dyDescent="0.25">
      <c r="B691" s="18"/>
    </row>
    <row r="692" spans="2:2" x14ac:dyDescent="0.25">
      <c r="B692" s="18"/>
    </row>
    <row r="693" spans="2:2" x14ac:dyDescent="0.25">
      <c r="B693" s="18"/>
    </row>
    <row r="694" spans="2:2" x14ac:dyDescent="0.25">
      <c r="B694" s="18"/>
    </row>
    <row r="695" spans="2:2" x14ac:dyDescent="0.25">
      <c r="B695" s="18"/>
    </row>
    <row r="696" spans="2:2" x14ac:dyDescent="0.25">
      <c r="B696" s="18"/>
    </row>
    <row r="697" spans="2:2" x14ac:dyDescent="0.25">
      <c r="B697" s="18"/>
    </row>
    <row r="698" spans="2:2" x14ac:dyDescent="0.25">
      <c r="B698" s="18"/>
    </row>
    <row r="699" spans="2:2" x14ac:dyDescent="0.25">
      <c r="B699" s="18"/>
    </row>
    <row r="700" spans="2:2" x14ac:dyDescent="0.25">
      <c r="B700" s="18"/>
    </row>
    <row r="701" spans="2:2" x14ac:dyDescent="0.25">
      <c r="B701" s="18"/>
    </row>
    <row r="702" spans="2:2" x14ac:dyDescent="0.25">
      <c r="B702" s="18"/>
    </row>
    <row r="703" spans="2:2" x14ac:dyDescent="0.25">
      <c r="B703" s="18"/>
    </row>
    <row r="704" spans="2:2" x14ac:dyDescent="0.25">
      <c r="B704" s="18"/>
    </row>
    <row r="705" spans="2:2" x14ac:dyDescent="0.25">
      <c r="B705" s="18"/>
    </row>
    <row r="706" spans="2:2" x14ac:dyDescent="0.25">
      <c r="B706" s="18"/>
    </row>
    <row r="707" spans="2:2" x14ac:dyDescent="0.25">
      <c r="B707" s="18"/>
    </row>
    <row r="708" spans="2:2" x14ac:dyDescent="0.25">
      <c r="B708" s="18"/>
    </row>
    <row r="709" spans="2:2" x14ac:dyDescent="0.25">
      <c r="B709" s="18"/>
    </row>
    <row r="710" spans="2:2" x14ac:dyDescent="0.25">
      <c r="B710" s="18"/>
    </row>
    <row r="711" spans="2:2" x14ac:dyDescent="0.25">
      <c r="B711" s="18"/>
    </row>
    <row r="712" spans="2:2" x14ac:dyDescent="0.25">
      <c r="B712" s="18"/>
    </row>
    <row r="713" spans="2:2" x14ac:dyDescent="0.25">
      <c r="B713" s="18"/>
    </row>
    <row r="714" spans="2:2" x14ac:dyDescent="0.25">
      <c r="B714" s="18"/>
    </row>
    <row r="715" spans="2:2" x14ac:dyDescent="0.25">
      <c r="B715" s="18"/>
    </row>
    <row r="716" spans="2:2" x14ac:dyDescent="0.25">
      <c r="B716" s="18"/>
    </row>
    <row r="717" spans="2:2" x14ac:dyDescent="0.25">
      <c r="B717" s="18"/>
    </row>
    <row r="718" spans="2:2" x14ac:dyDescent="0.25">
      <c r="B718" s="18"/>
    </row>
    <row r="719" spans="2:2" x14ac:dyDescent="0.25">
      <c r="B719" s="18"/>
    </row>
    <row r="720" spans="2:2" x14ac:dyDescent="0.25">
      <c r="B720" s="18"/>
    </row>
    <row r="721" spans="2:2" x14ac:dyDescent="0.25">
      <c r="B721" s="18"/>
    </row>
    <row r="722" spans="2:2" x14ac:dyDescent="0.25">
      <c r="B722" s="18"/>
    </row>
    <row r="723" spans="2:2" x14ac:dyDescent="0.25">
      <c r="B723" s="18"/>
    </row>
    <row r="724" spans="2:2" x14ac:dyDescent="0.25">
      <c r="B724" s="18"/>
    </row>
    <row r="725" spans="2:2" x14ac:dyDescent="0.25">
      <c r="B725" s="18"/>
    </row>
    <row r="726" spans="2:2" x14ac:dyDescent="0.25">
      <c r="B726" s="18"/>
    </row>
    <row r="727" spans="2:2" x14ac:dyDescent="0.25">
      <c r="B727" s="18"/>
    </row>
    <row r="728" spans="2:2" x14ac:dyDescent="0.25">
      <c r="B728" s="18"/>
    </row>
    <row r="729" spans="2:2" x14ac:dyDescent="0.25">
      <c r="B729" s="18"/>
    </row>
    <row r="730" spans="2:2" x14ac:dyDescent="0.25">
      <c r="B730" s="18"/>
    </row>
    <row r="731" spans="2:2" x14ac:dyDescent="0.25">
      <c r="B731" s="18"/>
    </row>
    <row r="732" spans="2:2" x14ac:dyDescent="0.25">
      <c r="B732" s="18"/>
    </row>
    <row r="733" spans="2:2" x14ac:dyDescent="0.25">
      <c r="B733" s="18"/>
    </row>
    <row r="734" spans="2:2" x14ac:dyDescent="0.25">
      <c r="B734" s="18"/>
    </row>
    <row r="735" spans="2:2" x14ac:dyDescent="0.25">
      <c r="B735" s="18"/>
    </row>
    <row r="736" spans="2:2" x14ac:dyDescent="0.25">
      <c r="B736" s="18"/>
    </row>
    <row r="737" spans="2:2" x14ac:dyDescent="0.25">
      <c r="B737" s="18"/>
    </row>
    <row r="738" spans="2:2" x14ac:dyDescent="0.25">
      <c r="B738" s="18"/>
    </row>
    <row r="739" spans="2:2" x14ac:dyDescent="0.25">
      <c r="B739" s="18"/>
    </row>
    <row r="740" spans="2:2" x14ac:dyDescent="0.25">
      <c r="B740" s="18"/>
    </row>
    <row r="741" spans="2:2" x14ac:dyDescent="0.25">
      <c r="B741" s="18"/>
    </row>
    <row r="742" spans="2:2" x14ac:dyDescent="0.25">
      <c r="B742" s="18"/>
    </row>
    <row r="743" spans="2:2" x14ac:dyDescent="0.25">
      <c r="B743" s="18"/>
    </row>
    <row r="744" spans="2:2" x14ac:dyDescent="0.25">
      <c r="B744" s="18"/>
    </row>
    <row r="745" spans="2:2" x14ac:dyDescent="0.25">
      <c r="B745" s="18"/>
    </row>
    <row r="746" spans="2:2" x14ac:dyDescent="0.25">
      <c r="B746" s="18"/>
    </row>
    <row r="747" spans="2:2" x14ac:dyDescent="0.25">
      <c r="B747" s="18"/>
    </row>
    <row r="748" spans="2:2" x14ac:dyDescent="0.25">
      <c r="B748" s="18"/>
    </row>
    <row r="749" spans="2:2" x14ac:dyDescent="0.25">
      <c r="B749" s="18"/>
    </row>
    <row r="750" spans="2:2" x14ac:dyDescent="0.25">
      <c r="B750" s="18"/>
    </row>
    <row r="751" spans="2:2" x14ac:dyDescent="0.25">
      <c r="B751" s="18"/>
    </row>
    <row r="752" spans="2:2" x14ac:dyDescent="0.25">
      <c r="B752" s="18"/>
    </row>
    <row r="753" spans="2:2" x14ac:dyDescent="0.25">
      <c r="B753" s="18"/>
    </row>
    <row r="754" spans="2:2" x14ac:dyDescent="0.25">
      <c r="B754" s="18"/>
    </row>
    <row r="755" spans="2:2" x14ac:dyDescent="0.25">
      <c r="B755" s="18"/>
    </row>
    <row r="756" spans="2:2" x14ac:dyDescent="0.25">
      <c r="B756" s="18"/>
    </row>
    <row r="757" spans="2:2" x14ac:dyDescent="0.25">
      <c r="B757" s="18"/>
    </row>
    <row r="758" spans="2:2" x14ac:dyDescent="0.25">
      <c r="B758" s="18"/>
    </row>
    <row r="759" spans="2:2" x14ac:dyDescent="0.25">
      <c r="B759" s="18"/>
    </row>
    <row r="760" spans="2:2" x14ac:dyDescent="0.25">
      <c r="B760" s="18"/>
    </row>
    <row r="761" spans="2:2" x14ac:dyDescent="0.25">
      <c r="B761" s="18"/>
    </row>
    <row r="762" spans="2:2" x14ac:dyDescent="0.25">
      <c r="B762" s="18"/>
    </row>
    <row r="763" spans="2:2" x14ac:dyDescent="0.25">
      <c r="B763" s="18"/>
    </row>
    <row r="764" spans="2:2" x14ac:dyDescent="0.25">
      <c r="B764" s="18"/>
    </row>
    <row r="765" spans="2:2" x14ac:dyDescent="0.25">
      <c r="B765" s="18"/>
    </row>
    <row r="766" spans="2:2" x14ac:dyDescent="0.25">
      <c r="B766" s="18"/>
    </row>
    <row r="767" spans="2:2" x14ac:dyDescent="0.25">
      <c r="B767" s="18"/>
    </row>
    <row r="768" spans="2:2" x14ac:dyDescent="0.25">
      <c r="B768" s="18"/>
    </row>
    <row r="769" spans="2:2" x14ac:dyDescent="0.25">
      <c r="B769" s="18"/>
    </row>
    <row r="770" spans="2:2" x14ac:dyDescent="0.25">
      <c r="B770" s="18"/>
    </row>
    <row r="771" spans="2:2" x14ac:dyDescent="0.25">
      <c r="B771" s="18"/>
    </row>
    <row r="772" spans="2:2" x14ac:dyDescent="0.25">
      <c r="B772" s="18"/>
    </row>
    <row r="773" spans="2:2" x14ac:dyDescent="0.25">
      <c r="B773" s="18"/>
    </row>
    <row r="774" spans="2:2" x14ac:dyDescent="0.25">
      <c r="B774" s="18"/>
    </row>
    <row r="775" spans="2:2" x14ac:dyDescent="0.25">
      <c r="B775" s="18"/>
    </row>
    <row r="776" spans="2:2" x14ac:dyDescent="0.25">
      <c r="B776" s="18"/>
    </row>
    <row r="777" spans="2:2" x14ac:dyDescent="0.25">
      <c r="B777" s="18"/>
    </row>
    <row r="778" spans="2:2" x14ac:dyDescent="0.25">
      <c r="B778" s="18"/>
    </row>
    <row r="779" spans="2:2" x14ac:dyDescent="0.25">
      <c r="B779" s="18"/>
    </row>
    <row r="780" spans="2:2" x14ac:dyDescent="0.25">
      <c r="B780" s="18"/>
    </row>
    <row r="781" spans="2:2" x14ac:dyDescent="0.25">
      <c r="B781" s="18"/>
    </row>
    <row r="782" spans="2:2" x14ac:dyDescent="0.25">
      <c r="B782" s="18"/>
    </row>
    <row r="783" spans="2:2" x14ac:dyDescent="0.25">
      <c r="B783" s="18"/>
    </row>
    <row r="784" spans="2:2" x14ac:dyDescent="0.25">
      <c r="B784" s="18"/>
    </row>
    <row r="785" spans="2:2" x14ac:dyDescent="0.25">
      <c r="B785" s="18"/>
    </row>
    <row r="786" spans="2:2" x14ac:dyDescent="0.25">
      <c r="B786" s="18"/>
    </row>
    <row r="787" spans="2:2" x14ac:dyDescent="0.25">
      <c r="B787" s="18"/>
    </row>
    <row r="788" spans="2:2" x14ac:dyDescent="0.25">
      <c r="B788" s="18"/>
    </row>
    <row r="789" spans="2:2" x14ac:dyDescent="0.25">
      <c r="B789" s="18"/>
    </row>
    <row r="790" spans="2:2" x14ac:dyDescent="0.25">
      <c r="B790" s="18"/>
    </row>
    <row r="791" spans="2:2" x14ac:dyDescent="0.25">
      <c r="B791" s="18"/>
    </row>
    <row r="792" spans="2:2" x14ac:dyDescent="0.25">
      <c r="B792" s="18"/>
    </row>
    <row r="793" spans="2:2" x14ac:dyDescent="0.25">
      <c r="B793" s="18"/>
    </row>
    <row r="794" spans="2:2" x14ac:dyDescent="0.25">
      <c r="B794" s="18"/>
    </row>
    <row r="795" spans="2:2" x14ac:dyDescent="0.25">
      <c r="B795" s="18"/>
    </row>
    <row r="796" spans="2:2" x14ac:dyDescent="0.25">
      <c r="B796" s="18"/>
    </row>
    <row r="797" spans="2:2" x14ac:dyDescent="0.25">
      <c r="B797" s="18"/>
    </row>
    <row r="798" spans="2:2" x14ac:dyDescent="0.25">
      <c r="B798" s="18"/>
    </row>
    <row r="799" spans="2:2" x14ac:dyDescent="0.25">
      <c r="B799" s="18"/>
    </row>
    <row r="800" spans="2:2" x14ac:dyDescent="0.25">
      <c r="B800" s="18"/>
    </row>
    <row r="801" spans="2:2" x14ac:dyDescent="0.25">
      <c r="B801" s="18"/>
    </row>
    <row r="802" spans="2:2" x14ac:dyDescent="0.25">
      <c r="B802" s="18"/>
    </row>
    <row r="803" spans="2:2" x14ac:dyDescent="0.25">
      <c r="B803" s="18"/>
    </row>
    <row r="804" spans="2:2" x14ac:dyDescent="0.25">
      <c r="B804" s="18"/>
    </row>
    <row r="805" spans="2:2" x14ac:dyDescent="0.25">
      <c r="B805" s="18"/>
    </row>
    <row r="806" spans="2:2" x14ac:dyDescent="0.25">
      <c r="B806" s="18"/>
    </row>
    <row r="807" spans="2:2" x14ac:dyDescent="0.25">
      <c r="B807" s="18"/>
    </row>
    <row r="808" spans="2:2" x14ac:dyDescent="0.25">
      <c r="B808" s="18"/>
    </row>
    <row r="809" spans="2:2" x14ac:dyDescent="0.25">
      <c r="B809" s="18"/>
    </row>
    <row r="810" spans="2:2" x14ac:dyDescent="0.25">
      <c r="B810" s="18"/>
    </row>
    <row r="811" spans="2:2" x14ac:dyDescent="0.25">
      <c r="B811" s="18"/>
    </row>
    <row r="812" spans="2:2" x14ac:dyDescent="0.25">
      <c r="B812" s="18"/>
    </row>
    <row r="813" spans="2:2" x14ac:dyDescent="0.25">
      <c r="B813" s="18"/>
    </row>
    <row r="814" spans="2:2" x14ac:dyDescent="0.25">
      <c r="B814" s="18"/>
    </row>
    <row r="815" spans="2:2" x14ac:dyDescent="0.25">
      <c r="B815" s="18"/>
    </row>
    <row r="816" spans="2:2" x14ac:dyDescent="0.25">
      <c r="B816" s="18"/>
    </row>
    <row r="817" spans="2:2" x14ac:dyDescent="0.25">
      <c r="B817" s="18"/>
    </row>
    <row r="818" spans="2:2" x14ac:dyDescent="0.25">
      <c r="B818" s="18"/>
    </row>
    <row r="819" spans="2:2" x14ac:dyDescent="0.25">
      <c r="B819" s="18"/>
    </row>
    <row r="820" spans="2:2" x14ac:dyDescent="0.25">
      <c r="B820" s="18"/>
    </row>
    <row r="821" spans="2:2" x14ac:dyDescent="0.25">
      <c r="B821" s="18"/>
    </row>
    <row r="822" spans="2:2" x14ac:dyDescent="0.25">
      <c r="B822" s="18"/>
    </row>
    <row r="823" spans="2:2" x14ac:dyDescent="0.25">
      <c r="B823" s="18"/>
    </row>
    <row r="824" spans="2:2" x14ac:dyDescent="0.25">
      <c r="B824" s="18"/>
    </row>
    <row r="825" spans="2:2" x14ac:dyDescent="0.25">
      <c r="B825" s="18"/>
    </row>
    <row r="826" spans="2:2" x14ac:dyDescent="0.25">
      <c r="B826" s="18"/>
    </row>
    <row r="827" spans="2:2" x14ac:dyDescent="0.25">
      <c r="B827" s="18"/>
    </row>
    <row r="828" spans="2:2" x14ac:dyDescent="0.25">
      <c r="B828" s="18"/>
    </row>
    <row r="829" spans="2:2" x14ac:dyDescent="0.25">
      <c r="B829" s="18"/>
    </row>
    <row r="830" spans="2:2" x14ac:dyDescent="0.25">
      <c r="B830" s="18"/>
    </row>
    <row r="831" spans="2:2" x14ac:dyDescent="0.25">
      <c r="B831" s="18"/>
    </row>
    <row r="832" spans="2:2" x14ac:dyDescent="0.25">
      <c r="B832" s="18"/>
    </row>
    <row r="833" spans="2:2" x14ac:dyDescent="0.25">
      <c r="B833" s="18"/>
    </row>
    <row r="834" spans="2:2" x14ac:dyDescent="0.25">
      <c r="B834" s="18"/>
    </row>
    <row r="835" spans="2:2" x14ac:dyDescent="0.25">
      <c r="B835" s="18"/>
    </row>
    <row r="836" spans="2:2" x14ac:dyDescent="0.25">
      <c r="B836" s="18"/>
    </row>
    <row r="837" spans="2:2" x14ac:dyDescent="0.25">
      <c r="B837" s="18"/>
    </row>
    <row r="838" spans="2:2" x14ac:dyDescent="0.25">
      <c r="B838" s="18"/>
    </row>
    <row r="839" spans="2:2" x14ac:dyDescent="0.25">
      <c r="B839" s="18"/>
    </row>
    <row r="840" spans="2:2" x14ac:dyDescent="0.25">
      <c r="B840" s="18"/>
    </row>
    <row r="841" spans="2:2" x14ac:dyDescent="0.25">
      <c r="B841" s="18"/>
    </row>
    <row r="842" spans="2:2" x14ac:dyDescent="0.25">
      <c r="B842" s="18"/>
    </row>
    <row r="843" spans="2:2" x14ac:dyDescent="0.25">
      <c r="B843" s="18"/>
    </row>
    <row r="844" spans="2:2" x14ac:dyDescent="0.25">
      <c r="B844" s="18"/>
    </row>
    <row r="845" spans="2:2" x14ac:dyDescent="0.25">
      <c r="B845" s="18"/>
    </row>
    <row r="846" spans="2:2" x14ac:dyDescent="0.25">
      <c r="B846" s="18"/>
    </row>
    <row r="847" spans="2:2" x14ac:dyDescent="0.25">
      <c r="B847" s="18"/>
    </row>
    <row r="848" spans="2:2" x14ac:dyDescent="0.25">
      <c r="B848" s="18"/>
    </row>
    <row r="849" spans="2:2" x14ac:dyDescent="0.25">
      <c r="B849" s="18"/>
    </row>
    <row r="850" spans="2:2" x14ac:dyDescent="0.25">
      <c r="B850" s="18"/>
    </row>
    <row r="851" spans="2:2" x14ac:dyDescent="0.25">
      <c r="B851" s="18"/>
    </row>
    <row r="852" spans="2:2" x14ac:dyDescent="0.25">
      <c r="B852" s="18"/>
    </row>
    <row r="853" spans="2:2" x14ac:dyDescent="0.25">
      <c r="B853" s="18"/>
    </row>
    <row r="854" spans="2:2" x14ac:dyDescent="0.25">
      <c r="B854" s="18"/>
    </row>
    <row r="855" spans="2:2" x14ac:dyDescent="0.25">
      <c r="B855" s="18"/>
    </row>
    <row r="856" spans="2:2" x14ac:dyDescent="0.25">
      <c r="B856" s="18"/>
    </row>
    <row r="857" spans="2:2" x14ac:dyDescent="0.25">
      <c r="B857" s="18"/>
    </row>
    <row r="858" spans="2:2" x14ac:dyDescent="0.25">
      <c r="B858" s="18"/>
    </row>
    <row r="859" spans="2:2" x14ac:dyDescent="0.25">
      <c r="B859" s="18"/>
    </row>
    <row r="860" spans="2:2" x14ac:dyDescent="0.25">
      <c r="B860" s="18"/>
    </row>
    <row r="861" spans="2:2" x14ac:dyDescent="0.25">
      <c r="B861" s="18"/>
    </row>
    <row r="862" spans="2:2" x14ac:dyDescent="0.25">
      <c r="B862" s="18"/>
    </row>
    <row r="863" spans="2:2" x14ac:dyDescent="0.25">
      <c r="B863" s="18"/>
    </row>
    <row r="864" spans="2:2" x14ac:dyDescent="0.25">
      <c r="B864" s="18"/>
    </row>
    <row r="865" spans="2:2" x14ac:dyDescent="0.25">
      <c r="B865" s="18"/>
    </row>
    <row r="866" spans="2:2" x14ac:dyDescent="0.25">
      <c r="B866" s="18"/>
    </row>
    <row r="867" spans="2:2" x14ac:dyDescent="0.25">
      <c r="B867" s="18"/>
    </row>
    <row r="868" spans="2:2" x14ac:dyDescent="0.25">
      <c r="B868" s="18"/>
    </row>
    <row r="869" spans="2:2" x14ac:dyDescent="0.25">
      <c r="B869" s="18"/>
    </row>
    <row r="870" spans="2:2" x14ac:dyDescent="0.25">
      <c r="B870" s="18"/>
    </row>
    <row r="871" spans="2:2" x14ac:dyDescent="0.25">
      <c r="B871" s="18"/>
    </row>
    <row r="872" spans="2:2" x14ac:dyDescent="0.25">
      <c r="B872" s="18"/>
    </row>
    <row r="873" spans="2:2" x14ac:dyDescent="0.25">
      <c r="B873" s="18"/>
    </row>
    <row r="874" spans="2:2" x14ac:dyDescent="0.25">
      <c r="B874" s="18"/>
    </row>
    <row r="875" spans="2:2" x14ac:dyDescent="0.25">
      <c r="B875" s="18"/>
    </row>
    <row r="876" spans="2:2" x14ac:dyDescent="0.25">
      <c r="B876" s="18"/>
    </row>
    <row r="877" spans="2:2" x14ac:dyDescent="0.25">
      <c r="B877" s="18"/>
    </row>
    <row r="878" spans="2:2" x14ac:dyDescent="0.25">
      <c r="B878" s="18"/>
    </row>
    <row r="879" spans="2:2" x14ac:dyDescent="0.25">
      <c r="B879" s="18"/>
    </row>
    <row r="880" spans="2:2" x14ac:dyDescent="0.25">
      <c r="B880" s="18"/>
    </row>
    <row r="881" spans="2:2" x14ac:dyDescent="0.25">
      <c r="B881" s="18"/>
    </row>
    <row r="882" spans="2:2" x14ac:dyDescent="0.25">
      <c r="B882" s="18"/>
    </row>
    <row r="883" spans="2:2" x14ac:dyDescent="0.25">
      <c r="B883" s="18"/>
    </row>
    <row r="884" spans="2:2" x14ac:dyDescent="0.25">
      <c r="B884" s="18"/>
    </row>
    <row r="885" spans="2:2" x14ac:dyDescent="0.25">
      <c r="B885" s="18"/>
    </row>
    <row r="886" spans="2:2" x14ac:dyDescent="0.25">
      <c r="B886" s="18"/>
    </row>
    <row r="887" spans="2:2" x14ac:dyDescent="0.25">
      <c r="B887" s="18"/>
    </row>
    <row r="888" spans="2:2" x14ac:dyDescent="0.25">
      <c r="B888" s="18"/>
    </row>
    <row r="889" spans="2:2" x14ac:dyDescent="0.25">
      <c r="B889" s="18"/>
    </row>
    <row r="890" spans="2:2" x14ac:dyDescent="0.25">
      <c r="B890" s="18"/>
    </row>
    <row r="891" spans="2:2" x14ac:dyDescent="0.25">
      <c r="B891" s="18"/>
    </row>
    <row r="892" spans="2:2" x14ac:dyDescent="0.25">
      <c r="B892" s="18"/>
    </row>
    <row r="893" spans="2:2" x14ac:dyDescent="0.25">
      <c r="B893" s="18"/>
    </row>
    <row r="894" spans="2:2" x14ac:dyDescent="0.25">
      <c r="B894" s="18"/>
    </row>
    <row r="895" spans="2:2" x14ac:dyDescent="0.25">
      <c r="B895" s="18"/>
    </row>
    <row r="896" spans="2:2" x14ac:dyDescent="0.25">
      <c r="B896" s="18"/>
    </row>
    <row r="897" spans="2:2" x14ac:dyDescent="0.25">
      <c r="B897" s="18"/>
    </row>
    <row r="898" spans="2:2" x14ac:dyDescent="0.25">
      <c r="B898" s="18"/>
    </row>
    <row r="899" spans="2:2" x14ac:dyDescent="0.25">
      <c r="B899" s="18"/>
    </row>
    <row r="900" spans="2:2" x14ac:dyDescent="0.25">
      <c r="B900" s="18"/>
    </row>
    <row r="901" spans="2:2" x14ac:dyDescent="0.25">
      <c r="B901" s="18"/>
    </row>
    <row r="902" spans="2:2" x14ac:dyDescent="0.25">
      <c r="B902" s="18"/>
    </row>
    <row r="903" spans="2:2" x14ac:dyDescent="0.25">
      <c r="B903" s="18"/>
    </row>
    <row r="904" spans="2:2" x14ac:dyDescent="0.25">
      <c r="B904" s="18"/>
    </row>
    <row r="905" spans="2:2" x14ac:dyDescent="0.25">
      <c r="B905" s="18"/>
    </row>
    <row r="906" spans="2:2" x14ac:dyDescent="0.25">
      <c r="B906" s="18"/>
    </row>
    <row r="907" spans="2:2" x14ac:dyDescent="0.25">
      <c r="B907" s="18"/>
    </row>
    <row r="908" spans="2:2" x14ac:dyDescent="0.25">
      <c r="B908" s="18"/>
    </row>
    <row r="909" spans="2:2" x14ac:dyDescent="0.25">
      <c r="B909" s="18"/>
    </row>
    <row r="910" spans="2:2" x14ac:dyDescent="0.25">
      <c r="B910" s="18"/>
    </row>
    <row r="911" spans="2:2" x14ac:dyDescent="0.25">
      <c r="B911" s="18"/>
    </row>
    <row r="912" spans="2:2" x14ac:dyDescent="0.25">
      <c r="B912" s="18"/>
    </row>
    <row r="913" spans="2:2" x14ac:dyDescent="0.25">
      <c r="B913" s="18"/>
    </row>
    <row r="914" spans="2:2" x14ac:dyDescent="0.25">
      <c r="B914" s="18"/>
    </row>
    <row r="915" spans="2:2" x14ac:dyDescent="0.25">
      <c r="B915" s="18"/>
    </row>
    <row r="916" spans="2:2" x14ac:dyDescent="0.25">
      <c r="B916" s="18"/>
    </row>
    <row r="917" spans="2:2" x14ac:dyDescent="0.25">
      <c r="B917" s="18"/>
    </row>
    <row r="918" spans="2:2" x14ac:dyDescent="0.25">
      <c r="B918" s="18"/>
    </row>
    <row r="919" spans="2:2" x14ac:dyDescent="0.25">
      <c r="B919" s="18"/>
    </row>
    <row r="920" spans="2:2" x14ac:dyDescent="0.25">
      <c r="B920" s="18"/>
    </row>
    <row r="921" spans="2:2" x14ac:dyDescent="0.25">
      <c r="B921" s="18"/>
    </row>
    <row r="922" spans="2:2" x14ac:dyDescent="0.25">
      <c r="B922" s="18"/>
    </row>
    <row r="923" spans="2:2" x14ac:dyDescent="0.25">
      <c r="B923" s="18"/>
    </row>
    <row r="924" spans="2:2" x14ac:dyDescent="0.25">
      <c r="B924" s="18"/>
    </row>
    <row r="925" spans="2:2" x14ac:dyDescent="0.25">
      <c r="B925" s="18"/>
    </row>
    <row r="926" spans="2:2" x14ac:dyDescent="0.25">
      <c r="B926" s="18"/>
    </row>
    <row r="927" spans="2:2" x14ac:dyDescent="0.25">
      <c r="B927" s="18"/>
    </row>
    <row r="928" spans="2:2" x14ac:dyDescent="0.25">
      <c r="B928" s="18"/>
    </row>
    <row r="929" spans="2:2" x14ac:dyDescent="0.25">
      <c r="B929" s="18"/>
    </row>
    <row r="930" spans="2:2" x14ac:dyDescent="0.25">
      <c r="B930" s="18"/>
    </row>
    <row r="931" spans="2:2" x14ac:dyDescent="0.25">
      <c r="B931" s="18"/>
    </row>
    <row r="932" spans="2:2" x14ac:dyDescent="0.25">
      <c r="B932" s="18"/>
    </row>
    <row r="933" spans="2:2" x14ac:dyDescent="0.25">
      <c r="B933" s="18"/>
    </row>
    <row r="934" spans="2:2" x14ac:dyDescent="0.25">
      <c r="B934" s="18"/>
    </row>
    <row r="935" spans="2:2" x14ac:dyDescent="0.25">
      <c r="B935" s="18"/>
    </row>
    <row r="936" spans="2:2" x14ac:dyDescent="0.25">
      <c r="B936" s="18"/>
    </row>
    <row r="937" spans="2:2" x14ac:dyDescent="0.25">
      <c r="B937" s="18"/>
    </row>
    <row r="938" spans="2:2" x14ac:dyDescent="0.25">
      <c r="B938" s="18"/>
    </row>
    <row r="939" spans="2:2" x14ac:dyDescent="0.25">
      <c r="B939" s="18"/>
    </row>
    <row r="940" spans="2:2" x14ac:dyDescent="0.25">
      <c r="B940" s="18"/>
    </row>
    <row r="941" spans="2:2" x14ac:dyDescent="0.25">
      <c r="B941" s="18"/>
    </row>
    <row r="942" spans="2:2" x14ac:dyDescent="0.25">
      <c r="B942" s="18"/>
    </row>
    <row r="943" spans="2:2" x14ac:dyDescent="0.25">
      <c r="B943" s="18"/>
    </row>
    <row r="944" spans="2:2" x14ac:dyDescent="0.25">
      <c r="B944" s="18"/>
    </row>
    <row r="945" spans="2:2" x14ac:dyDescent="0.25">
      <c r="B945" s="18"/>
    </row>
    <row r="946" spans="2:2" x14ac:dyDescent="0.25">
      <c r="B946" s="18"/>
    </row>
    <row r="947" spans="2:2" x14ac:dyDescent="0.25">
      <c r="B947" s="18"/>
    </row>
    <row r="948" spans="2:2" x14ac:dyDescent="0.25">
      <c r="B948" s="18"/>
    </row>
    <row r="949" spans="2:2" x14ac:dyDescent="0.25">
      <c r="B949" s="18"/>
    </row>
    <row r="950" spans="2:2" x14ac:dyDescent="0.25">
      <c r="B950" s="18"/>
    </row>
    <row r="951" spans="2:2" x14ac:dyDescent="0.25">
      <c r="B951" s="18"/>
    </row>
    <row r="952" spans="2:2" x14ac:dyDescent="0.25">
      <c r="B952" s="18"/>
    </row>
    <row r="953" spans="2:2" x14ac:dyDescent="0.25">
      <c r="B953" s="18"/>
    </row>
    <row r="954" spans="2:2" x14ac:dyDescent="0.25">
      <c r="B954" s="18"/>
    </row>
    <row r="955" spans="2:2" x14ac:dyDescent="0.25">
      <c r="B955" s="18"/>
    </row>
    <row r="956" spans="2:2" x14ac:dyDescent="0.25">
      <c r="B956" s="18"/>
    </row>
    <row r="957" spans="2:2" x14ac:dyDescent="0.25">
      <c r="B957" s="18"/>
    </row>
    <row r="958" spans="2:2" x14ac:dyDescent="0.25">
      <c r="B958" s="18"/>
    </row>
    <row r="959" spans="2:2" x14ac:dyDescent="0.25">
      <c r="B959" s="18"/>
    </row>
    <row r="960" spans="2:2" x14ac:dyDescent="0.25">
      <c r="B960" s="18"/>
    </row>
    <row r="961" spans="2:2" x14ac:dyDescent="0.25">
      <c r="B961" s="18"/>
    </row>
    <row r="962" spans="2:2" x14ac:dyDescent="0.25">
      <c r="B962" s="18"/>
    </row>
    <row r="963" spans="2:2" x14ac:dyDescent="0.25">
      <c r="B963" s="18"/>
    </row>
    <row r="964" spans="2:2" x14ac:dyDescent="0.25">
      <c r="B964" s="18"/>
    </row>
    <row r="965" spans="2:2" x14ac:dyDescent="0.25">
      <c r="B965" s="18"/>
    </row>
    <row r="966" spans="2:2" x14ac:dyDescent="0.25">
      <c r="B966" s="18"/>
    </row>
    <row r="967" spans="2:2" x14ac:dyDescent="0.25">
      <c r="B967" s="18"/>
    </row>
    <row r="968" spans="2:2" x14ac:dyDescent="0.25">
      <c r="B968" s="18"/>
    </row>
    <row r="969" spans="2:2" x14ac:dyDescent="0.25">
      <c r="B969" s="18"/>
    </row>
    <row r="970" spans="2:2" x14ac:dyDescent="0.25">
      <c r="B970" s="18"/>
    </row>
    <row r="971" spans="2:2" x14ac:dyDescent="0.25">
      <c r="B971" s="18"/>
    </row>
    <row r="972" spans="2:2" x14ac:dyDescent="0.25">
      <c r="B972" s="18"/>
    </row>
    <row r="973" spans="2:2" x14ac:dyDescent="0.25">
      <c r="B973" s="18"/>
    </row>
    <row r="974" spans="2:2" x14ac:dyDescent="0.25">
      <c r="B974" s="18"/>
    </row>
    <row r="975" spans="2:2" x14ac:dyDescent="0.25">
      <c r="B975" s="18"/>
    </row>
    <row r="976" spans="2:2" x14ac:dyDescent="0.25">
      <c r="B976" s="18"/>
    </row>
    <row r="977" spans="2:2" x14ac:dyDescent="0.25">
      <c r="B977" s="18"/>
    </row>
    <row r="978" spans="2:2" x14ac:dyDescent="0.25">
      <c r="B978" s="18"/>
    </row>
    <row r="979" spans="2:2" x14ac:dyDescent="0.25">
      <c r="B979" s="18"/>
    </row>
    <row r="980" spans="2:2" x14ac:dyDescent="0.25">
      <c r="B980" s="18"/>
    </row>
    <row r="981" spans="2:2" x14ac:dyDescent="0.25">
      <c r="B981" s="18"/>
    </row>
    <row r="982" spans="2:2" x14ac:dyDescent="0.25">
      <c r="B982" s="18"/>
    </row>
    <row r="983" spans="2:2" x14ac:dyDescent="0.25">
      <c r="B983" s="18"/>
    </row>
    <row r="984" spans="2:2" x14ac:dyDescent="0.25">
      <c r="B984" s="18"/>
    </row>
    <row r="985" spans="2:2" x14ac:dyDescent="0.25">
      <c r="B985" s="18"/>
    </row>
    <row r="986" spans="2:2" x14ac:dyDescent="0.25">
      <c r="B986" s="18"/>
    </row>
    <row r="987" spans="2:2" x14ac:dyDescent="0.25">
      <c r="B987" s="18"/>
    </row>
    <row r="988" spans="2:2" x14ac:dyDescent="0.25">
      <c r="B988" s="18"/>
    </row>
    <row r="989" spans="2:2" x14ac:dyDescent="0.25">
      <c r="B989" s="18"/>
    </row>
    <row r="990" spans="2:2" x14ac:dyDescent="0.25">
      <c r="B990" s="18"/>
    </row>
    <row r="991" spans="2:2" x14ac:dyDescent="0.25">
      <c r="B991" s="18"/>
    </row>
    <row r="992" spans="2:2" x14ac:dyDescent="0.25">
      <c r="B992" s="18"/>
    </row>
    <row r="993" spans="2:2" x14ac:dyDescent="0.25">
      <c r="B993" s="18"/>
    </row>
    <row r="994" spans="2:2" x14ac:dyDescent="0.25">
      <c r="B994" s="18"/>
    </row>
    <row r="995" spans="2:2" x14ac:dyDescent="0.25">
      <c r="B995" s="18"/>
    </row>
    <row r="996" spans="2:2" x14ac:dyDescent="0.25">
      <c r="B996" s="18"/>
    </row>
    <row r="997" spans="2:2" x14ac:dyDescent="0.25">
      <c r="B997" s="18"/>
    </row>
    <row r="998" spans="2:2" x14ac:dyDescent="0.25">
      <c r="B998" s="18"/>
    </row>
    <row r="999" spans="2:2" x14ac:dyDescent="0.25">
      <c r="B999" s="18"/>
    </row>
    <row r="1000" spans="2:2" x14ac:dyDescent="0.25">
      <c r="B1000" s="18"/>
    </row>
    <row r="1001" spans="2:2" x14ac:dyDescent="0.25">
      <c r="B1001" s="18"/>
    </row>
    <row r="1002" spans="2:2" x14ac:dyDescent="0.25">
      <c r="B1002" s="18"/>
    </row>
    <row r="1003" spans="2:2" x14ac:dyDescent="0.25">
      <c r="B1003" s="18"/>
    </row>
    <row r="1004" spans="2:2" x14ac:dyDescent="0.25">
      <c r="B1004" s="18"/>
    </row>
    <row r="1005" spans="2:2" x14ac:dyDescent="0.25">
      <c r="B1005" s="18"/>
    </row>
    <row r="1006" spans="2:2" x14ac:dyDescent="0.25">
      <c r="B1006" s="18"/>
    </row>
    <row r="1007" spans="2:2" x14ac:dyDescent="0.25">
      <c r="B1007" s="18"/>
    </row>
    <row r="1008" spans="2:2" x14ac:dyDescent="0.25">
      <c r="B1008" s="18"/>
    </row>
    <row r="1009" spans="2:2" x14ac:dyDescent="0.25">
      <c r="B1009" s="18"/>
    </row>
    <row r="1010" spans="2:2" x14ac:dyDescent="0.25">
      <c r="B1010" s="18"/>
    </row>
    <row r="1011" spans="2:2" x14ac:dyDescent="0.25">
      <c r="B1011" s="18"/>
    </row>
    <row r="1012" spans="2:2" x14ac:dyDescent="0.25">
      <c r="B1012" s="18"/>
    </row>
    <row r="1013" spans="2:2" x14ac:dyDescent="0.25">
      <c r="B1013" s="18"/>
    </row>
    <row r="1014" spans="2:2" x14ac:dyDescent="0.25">
      <c r="B1014" s="18"/>
    </row>
    <row r="1015" spans="2:2" x14ac:dyDescent="0.25">
      <c r="B1015" s="18"/>
    </row>
    <row r="1016" spans="2:2" x14ac:dyDescent="0.25">
      <c r="B1016" s="18"/>
    </row>
    <row r="1017" spans="2:2" x14ac:dyDescent="0.25">
      <c r="B1017" s="18"/>
    </row>
    <row r="1018" spans="2:2" x14ac:dyDescent="0.25">
      <c r="B1018" s="18"/>
    </row>
    <row r="1019" spans="2:2" x14ac:dyDescent="0.25">
      <c r="B1019" s="18"/>
    </row>
    <row r="1020" spans="2:2" x14ac:dyDescent="0.25">
      <c r="B1020" s="18"/>
    </row>
    <row r="1021" spans="2:2" x14ac:dyDescent="0.25">
      <c r="B1021" s="18"/>
    </row>
    <row r="1022" spans="2:2" x14ac:dyDescent="0.25">
      <c r="B1022" s="18"/>
    </row>
    <row r="1023" spans="2:2" x14ac:dyDescent="0.25">
      <c r="B1023" s="18"/>
    </row>
    <row r="1024" spans="2:2" x14ac:dyDescent="0.25">
      <c r="B1024" s="18"/>
    </row>
    <row r="1025" spans="2:2" x14ac:dyDescent="0.25">
      <c r="B1025" s="18"/>
    </row>
    <row r="1026" spans="2:2" x14ac:dyDescent="0.25">
      <c r="B1026" s="18"/>
    </row>
    <row r="1027" spans="2:2" x14ac:dyDescent="0.25">
      <c r="B1027" s="18"/>
    </row>
    <row r="1028" spans="2:2" x14ac:dyDescent="0.25">
      <c r="B1028" s="18"/>
    </row>
    <row r="1029" spans="2:2" x14ac:dyDescent="0.25">
      <c r="B1029" s="18"/>
    </row>
    <row r="1030" spans="2:2" x14ac:dyDescent="0.25">
      <c r="B1030" s="18"/>
    </row>
    <row r="1031" spans="2:2" x14ac:dyDescent="0.25">
      <c r="B1031" s="18"/>
    </row>
    <row r="1032" spans="2:2" x14ac:dyDescent="0.25">
      <c r="B1032" s="18"/>
    </row>
    <row r="1033" spans="2:2" x14ac:dyDescent="0.25">
      <c r="B1033" s="18"/>
    </row>
    <row r="1034" spans="2:2" x14ac:dyDescent="0.25">
      <c r="B1034" s="18"/>
    </row>
    <row r="1035" spans="2:2" x14ac:dyDescent="0.25">
      <c r="B1035" s="18"/>
    </row>
    <row r="1036" spans="2:2" x14ac:dyDescent="0.25">
      <c r="B1036" s="18"/>
    </row>
    <row r="1037" spans="2:2" x14ac:dyDescent="0.25">
      <c r="B1037" s="18"/>
    </row>
    <row r="1038" spans="2:2" x14ac:dyDescent="0.25">
      <c r="B1038" s="18"/>
    </row>
    <row r="1039" spans="2:2" x14ac:dyDescent="0.25">
      <c r="B1039" s="18"/>
    </row>
    <row r="1040" spans="2:2" x14ac:dyDescent="0.25">
      <c r="B1040" s="18"/>
    </row>
    <row r="1041" spans="2:2" x14ac:dyDescent="0.25">
      <c r="B1041" s="18"/>
    </row>
    <row r="1042" spans="2:2" x14ac:dyDescent="0.25">
      <c r="B1042" s="18"/>
    </row>
    <row r="1043" spans="2:2" x14ac:dyDescent="0.25">
      <c r="B1043" s="18"/>
    </row>
    <row r="1044" spans="2:2" x14ac:dyDescent="0.25">
      <c r="B1044" s="18"/>
    </row>
    <row r="1045" spans="2:2" x14ac:dyDescent="0.25">
      <c r="B1045" s="18"/>
    </row>
    <row r="1046" spans="2:2" x14ac:dyDescent="0.25">
      <c r="B1046" s="18"/>
    </row>
    <row r="1047" spans="2:2" x14ac:dyDescent="0.25">
      <c r="B1047" s="18"/>
    </row>
    <row r="1048" spans="2:2" x14ac:dyDescent="0.25">
      <c r="B1048" s="18"/>
    </row>
    <row r="1049" spans="2:2" x14ac:dyDescent="0.25">
      <c r="B1049" s="18"/>
    </row>
    <row r="1050" spans="2:2" x14ac:dyDescent="0.25">
      <c r="B1050" s="18"/>
    </row>
    <row r="1051" spans="2:2" x14ac:dyDescent="0.25">
      <c r="B1051" s="18"/>
    </row>
    <row r="1052" spans="2:2" x14ac:dyDescent="0.25">
      <c r="B1052" s="18"/>
    </row>
    <row r="1053" spans="2:2" x14ac:dyDescent="0.25">
      <c r="B1053" s="18"/>
    </row>
    <row r="1054" spans="2:2" x14ac:dyDescent="0.25">
      <c r="B1054" s="18"/>
    </row>
    <row r="1055" spans="2:2" x14ac:dyDescent="0.25">
      <c r="B1055" s="18"/>
    </row>
    <row r="1056" spans="2:2" x14ac:dyDescent="0.25">
      <c r="B1056" s="18"/>
    </row>
    <row r="1057" spans="2:2" x14ac:dyDescent="0.25">
      <c r="B1057" s="18"/>
    </row>
    <row r="1058" spans="2:2" x14ac:dyDescent="0.25">
      <c r="B1058" s="18"/>
    </row>
    <row r="1059" spans="2:2" x14ac:dyDescent="0.25">
      <c r="B1059" s="18"/>
    </row>
    <row r="1060" spans="2:2" x14ac:dyDescent="0.25">
      <c r="B1060" s="18"/>
    </row>
    <row r="1061" spans="2:2" x14ac:dyDescent="0.25">
      <c r="B1061" s="18"/>
    </row>
    <row r="1062" spans="2:2" x14ac:dyDescent="0.25">
      <c r="B1062" s="18"/>
    </row>
    <row r="1063" spans="2:2" x14ac:dyDescent="0.25">
      <c r="B1063" s="18"/>
    </row>
    <row r="1064" spans="2:2" x14ac:dyDescent="0.25">
      <c r="B1064" s="18"/>
    </row>
    <row r="1065" spans="2:2" x14ac:dyDescent="0.25">
      <c r="B1065" s="18"/>
    </row>
    <row r="1066" spans="2:2" x14ac:dyDescent="0.25">
      <c r="B1066" s="18"/>
    </row>
    <row r="1067" spans="2:2" x14ac:dyDescent="0.25">
      <c r="B1067" s="18"/>
    </row>
    <row r="1068" spans="2:2" x14ac:dyDescent="0.25">
      <c r="B1068" s="18"/>
    </row>
    <row r="1069" spans="2:2" x14ac:dyDescent="0.25">
      <c r="B1069" s="18"/>
    </row>
    <row r="1070" spans="2:2" x14ac:dyDescent="0.25">
      <c r="B1070" s="18"/>
    </row>
    <row r="1071" spans="2:2" x14ac:dyDescent="0.25">
      <c r="B1071" s="18"/>
    </row>
    <row r="1072" spans="2:2" x14ac:dyDescent="0.25">
      <c r="B1072" s="18"/>
    </row>
    <row r="1073" spans="2:2" x14ac:dyDescent="0.25">
      <c r="B1073" s="18"/>
    </row>
    <row r="1074" spans="2:2" x14ac:dyDescent="0.25">
      <c r="B1074" s="18"/>
    </row>
    <row r="1075" spans="2:2" x14ac:dyDescent="0.25">
      <c r="B1075" s="18"/>
    </row>
    <row r="1076" spans="2:2" x14ac:dyDescent="0.25">
      <c r="B1076" s="18"/>
    </row>
    <row r="1077" spans="2:2" x14ac:dyDescent="0.25">
      <c r="B1077" s="18"/>
    </row>
    <row r="1078" spans="2:2" x14ac:dyDescent="0.25">
      <c r="B1078" s="18"/>
    </row>
    <row r="1079" spans="2:2" x14ac:dyDescent="0.25">
      <c r="B1079" s="18"/>
    </row>
    <row r="1080" spans="2:2" x14ac:dyDescent="0.25">
      <c r="B1080" s="18"/>
    </row>
    <row r="1081" spans="2:2" x14ac:dyDescent="0.25">
      <c r="B1081" s="18"/>
    </row>
    <row r="1082" spans="2:2" x14ac:dyDescent="0.25">
      <c r="B1082" s="18"/>
    </row>
    <row r="1083" spans="2:2" x14ac:dyDescent="0.25">
      <c r="B1083" s="18"/>
    </row>
    <row r="1084" spans="2:2" x14ac:dyDescent="0.25">
      <c r="B1084" s="18"/>
    </row>
    <row r="1085" spans="2:2" x14ac:dyDescent="0.25">
      <c r="B1085" s="18"/>
    </row>
    <row r="1086" spans="2:2" x14ac:dyDescent="0.25">
      <c r="B1086" s="18"/>
    </row>
    <row r="1087" spans="2:2" x14ac:dyDescent="0.25">
      <c r="B1087" s="18"/>
    </row>
    <row r="1088" spans="2:2" x14ac:dyDescent="0.25">
      <c r="B1088" s="18"/>
    </row>
    <row r="1089" spans="2:2" x14ac:dyDescent="0.25">
      <c r="B1089" s="18"/>
    </row>
    <row r="1090" spans="2:2" x14ac:dyDescent="0.25">
      <c r="B1090" s="18"/>
    </row>
    <row r="1091" spans="2:2" x14ac:dyDescent="0.25">
      <c r="B1091" s="18"/>
    </row>
    <row r="1092" spans="2:2" x14ac:dyDescent="0.25">
      <c r="B1092" s="18"/>
    </row>
    <row r="1093" spans="2:2" x14ac:dyDescent="0.25">
      <c r="B1093" s="18"/>
    </row>
    <row r="1094" spans="2:2" x14ac:dyDescent="0.25">
      <c r="B1094" s="18"/>
    </row>
    <row r="1095" spans="2:2" x14ac:dyDescent="0.25">
      <c r="B1095" s="18"/>
    </row>
    <row r="1096" spans="2:2" x14ac:dyDescent="0.25">
      <c r="B1096" s="18"/>
    </row>
    <row r="1097" spans="2:2" x14ac:dyDescent="0.25">
      <c r="B1097" s="18"/>
    </row>
    <row r="1098" spans="2:2" x14ac:dyDescent="0.25">
      <c r="B1098" s="18"/>
    </row>
    <row r="1099" spans="2:2" x14ac:dyDescent="0.25">
      <c r="B1099" s="18"/>
    </row>
    <row r="1100" spans="2:2" x14ac:dyDescent="0.25">
      <c r="B1100" s="18"/>
    </row>
    <row r="1101" spans="2:2" x14ac:dyDescent="0.25">
      <c r="B1101" s="18"/>
    </row>
    <row r="1102" spans="2:2" x14ac:dyDescent="0.25">
      <c r="B1102" s="18"/>
    </row>
    <row r="1103" spans="2:2" x14ac:dyDescent="0.25">
      <c r="B1103" s="18"/>
    </row>
    <row r="1104" spans="2:2" x14ac:dyDescent="0.25">
      <c r="B1104" s="18"/>
    </row>
    <row r="1105" spans="2:2" x14ac:dyDescent="0.25">
      <c r="B1105" s="18"/>
    </row>
    <row r="1106" spans="2:2" x14ac:dyDescent="0.25">
      <c r="B1106" s="18"/>
    </row>
    <row r="1107" spans="2:2" x14ac:dyDescent="0.25">
      <c r="B1107" s="18"/>
    </row>
    <row r="1108" spans="2:2" x14ac:dyDescent="0.25">
      <c r="B1108" s="18"/>
    </row>
    <row r="1109" spans="2:2" x14ac:dyDescent="0.25">
      <c r="B1109" s="18"/>
    </row>
    <row r="1110" spans="2:2" x14ac:dyDescent="0.25">
      <c r="B1110" s="18"/>
    </row>
    <row r="1111" spans="2:2" x14ac:dyDescent="0.25">
      <c r="B1111" s="18"/>
    </row>
    <row r="1112" spans="2:2" x14ac:dyDescent="0.25">
      <c r="B1112" s="18"/>
    </row>
    <row r="1113" spans="2:2" x14ac:dyDescent="0.25">
      <c r="B1113" s="18"/>
    </row>
    <row r="1114" spans="2:2" x14ac:dyDescent="0.25">
      <c r="B1114" s="18"/>
    </row>
    <row r="1115" spans="2:2" x14ac:dyDescent="0.25">
      <c r="B1115" s="18"/>
    </row>
    <row r="1116" spans="2:2" x14ac:dyDescent="0.25">
      <c r="B1116" s="18"/>
    </row>
    <row r="1117" spans="2:2" x14ac:dyDescent="0.25">
      <c r="B1117" s="18"/>
    </row>
    <row r="1118" spans="2:2" x14ac:dyDescent="0.25">
      <c r="B1118" s="18"/>
    </row>
    <row r="1119" spans="2:2" x14ac:dyDescent="0.25">
      <c r="B1119" s="18"/>
    </row>
    <row r="1120" spans="2:2" x14ac:dyDescent="0.25">
      <c r="B1120" s="18"/>
    </row>
    <row r="1121" spans="2:2" x14ac:dyDescent="0.25">
      <c r="B1121" s="18"/>
    </row>
    <row r="1122" spans="2:2" x14ac:dyDescent="0.25">
      <c r="B1122" s="18"/>
    </row>
    <row r="1123" spans="2:2" x14ac:dyDescent="0.25">
      <c r="B1123" s="18"/>
    </row>
    <row r="1124" spans="2:2" x14ac:dyDescent="0.25">
      <c r="B1124" s="18"/>
    </row>
    <row r="1125" spans="2:2" x14ac:dyDescent="0.25">
      <c r="B1125" s="18"/>
    </row>
    <row r="1126" spans="2:2" x14ac:dyDescent="0.25">
      <c r="B1126" s="18"/>
    </row>
    <row r="1127" spans="2:2" x14ac:dyDescent="0.25">
      <c r="B1127" s="18"/>
    </row>
    <row r="1128" spans="2:2" x14ac:dyDescent="0.25">
      <c r="B1128" s="18"/>
    </row>
    <row r="1129" spans="2:2" x14ac:dyDescent="0.25">
      <c r="B1129" s="18"/>
    </row>
    <row r="1130" spans="2:2" x14ac:dyDescent="0.25">
      <c r="B1130" s="18"/>
    </row>
    <row r="1131" spans="2:2" x14ac:dyDescent="0.25">
      <c r="B1131" s="18"/>
    </row>
    <row r="1132" spans="2:2" x14ac:dyDescent="0.25">
      <c r="B1132" s="18"/>
    </row>
    <row r="1133" spans="2:2" x14ac:dyDescent="0.25">
      <c r="B1133" s="18"/>
    </row>
    <row r="1134" spans="2:2" x14ac:dyDescent="0.25">
      <c r="B1134" s="18"/>
    </row>
    <row r="1135" spans="2:2" x14ac:dyDescent="0.25">
      <c r="B1135" s="18"/>
    </row>
    <row r="1136" spans="2:2" x14ac:dyDescent="0.25">
      <c r="B1136" s="18"/>
    </row>
    <row r="1137" spans="2:2" x14ac:dyDescent="0.25">
      <c r="B1137" s="18"/>
    </row>
    <row r="1138" spans="2:2" x14ac:dyDescent="0.25">
      <c r="B1138" s="18"/>
    </row>
    <row r="1139" spans="2:2" x14ac:dyDescent="0.25">
      <c r="B1139" s="18"/>
    </row>
    <row r="1140" spans="2:2" x14ac:dyDescent="0.25">
      <c r="B1140" s="18"/>
    </row>
    <row r="1141" spans="2:2" x14ac:dyDescent="0.25">
      <c r="B1141" s="18"/>
    </row>
    <row r="1142" spans="2:2" x14ac:dyDescent="0.25">
      <c r="B1142" s="18"/>
    </row>
    <row r="1143" spans="2:2" x14ac:dyDescent="0.25">
      <c r="B1143" s="18"/>
    </row>
    <row r="1144" spans="2:2" x14ac:dyDescent="0.25">
      <c r="B1144" s="18"/>
    </row>
    <row r="1145" spans="2:2" x14ac:dyDescent="0.25">
      <c r="B1145" s="18"/>
    </row>
    <row r="1146" spans="2:2" x14ac:dyDescent="0.25">
      <c r="B1146" s="18"/>
    </row>
    <row r="1147" spans="2:2" x14ac:dyDescent="0.25">
      <c r="B1147" s="18"/>
    </row>
    <row r="1148" spans="2:2" x14ac:dyDescent="0.25">
      <c r="B1148" s="18"/>
    </row>
    <row r="1149" spans="2:2" x14ac:dyDescent="0.25">
      <c r="B1149" s="18"/>
    </row>
    <row r="1150" spans="2:2" x14ac:dyDescent="0.25">
      <c r="B1150" s="18"/>
    </row>
    <row r="1151" spans="2:2" x14ac:dyDescent="0.25">
      <c r="B1151" s="18"/>
    </row>
    <row r="1152" spans="2:2" x14ac:dyDescent="0.25">
      <c r="B1152" s="18"/>
    </row>
    <row r="1153" spans="2:2" x14ac:dyDescent="0.25">
      <c r="B1153" s="18"/>
    </row>
    <row r="1154" spans="2:2" x14ac:dyDescent="0.25">
      <c r="B1154" s="18"/>
    </row>
    <row r="1155" spans="2:2" x14ac:dyDescent="0.25">
      <c r="B1155" s="18"/>
    </row>
    <row r="1156" spans="2:2" x14ac:dyDescent="0.25">
      <c r="B1156" s="18"/>
    </row>
    <row r="1157" spans="2:2" x14ac:dyDescent="0.25">
      <c r="B1157" s="18"/>
    </row>
    <row r="1158" spans="2:2" x14ac:dyDescent="0.25">
      <c r="B1158" s="18"/>
    </row>
    <row r="1159" spans="2:2" x14ac:dyDescent="0.25">
      <c r="B1159" s="18"/>
    </row>
    <row r="1160" spans="2:2" x14ac:dyDescent="0.25">
      <c r="B1160" s="18"/>
    </row>
    <row r="1161" spans="2:2" x14ac:dyDescent="0.25">
      <c r="B1161" s="18"/>
    </row>
    <row r="1162" spans="2:2" x14ac:dyDescent="0.25">
      <c r="B1162" s="18"/>
    </row>
    <row r="1163" spans="2:2" x14ac:dyDescent="0.25">
      <c r="B1163" s="18"/>
    </row>
    <row r="1164" spans="2:2" x14ac:dyDescent="0.25">
      <c r="B1164" s="18"/>
    </row>
    <row r="1165" spans="2:2" x14ac:dyDescent="0.25">
      <c r="B1165" s="18"/>
    </row>
    <row r="1166" spans="2:2" x14ac:dyDescent="0.25">
      <c r="B1166" s="18"/>
    </row>
    <row r="1167" spans="2:2" x14ac:dyDescent="0.25">
      <c r="B1167" s="18"/>
    </row>
    <row r="1168" spans="2:2" x14ac:dyDescent="0.25">
      <c r="B1168" s="18"/>
    </row>
    <row r="1169" spans="2:2" x14ac:dyDescent="0.25">
      <c r="B1169" s="18"/>
    </row>
    <row r="1170" spans="2:2" x14ac:dyDescent="0.25">
      <c r="B1170" s="18"/>
    </row>
    <row r="1171" spans="2:2" x14ac:dyDescent="0.25">
      <c r="B1171" s="18"/>
    </row>
    <row r="1172" spans="2:2" x14ac:dyDescent="0.25">
      <c r="B1172" s="18"/>
    </row>
    <row r="1173" spans="2:2" x14ac:dyDescent="0.25">
      <c r="B1173" s="18"/>
    </row>
    <row r="1174" spans="2:2" x14ac:dyDescent="0.25">
      <c r="B1174" s="18"/>
    </row>
    <row r="1175" spans="2:2" x14ac:dyDescent="0.25">
      <c r="B1175" s="18"/>
    </row>
    <row r="1176" spans="2:2" x14ac:dyDescent="0.25">
      <c r="B1176" s="18"/>
    </row>
    <row r="1177" spans="2:2" x14ac:dyDescent="0.25">
      <c r="B1177" s="18"/>
    </row>
    <row r="1178" spans="2:2" x14ac:dyDescent="0.25">
      <c r="B1178" s="18"/>
    </row>
    <row r="1179" spans="2:2" x14ac:dyDescent="0.25">
      <c r="B1179" s="18"/>
    </row>
    <row r="1180" spans="2:2" x14ac:dyDescent="0.25">
      <c r="B1180" s="18"/>
    </row>
    <row r="1181" spans="2:2" x14ac:dyDescent="0.25">
      <c r="B1181" s="18"/>
    </row>
    <row r="1182" spans="2:2" x14ac:dyDescent="0.25">
      <c r="B1182" s="18"/>
    </row>
    <row r="1183" spans="2:2" x14ac:dyDescent="0.25">
      <c r="B1183" s="18"/>
    </row>
    <row r="1184" spans="2:2" x14ac:dyDescent="0.25">
      <c r="B1184" s="18"/>
    </row>
    <row r="1185" spans="2:2" x14ac:dyDescent="0.25">
      <c r="B1185" s="18"/>
    </row>
    <row r="1186" spans="2:2" x14ac:dyDescent="0.25">
      <c r="B1186" s="18"/>
    </row>
    <row r="1187" spans="2:2" x14ac:dyDescent="0.25">
      <c r="B1187" s="18"/>
    </row>
    <row r="1188" spans="2:2" x14ac:dyDescent="0.25">
      <c r="B1188" s="18"/>
    </row>
    <row r="1189" spans="2:2" x14ac:dyDescent="0.25">
      <c r="B1189" s="18"/>
    </row>
    <row r="1190" spans="2:2" x14ac:dyDescent="0.25">
      <c r="B1190" s="18"/>
    </row>
    <row r="1191" spans="2:2" x14ac:dyDescent="0.25">
      <c r="B1191" s="18"/>
    </row>
    <row r="1192" spans="2:2" x14ac:dyDescent="0.25">
      <c r="B1192" s="18"/>
    </row>
    <row r="1193" spans="2:2" x14ac:dyDescent="0.25">
      <c r="B1193" s="18"/>
    </row>
    <row r="1194" spans="2:2" x14ac:dyDescent="0.25">
      <c r="B1194" s="18"/>
    </row>
    <row r="1195" spans="2:2" x14ac:dyDescent="0.25">
      <c r="B1195" s="18"/>
    </row>
    <row r="1196" spans="2:2" x14ac:dyDescent="0.25">
      <c r="B1196" s="18"/>
    </row>
    <row r="1197" spans="2:2" x14ac:dyDescent="0.25">
      <c r="B1197" s="18"/>
    </row>
    <row r="1198" spans="2:2" x14ac:dyDescent="0.25">
      <c r="B1198" s="18"/>
    </row>
    <row r="1199" spans="2:2" x14ac:dyDescent="0.25">
      <c r="B1199" s="18"/>
    </row>
    <row r="1200" spans="2:2" x14ac:dyDescent="0.25">
      <c r="B1200" s="18"/>
    </row>
    <row r="1201" spans="2:2" x14ac:dyDescent="0.25">
      <c r="B1201" s="18"/>
    </row>
    <row r="1202" spans="2:2" x14ac:dyDescent="0.25">
      <c r="B1202" s="18"/>
    </row>
    <row r="1203" spans="2:2" x14ac:dyDescent="0.25">
      <c r="B1203" s="18"/>
    </row>
    <row r="1204" spans="2:2" x14ac:dyDescent="0.25">
      <c r="B1204" s="18"/>
    </row>
    <row r="1205" spans="2:2" x14ac:dyDescent="0.25">
      <c r="B1205" s="18"/>
    </row>
    <row r="1206" spans="2:2" x14ac:dyDescent="0.25">
      <c r="B1206" s="18"/>
    </row>
    <row r="1207" spans="2:2" x14ac:dyDescent="0.25">
      <c r="B1207" s="18"/>
    </row>
    <row r="1208" spans="2:2" x14ac:dyDescent="0.25">
      <c r="B1208" s="18"/>
    </row>
    <row r="1209" spans="2:2" x14ac:dyDescent="0.25">
      <c r="B1209" s="18"/>
    </row>
    <row r="1210" spans="2:2" x14ac:dyDescent="0.25">
      <c r="B1210" s="18"/>
    </row>
    <row r="1211" spans="2:2" x14ac:dyDescent="0.25">
      <c r="B1211" s="18"/>
    </row>
    <row r="1212" spans="2:2" x14ac:dyDescent="0.25">
      <c r="B1212" s="18"/>
    </row>
    <row r="1213" spans="2:2" x14ac:dyDescent="0.25">
      <c r="B1213" s="18"/>
    </row>
    <row r="1214" spans="2:2" x14ac:dyDescent="0.25">
      <c r="B1214" s="18"/>
    </row>
    <row r="1215" spans="2:2" x14ac:dyDescent="0.25">
      <c r="B1215" s="18"/>
    </row>
    <row r="1216" spans="2:2" x14ac:dyDescent="0.25">
      <c r="B1216" s="18"/>
    </row>
    <row r="1217" spans="2:2" x14ac:dyDescent="0.25">
      <c r="B1217" s="18"/>
    </row>
    <row r="1218" spans="2:2" x14ac:dyDescent="0.25">
      <c r="B1218" s="18"/>
    </row>
    <row r="1219" spans="2:2" x14ac:dyDescent="0.25">
      <c r="B1219" s="18"/>
    </row>
    <row r="1220" spans="2:2" x14ac:dyDescent="0.25">
      <c r="B1220" s="18"/>
    </row>
    <row r="1221" spans="2:2" x14ac:dyDescent="0.25">
      <c r="B1221" s="18"/>
    </row>
    <row r="1222" spans="2:2" x14ac:dyDescent="0.25">
      <c r="B1222" s="18"/>
    </row>
    <row r="1223" spans="2:2" x14ac:dyDescent="0.25">
      <c r="B1223" s="18"/>
    </row>
    <row r="1224" spans="2:2" x14ac:dyDescent="0.25">
      <c r="B1224" s="18"/>
    </row>
    <row r="1225" spans="2:2" x14ac:dyDescent="0.25">
      <c r="B1225" s="18"/>
    </row>
    <row r="1226" spans="2:2" x14ac:dyDescent="0.25">
      <c r="B1226" s="18"/>
    </row>
    <row r="1227" spans="2:2" x14ac:dyDescent="0.25">
      <c r="B1227" s="18"/>
    </row>
    <row r="1228" spans="2:2" x14ac:dyDescent="0.25">
      <c r="B1228" s="18"/>
    </row>
    <row r="1229" spans="2:2" x14ac:dyDescent="0.25">
      <c r="B1229" s="18"/>
    </row>
    <row r="1230" spans="2:2" x14ac:dyDescent="0.25">
      <c r="B1230" s="18"/>
    </row>
    <row r="1231" spans="2:2" x14ac:dyDescent="0.25">
      <c r="B1231" s="18"/>
    </row>
    <row r="1232" spans="2:2" x14ac:dyDescent="0.25">
      <c r="B1232" s="18"/>
    </row>
    <row r="1233" spans="2:2" x14ac:dyDescent="0.25">
      <c r="B1233" s="18"/>
    </row>
    <row r="1234" spans="2:2" x14ac:dyDescent="0.25">
      <c r="B1234" s="18"/>
    </row>
    <row r="1235" spans="2:2" x14ac:dyDescent="0.25">
      <c r="B1235" s="18"/>
    </row>
    <row r="1236" spans="2:2" x14ac:dyDescent="0.25">
      <c r="B1236" s="18"/>
    </row>
    <row r="1237" spans="2:2" x14ac:dyDescent="0.25">
      <c r="B1237" s="18"/>
    </row>
    <row r="1238" spans="2:2" x14ac:dyDescent="0.25">
      <c r="B1238" s="18"/>
    </row>
    <row r="1239" spans="2:2" x14ac:dyDescent="0.25">
      <c r="B1239" s="18"/>
    </row>
    <row r="1240" spans="2:2" x14ac:dyDescent="0.25">
      <c r="B1240" s="18"/>
    </row>
    <row r="1241" spans="2:2" x14ac:dyDescent="0.25">
      <c r="B1241" s="18"/>
    </row>
    <row r="1242" spans="2:2" x14ac:dyDescent="0.25">
      <c r="B1242" s="18"/>
    </row>
    <row r="1243" spans="2:2" x14ac:dyDescent="0.25">
      <c r="B1243" s="18"/>
    </row>
    <row r="1244" spans="2:2" x14ac:dyDescent="0.25">
      <c r="B1244" s="18"/>
    </row>
    <row r="1245" spans="2:2" x14ac:dyDescent="0.25">
      <c r="B1245" s="18"/>
    </row>
    <row r="1246" spans="2:2" x14ac:dyDescent="0.25">
      <c r="B1246" s="18"/>
    </row>
    <row r="1247" spans="2:2" x14ac:dyDescent="0.25">
      <c r="B1247" s="18"/>
    </row>
    <row r="1248" spans="2:2" x14ac:dyDescent="0.25">
      <c r="B1248" s="18"/>
    </row>
    <row r="1249" spans="2:2" x14ac:dyDescent="0.25">
      <c r="B1249" s="18"/>
    </row>
    <row r="1250" spans="2:2" x14ac:dyDescent="0.25">
      <c r="B1250" s="18"/>
    </row>
    <row r="1251" spans="2:2" x14ac:dyDescent="0.25">
      <c r="B1251" s="18"/>
    </row>
    <row r="1252" spans="2:2" x14ac:dyDescent="0.25">
      <c r="B1252" s="18"/>
    </row>
    <row r="1253" spans="2:2" x14ac:dyDescent="0.25">
      <c r="B1253" s="18"/>
    </row>
    <row r="1254" spans="2:2" x14ac:dyDescent="0.25">
      <c r="B1254" s="18"/>
    </row>
    <row r="1255" spans="2:2" x14ac:dyDescent="0.25">
      <c r="B1255" s="18"/>
    </row>
    <row r="1256" spans="2:2" x14ac:dyDescent="0.25">
      <c r="B1256" s="18"/>
    </row>
    <row r="1257" spans="2:2" x14ac:dyDescent="0.25">
      <c r="B1257" s="18"/>
    </row>
    <row r="1258" spans="2:2" x14ac:dyDescent="0.25">
      <c r="B1258" s="18"/>
    </row>
    <row r="1259" spans="2:2" x14ac:dyDescent="0.25">
      <c r="B1259" s="18"/>
    </row>
    <row r="1260" spans="2:2" x14ac:dyDescent="0.25">
      <c r="B1260" s="18"/>
    </row>
    <row r="1261" spans="2:2" x14ac:dyDescent="0.25">
      <c r="B1261" s="18"/>
    </row>
    <row r="1262" spans="2:2" x14ac:dyDescent="0.25">
      <c r="B1262" s="18"/>
    </row>
    <row r="1263" spans="2:2" x14ac:dyDescent="0.25">
      <c r="B1263" s="18"/>
    </row>
    <row r="1264" spans="2:2" x14ac:dyDescent="0.25">
      <c r="B1264" s="18"/>
    </row>
    <row r="1265" spans="2:2" x14ac:dyDescent="0.25">
      <c r="B1265" s="18"/>
    </row>
    <row r="1266" spans="2:2" x14ac:dyDescent="0.25">
      <c r="B1266" s="18"/>
    </row>
    <row r="1267" spans="2:2" x14ac:dyDescent="0.25">
      <c r="B1267" s="18"/>
    </row>
    <row r="1268" spans="2:2" x14ac:dyDescent="0.25">
      <c r="B1268" s="18"/>
    </row>
    <row r="1269" spans="2:2" x14ac:dyDescent="0.25">
      <c r="B1269" s="18"/>
    </row>
    <row r="1270" spans="2:2" x14ac:dyDescent="0.25">
      <c r="B1270" s="18"/>
    </row>
    <row r="1271" spans="2:2" x14ac:dyDescent="0.25">
      <c r="B1271" s="18"/>
    </row>
    <row r="1272" spans="2:2" x14ac:dyDescent="0.25">
      <c r="B1272" s="18"/>
    </row>
    <row r="1273" spans="2:2" x14ac:dyDescent="0.25">
      <c r="B1273" s="18"/>
    </row>
    <row r="1274" spans="2:2" x14ac:dyDescent="0.25">
      <c r="B1274" s="18"/>
    </row>
    <row r="1275" spans="2:2" x14ac:dyDescent="0.25">
      <c r="B1275" s="18"/>
    </row>
    <row r="1276" spans="2:2" x14ac:dyDescent="0.25">
      <c r="B1276" s="18"/>
    </row>
    <row r="1277" spans="2:2" x14ac:dyDescent="0.25">
      <c r="B1277" s="18"/>
    </row>
    <row r="1278" spans="2:2" x14ac:dyDescent="0.25">
      <c r="B1278" s="18"/>
    </row>
    <row r="1279" spans="2:2" x14ac:dyDescent="0.25">
      <c r="B1279" s="18"/>
    </row>
    <row r="1280" spans="2:2" x14ac:dyDescent="0.25">
      <c r="B1280" s="18"/>
    </row>
    <row r="1281" spans="2:2" x14ac:dyDescent="0.25">
      <c r="B1281" s="18"/>
    </row>
    <row r="1282" spans="2:2" x14ac:dyDescent="0.25">
      <c r="B1282" s="18"/>
    </row>
    <row r="1283" spans="2:2" x14ac:dyDescent="0.25">
      <c r="B1283" s="18"/>
    </row>
    <row r="1284" spans="2:2" x14ac:dyDescent="0.25">
      <c r="B1284" s="18"/>
    </row>
    <row r="1285" spans="2:2" x14ac:dyDescent="0.25">
      <c r="B1285" s="18"/>
    </row>
    <row r="1286" spans="2:2" x14ac:dyDescent="0.25">
      <c r="B1286" s="18"/>
    </row>
    <row r="1287" spans="2:2" x14ac:dyDescent="0.25">
      <c r="B1287" s="18"/>
    </row>
    <row r="1288" spans="2:2" x14ac:dyDescent="0.25">
      <c r="B1288" s="18"/>
    </row>
    <row r="1289" spans="2:2" x14ac:dyDescent="0.25">
      <c r="B1289" s="18"/>
    </row>
    <row r="1290" spans="2:2" x14ac:dyDescent="0.25">
      <c r="B1290" s="18"/>
    </row>
    <row r="1291" spans="2:2" x14ac:dyDescent="0.25">
      <c r="B1291" s="18"/>
    </row>
    <row r="1292" spans="2:2" x14ac:dyDescent="0.25">
      <c r="B1292" s="18"/>
    </row>
    <row r="1293" spans="2:2" x14ac:dyDescent="0.25">
      <c r="B1293" s="18"/>
    </row>
    <row r="1294" spans="2:2" x14ac:dyDescent="0.25">
      <c r="B1294" s="18"/>
    </row>
    <row r="1295" spans="2:2" x14ac:dyDescent="0.25">
      <c r="B1295" s="18"/>
    </row>
    <row r="1296" spans="2:2" x14ac:dyDescent="0.25">
      <c r="B1296" s="18"/>
    </row>
    <row r="1297" spans="2:2" x14ac:dyDescent="0.25">
      <c r="B1297" s="18"/>
    </row>
    <row r="1298" spans="2:2" x14ac:dyDescent="0.25">
      <c r="B1298" s="18"/>
    </row>
    <row r="1299" spans="2:2" x14ac:dyDescent="0.25">
      <c r="B1299" s="18"/>
    </row>
    <row r="1300" spans="2:2" x14ac:dyDescent="0.25">
      <c r="B1300" s="18"/>
    </row>
    <row r="1301" spans="2:2" x14ac:dyDescent="0.25">
      <c r="B1301" s="18"/>
    </row>
    <row r="1302" spans="2:2" x14ac:dyDescent="0.25">
      <c r="B1302" s="18"/>
    </row>
    <row r="1303" spans="2:2" x14ac:dyDescent="0.25">
      <c r="B1303" s="18"/>
    </row>
    <row r="1304" spans="2:2" x14ac:dyDescent="0.25">
      <c r="B1304" s="18"/>
    </row>
    <row r="1305" spans="2:2" x14ac:dyDescent="0.25">
      <c r="B1305" s="18"/>
    </row>
    <row r="1306" spans="2:2" x14ac:dyDescent="0.25">
      <c r="B1306" s="18"/>
    </row>
    <row r="1307" spans="2:2" x14ac:dyDescent="0.25">
      <c r="B1307" s="18"/>
    </row>
    <row r="1308" spans="2:2" x14ac:dyDescent="0.25">
      <c r="B1308" s="18"/>
    </row>
    <row r="1309" spans="2:2" x14ac:dyDescent="0.25">
      <c r="B1309" s="18"/>
    </row>
    <row r="1310" spans="2:2" x14ac:dyDescent="0.25">
      <c r="B1310" s="18"/>
    </row>
    <row r="1311" spans="2:2" x14ac:dyDescent="0.25">
      <c r="B1311" s="18"/>
    </row>
    <row r="1312" spans="2:2" x14ac:dyDescent="0.25">
      <c r="B1312" s="18"/>
    </row>
    <row r="1313" spans="2:2" x14ac:dyDescent="0.25">
      <c r="B1313" s="18"/>
    </row>
    <row r="1314" spans="2:2" x14ac:dyDescent="0.25">
      <c r="B1314" s="18"/>
    </row>
    <row r="1315" spans="2:2" x14ac:dyDescent="0.25">
      <c r="B1315" s="18"/>
    </row>
    <row r="1316" spans="2:2" x14ac:dyDescent="0.25">
      <c r="B1316" s="18"/>
    </row>
    <row r="1317" spans="2:2" x14ac:dyDescent="0.25">
      <c r="B1317" s="18"/>
    </row>
    <row r="1318" spans="2:2" x14ac:dyDescent="0.25">
      <c r="B1318" s="18"/>
    </row>
    <row r="1319" spans="2:2" x14ac:dyDescent="0.25">
      <c r="B1319" s="18"/>
    </row>
    <row r="1320" spans="2:2" x14ac:dyDescent="0.25">
      <c r="B1320" s="18"/>
    </row>
    <row r="1321" spans="2:2" x14ac:dyDescent="0.25">
      <c r="B1321" s="18"/>
    </row>
    <row r="1322" spans="2:2" x14ac:dyDescent="0.25">
      <c r="B1322" s="18"/>
    </row>
    <row r="1323" spans="2:2" x14ac:dyDescent="0.25">
      <c r="B1323" s="18"/>
    </row>
    <row r="1324" spans="2:2" x14ac:dyDescent="0.25">
      <c r="B1324" s="18"/>
    </row>
    <row r="1325" spans="2:2" x14ac:dyDescent="0.25">
      <c r="B1325" s="18"/>
    </row>
    <row r="1326" spans="2:2" x14ac:dyDescent="0.25">
      <c r="B1326" s="18"/>
    </row>
    <row r="1327" spans="2:2" x14ac:dyDescent="0.25">
      <c r="B1327" s="18"/>
    </row>
    <row r="1328" spans="2:2" x14ac:dyDescent="0.25">
      <c r="B1328" s="18"/>
    </row>
    <row r="1329" spans="2:2" x14ac:dyDescent="0.25">
      <c r="B1329" s="18"/>
    </row>
    <row r="1330" spans="2:2" x14ac:dyDescent="0.25">
      <c r="B1330" s="18"/>
    </row>
    <row r="1331" spans="2:2" x14ac:dyDescent="0.25">
      <c r="B1331" s="18"/>
    </row>
    <row r="1332" spans="2:2" x14ac:dyDescent="0.25">
      <c r="B1332" s="18"/>
    </row>
    <row r="1333" spans="2:2" x14ac:dyDescent="0.25">
      <c r="B1333" s="18"/>
    </row>
    <row r="1334" spans="2:2" x14ac:dyDescent="0.25">
      <c r="B1334" s="18"/>
    </row>
    <row r="1335" spans="2:2" x14ac:dyDescent="0.25">
      <c r="B1335" s="18"/>
    </row>
    <row r="1336" spans="2:2" x14ac:dyDescent="0.25">
      <c r="B1336" s="18"/>
    </row>
    <row r="1337" spans="2:2" x14ac:dyDescent="0.25">
      <c r="B1337" s="18"/>
    </row>
    <row r="1338" spans="2:2" x14ac:dyDescent="0.25">
      <c r="B1338" s="18"/>
    </row>
    <row r="1339" spans="2:2" x14ac:dyDescent="0.25">
      <c r="B1339" s="18"/>
    </row>
    <row r="1340" spans="2:2" x14ac:dyDescent="0.25">
      <c r="B1340" s="18"/>
    </row>
    <row r="1341" spans="2:2" x14ac:dyDescent="0.25">
      <c r="B1341" s="18"/>
    </row>
    <row r="1342" spans="2:2" x14ac:dyDescent="0.25">
      <c r="B1342" s="18"/>
    </row>
    <row r="1343" spans="2:2" x14ac:dyDescent="0.25">
      <c r="B1343" s="18"/>
    </row>
    <row r="1344" spans="2:2" x14ac:dyDescent="0.25">
      <c r="B1344" s="18"/>
    </row>
    <row r="1345" spans="2:2" x14ac:dyDescent="0.25">
      <c r="B1345" s="18"/>
    </row>
    <row r="1346" spans="2:2" x14ac:dyDescent="0.25">
      <c r="B1346" s="18"/>
    </row>
    <row r="1347" spans="2:2" x14ac:dyDescent="0.25">
      <c r="B1347" s="18"/>
    </row>
    <row r="1348" spans="2:2" x14ac:dyDescent="0.25">
      <c r="B1348" s="18"/>
    </row>
    <row r="1349" spans="2:2" x14ac:dyDescent="0.25">
      <c r="B1349" s="18"/>
    </row>
    <row r="1350" spans="2:2" x14ac:dyDescent="0.25">
      <c r="B1350" s="18"/>
    </row>
    <row r="1351" spans="2:2" x14ac:dyDescent="0.25">
      <c r="B1351" s="18"/>
    </row>
    <row r="1352" spans="2:2" x14ac:dyDescent="0.25">
      <c r="B1352" s="18"/>
    </row>
    <row r="1353" spans="2:2" x14ac:dyDescent="0.25">
      <c r="B1353" s="18"/>
    </row>
    <row r="1354" spans="2:2" x14ac:dyDescent="0.25">
      <c r="B1354" s="18"/>
    </row>
    <row r="1355" spans="2:2" x14ac:dyDescent="0.25">
      <c r="B1355" s="18"/>
    </row>
    <row r="1356" spans="2:2" x14ac:dyDescent="0.25">
      <c r="B1356" s="18"/>
    </row>
    <row r="1357" spans="2:2" x14ac:dyDescent="0.25">
      <c r="B1357" s="18"/>
    </row>
    <row r="1358" spans="2:2" x14ac:dyDescent="0.25">
      <c r="B1358" s="18"/>
    </row>
    <row r="1359" spans="2:2" x14ac:dyDescent="0.25">
      <c r="B1359" s="18"/>
    </row>
    <row r="1360" spans="2:2" x14ac:dyDescent="0.25">
      <c r="B1360" s="18"/>
    </row>
    <row r="1361" spans="2:2" x14ac:dyDescent="0.25">
      <c r="B1361" s="18"/>
    </row>
    <row r="1362" spans="2:2" x14ac:dyDescent="0.25">
      <c r="B1362" s="18"/>
    </row>
    <row r="1363" spans="2:2" x14ac:dyDescent="0.25">
      <c r="B1363" s="18"/>
    </row>
    <row r="1364" spans="2:2" x14ac:dyDescent="0.25">
      <c r="B1364" s="18"/>
    </row>
    <row r="1365" spans="2:2" x14ac:dyDescent="0.25">
      <c r="B1365" s="18"/>
    </row>
    <row r="1366" spans="2:2" x14ac:dyDescent="0.25">
      <c r="B1366" s="18"/>
    </row>
    <row r="1367" spans="2:2" x14ac:dyDescent="0.25">
      <c r="B1367" s="18"/>
    </row>
    <row r="1368" spans="2:2" x14ac:dyDescent="0.25">
      <c r="B1368" s="18"/>
    </row>
    <row r="1369" spans="2:2" x14ac:dyDescent="0.25">
      <c r="B1369" s="18"/>
    </row>
    <row r="1370" spans="2:2" x14ac:dyDescent="0.25">
      <c r="B1370" s="18"/>
    </row>
    <row r="1371" spans="2:2" x14ac:dyDescent="0.25">
      <c r="B1371" s="18"/>
    </row>
    <row r="1372" spans="2:2" x14ac:dyDescent="0.25">
      <c r="B1372" s="18"/>
    </row>
    <row r="1373" spans="2:2" x14ac:dyDescent="0.25">
      <c r="B1373" s="18"/>
    </row>
    <row r="1374" spans="2:2" x14ac:dyDescent="0.25">
      <c r="B1374" s="18"/>
    </row>
    <row r="1375" spans="2:2" x14ac:dyDescent="0.25">
      <c r="B1375" s="18"/>
    </row>
    <row r="1376" spans="2:2" x14ac:dyDescent="0.25">
      <c r="B1376" s="18"/>
    </row>
    <row r="1377" spans="2:2" x14ac:dyDescent="0.25">
      <c r="B1377" s="18"/>
    </row>
    <row r="1378" spans="2:2" x14ac:dyDescent="0.25">
      <c r="B1378" s="18"/>
    </row>
    <row r="1379" spans="2:2" x14ac:dyDescent="0.25">
      <c r="B1379" s="18"/>
    </row>
    <row r="1380" spans="2:2" x14ac:dyDescent="0.25">
      <c r="B1380" s="18"/>
    </row>
    <row r="1381" spans="2:2" x14ac:dyDescent="0.25">
      <c r="B1381" s="18"/>
    </row>
    <row r="1382" spans="2:2" x14ac:dyDescent="0.25">
      <c r="B1382" s="18"/>
    </row>
    <row r="1383" spans="2:2" x14ac:dyDescent="0.25">
      <c r="B1383" s="18"/>
    </row>
    <row r="1384" spans="2:2" x14ac:dyDescent="0.25">
      <c r="B1384" s="18"/>
    </row>
    <row r="1385" spans="2:2" x14ac:dyDescent="0.25">
      <c r="B1385" s="18"/>
    </row>
    <row r="1386" spans="2:2" x14ac:dyDescent="0.25">
      <c r="B1386" s="18"/>
    </row>
    <row r="1387" spans="2:2" x14ac:dyDescent="0.25">
      <c r="B1387" s="18"/>
    </row>
    <row r="1388" spans="2:2" x14ac:dyDescent="0.25">
      <c r="B1388" s="18"/>
    </row>
    <row r="1389" spans="2:2" x14ac:dyDescent="0.25">
      <c r="B1389" s="18"/>
    </row>
    <row r="1390" spans="2:2" x14ac:dyDescent="0.25">
      <c r="B1390" s="18"/>
    </row>
    <row r="1391" spans="2:2" x14ac:dyDescent="0.25">
      <c r="B1391" s="18"/>
    </row>
    <row r="1392" spans="2:2" x14ac:dyDescent="0.25">
      <c r="B1392" s="18"/>
    </row>
    <row r="1393" spans="2:2" x14ac:dyDescent="0.25">
      <c r="B1393" s="18"/>
    </row>
    <row r="1394" spans="2:2" x14ac:dyDescent="0.25">
      <c r="B1394" s="18"/>
    </row>
    <row r="1395" spans="2:2" x14ac:dyDescent="0.25">
      <c r="B1395" s="18"/>
    </row>
    <row r="1396" spans="2:2" x14ac:dyDescent="0.25">
      <c r="B1396" s="18"/>
    </row>
    <row r="1397" spans="2:2" x14ac:dyDescent="0.25">
      <c r="B1397" s="18"/>
    </row>
    <row r="1398" spans="2:2" x14ac:dyDescent="0.25">
      <c r="B1398" s="18"/>
    </row>
    <row r="1399" spans="2:2" x14ac:dyDescent="0.25">
      <c r="B1399" s="18"/>
    </row>
    <row r="1400" spans="2:2" x14ac:dyDescent="0.25">
      <c r="B1400" s="18"/>
    </row>
    <row r="1401" spans="2:2" x14ac:dyDescent="0.25">
      <c r="B1401" s="18"/>
    </row>
    <row r="1402" spans="2:2" x14ac:dyDescent="0.25">
      <c r="B1402" s="18"/>
    </row>
    <row r="1403" spans="2:2" x14ac:dyDescent="0.25">
      <c r="B1403" s="18"/>
    </row>
    <row r="1404" spans="2:2" x14ac:dyDescent="0.25">
      <c r="B1404" s="18"/>
    </row>
    <row r="1405" spans="2:2" x14ac:dyDescent="0.25">
      <c r="B1405" s="18"/>
    </row>
    <row r="1406" spans="2:2" x14ac:dyDescent="0.25">
      <c r="B1406" s="18"/>
    </row>
    <row r="1407" spans="2:2" x14ac:dyDescent="0.25">
      <c r="B1407" s="18"/>
    </row>
    <row r="1408" spans="2:2" x14ac:dyDescent="0.25">
      <c r="B1408" s="18"/>
    </row>
    <row r="1409" spans="2:2" x14ac:dyDescent="0.25">
      <c r="B1409" s="18"/>
    </row>
    <row r="1410" spans="2:2" x14ac:dyDescent="0.25">
      <c r="B1410" s="18"/>
    </row>
    <row r="1411" spans="2:2" x14ac:dyDescent="0.25">
      <c r="B1411" s="18"/>
    </row>
    <row r="1412" spans="2:2" x14ac:dyDescent="0.25">
      <c r="B1412" s="18"/>
    </row>
    <row r="1413" spans="2:2" x14ac:dyDescent="0.25">
      <c r="B1413" s="18"/>
    </row>
    <row r="1414" spans="2:2" x14ac:dyDescent="0.25">
      <c r="B1414" s="18"/>
    </row>
    <row r="1415" spans="2:2" x14ac:dyDescent="0.25">
      <c r="B1415" s="18"/>
    </row>
    <row r="1416" spans="2:2" x14ac:dyDescent="0.25">
      <c r="B1416" s="18"/>
    </row>
    <row r="1417" spans="2:2" x14ac:dyDescent="0.25">
      <c r="B1417" s="18"/>
    </row>
    <row r="1418" spans="2:2" x14ac:dyDescent="0.25">
      <c r="B1418" s="18"/>
    </row>
    <row r="1419" spans="2:2" x14ac:dyDescent="0.25">
      <c r="B1419" s="18"/>
    </row>
    <row r="1420" spans="2:2" x14ac:dyDescent="0.25">
      <c r="B1420" s="18"/>
    </row>
    <row r="1421" spans="2:2" x14ac:dyDescent="0.25">
      <c r="B1421" s="18"/>
    </row>
    <row r="1422" spans="2:2" x14ac:dyDescent="0.25">
      <c r="B1422" s="18"/>
    </row>
    <row r="1423" spans="2:2" x14ac:dyDescent="0.25">
      <c r="B1423" s="18"/>
    </row>
    <row r="1424" spans="2:2" x14ac:dyDescent="0.25">
      <c r="B1424" s="18"/>
    </row>
    <row r="1425" spans="2:2" x14ac:dyDescent="0.25">
      <c r="B1425" s="18"/>
    </row>
    <row r="1426" spans="2:2" x14ac:dyDescent="0.25">
      <c r="B1426" s="18"/>
    </row>
    <row r="1427" spans="2:2" x14ac:dyDescent="0.25">
      <c r="B1427" s="18"/>
    </row>
    <row r="1428" spans="2:2" x14ac:dyDescent="0.25">
      <c r="B1428" s="18"/>
    </row>
    <row r="1429" spans="2:2" x14ac:dyDescent="0.25">
      <c r="B1429" s="18"/>
    </row>
    <row r="1430" spans="2:2" x14ac:dyDescent="0.25">
      <c r="B1430" s="18"/>
    </row>
    <row r="1431" spans="2:2" x14ac:dyDescent="0.25">
      <c r="B1431" s="18"/>
    </row>
    <row r="1432" spans="2:2" x14ac:dyDescent="0.25">
      <c r="B1432" s="18"/>
    </row>
    <row r="1433" spans="2:2" x14ac:dyDescent="0.25">
      <c r="B1433" s="18"/>
    </row>
    <row r="1434" spans="2:2" x14ac:dyDescent="0.25">
      <c r="B1434" s="18"/>
    </row>
    <row r="1435" spans="2:2" x14ac:dyDescent="0.25">
      <c r="B1435" s="18"/>
    </row>
    <row r="1436" spans="2:2" x14ac:dyDescent="0.25">
      <c r="B1436" s="18"/>
    </row>
    <row r="1437" spans="2:2" x14ac:dyDescent="0.25">
      <c r="B1437" s="18"/>
    </row>
    <row r="1438" spans="2:2" x14ac:dyDescent="0.25">
      <c r="B1438" s="18"/>
    </row>
    <row r="1439" spans="2:2" x14ac:dyDescent="0.25">
      <c r="B1439" s="18"/>
    </row>
    <row r="1440" spans="2:2" x14ac:dyDescent="0.25">
      <c r="B1440" s="18"/>
    </row>
    <row r="1441" spans="2:2" x14ac:dyDescent="0.25">
      <c r="B1441" s="18"/>
    </row>
    <row r="1442" spans="2:2" x14ac:dyDescent="0.25">
      <c r="B1442" s="18"/>
    </row>
    <row r="1443" spans="2:2" x14ac:dyDescent="0.25">
      <c r="B1443" s="18"/>
    </row>
    <row r="1444" spans="2:2" x14ac:dyDescent="0.25">
      <c r="B1444" s="18"/>
    </row>
    <row r="1445" spans="2:2" x14ac:dyDescent="0.25">
      <c r="B1445" s="18"/>
    </row>
    <row r="1446" spans="2:2" x14ac:dyDescent="0.25">
      <c r="B1446" s="18"/>
    </row>
    <row r="1447" spans="2:2" x14ac:dyDescent="0.25">
      <c r="B1447" s="18"/>
    </row>
    <row r="1448" spans="2:2" x14ac:dyDescent="0.25">
      <c r="B1448" s="18"/>
    </row>
    <row r="1449" spans="2:2" x14ac:dyDescent="0.25">
      <c r="B1449" s="18"/>
    </row>
    <row r="1450" spans="2:2" x14ac:dyDescent="0.25">
      <c r="B1450" s="18"/>
    </row>
    <row r="1451" spans="2:2" x14ac:dyDescent="0.25">
      <c r="B1451" s="18"/>
    </row>
    <row r="1452" spans="2:2" x14ac:dyDescent="0.25">
      <c r="B1452" s="18"/>
    </row>
    <row r="1453" spans="2:2" x14ac:dyDescent="0.25">
      <c r="B1453" s="18"/>
    </row>
    <row r="1454" spans="2:2" x14ac:dyDescent="0.25">
      <c r="B1454" s="18"/>
    </row>
    <row r="1455" spans="2:2" x14ac:dyDescent="0.25">
      <c r="B1455" s="18"/>
    </row>
    <row r="1456" spans="2:2" x14ac:dyDescent="0.25">
      <c r="B1456" s="18"/>
    </row>
    <row r="1457" spans="2:2" x14ac:dyDescent="0.25">
      <c r="B1457" s="18"/>
    </row>
    <row r="1458" spans="2:2" x14ac:dyDescent="0.25">
      <c r="B1458" s="18"/>
    </row>
    <row r="1459" spans="2:2" x14ac:dyDescent="0.25">
      <c r="B1459" s="18"/>
    </row>
    <row r="1460" spans="2:2" x14ac:dyDescent="0.25">
      <c r="B1460" s="18"/>
    </row>
    <row r="1461" spans="2:2" x14ac:dyDescent="0.25">
      <c r="B1461" s="18"/>
    </row>
    <row r="1462" spans="2:2" x14ac:dyDescent="0.25">
      <c r="B1462" s="18"/>
    </row>
    <row r="1463" spans="2:2" x14ac:dyDescent="0.25">
      <c r="B1463" s="18"/>
    </row>
    <row r="1464" spans="2:2" x14ac:dyDescent="0.25">
      <c r="B1464" s="18"/>
    </row>
    <row r="1465" spans="2:2" x14ac:dyDescent="0.25">
      <c r="B1465" s="18"/>
    </row>
    <row r="1466" spans="2:2" x14ac:dyDescent="0.25">
      <c r="B1466" s="18"/>
    </row>
    <row r="1467" spans="2:2" x14ac:dyDescent="0.25">
      <c r="B1467" s="18"/>
    </row>
    <row r="1468" spans="2:2" x14ac:dyDescent="0.25">
      <c r="B1468" s="18"/>
    </row>
    <row r="1469" spans="2:2" x14ac:dyDescent="0.25">
      <c r="B1469" s="18"/>
    </row>
    <row r="1470" spans="2:2" x14ac:dyDescent="0.25">
      <c r="B1470" s="18"/>
    </row>
    <row r="1471" spans="2:2" x14ac:dyDescent="0.25">
      <c r="B1471" s="18"/>
    </row>
    <row r="1472" spans="2:2" x14ac:dyDescent="0.25">
      <c r="B1472" s="18"/>
    </row>
    <row r="1473" spans="2:2" x14ac:dyDescent="0.25">
      <c r="B1473" s="18"/>
    </row>
    <row r="1474" spans="2:2" x14ac:dyDescent="0.25">
      <c r="B1474" s="18"/>
    </row>
    <row r="1475" spans="2:2" x14ac:dyDescent="0.25">
      <c r="B1475" s="18"/>
    </row>
    <row r="1476" spans="2:2" x14ac:dyDescent="0.25">
      <c r="B1476" s="18"/>
    </row>
    <row r="1477" spans="2:2" x14ac:dyDescent="0.25">
      <c r="B1477" s="18"/>
    </row>
    <row r="1478" spans="2:2" x14ac:dyDescent="0.25">
      <c r="B1478" s="18"/>
    </row>
    <row r="1479" spans="2:2" x14ac:dyDescent="0.25">
      <c r="B1479" s="18"/>
    </row>
    <row r="1480" spans="2:2" x14ac:dyDescent="0.25">
      <c r="B1480" s="18"/>
    </row>
    <row r="1481" spans="2:2" x14ac:dyDescent="0.25">
      <c r="B1481" s="18"/>
    </row>
    <row r="1482" spans="2:2" x14ac:dyDescent="0.25">
      <c r="B1482" s="18"/>
    </row>
    <row r="1483" spans="2:2" x14ac:dyDescent="0.25">
      <c r="B1483" s="18"/>
    </row>
    <row r="1484" spans="2:2" x14ac:dyDescent="0.25">
      <c r="B1484" s="18"/>
    </row>
    <row r="1485" spans="2:2" x14ac:dyDescent="0.25">
      <c r="B1485" s="18"/>
    </row>
    <row r="1486" spans="2:2" x14ac:dyDescent="0.25">
      <c r="B1486" s="18"/>
    </row>
    <row r="1487" spans="2:2" x14ac:dyDescent="0.25">
      <c r="B1487" s="18"/>
    </row>
    <row r="1488" spans="2:2" x14ac:dyDescent="0.25">
      <c r="B1488" s="18"/>
    </row>
    <row r="1489" spans="2:2" x14ac:dyDescent="0.25">
      <c r="B1489" s="18"/>
    </row>
    <row r="1490" spans="2:2" x14ac:dyDescent="0.25">
      <c r="B1490" s="18"/>
    </row>
    <row r="1491" spans="2:2" x14ac:dyDescent="0.25">
      <c r="B1491" s="18"/>
    </row>
    <row r="1492" spans="2:2" x14ac:dyDescent="0.25">
      <c r="B1492" s="18"/>
    </row>
    <row r="1493" spans="2:2" x14ac:dyDescent="0.25">
      <c r="B1493" s="18"/>
    </row>
    <row r="1494" spans="2:2" x14ac:dyDescent="0.25">
      <c r="B1494" s="18"/>
    </row>
    <row r="1495" spans="2:2" x14ac:dyDescent="0.25">
      <c r="B1495" s="18"/>
    </row>
    <row r="1496" spans="2:2" x14ac:dyDescent="0.25">
      <c r="B1496" s="18"/>
    </row>
    <row r="1497" spans="2:2" x14ac:dyDescent="0.25">
      <c r="B1497" s="18"/>
    </row>
    <row r="1498" spans="2:2" x14ac:dyDescent="0.25">
      <c r="B1498" s="18"/>
    </row>
    <row r="1499" spans="2:2" x14ac:dyDescent="0.25">
      <c r="B1499" s="18"/>
    </row>
    <row r="1500" spans="2:2" x14ac:dyDescent="0.25">
      <c r="B1500" s="18"/>
    </row>
    <row r="1501" spans="2:2" x14ac:dyDescent="0.25">
      <c r="B1501" s="18"/>
    </row>
    <row r="1502" spans="2:2" x14ac:dyDescent="0.25">
      <c r="B1502" s="18"/>
    </row>
    <row r="1503" spans="2:2" x14ac:dyDescent="0.25">
      <c r="B1503" s="18"/>
    </row>
    <row r="1504" spans="2:2" x14ac:dyDescent="0.25">
      <c r="B1504" s="18"/>
    </row>
    <row r="1505" spans="2:2" x14ac:dyDescent="0.25">
      <c r="B1505" s="18"/>
    </row>
    <row r="1506" spans="2:2" x14ac:dyDescent="0.25">
      <c r="B1506" s="18"/>
    </row>
    <row r="1507" spans="2:2" x14ac:dyDescent="0.25">
      <c r="B1507" s="18"/>
    </row>
    <row r="1508" spans="2:2" x14ac:dyDescent="0.25">
      <c r="B1508" s="18"/>
    </row>
    <row r="1509" spans="2:2" x14ac:dyDescent="0.25">
      <c r="B1509" s="18"/>
    </row>
    <row r="1510" spans="2:2" x14ac:dyDescent="0.25">
      <c r="B1510" s="18"/>
    </row>
    <row r="1511" spans="2:2" x14ac:dyDescent="0.25">
      <c r="B1511" s="18"/>
    </row>
    <row r="1512" spans="2:2" x14ac:dyDescent="0.25">
      <c r="B1512" s="18"/>
    </row>
    <row r="1513" spans="2:2" x14ac:dyDescent="0.25">
      <c r="B1513" s="18"/>
    </row>
    <row r="1514" spans="2:2" x14ac:dyDescent="0.25">
      <c r="B1514" s="18"/>
    </row>
    <row r="1515" spans="2:2" x14ac:dyDescent="0.25">
      <c r="B1515" s="18"/>
    </row>
    <row r="1516" spans="2:2" x14ac:dyDescent="0.25">
      <c r="B1516" s="18"/>
    </row>
    <row r="1517" spans="2:2" x14ac:dyDescent="0.25">
      <c r="B1517" s="18"/>
    </row>
    <row r="1518" spans="2:2" x14ac:dyDescent="0.25">
      <c r="B1518" s="18"/>
    </row>
    <row r="1519" spans="2:2" x14ac:dyDescent="0.25">
      <c r="B1519" s="18"/>
    </row>
    <row r="1520" spans="2:2" x14ac:dyDescent="0.25">
      <c r="B1520" s="18"/>
    </row>
    <row r="1521" spans="2:2" x14ac:dyDescent="0.25">
      <c r="B1521" s="18"/>
    </row>
    <row r="1522" spans="2:2" x14ac:dyDescent="0.25">
      <c r="B1522" s="18"/>
    </row>
    <row r="1523" spans="2:2" x14ac:dyDescent="0.25">
      <c r="B1523" s="18"/>
    </row>
    <row r="1524" spans="2:2" x14ac:dyDescent="0.25">
      <c r="B1524" s="18"/>
    </row>
    <row r="1525" spans="2:2" x14ac:dyDescent="0.25">
      <c r="B1525" s="18"/>
    </row>
    <row r="1526" spans="2:2" x14ac:dyDescent="0.25">
      <c r="B1526" s="18"/>
    </row>
    <row r="1527" spans="2:2" x14ac:dyDescent="0.25">
      <c r="B1527" s="18"/>
    </row>
    <row r="1528" spans="2:2" x14ac:dyDescent="0.25">
      <c r="B1528" s="18"/>
    </row>
    <row r="1529" spans="2:2" x14ac:dyDescent="0.25">
      <c r="B1529" s="18"/>
    </row>
    <row r="1530" spans="2:2" x14ac:dyDescent="0.25">
      <c r="B1530" s="18"/>
    </row>
    <row r="1531" spans="2:2" x14ac:dyDescent="0.25">
      <c r="B1531" s="18"/>
    </row>
    <row r="1532" spans="2:2" x14ac:dyDescent="0.25">
      <c r="B1532" s="18"/>
    </row>
    <row r="1533" spans="2:2" x14ac:dyDescent="0.25">
      <c r="B1533" s="18"/>
    </row>
    <row r="1534" spans="2:2" x14ac:dyDescent="0.25">
      <c r="B1534" s="18"/>
    </row>
    <row r="1535" spans="2:2" x14ac:dyDescent="0.25">
      <c r="B1535" s="18"/>
    </row>
    <row r="1536" spans="2:2" x14ac:dyDescent="0.25">
      <c r="B1536" s="18"/>
    </row>
    <row r="1537" spans="2:2" x14ac:dyDescent="0.25">
      <c r="B1537" s="18"/>
    </row>
    <row r="1538" spans="2:2" x14ac:dyDescent="0.25">
      <c r="B1538" s="18"/>
    </row>
    <row r="1539" spans="2:2" x14ac:dyDescent="0.25">
      <c r="B1539" s="18"/>
    </row>
    <row r="1540" spans="2:2" x14ac:dyDescent="0.25">
      <c r="B1540" s="18"/>
    </row>
    <row r="1541" spans="2:2" x14ac:dyDescent="0.25">
      <c r="B1541" s="18"/>
    </row>
    <row r="1542" spans="2:2" x14ac:dyDescent="0.25">
      <c r="B1542" s="18"/>
    </row>
    <row r="1543" spans="2:2" x14ac:dyDescent="0.25">
      <c r="B1543" s="18"/>
    </row>
    <row r="1544" spans="2:2" x14ac:dyDescent="0.25">
      <c r="B1544" s="18"/>
    </row>
    <row r="1545" spans="2:2" x14ac:dyDescent="0.25">
      <c r="B1545" s="18"/>
    </row>
    <row r="1546" spans="2:2" x14ac:dyDescent="0.25">
      <c r="B1546" s="18"/>
    </row>
    <row r="1547" spans="2:2" x14ac:dyDescent="0.25">
      <c r="B1547" s="18"/>
    </row>
    <row r="1548" spans="2:2" x14ac:dyDescent="0.25">
      <c r="B1548" s="18"/>
    </row>
    <row r="1549" spans="2:2" x14ac:dyDescent="0.25">
      <c r="B1549" s="18"/>
    </row>
    <row r="1550" spans="2:2" x14ac:dyDescent="0.25">
      <c r="B1550" s="18"/>
    </row>
    <row r="1551" spans="2:2" x14ac:dyDescent="0.25">
      <c r="B1551" s="18"/>
    </row>
    <row r="1552" spans="2:2" x14ac:dyDescent="0.25">
      <c r="B1552" s="18"/>
    </row>
    <row r="1553" spans="2:2" x14ac:dyDescent="0.25">
      <c r="B1553" s="18"/>
    </row>
    <row r="1554" spans="2:2" x14ac:dyDescent="0.25">
      <c r="B1554" s="18"/>
    </row>
    <row r="1555" spans="2:2" x14ac:dyDescent="0.25">
      <c r="B1555" s="18"/>
    </row>
    <row r="1556" spans="2:2" x14ac:dyDescent="0.25">
      <c r="B1556" s="18"/>
    </row>
    <row r="1557" spans="2:2" x14ac:dyDescent="0.25">
      <c r="B1557" s="18"/>
    </row>
    <row r="1558" spans="2:2" x14ac:dyDescent="0.25">
      <c r="B1558" s="18"/>
    </row>
    <row r="1559" spans="2:2" x14ac:dyDescent="0.25">
      <c r="B1559" s="18"/>
    </row>
    <row r="1560" spans="2:2" x14ac:dyDescent="0.25">
      <c r="B1560" s="18"/>
    </row>
    <row r="1561" spans="2:2" x14ac:dyDescent="0.25">
      <c r="B1561" s="18"/>
    </row>
    <row r="1562" spans="2:2" x14ac:dyDescent="0.25">
      <c r="B1562" s="18"/>
    </row>
    <row r="1563" spans="2:2" x14ac:dyDescent="0.25">
      <c r="B1563" s="18"/>
    </row>
    <row r="1564" spans="2:2" x14ac:dyDescent="0.25">
      <c r="B1564" s="18"/>
    </row>
    <row r="1565" spans="2:2" x14ac:dyDescent="0.25">
      <c r="B1565" s="18"/>
    </row>
    <row r="1566" spans="2:2" x14ac:dyDescent="0.25">
      <c r="B1566" s="18"/>
    </row>
    <row r="1567" spans="2:2" x14ac:dyDescent="0.25">
      <c r="B1567" s="18"/>
    </row>
    <row r="1568" spans="2:2" x14ac:dyDescent="0.25">
      <c r="B1568" s="18"/>
    </row>
    <row r="1569" spans="2:2" x14ac:dyDescent="0.25">
      <c r="B1569" s="18"/>
    </row>
    <row r="1570" spans="2:2" x14ac:dyDescent="0.25">
      <c r="B1570" s="18"/>
    </row>
    <row r="1571" spans="2:2" x14ac:dyDescent="0.25">
      <c r="B1571" s="18"/>
    </row>
    <row r="1572" spans="2:2" x14ac:dyDescent="0.25">
      <c r="B1572" s="18"/>
    </row>
    <row r="1573" spans="2:2" x14ac:dyDescent="0.25">
      <c r="B1573" s="18"/>
    </row>
    <row r="1574" spans="2:2" x14ac:dyDescent="0.25">
      <c r="B1574" s="18"/>
    </row>
    <row r="1575" spans="2:2" x14ac:dyDescent="0.25">
      <c r="B1575" s="18"/>
    </row>
    <row r="1576" spans="2:2" x14ac:dyDescent="0.25">
      <c r="B1576" s="18"/>
    </row>
    <row r="1577" spans="2:2" x14ac:dyDescent="0.25">
      <c r="B1577" s="18"/>
    </row>
    <row r="1578" spans="2:2" x14ac:dyDescent="0.25">
      <c r="B1578" s="18"/>
    </row>
    <row r="1579" spans="2:2" x14ac:dyDescent="0.25">
      <c r="B1579" s="18"/>
    </row>
    <row r="1580" spans="2:2" x14ac:dyDescent="0.25">
      <c r="B1580" s="18"/>
    </row>
    <row r="1581" spans="2:2" x14ac:dyDescent="0.25">
      <c r="B1581" s="18"/>
    </row>
    <row r="1582" spans="2:2" x14ac:dyDescent="0.25">
      <c r="B1582" s="18"/>
    </row>
    <row r="1583" spans="2:2" x14ac:dyDescent="0.25">
      <c r="B1583" s="18"/>
    </row>
    <row r="1584" spans="2:2" x14ac:dyDescent="0.25">
      <c r="B1584" s="18"/>
    </row>
    <row r="1585" spans="2:2" x14ac:dyDescent="0.25">
      <c r="B1585" s="18"/>
    </row>
    <row r="1586" spans="2:2" x14ac:dyDescent="0.25">
      <c r="B1586" s="18"/>
    </row>
    <row r="1587" spans="2:2" x14ac:dyDescent="0.25">
      <c r="B1587" s="18"/>
    </row>
    <row r="1588" spans="2:2" x14ac:dyDescent="0.25">
      <c r="B1588" s="18"/>
    </row>
    <row r="1589" spans="2:2" x14ac:dyDescent="0.25">
      <c r="B1589" s="18"/>
    </row>
    <row r="1590" spans="2:2" x14ac:dyDescent="0.25">
      <c r="B1590" s="18"/>
    </row>
    <row r="1591" spans="2:2" x14ac:dyDescent="0.25">
      <c r="B1591" s="18"/>
    </row>
    <row r="1592" spans="2:2" x14ac:dyDescent="0.25">
      <c r="B1592" s="18"/>
    </row>
    <row r="1593" spans="2:2" x14ac:dyDescent="0.25">
      <c r="B1593" s="18"/>
    </row>
    <row r="1594" spans="2:2" x14ac:dyDescent="0.25">
      <c r="B1594" s="18"/>
    </row>
    <row r="1595" spans="2:2" x14ac:dyDescent="0.25">
      <c r="B1595" s="18"/>
    </row>
    <row r="1596" spans="2:2" x14ac:dyDescent="0.25">
      <c r="B1596" s="18"/>
    </row>
    <row r="1597" spans="2:2" x14ac:dyDescent="0.25">
      <c r="B1597" s="18"/>
    </row>
    <row r="1598" spans="2:2" x14ac:dyDescent="0.25">
      <c r="B1598" s="18"/>
    </row>
    <row r="1599" spans="2:2" x14ac:dyDescent="0.25">
      <c r="B1599" s="18"/>
    </row>
    <row r="1600" spans="2:2" x14ac:dyDescent="0.25">
      <c r="B1600" s="18"/>
    </row>
    <row r="1601" spans="2:2" x14ac:dyDescent="0.25">
      <c r="B1601" s="18"/>
    </row>
    <row r="1602" spans="2:2" x14ac:dyDescent="0.25">
      <c r="B1602" s="18"/>
    </row>
    <row r="1603" spans="2:2" x14ac:dyDescent="0.25">
      <c r="B1603" s="18"/>
    </row>
    <row r="1604" spans="2:2" x14ac:dyDescent="0.25">
      <c r="B1604" s="18"/>
    </row>
    <row r="1605" spans="2:2" x14ac:dyDescent="0.25">
      <c r="B1605" s="18"/>
    </row>
    <row r="1606" spans="2:2" x14ac:dyDescent="0.25">
      <c r="B1606" s="18"/>
    </row>
    <row r="1607" spans="2:2" x14ac:dyDescent="0.25">
      <c r="B1607" s="18"/>
    </row>
    <row r="1608" spans="2:2" x14ac:dyDescent="0.25">
      <c r="B1608" s="18"/>
    </row>
    <row r="1609" spans="2:2" x14ac:dyDescent="0.25">
      <c r="B1609" s="18"/>
    </row>
    <row r="1610" spans="2:2" x14ac:dyDescent="0.25">
      <c r="B1610" s="18"/>
    </row>
    <row r="1611" spans="2:2" x14ac:dyDescent="0.25">
      <c r="B1611" s="18"/>
    </row>
    <row r="1612" spans="2:2" x14ac:dyDescent="0.25">
      <c r="B1612" s="18"/>
    </row>
    <row r="1613" spans="2:2" x14ac:dyDescent="0.25">
      <c r="B1613" s="18"/>
    </row>
    <row r="1614" spans="2:2" x14ac:dyDescent="0.25">
      <c r="B1614" s="18"/>
    </row>
    <row r="1615" spans="2:2" x14ac:dyDescent="0.25">
      <c r="B1615" s="18"/>
    </row>
    <row r="1616" spans="2:2" x14ac:dyDescent="0.25">
      <c r="B1616" s="18"/>
    </row>
    <row r="1617" spans="2:2" x14ac:dyDescent="0.25">
      <c r="B1617" s="18"/>
    </row>
    <row r="1618" spans="2:2" x14ac:dyDescent="0.25">
      <c r="B1618" s="18"/>
    </row>
    <row r="1619" spans="2:2" x14ac:dyDescent="0.25">
      <c r="B1619" s="18"/>
    </row>
    <row r="1620" spans="2:2" x14ac:dyDescent="0.25">
      <c r="B1620" s="18"/>
    </row>
    <row r="1621" spans="2:2" x14ac:dyDescent="0.25">
      <c r="B1621" s="18"/>
    </row>
    <row r="1622" spans="2:2" x14ac:dyDescent="0.25">
      <c r="B1622" s="18"/>
    </row>
    <row r="1623" spans="2:2" x14ac:dyDescent="0.25">
      <c r="B1623" s="18"/>
    </row>
    <row r="1624" spans="2:2" x14ac:dyDescent="0.25">
      <c r="B1624" s="18"/>
    </row>
    <row r="1625" spans="2:2" x14ac:dyDescent="0.25">
      <c r="B1625" s="18"/>
    </row>
    <row r="1626" spans="2:2" x14ac:dyDescent="0.25">
      <c r="B1626" s="18"/>
    </row>
    <row r="1627" spans="2:2" x14ac:dyDescent="0.25">
      <c r="B1627" s="18"/>
    </row>
    <row r="1628" spans="2:2" x14ac:dyDescent="0.25">
      <c r="B1628" s="18"/>
    </row>
    <row r="1629" spans="2:2" x14ac:dyDescent="0.25">
      <c r="B1629" s="18"/>
    </row>
    <row r="1630" spans="2:2" x14ac:dyDescent="0.25">
      <c r="B1630" s="18"/>
    </row>
    <row r="1631" spans="2:2" x14ac:dyDescent="0.25">
      <c r="B1631" s="18"/>
    </row>
    <row r="1632" spans="2:2" x14ac:dyDescent="0.25">
      <c r="B1632" s="18"/>
    </row>
    <row r="1633" spans="2:2" x14ac:dyDescent="0.25">
      <c r="B1633" s="18"/>
    </row>
    <row r="1634" spans="2:2" x14ac:dyDescent="0.25">
      <c r="B1634" s="18"/>
    </row>
    <row r="1635" spans="2:2" x14ac:dyDescent="0.25">
      <c r="B1635" s="18"/>
    </row>
    <row r="1636" spans="2:2" x14ac:dyDescent="0.25">
      <c r="B1636" s="18"/>
    </row>
    <row r="1637" spans="2:2" x14ac:dyDescent="0.25">
      <c r="B1637" s="18"/>
    </row>
    <row r="1638" spans="2:2" x14ac:dyDescent="0.25">
      <c r="B1638" s="18"/>
    </row>
    <row r="1639" spans="2:2" x14ac:dyDescent="0.25">
      <c r="B1639" s="18"/>
    </row>
    <row r="1640" spans="2:2" x14ac:dyDescent="0.25">
      <c r="B1640" s="18"/>
    </row>
    <row r="1641" spans="2:2" x14ac:dyDescent="0.25">
      <c r="B1641" s="18"/>
    </row>
    <row r="1642" spans="2:2" x14ac:dyDescent="0.25">
      <c r="B1642" s="18"/>
    </row>
    <row r="1643" spans="2:2" x14ac:dyDescent="0.25">
      <c r="B1643" s="18"/>
    </row>
    <row r="1644" spans="2:2" x14ac:dyDescent="0.25">
      <c r="B1644" s="18"/>
    </row>
    <row r="1645" spans="2:2" x14ac:dyDescent="0.25">
      <c r="B1645" s="18"/>
    </row>
    <row r="1646" spans="2:2" x14ac:dyDescent="0.25">
      <c r="B1646" s="18"/>
    </row>
    <row r="1647" spans="2:2" x14ac:dyDescent="0.25">
      <c r="B1647" s="18"/>
    </row>
    <row r="1648" spans="2:2" x14ac:dyDescent="0.25">
      <c r="B1648" s="18"/>
    </row>
    <row r="1649" spans="2:2" x14ac:dyDescent="0.25">
      <c r="B1649" s="18"/>
    </row>
    <row r="1650" spans="2:2" x14ac:dyDescent="0.25">
      <c r="B1650" s="18"/>
    </row>
    <row r="1651" spans="2:2" x14ac:dyDescent="0.25">
      <c r="B1651" s="18"/>
    </row>
    <row r="1652" spans="2:2" x14ac:dyDescent="0.25">
      <c r="B1652" s="18"/>
    </row>
    <row r="1653" spans="2:2" x14ac:dyDescent="0.25">
      <c r="B1653" s="18"/>
    </row>
    <row r="1654" spans="2:2" x14ac:dyDescent="0.25">
      <c r="B1654" s="18"/>
    </row>
    <row r="1655" spans="2:2" x14ac:dyDescent="0.25">
      <c r="B1655" s="18"/>
    </row>
    <row r="1656" spans="2:2" x14ac:dyDescent="0.25">
      <c r="B1656" s="18"/>
    </row>
    <row r="1657" spans="2:2" x14ac:dyDescent="0.25">
      <c r="B1657" s="18"/>
    </row>
    <row r="1658" spans="2:2" x14ac:dyDescent="0.25">
      <c r="B1658" s="18"/>
    </row>
    <row r="1659" spans="2:2" x14ac:dyDescent="0.25">
      <c r="B1659" s="18"/>
    </row>
    <row r="1660" spans="2:2" x14ac:dyDescent="0.25">
      <c r="B1660" s="18"/>
    </row>
    <row r="1661" spans="2:2" x14ac:dyDescent="0.25">
      <c r="B1661" s="18"/>
    </row>
    <row r="1662" spans="2:2" x14ac:dyDescent="0.25">
      <c r="B1662" s="18"/>
    </row>
    <row r="1663" spans="2:2" x14ac:dyDescent="0.25">
      <c r="B1663" s="18"/>
    </row>
    <row r="1664" spans="2:2" x14ac:dyDescent="0.25">
      <c r="B1664" s="18"/>
    </row>
    <row r="1665" spans="2:2" x14ac:dyDescent="0.25">
      <c r="B1665" s="18"/>
    </row>
    <row r="1666" spans="2:2" x14ac:dyDescent="0.25">
      <c r="B1666" s="18"/>
    </row>
    <row r="1667" spans="2:2" x14ac:dyDescent="0.25">
      <c r="B1667" s="18"/>
    </row>
    <row r="1668" spans="2:2" x14ac:dyDescent="0.25">
      <c r="B1668" s="18"/>
    </row>
    <row r="1669" spans="2:2" x14ac:dyDescent="0.25">
      <c r="B1669" s="18"/>
    </row>
    <row r="1670" spans="2:2" x14ac:dyDescent="0.25">
      <c r="B1670" s="18"/>
    </row>
    <row r="1671" spans="2:2" x14ac:dyDescent="0.25">
      <c r="B1671" s="18"/>
    </row>
    <row r="1672" spans="2:2" x14ac:dyDescent="0.25">
      <c r="B1672" s="18"/>
    </row>
    <row r="1673" spans="2:2" x14ac:dyDescent="0.25">
      <c r="B1673" s="18"/>
    </row>
    <row r="1674" spans="2:2" x14ac:dyDescent="0.25">
      <c r="B1674" s="18"/>
    </row>
    <row r="1675" spans="2:2" x14ac:dyDescent="0.25">
      <c r="B1675" s="18"/>
    </row>
    <row r="1676" spans="2:2" x14ac:dyDescent="0.25">
      <c r="B1676" s="18"/>
    </row>
    <row r="1677" spans="2:2" x14ac:dyDescent="0.25">
      <c r="B1677" s="18"/>
    </row>
    <row r="1678" spans="2:2" x14ac:dyDescent="0.25">
      <c r="B1678" s="18"/>
    </row>
    <row r="1679" spans="2:2" x14ac:dyDescent="0.25">
      <c r="B1679" s="18"/>
    </row>
    <row r="1680" spans="2:2" x14ac:dyDescent="0.25">
      <c r="B1680" s="18"/>
    </row>
    <row r="1681" spans="2:2" x14ac:dyDescent="0.25">
      <c r="B1681" s="18"/>
    </row>
    <row r="1682" spans="2:2" x14ac:dyDescent="0.25">
      <c r="B1682" s="18"/>
    </row>
    <row r="1683" spans="2:2" x14ac:dyDescent="0.25">
      <c r="B1683" s="18"/>
    </row>
    <row r="1684" spans="2:2" x14ac:dyDescent="0.25">
      <c r="B1684" s="18"/>
    </row>
    <row r="1685" spans="2:2" x14ac:dyDescent="0.25">
      <c r="B1685" s="18"/>
    </row>
    <row r="1686" spans="2:2" x14ac:dyDescent="0.25">
      <c r="B1686" s="18"/>
    </row>
    <row r="1687" spans="2:2" x14ac:dyDescent="0.25">
      <c r="B1687" s="18"/>
    </row>
    <row r="1688" spans="2:2" x14ac:dyDescent="0.25">
      <c r="B1688" s="18"/>
    </row>
    <row r="1689" spans="2:2" x14ac:dyDescent="0.25">
      <c r="B1689" s="18"/>
    </row>
    <row r="1690" spans="2:2" x14ac:dyDescent="0.25">
      <c r="B1690" s="18"/>
    </row>
    <row r="1691" spans="2:2" x14ac:dyDescent="0.25">
      <c r="B1691" s="18"/>
    </row>
    <row r="1692" spans="2:2" x14ac:dyDescent="0.25">
      <c r="B1692" s="18"/>
    </row>
    <row r="1693" spans="2:2" x14ac:dyDescent="0.25">
      <c r="B1693" s="18"/>
    </row>
    <row r="1694" spans="2:2" x14ac:dyDescent="0.25">
      <c r="B1694" s="18"/>
    </row>
    <row r="1695" spans="2:2" x14ac:dyDescent="0.25">
      <c r="B1695" s="18"/>
    </row>
    <row r="1696" spans="2:2" x14ac:dyDescent="0.25">
      <c r="B1696" s="18"/>
    </row>
    <row r="1697" spans="2:2" x14ac:dyDescent="0.25">
      <c r="B1697" s="18"/>
    </row>
    <row r="1698" spans="2:2" x14ac:dyDescent="0.25">
      <c r="B1698" s="18"/>
    </row>
    <row r="1699" spans="2:2" x14ac:dyDescent="0.25">
      <c r="B1699" s="18"/>
    </row>
    <row r="1700" spans="2:2" x14ac:dyDescent="0.25">
      <c r="B1700" s="18"/>
    </row>
    <row r="1701" spans="2:2" x14ac:dyDescent="0.25">
      <c r="B1701" s="18"/>
    </row>
    <row r="1702" spans="2:2" x14ac:dyDescent="0.25">
      <c r="B1702" s="18"/>
    </row>
    <row r="1703" spans="2:2" x14ac:dyDescent="0.25">
      <c r="B1703" s="18"/>
    </row>
    <row r="1704" spans="2:2" x14ac:dyDescent="0.25">
      <c r="B1704" s="18"/>
    </row>
    <row r="1705" spans="2:2" x14ac:dyDescent="0.25">
      <c r="B1705" s="18"/>
    </row>
    <row r="1706" spans="2:2" x14ac:dyDescent="0.25">
      <c r="B1706" s="18"/>
    </row>
    <row r="1707" spans="2:2" x14ac:dyDescent="0.25">
      <c r="B1707" s="18"/>
    </row>
    <row r="1708" spans="2:2" x14ac:dyDescent="0.25">
      <c r="B1708" s="18"/>
    </row>
    <row r="1709" spans="2:2" x14ac:dyDescent="0.25">
      <c r="B1709" s="18"/>
    </row>
    <row r="1710" spans="2:2" x14ac:dyDescent="0.25">
      <c r="B1710" s="18"/>
    </row>
    <row r="1711" spans="2:2" x14ac:dyDescent="0.25">
      <c r="B1711" s="18"/>
    </row>
    <row r="1712" spans="2:2" x14ac:dyDescent="0.25">
      <c r="B1712" s="18"/>
    </row>
    <row r="1713" spans="2:2" x14ac:dyDescent="0.25">
      <c r="B1713" s="18"/>
    </row>
    <row r="1714" spans="2:2" x14ac:dyDescent="0.25">
      <c r="B1714" s="18"/>
    </row>
    <row r="1715" spans="2:2" x14ac:dyDescent="0.25">
      <c r="B1715" s="18"/>
    </row>
    <row r="1716" spans="2:2" x14ac:dyDescent="0.25">
      <c r="B1716" s="18"/>
    </row>
    <row r="1717" spans="2:2" x14ac:dyDescent="0.25">
      <c r="B1717" s="18"/>
    </row>
    <row r="1718" spans="2:2" x14ac:dyDescent="0.25">
      <c r="B1718" s="18"/>
    </row>
    <row r="1719" spans="2:2" x14ac:dyDescent="0.25">
      <c r="B1719" s="18"/>
    </row>
    <row r="1720" spans="2:2" x14ac:dyDescent="0.25">
      <c r="B1720" s="18"/>
    </row>
    <row r="1721" spans="2:2" x14ac:dyDescent="0.25">
      <c r="B1721" s="18"/>
    </row>
    <row r="1722" spans="2:2" x14ac:dyDescent="0.25">
      <c r="B1722" s="18"/>
    </row>
    <row r="1723" spans="2:2" x14ac:dyDescent="0.25">
      <c r="B1723" s="18"/>
    </row>
    <row r="1724" spans="2:2" x14ac:dyDescent="0.25">
      <c r="B1724" s="18"/>
    </row>
    <row r="1725" spans="2:2" x14ac:dyDescent="0.25">
      <c r="B1725" s="18"/>
    </row>
    <row r="1726" spans="2:2" x14ac:dyDescent="0.25">
      <c r="B1726" s="18"/>
    </row>
    <row r="1727" spans="2:2" x14ac:dyDescent="0.25">
      <c r="B1727" s="18"/>
    </row>
    <row r="1728" spans="2:2" x14ac:dyDescent="0.25">
      <c r="B1728" s="18"/>
    </row>
    <row r="1729" spans="2:2" x14ac:dyDescent="0.25">
      <c r="B1729" s="18"/>
    </row>
    <row r="1730" spans="2:2" x14ac:dyDescent="0.25">
      <c r="B1730" s="18"/>
    </row>
    <row r="1731" spans="2:2" x14ac:dyDescent="0.25">
      <c r="B1731" s="18"/>
    </row>
    <row r="1732" spans="2:2" x14ac:dyDescent="0.25">
      <c r="B1732" s="18"/>
    </row>
    <row r="1733" spans="2:2" x14ac:dyDescent="0.25">
      <c r="B1733" s="18"/>
    </row>
    <row r="1734" spans="2:2" x14ac:dyDescent="0.25">
      <c r="B1734" s="18"/>
    </row>
    <row r="1735" spans="2:2" x14ac:dyDescent="0.25">
      <c r="B1735" s="18"/>
    </row>
    <row r="1736" spans="2:2" x14ac:dyDescent="0.25">
      <c r="B1736" s="18"/>
    </row>
    <row r="1737" spans="2:2" x14ac:dyDescent="0.25">
      <c r="B1737" s="18"/>
    </row>
    <row r="1738" spans="2:2" x14ac:dyDescent="0.25">
      <c r="B1738" s="18"/>
    </row>
    <row r="1739" spans="2:2" x14ac:dyDescent="0.25">
      <c r="B1739" s="18"/>
    </row>
    <row r="1740" spans="2:2" x14ac:dyDescent="0.25">
      <c r="B1740" s="18"/>
    </row>
    <row r="1741" spans="2:2" x14ac:dyDescent="0.25">
      <c r="B1741" s="18"/>
    </row>
    <row r="1742" spans="2:2" x14ac:dyDescent="0.25">
      <c r="B1742" s="18"/>
    </row>
    <row r="1743" spans="2:2" x14ac:dyDescent="0.25">
      <c r="B1743" s="18"/>
    </row>
    <row r="1744" spans="2:2" x14ac:dyDescent="0.25">
      <c r="B1744" s="18"/>
    </row>
    <row r="1745" spans="2:2" x14ac:dyDescent="0.25">
      <c r="B1745" s="18"/>
    </row>
    <row r="1746" spans="2:2" x14ac:dyDescent="0.25">
      <c r="B1746" s="18"/>
    </row>
    <row r="1747" spans="2:2" x14ac:dyDescent="0.25">
      <c r="B1747" s="18"/>
    </row>
    <row r="1748" spans="2:2" x14ac:dyDescent="0.25">
      <c r="B1748" s="18"/>
    </row>
    <row r="1749" spans="2:2" x14ac:dyDescent="0.25">
      <c r="B1749" s="18"/>
    </row>
    <row r="1750" spans="2:2" x14ac:dyDescent="0.25">
      <c r="B1750" s="18"/>
    </row>
    <row r="1751" spans="2:2" x14ac:dyDescent="0.25">
      <c r="B1751" s="18"/>
    </row>
    <row r="1752" spans="2:2" x14ac:dyDescent="0.25">
      <c r="B1752" s="18"/>
    </row>
    <row r="1753" spans="2:2" x14ac:dyDescent="0.25">
      <c r="B1753" s="18"/>
    </row>
    <row r="1754" spans="2:2" x14ac:dyDescent="0.25">
      <c r="B1754" s="18"/>
    </row>
    <row r="1755" spans="2:2" x14ac:dyDescent="0.25">
      <c r="B1755" s="18"/>
    </row>
    <row r="1756" spans="2:2" x14ac:dyDescent="0.25">
      <c r="B1756" s="18"/>
    </row>
    <row r="1757" spans="2:2" x14ac:dyDescent="0.25">
      <c r="B1757" s="18"/>
    </row>
    <row r="1758" spans="2:2" x14ac:dyDescent="0.25">
      <c r="B1758" s="18"/>
    </row>
    <row r="1759" spans="2:2" x14ac:dyDescent="0.25">
      <c r="B1759" s="18"/>
    </row>
    <row r="1760" spans="2:2" x14ac:dyDescent="0.25">
      <c r="B1760" s="18"/>
    </row>
    <row r="1761" spans="2:2" x14ac:dyDescent="0.25">
      <c r="B1761" s="18"/>
    </row>
    <row r="1762" spans="2:2" x14ac:dyDescent="0.25">
      <c r="B1762" s="18"/>
    </row>
    <row r="1763" spans="2:2" x14ac:dyDescent="0.25">
      <c r="B1763" s="18"/>
    </row>
    <row r="1764" spans="2:2" x14ac:dyDescent="0.25">
      <c r="B1764" s="18"/>
    </row>
    <row r="1765" spans="2:2" x14ac:dyDescent="0.25">
      <c r="B1765" s="18"/>
    </row>
    <row r="1766" spans="2:2" x14ac:dyDescent="0.25">
      <c r="B1766" s="18"/>
    </row>
    <row r="1767" spans="2:2" x14ac:dyDescent="0.25">
      <c r="B1767" s="18"/>
    </row>
    <row r="1768" spans="2:2" x14ac:dyDescent="0.25">
      <c r="B1768" s="18"/>
    </row>
    <row r="1769" spans="2:2" x14ac:dyDescent="0.25">
      <c r="B1769" s="18"/>
    </row>
    <row r="1770" spans="2:2" x14ac:dyDescent="0.25">
      <c r="B1770" s="18"/>
    </row>
    <row r="1771" spans="2:2" x14ac:dyDescent="0.25">
      <c r="B1771" s="18"/>
    </row>
    <row r="1772" spans="2:2" x14ac:dyDescent="0.25">
      <c r="B1772" s="18"/>
    </row>
    <row r="1773" spans="2:2" x14ac:dyDescent="0.25">
      <c r="B1773" s="18"/>
    </row>
    <row r="1774" spans="2:2" x14ac:dyDescent="0.25">
      <c r="B1774" s="18"/>
    </row>
    <row r="1775" spans="2:2" x14ac:dyDescent="0.25">
      <c r="B1775" s="18"/>
    </row>
    <row r="1776" spans="2:2" x14ac:dyDescent="0.25">
      <c r="B1776" s="18"/>
    </row>
    <row r="1777" spans="2:2" x14ac:dyDescent="0.25">
      <c r="B1777" s="18"/>
    </row>
    <row r="1778" spans="2:2" x14ac:dyDescent="0.25">
      <c r="B1778" s="18"/>
    </row>
    <row r="1779" spans="2:2" x14ac:dyDescent="0.25">
      <c r="B1779" s="18"/>
    </row>
    <row r="1780" spans="2:2" x14ac:dyDescent="0.25">
      <c r="B1780" s="18"/>
    </row>
    <row r="1781" spans="2:2" x14ac:dyDescent="0.25">
      <c r="B1781" s="18"/>
    </row>
    <row r="1782" spans="2:2" x14ac:dyDescent="0.25">
      <c r="B1782" s="18"/>
    </row>
    <row r="1783" spans="2:2" x14ac:dyDescent="0.25">
      <c r="B1783" s="18"/>
    </row>
    <row r="1784" spans="2:2" x14ac:dyDescent="0.25">
      <c r="B1784" s="18"/>
    </row>
    <row r="1785" spans="2:2" x14ac:dyDescent="0.25">
      <c r="B1785" s="18"/>
    </row>
    <row r="1786" spans="2:2" x14ac:dyDescent="0.25">
      <c r="B1786" s="18"/>
    </row>
    <row r="1787" spans="2:2" x14ac:dyDescent="0.25">
      <c r="B1787" s="18"/>
    </row>
    <row r="1788" spans="2:2" x14ac:dyDescent="0.25">
      <c r="B1788" s="18"/>
    </row>
    <row r="1789" spans="2:2" x14ac:dyDescent="0.25">
      <c r="B1789" s="18"/>
    </row>
    <row r="1790" spans="2:2" x14ac:dyDescent="0.25">
      <c r="B1790" s="18"/>
    </row>
    <row r="1791" spans="2:2" x14ac:dyDescent="0.25">
      <c r="B1791" s="18"/>
    </row>
    <row r="1792" spans="2:2" x14ac:dyDescent="0.25">
      <c r="B1792" s="18"/>
    </row>
    <row r="1793" spans="2:2" x14ac:dyDescent="0.25">
      <c r="B1793" s="18"/>
    </row>
    <row r="1794" spans="2:2" x14ac:dyDescent="0.25">
      <c r="B1794" s="18"/>
    </row>
    <row r="1795" spans="2:2" x14ac:dyDescent="0.25">
      <c r="B1795" s="18"/>
    </row>
    <row r="1796" spans="2:2" x14ac:dyDescent="0.25">
      <c r="B1796" s="18"/>
    </row>
    <row r="1797" spans="2:2" x14ac:dyDescent="0.25">
      <c r="B1797" s="18"/>
    </row>
    <row r="1798" spans="2:2" x14ac:dyDescent="0.25">
      <c r="B1798" s="18"/>
    </row>
    <row r="1799" spans="2:2" x14ac:dyDescent="0.25">
      <c r="B1799" s="18"/>
    </row>
    <row r="1800" spans="2:2" x14ac:dyDescent="0.25">
      <c r="B1800" s="18"/>
    </row>
    <row r="1801" spans="2:2" x14ac:dyDescent="0.25">
      <c r="B1801" s="18"/>
    </row>
    <row r="1802" spans="2:2" x14ac:dyDescent="0.25">
      <c r="B1802" s="18"/>
    </row>
    <row r="1803" spans="2:2" x14ac:dyDescent="0.25">
      <c r="B1803" s="18"/>
    </row>
    <row r="1804" spans="2:2" x14ac:dyDescent="0.25">
      <c r="B1804" s="18"/>
    </row>
    <row r="1805" spans="2:2" x14ac:dyDescent="0.25">
      <c r="B1805" s="18"/>
    </row>
    <row r="1806" spans="2:2" x14ac:dyDescent="0.25">
      <c r="B1806" s="18"/>
    </row>
    <row r="1807" spans="2:2" x14ac:dyDescent="0.25">
      <c r="B1807" s="18"/>
    </row>
    <row r="1808" spans="2:2" x14ac:dyDescent="0.25">
      <c r="B1808" s="18"/>
    </row>
    <row r="1809" spans="2:2" x14ac:dyDescent="0.25">
      <c r="B1809" s="18"/>
    </row>
    <row r="1810" spans="2:2" x14ac:dyDescent="0.25">
      <c r="B1810" s="18"/>
    </row>
    <row r="1811" spans="2:2" x14ac:dyDescent="0.25">
      <c r="B1811" s="18"/>
    </row>
    <row r="1812" spans="2:2" x14ac:dyDescent="0.25">
      <c r="B1812" s="18"/>
    </row>
    <row r="1813" spans="2:2" x14ac:dyDescent="0.25">
      <c r="B1813" s="18"/>
    </row>
    <row r="1814" spans="2:2" x14ac:dyDescent="0.25">
      <c r="B1814" s="18"/>
    </row>
    <row r="1815" spans="2:2" x14ac:dyDescent="0.25">
      <c r="B1815" s="18"/>
    </row>
    <row r="1816" spans="2:2" x14ac:dyDescent="0.25">
      <c r="B1816" s="18"/>
    </row>
    <row r="1817" spans="2:2" x14ac:dyDescent="0.25">
      <c r="B1817" s="18"/>
    </row>
    <row r="1818" spans="2:2" x14ac:dyDescent="0.25">
      <c r="B1818" s="18"/>
    </row>
    <row r="1819" spans="2:2" x14ac:dyDescent="0.25">
      <c r="B1819" s="18"/>
    </row>
    <row r="1820" spans="2:2" x14ac:dyDescent="0.25">
      <c r="B1820" s="18"/>
    </row>
    <row r="1821" spans="2:2" x14ac:dyDescent="0.25">
      <c r="B1821" s="18"/>
    </row>
    <row r="1822" spans="2:2" x14ac:dyDescent="0.25">
      <c r="B1822" s="18"/>
    </row>
    <row r="1823" spans="2:2" x14ac:dyDescent="0.25">
      <c r="B1823" s="18"/>
    </row>
    <row r="1824" spans="2:2" x14ac:dyDescent="0.25">
      <c r="B1824" s="18"/>
    </row>
    <row r="1825" spans="2:2" x14ac:dyDescent="0.25">
      <c r="B1825" s="18"/>
    </row>
    <row r="1826" spans="2:2" x14ac:dyDescent="0.25">
      <c r="B1826" s="18"/>
    </row>
    <row r="1827" spans="2:2" x14ac:dyDescent="0.25">
      <c r="B1827" s="18"/>
    </row>
    <row r="1828" spans="2:2" x14ac:dyDescent="0.25">
      <c r="B1828" s="18"/>
    </row>
    <row r="1829" spans="2:2" x14ac:dyDescent="0.25">
      <c r="B1829" s="18"/>
    </row>
    <row r="1830" spans="2:2" x14ac:dyDescent="0.25">
      <c r="B1830" s="18"/>
    </row>
    <row r="1831" spans="2:2" x14ac:dyDescent="0.25">
      <c r="B1831" s="18"/>
    </row>
    <row r="1832" spans="2:2" x14ac:dyDescent="0.25">
      <c r="B1832" s="18"/>
    </row>
    <row r="1833" spans="2:2" x14ac:dyDescent="0.25">
      <c r="B1833" s="18"/>
    </row>
    <row r="1834" spans="2:2" x14ac:dyDescent="0.25">
      <c r="B1834" s="18"/>
    </row>
    <row r="1835" spans="2:2" x14ac:dyDescent="0.25">
      <c r="B1835" s="18"/>
    </row>
    <row r="1836" spans="2:2" x14ac:dyDescent="0.25">
      <c r="B1836" s="18"/>
    </row>
    <row r="1837" spans="2:2" x14ac:dyDescent="0.25">
      <c r="B1837" s="18"/>
    </row>
    <row r="1838" spans="2:2" x14ac:dyDescent="0.25">
      <c r="B1838" s="18"/>
    </row>
    <row r="1839" spans="2:2" x14ac:dyDescent="0.25">
      <c r="B1839" s="18"/>
    </row>
    <row r="1840" spans="2:2" x14ac:dyDescent="0.25">
      <c r="B1840" s="18"/>
    </row>
    <row r="1841" spans="2:2" x14ac:dyDescent="0.25">
      <c r="B1841" s="18"/>
    </row>
    <row r="1842" spans="2:2" x14ac:dyDescent="0.25">
      <c r="B1842" s="18"/>
    </row>
    <row r="1843" spans="2:2" x14ac:dyDescent="0.25">
      <c r="B1843" s="18"/>
    </row>
    <row r="1844" spans="2:2" x14ac:dyDescent="0.25">
      <c r="B1844" s="18"/>
    </row>
    <row r="1845" spans="2:2" x14ac:dyDescent="0.25">
      <c r="B1845" s="18"/>
    </row>
    <row r="1846" spans="2:2" x14ac:dyDescent="0.25">
      <c r="B1846" s="18"/>
    </row>
    <row r="1847" spans="2:2" x14ac:dyDescent="0.25">
      <c r="B1847" s="18"/>
    </row>
    <row r="1848" spans="2:2" x14ac:dyDescent="0.25">
      <c r="B1848" s="18"/>
    </row>
    <row r="1849" spans="2:2" x14ac:dyDescent="0.25">
      <c r="B1849" s="18"/>
    </row>
    <row r="1850" spans="2:2" x14ac:dyDescent="0.25">
      <c r="B1850" s="18"/>
    </row>
    <row r="1851" spans="2:2" x14ac:dyDescent="0.25">
      <c r="B1851" s="18"/>
    </row>
    <row r="1852" spans="2:2" x14ac:dyDescent="0.25">
      <c r="B1852" s="18"/>
    </row>
    <row r="1853" spans="2:2" x14ac:dyDescent="0.25">
      <c r="B1853" s="18"/>
    </row>
    <row r="1854" spans="2:2" x14ac:dyDescent="0.25">
      <c r="B1854" s="18"/>
    </row>
    <row r="1855" spans="2:2" x14ac:dyDescent="0.25">
      <c r="B1855" s="18"/>
    </row>
    <row r="1856" spans="2:2" x14ac:dyDescent="0.25">
      <c r="B1856" s="18"/>
    </row>
    <row r="1857" spans="2:2" x14ac:dyDescent="0.25">
      <c r="B1857" s="18"/>
    </row>
    <row r="1858" spans="2:2" x14ac:dyDescent="0.25">
      <c r="B1858" s="18"/>
    </row>
    <row r="1859" spans="2:2" x14ac:dyDescent="0.25">
      <c r="B1859" s="18"/>
    </row>
    <row r="1860" spans="2:2" x14ac:dyDescent="0.25">
      <c r="B1860" s="18"/>
    </row>
    <row r="1861" spans="2:2" x14ac:dyDescent="0.25">
      <c r="B1861" s="18"/>
    </row>
    <row r="1862" spans="2:2" x14ac:dyDescent="0.25">
      <c r="B1862" s="18"/>
    </row>
    <row r="1863" spans="2:2" x14ac:dyDescent="0.25">
      <c r="B1863" s="18"/>
    </row>
    <row r="1864" spans="2:2" x14ac:dyDescent="0.25">
      <c r="B1864" s="18"/>
    </row>
    <row r="1865" spans="2:2" x14ac:dyDescent="0.25">
      <c r="B1865" s="18"/>
    </row>
    <row r="1866" spans="2:2" x14ac:dyDescent="0.25">
      <c r="B1866" s="18"/>
    </row>
    <row r="1867" spans="2:2" x14ac:dyDescent="0.25">
      <c r="B1867" s="18"/>
    </row>
    <row r="1868" spans="2:2" x14ac:dyDescent="0.25">
      <c r="B1868" s="18"/>
    </row>
    <row r="1869" spans="2:2" x14ac:dyDescent="0.25">
      <c r="B1869" s="18"/>
    </row>
    <row r="1870" spans="2:2" x14ac:dyDescent="0.25">
      <c r="B1870" s="18"/>
    </row>
    <row r="1871" spans="2:2" x14ac:dyDescent="0.25">
      <c r="B1871" s="18"/>
    </row>
    <row r="1872" spans="2:2" x14ac:dyDescent="0.25">
      <c r="B1872" s="18"/>
    </row>
    <row r="1873" spans="2:2" x14ac:dyDescent="0.25">
      <c r="B1873" s="18"/>
    </row>
    <row r="1874" spans="2:2" x14ac:dyDescent="0.25">
      <c r="B1874" s="18"/>
    </row>
    <row r="1875" spans="2:2" x14ac:dyDescent="0.25">
      <c r="B1875" s="18"/>
    </row>
    <row r="1876" spans="2:2" x14ac:dyDescent="0.25">
      <c r="B1876" s="18"/>
    </row>
    <row r="1877" spans="2:2" x14ac:dyDescent="0.25">
      <c r="B1877" s="18"/>
    </row>
    <row r="1878" spans="2:2" x14ac:dyDescent="0.25">
      <c r="B1878" s="18"/>
    </row>
    <row r="1879" spans="2:2" x14ac:dyDescent="0.25">
      <c r="B1879" s="18"/>
    </row>
    <row r="1880" spans="2:2" x14ac:dyDescent="0.25">
      <c r="B1880" s="18"/>
    </row>
    <row r="1881" spans="2:2" x14ac:dyDescent="0.25">
      <c r="B1881" s="18"/>
    </row>
    <row r="1882" spans="2:2" x14ac:dyDescent="0.25">
      <c r="B1882" s="18"/>
    </row>
    <row r="1883" spans="2:2" x14ac:dyDescent="0.25">
      <c r="B1883" s="18"/>
    </row>
    <row r="1884" spans="2:2" x14ac:dyDescent="0.25">
      <c r="B1884" s="18"/>
    </row>
    <row r="1885" spans="2:2" x14ac:dyDescent="0.25">
      <c r="B1885" s="18"/>
    </row>
    <row r="1886" spans="2:2" x14ac:dyDescent="0.25">
      <c r="B1886" s="18"/>
    </row>
    <row r="1887" spans="2:2" x14ac:dyDescent="0.25">
      <c r="B1887" s="18"/>
    </row>
    <row r="1888" spans="2:2" x14ac:dyDescent="0.25">
      <c r="B1888" s="18"/>
    </row>
    <row r="1889" spans="2:2" x14ac:dyDescent="0.25">
      <c r="B1889" s="18"/>
    </row>
    <row r="1890" spans="2:2" x14ac:dyDescent="0.25">
      <c r="B1890" s="18"/>
    </row>
    <row r="1891" spans="2:2" x14ac:dyDescent="0.25">
      <c r="B1891" s="18"/>
    </row>
    <row r="1892" spans="2:2" x14ac:dyDescent="0.25">
      <c r="B1892" s="18"/>
    </row>
    <row r="1893" spans="2:2" x14ac:dyDescent="0.25">
      <c r="B1893" s="18"/>
    </row>
    <row r="1894" spans="2:2" x14ac:dyDescent="0.25">
      <c r="B1894" s="18"/>
    </row>
    <row r="1895" spans="2:2" x14ac:dyDescent="0.25">
      <c r="B1895" s="18"/>
    </row>
    <row r="1896" spans="2:2" x14ac:dyDescent="0.25">
      <c r="B1896" s="18"/>
    </row>
    <row r="1897" spans="2:2" x14ac:dyDescent="0.25">
      <c r="B1897" s="18"/>
    </row>
    <row r="1898" spans="2:2" x14ac:dyDescent="0.25">
      <c r="B1898" s="18"/>
    </row>
    <row r="1899" spans="2:2" x14ac:dyDescent="0.25">
      <c r="B1899" s="18"/>
    </row>
    <row r="1900" spans="2:2" x14ac:dyDescent="0.25">
      <c r="B1900" s="18"/>
    </row>
    <row r="1901" spans="2:2" x14ac:dyDescent="0.25">
      <c r="B1901" s="18"/>
    </row>
    <row r="1902" spans="2:2" x14ac:dyDescent="0.25">
      <c r="B1902" s="18"/>
    </row>
    <row r="1903" spans="2:2" x14ac:dyDescent="0.25">
      <c r="B1903" s="18"/>
    </row>
    <row r="1904" spans="2:2" x14ac:dyDescent="0.25">
      <c r="B1904" s="18"/>
    </row>
    <row r="1905" spans="2:2" x14ac:dyDescent="0.25">
      <c r="B1905" s="18"/>
    </row>
    <row r="1906" spans="2:2" x14ac:dyDescent="0.25">
      <c r="B1906" s="18"/>
    </row>
    <row r="1907" spans="2:2" x14ac:dyDescent="0.25">
      <c r="B1907" s="18"/>
    </row>
    <row r="1908" spans="2:2" x14ac:dyDescent="0.25">
      <c r="B1908" s="18"/>
    </row>
    <row r="1909" spans="2:2" x14ac:dyDescent="0.25">
      <c r="B1909" s="18"/>
    </row>
    <row r="1910" spans="2:2" x14ac:dyDescent="0.25">
      <c r="B1910" s="18"/>
    </row>
    <row r="1911" spans="2:2" x14ac:dyDescent="0.25">
      <c r="B1911" s="18"/>
    </row>
    <row r="1912" spans="2:2" x14ac:dyDescent="0.25">
      <c r="B1912" s="18"/>
    </row>
    <row r="1913" spans="2:2" x14ac:dyDescent="0.25">
      <c r="B1913" s="18"/>
    </row>
    <row r="1914" spans="2:2" x14ac:dyDescent="0.25">
      <c r="B1914" s="18"/>
    </row>
    <row r="1915" spans="2:2" x14ac:dyDescent="0.25">
      <c r="B1915" s="18"/>
    </row>
    <row r="1916" spans="2:2" x14ac:dyDescent="0.25">
      <c r="B1916" s="18"/>
    </row>
    <row r="1917" spans="2:2" x14ac:dyDescent="0.25">
      <c r="B1917" s="18"/>
    </row>
    <row r="1918" spans="2:2" x14ac:dyDescent="0.25">
      <c r="B1918" s="18"/>
    </row>
    <row r="1919" spans="2:2" x14ac:dyDescent="0.25">
      <c r="B1919" s="18"/>
    </row>
    <row r="1920" spans="2:2" x14ac:dyDescent="0.25">
      <c r="B1920" s="18"/>
    </row>
    <row r="1921" spans="2:2" x14ac:dyDescent="0.25">
      <c r="B1921" s="18"/>
    </row>
    <row r="1922" spans="2:2" x14ac:dyDescent="0.25">
      <c r="B1922" s="18"/>
    </row>
    <row r="1923" spans="2:2" x14ac:dyDescent="0.25">
      <c r="B1923" s="18"/>
    </row>
    <row r="1924" spans="2:2" x14ac:dyDescent="0.25">
      <c r="B1924" s="18"/>
    </row>
    <row r="1925" spans="2:2" x14ac:dyDescent="0.25">
      <c r="B1925" s="18"/>
    </row>
    <row r="1926" spans="2:2" x14ac:dyDescent="0.25">
      <c r="B1926" s="18"/>
    </row>
    <row r="1927" spans="2:2" x14ac:dyDescent="0.25">
      <c r="B1927" s="18"/>
    </row>
    <row r="1928" spans="2:2" x14ac:dyDescent="0.25">
      <c r="B1928" s="18"/>
    </row>
    <row r="1929" spans="2:2" x14ac:dyDescent="0.25">
      <c r="B1929" s="18"/>
    </row>
    <row r="1930" spans="2:2" x14ac:dyDescent="0.25">
      <c r="B1930" s="18"/>
    </row>
    <row r="1931" spans="2:2" x14ac:dyDescent="0.25">
      <c r="B1931" s="18"/>
    </row>
    <row r="1932" spans="2:2" x14ac:dyDescent="0.25">
      <c r="B1932" s="18"/>
    </row>
    <row r="1933" spans="2:2" x14ac:dyDescent="0.25">
      <c r="B1933" s="18"/>
    </row>
    <row r="1934" spans="2:2" x14ac:dyDescent="0.25">
      <c r="B1934" s="18"/>
    </row>
    <row r="1935" spans="2:2" x14ac:dyDescent="0.25">
      <c r="B1935" s="18"/>
    </row>
    <row r="1936" spans="2:2" x14ac:dyDescent="0.25">
      <c r="B1936" s="18"/>
    </row>
    <row r="1937" spans="2:2" x14ac:dyDescent="0.25">
      <c r="B1937" s="18"/>
    </row>
    <row r="1938" spans="2:2" x14ac:dyDescent="0.25">
      <c r="B1938" s="18"/>
    </row>
    <row r="1939" spans="2:2" x14ac:dyDescent="0.25">
      <c r="B1939" s="18"/>
    </row>
    <row r="1940" spans="2:2" x14ac:dyDescent="0.25">
      <c r="B1940" s="18"/>
    </row>
    <row r="1941" spans="2:2" x14ac:dyDescent="0.25">
      <c r="B1941" s="18"/>
    </row>
    <row r="1942" spans="2:2" x14ac:dyDescent="0.25">
      <c r="B1942" s="18"/>
    </row>
    <row r="1943" spans="2:2" x14ac:dyDescent="0.25">
      <c r="B1943" s="18"/>
    </row>
    <row r="1944" spans="2:2" x14ac:dyDescent="0.25">
      <c r="B1944" s="18"/>
    </row>
    <row r="1945" spans="2:2" x14ac:dyDescent="0.25">
      <c r="B1945" s="18"/>
    </row>
    <row r="1946" spans="2:2" x14ac:dyDescent="0.25">
      <c r="B1946" s="18"/>
    </row>
    <row r="1947" spans="2:2" x14ac:dyDescent="0.25">
      <c r="B1947" s="18"/>
    </row>
    <row r="1948" spans="2:2" x14ac:dyDescent="0.25">
      <c r="B1948" s="18"/>
    </row>
    <row r="1949" spans="2:2" x14ac:dyDescent="0.25">
      <c r="B1949" s="18"/>
    </row>
    <row r="1950" spans="2:2" x14ac:dyDescent="0.25">
      <c r="B1950" s="18"/>
    </row>
    <row r="1951" spans="2:2" x14ac:dyDescent="0.25">
      <c r="B1951" s="18"/>
    </row>
    <row r="1952" spans="2:2" x14ac:dyDescent="0.25">
      <c r="B1952" s="18"/>
    </row>
    <row r="1953" spans="2:2" x14ac:dyDescent="0.25">
      <c r="B1953" s="18"/>
    </row>
    <row r="1954" spans="2:2" x14ac:dyDescent="0.25">
      <c r="B1954" s="18"/>
    </row>
    <row r="1955" spans="2:2" x14ac:dyDescent="0.25">
      <c r="B1955" s="18"/>
    </row>
    <row r="1956" spans="2:2" x14ac:dyDescent="0.25">
      <c r="B1956" s="18"/>
    </row>
    <row r="1957" spans="2:2" x14ac:dyDescent="0.25">
      <c r="B1957" s="18"/>
    </row>
    <row r="1958" spans="2:2" x14ac:dyDescent="0.25">
      <c r="B1958" s="18"/>
    </row>
    <row r="1959" spans="2:2" x14ac:dyDescent="0.25">
      <c r="B1959" s="18"/>
    </row>
    <row r="1960" spans="2:2" x14ac:dyDescent="0.25">
      <c r="B1960" s="18"/>
    </row>
    <row r="1961" spans="2:2" x14ac:dyDescent="0.25">
      <c r="B1961" s="18"/>
    </row>
    <row r="1962" spans="2:2" x14ac:dyDescent="0.25">
      <c r="B1962" s="18"/>
    </row>
    <row r="1963" spans="2:2" x14ac:dyDescent="0.25">
      <c r="B1963" s="18"/>
    </row>
    <row r="1964" spans="2:2" x14ac:dyDescent="0.25">
      <c r="B1964" s="18"/>
    </row>
    <row r="1965" spans="2:2" x14ac:dyDescent="0.25">
      <c r="B1965" s="18"/>
    </row>
    <row r="1966" spans="2:2" x14ac:dyDescent="0.25">
      <c r="B1966" s="18"/>
    </row>
    <row r="1967" spans="2:2" x14ac:dyDescent="0.25">
      <c r="B1967" s="18"/>
    </row>
    <row r="1968" spans="2:2" x14ac:dyDescent="0.25">
      <c r="B1968" s="18"/>
    </row>
    <row r="1969" spans="2:2" x14ac:dyDescent="0.25">
      <c r="B1969" s="18"/>
    </row>
    <row r="1970" spans="2:2" x14ac:dyDescent="0.25">
      <c r="B1970" s="18"/>
    </row>
    <row r="1971" spans="2:2" x14ac:dyDescent="0.25">
      <c r="B1971" s="18"/>
    </row>
    <row r="1972" spans="2:2" x14ac:dyDescent="0.25">
      <c r="B1972" s="18"/>
    </row>
    <row r="1973" spans="2:2" x14ac:dyDescent="0.25">
      <c r="B1973" s="18"/>
    </row>
    <row r="1974" spans="2:2" x14ac:dyDescent="0.25">
      <c r="B1974" s="18"/>
    </row>
    <row r="1975" spans="2:2" x14ac:dyDescent="0.25">
      <c r="B1975" s="18"/>
    </row>
    <row r="1976" spans="2:2" x14ac:dyDescent="0.25">
      <c r="B1976" s="18"/>
    </row>
    <row r="1977" spans="2:2" x14ac:dyDescent="0.25">
      <c r="B1977" s="18"/>
    </row>
    <row r="1978" spans="2:2" x14ac:dyDescent="0.25">
      <c r="B1978" s="18"/>
    </row>
    <row r="1979" spans="2:2" x14ac:dyDescent="0.25">
      <c r="B1979" s="18"/>
    </row>
    <row r="1980" spans="2:2" x14ac:dyDescent="0.25">
      <c r="B1980" s="18"/>
    </row>
    <row r="1981" spans="2:2" x14ac:dyDescent="0.25">
      <c r="B1981" s="18"/>
    </row>
    <row r="1982" spans="2:2" x14ac:dyDescent="0.25">
      <c r="B1982" s="18"/>
    </row>
    <row r="1983" spans="2:2" x14ac:dyDescent="0.25">
      <c r="B1983" s="18"/>
    </row>
    <row r="1984" spans="2:2" x14ac:dyDescent="0.25">
      <c r="B1984" s="18"/>
    </row>
    <row r="1985" spans="2:2" x14ac:dyDescent="0.25">
      <c r="B1985" s="18"/>
    </row>
    <row r="1986" spans="2:2" x14ac:dyDescent="0.25">
      <c r="B1986" s="18"/>
    </row>
    <row r="1987" spans="2:2" x14ac:dyDescent="0.25">
      <c r="B1987" s="18"/>
    </row>
    <row r="1988" spans="2:2" x14ac:dyDescent="0.25">
      <c r="B1988" s="18"/>
    </row>
    <row r="1989" spans="2:2" x14ac:dyDescent="0.25">
      <c r="B1989" s="18"/>
    </row>
    <row r="1990" spans="2:2" x14ac:dyDescent="0.25">
      <c r="B1990" s="18"/>
    </row>
    <row r="1991" spans="2:2" x14ac:dyDescent="0.25">
      <c r="B1991" s="18"/>
    </row>
    <row r="1992" spans="2:2" x14ac:dyDescent="0.25">
      <c r="B1992" s="18"/>
    </row>
    <row r="1993" spans="2:2" x14ac:dyDescent="0.25">
      <c r="B1993" s="18"/>
    </row>
    <row r="1994" spans="2:2" x14ac:dyDescent="0.25">
      <c r="B1994" s="18"/>
    </row>
    <row r="1995" spans="2:2" x14ac:dyDescent="0.25">
      <c r="B1995" s="18"/>
    </row>
    <row r="1996" spans="2:2" x14ac:dyDescent="0.25">
      <c r="B1996" s="18"/>
    </row>
    <row r="1997" spans="2:2" x14ac:dyDescent="0.25">
      <c r="B1997" s="18"/>
    </row>
    <row r="1998" spans="2:2" x14ac:dyDescent="0.25">
      <c r="B1998" s="18"/>
    </row>
    <row r="1999" spans="2:2" x14ac:dyDescent="0.25">
      <c r="B1999" s="18"/>
    </row>
    <row r="2000" spans="2:2" x14ac:dyDescent="0.25">
      <c r="B2000" s="18"/>
    </row>
    <row r="2001" spans="2:2" x14ac:dyDescent="0.25">
      <c r="B2001" s="18"/>
    </row>
    <row r="2002" spans="2:2" x14ac:dyDescent="0.25">
      <c r="B2002" s="18"/>
    </row>
    <row r="2003" spans="2:2" x14ac:dyDescent="0.25">
      <c r="B2003" s="18"/>
    </row>
    <row r="2004" spans="2:2" x14ac:dyDescent="0.25">
      <c r="B2004" s="18"/>
    </row>
    <row r="2005" spans="2:2" x14ac:dyDescent="0.25">
      <c r="B2005" s="18"/>
    </row>
    <row r="2006" spans="2:2" x14ac:dyDescent="0.25">
      <c r="B2006" s="18"/>
    </row>
    <row r="2007" spans="2:2" x14ac:dyDescent="0.25">
      <c r="B2007" s="18"/>
    </row>
    <row r="2008" spans="2:2" x14ac:dyDescent="0.25">
      <c r="B2008" s="18"/>
    </row>
    <row r="2009" spans="2:2" x14ac:dyDescent="0.25">
      <c r="B2009" s="18"/>
    </row>
    <row r="2010" spans="2:2" x14ac:dyDescent="0.25">
      <c r="B2010" s="18"/>
    </row>
    <row r="2011" spans="2:2" x14ac:dyDescent="0.25">
      <c r="B2011" s="18"/>
    </row>
    <row r="2012" spans="2:2" x14ac:dyDescent="0.25">
      <c r="B2012" s="18"/>
    </row>
    <row r="2013" spans="2:2" x14ac:dyDescent="0.25">
      <c r="B2013" s="18"/>
    </row>
    <row r="2014" spans="2:2" x14ac:dyDescent="0.25">
      <c r="B2014" s="18"/>
    </row>
    <row r="2015" spans="2:2" x14ac:dyDescent="0.25">
      <c r="B2015" s="18"/>
    </row>
    <row r="2016" spans="2:2" x14ac:dyDescent="0.25">
      <c r="B2016" s="18"/>
    </row>
    <row r="2017" spans="2:2" x14ac:dyDescent="0.25">
      <c r="B2017" s="18"/>
    </row>
    <row r="2018" spans="2:2" x14ac:dyDescent="0.25">
      <c r="B2018" s="18"/>
    </row>
    <row r="2019" spans="2:2" x14ac:dyDescent="0.25">
      <c r="B2019" s="18"/>
    </row>
    <row r="2020" spans="2:2" x14ac:dyDescent="0.25">
      <c r="B2020" s="18"/>
    </row>
    <row r="2021" spans="2:2" x14ac:dyDescent="0.25">
      <c r="B2021" s="18"/>
    </row>
    <row r="2022" spans="2:2" x14ac:dyDescent="0.25">
      <c r="B2022" s="18"/>
    </row>
    <row r="2023" spans="2:2" x14ac:dyDescent="0.25">
      <c r="B2023" s="18"/>
    </row>
    <row r="2024" spans="2:2" x14ac:dyDescent="0.25">
      <c r="B2024" s="18"/>
    </row>
    <row r="2025" spans="2:2" x14ac:dyDescent="0.25">
      <c r="B2025" s="18"/>
    </row>
    <row r="2026" spans="2:2" x14ac:dyDescent="0.25">
      <c r="B2026" s="18"/>
    </row>
    <row r="2027" spans="2:2" x14ac:dyDescent="0.25">
      <c r="B2027" s="18"/>
    </row>
    <row r="2028" spans="2:2" x14ac:dyDescent="0.25">
      <c r="B2028" s="18"/>
    </row>
    <row r="2029" spans="2:2" x14ac:dyDescent="0.25">
      <c r="B2029" s="18"/>
    </row>
    <row r="2030" spans="2:2" x14ac:dyDescent="0.25">
      <c r="B2030" s="18"/>
    </row>
    <row r="2031" spans="2:2" x14ac:dyDescent="0.25">
      <c r="B2031" s="18"/>
    </row>
    <row r="2032" spans="2:2" x14ac:dyDescent="0.25">
      <c r="B2032" s="18"/>
    </row>
    <row r="2033" spans="2:2" x14ac:dyDescent="0.25">
      <c r="B2033" s="18"/>
    </row>
    <row r="2034" spans="2:2" x14ac:dyDescent="0.25">
      <c r="B2034" s="18"/>
    </row>
    <row r="2035" spans="2:2" x14ac:dyDescent="0.25">
      <c r="B2035" s="18"/>
    </row>
    <row r="2036" spans="2:2" x14ac:dyDescent="0.25">
      <c r="B2036" s="18"/>
    </row>
    <row r="2037" spans="2:2" x14ac:dyDescent="0.25">
      <c r="B2037" s="18"/>
    </row>
    <row r="2038" spans="2:2" x14ac:dyDescent="0.25">
      <c r="B2038" s="18"/>
    </row>
    <row r="2039" spans="2:2" x14ac:dyDescent="0.25">
      <c r="B2039" s="18"/>
    </row>
    <row r="2040" spans="2:2" x14ac:dyDescent="0.25">
      <c r="B2040" s="18"/>
    </row>
    <row r="2041" spans="2:2" x14ac:dyDescent="0.25">
      <c r="B2041" s="18"/>
    </row>
    <row r="2042" spans="2:2" x14ac:dyDescent="0.25">
      <c r="B2042" s="18"/>
    </row>
    <row r="2043" spans="2:2" x14ac:dyDescent="0.25">
      <c r="B2043" s="18"/>
    </row>
    <row r="2044" spans="2:2" x14ac:dyDescent="0.25">
      <c r="B2044" s="18"/>
    </row>
    <row r="2045" spans="2:2" x14ac:dyDescent="0.25">
      <c r="B2045" s="18"/>
    </row>
    <row r="2046" spans="2:2" x14ac:dyDescent="0.25">
      <c r="B2046" s="18"/>
    </row>
    <row r="2047" spans="2:2" x14ac:dyDescent="0.25">
      <c r="B2047" s="18"/>
    </row>
    <row r="2048" spans="2:2" x14ac:dyDescent="0.25">
      <c r="B2048" s="18"/>
    </row>
    <row r="2049" spans="2:2" x14ac:dyDescent="0.25">
      <c r="B2049" s="18"/>
    </row>
    <row r="2050" spans="2:2" x14ac:dyDescent="0.25">
      <c r="B2050" s="18"/>
    </row>
    <row r="2051" spans="2:2" x14ac:dyDescent="0.25">
      <c r="B2051" s="18"/>
    </row>
    <row r="2052" spans="2:2" x14ac:dyDescent="0.25">
      <c r="B2052" s="18"/>
    </row>
    <row r="2053" spans="2:2" x14ac:dyDescent="0.25">
      <c r="B2053" s="18"/>
    </row>
    <row r="2054" spans="2:2" x14ac:dyDescent="0.25">
      <c r="B2054" s="18"/>
    </row>
    <row r="2055" spans="2:2" x14ac:dyDescent="0.25">
      <c r="B2055" s="18"/>
    </row>
    <row r="2056" spans="2:2" x14ac:dyDescent="0.25">
      <c r="B2056" s="18"/>
    </row>
    <row r="2057" spans="2:2" x14ac:dyDescent="0.25">
      <c r="B2057" s="18"/>
    </row>
    <row r="2058" spans="2:2" x14ac:dyDescent="0.25">
      <c r="B2058" s="18"/>
    </row>
    <row r="2059" spans="2:2" x14ac:dyDescent="0.25">
      <c r="B2059" s="18"/>
    </row>
    <row r="2060" spans="2:2" x14ac:dyDescent="0.25">
      <c r="B2060" s="18"/>
    </row>
    <row r="2061" spans="2:2" x14ac:dyDescent="0.25">
      <c r="B2061" s="18"/>
    </row>
    <row r="2062" spans="2:2" x14ac:dyDescent="0.25">
      <c r="B2062" s="18"/>
    </row>
    <row r="2063" spans="2:2" x14ac:dyDescent="0.25">
      <c r="B2063" s="18"/>
    </row>
    <row r="2064" spans="2:2" x14ac:dyDescent="0.25">
      <c r="B2064" s="18"/>
    </row>
    <row r="2065" spans="2:2" x14ac:dyDescent="0.25">
      <c r="B2065" s="18"/>
    </row>
    <row r="2066" spans="2:2" x14ac:dyDescent="0.25">
      <c r="B2066" s="18"/>
    </row>
    <row r="2067" spans="2:2" x14ac:dyDescent="0.25">
      <c r="B2067" s="18"/>
    </row>
    <row r="2068" spans="2:2" x14ac:dyDescent="0.25">
      <c r="B2068" s="18"/>
    </row>
    <row r="2069" spans="2:2" x14ac:dyDescent="0.25">
      <c r="B2069" s="18"/>
    </row>
    <row r="2070" spans="2:2" x14ac:dyDescent="0.25">
      <c r="B2070" s="18"/>
    </row>
    <row r="2071" spans="2:2" x14ac:dyDescent="0.25">
      <c r="B2071" s="18"/>
    </row>
    <row r="2072" spans="2:2" x14ac:dyDescent="0.25">
      <c r="B2072" s="18"/>
    </row>
    <row r="2073" spans="2:2" x14ac:dyDescent="0.25">
      <c r="B2073" s="18"/>
    </row>
    <row r="2074" spans="2:2" x14ac:dyDescent="0.25">
      <c r="B2074" s="18"/>
    </row>
    <row r="2075" spans="2:2" x14ac:dyDescent="0.25">
      <c r="B2075" s="18"/>
    </row>
    <row r="2076" spans="2:2" x14ac:dyDescent="0.25">
      <c r="B2076" s="18"/>
    </row>
    <row r="2077" spans="2:2" x14ac:dyDescent="0.25">
      <c r="B2077" s="18"/>
    </row>
    <row r="2078" spans="2:2" x14ac:dyDescent="0.25">
      <c r="B2078" s="18"/>
    </row>
    <row r="2079" spans="2:2" x14ac:dyDescent="0.25">
      <c r="B2079" s="18"/>
    </row>
    <row r="2080" spans="2:2" x14ac:dyDescent="0.25">
      <c r="B2080" s="18"/>
    </row>
    <row r="2081" spans="2:2" x14ac:dyDescent="0.25">
      <c r="B2081" s="18"/>
    </row>
    <row r="2082" spans="2:2" x14ac:dyDescent="0.25">
      <c r="B2082" s="18"/>
    </row>
    <row r="2083" spans="2:2" x14ac:dyDescent="0.25">
      <c r="B2083" s="18"/>
    </row>
    <row r="2084" spans="2:2" x14ac:dyDescent="0.25">
      <c r="B2084" s="18"/>
    </row>
    <row r="2085" spans="2:2" x14ac:dyDescent="0.25">
      <c r="B2085" s="18"/>
    </row>
    <row r="2086" spans="2:2" x14ac:dyDescent="0.25">
      <c r="B2086" s="18"/>
    </row>
    <row r="2087" spans="2:2" x14ac:dyDescent="0.25">
      <c r="B2087" s="18"/>
    </row>
    <row r="2088" spans="2:2" x14ac:dyDescent="0.25">
      <c r="B2088" s="18"/>
    </row>
    <row r="2089" spans="2:2" x14ac:dyDescent="0.25">
      <c r="B2089" s="18"/>
    </row>
    <row r="2090" spans="2:2" x14ac:dyDescent="0.25">
      <c r="B2090" s="18"/>
    </row>
    <row r="2091" spans="2:2" x14ac:dyDescent="0.25">
      <c r="B2091" s="18"/>
    </row>
    <row r="2092" spans="2:2" x14ac:dyDescent="0.25">
      <c r="B2092" s="18"/>
    </row>
    <row r="2093" spans="2:2" x14ac:dyDescent="0.25">
      <c r="B2093" s="18"/>
    </row>
    <row r="2094" spans="2:2" x14ac:dyDescent="0.25">
      <c r="B2094" s="18"/>
    </row>
    <row r="2095" spans="2:2" x14ac:dyDescent="0.25">
      <c r="B2095" s="18"/>
    </row>
    <row r="2096" spans="2:2" x14ac:dyDescent="0.25">
      <c r="B2096" s="18"/>
    </row>
    <row r="2097" spans="2:2" x14ac:dyDescent="0.25">
      <c r="B2097" s="18"/>
    </row>
    <row r="2098" spans="2:2" x14ac:dyDescent="0.25">
      <c r="B2098" s="18"/>
    </row>
    <row r="2099" spans="2:2" x14ac:dyDescent="0.25">
      <c r="B2099" s="18"/>
    </row>
    <row r="2100" spans="2:2" x14ac:dyDescent="0.25">
      <c r="B2100" s="18"/>
    </row>
    <row r="2101" spans="2:2" x14ac:dyDescent="0.25">
      <c r="B2101" s="18"/>
    </row>
    <row r="2102" spans="2:2" x14ac:dyDescent="0.25">
      <c r="B2102" s="18"/>
    </row>
    <row r="2103" spans="2:2" x14ac:dyDescent="0.25">
      <c r="B2103" s="18"/>
    </row>
    <row r="2104" spans="2:2" x14ac:dyDescent="0.25">
      <c r="B2104" s="18"/>
    </row>
    <row r="2105" spans="2:2" x14ac:dyDescent="0.25">
      <c r="B2105" s="18"/>
    </row>
    <row r="2106" spans="2:2" x14ac:dyDescent="0.25">
      <c r="B2106" s="18"/>
    </row>
    <row r="2107" spans="2:2" x14ac:dyDescent="0.25">
      <c r="B2107" s="18"/>
    </row>
    <row r="2108" spans="2:2" x14ac:dyDescent="0.25">
      <c r="B2108" s="18"/>
    </row>
    <row r="2109" spans="2:2" x14ac:dyDescent="0.25">
      <c r="B2109" s="18"/>
    </row>
    <row r="2110" spans="2:2" x14ac:dyDescent="0.25">
      <c r="B2110" s="18"/>
    </row>
    <row r="2111" spans="2:2" x14ac:dyDescent="0.25">
      <c r="B2111" s="18"/>
    </row>
    <row r="2112" spans="2:2" x14ac:dyDescent="0.25">
      <c r="B2112" s="18"/>
    </row>
    <row r="2113" spans="2:2" x14ac:dyDescent="0.25">
      <c r="B2113" s="18"/>
    </row>
    <row r="2114" spans="2:2" x14ac:dyDescent="0.25">
      <c r="B2114" s="18"/>
    </row>
    <row r="2115" spans="2:2" x14ac:dyDescent="0.25">
      <c r="B2115" s="18"/>
    </row>
    <row r="2116" spans="2:2" x14ac:dyDescent="0.25">
      <c r="B2116" s="18"/>
    </row>
    <row r="2117" spans="2:2" x14ac:dyDescent="0.25">
      <c r="B2117" s="18"/>
    </row>
    <row r="2118" spans="2:2" x14ac:dyDescent="0.25">
      <c r="B2118" s="18"/>
    </row>
    <row r="2119" spans="2:2" x14ac:dyDescent="0.25">
      <c r="B2119" s="18"/>
    </row>
    <row r="2120" spans="2:2" x14ac:dyDescent="0.25">
      <c r="B2120" s="18"/>
    </row>
    <row r="2121" spans="2:2" x14ac:dyDescent="0.25">
      <c r="B2121" s="18"/>
    </row>
    <row r="2122" spans="2:2" x14ac:dyDescent="0.25">
      <c r="B2122" s="18"/>
    </row>
    <row r="2123" spans="2:2" x14ac:dyDescent="0.25">
      <c r="B2123" s="18"/>
    </row>
    <row r="2124" spans="2:2" x14ac:dyDescent="0.25">
      <c r="B2124" s="18"/>
    </row>
    <row r="2125" spans="2:2" x14ac:dyDescent="0.25">
      <c r="B2125" s="18"/>
    </row>
    <row r="2126" spans="2:2" x14ac:dyDescent="0.25">
      <c r="B2126" s="18"/>
    </row>
    <row r="2127" spans="2:2" x14ac:dyDescent="0.25">
      <c r="B2127" s="18"/>
    </row>
    <row r="2128" spans="2:2" x14ac:dyDescent="0.25">
      <c r="B2128" s="18"/>
    </row>
    <row r="2129" spans="2:2" x14ac:dyDescent="0.25">
      <c r="B2129" s="18"/>
    </row>
    <row r="2130" spans="2:2" x14ac:dyDescent="0.25">
      <c r="B2130" s="18"/>
    </row>
    <row r="2131" spans="2:2" x14ac:dyDescent="0.25">
      <c r="B2131" s="18"/>
    </row>
    <row r="2132" spans="2:2" x14ac:dyDescent="0.25">
      <c r="B2132" s="18"/>
    </row>
    <row r="2133" spans="2:2" x14ac:dyDescent="0.25">
      <c r="B2133" s="18"/>
    </row>
    <row r="2134" spans="2:2" x14ac:dyDescent="0.25">
      <c r="B2134" s="18"/>
    </row>
    <row r="2135" spans="2:2" x14ac:dyDescent="0.25">
      <c r="B2135" s="18"/>
    </row>
    <row r="2136" spans="2:2" x14ac:dyDescent="0.25">
      <c r="B2136" s="18"/>
    </row>
    <row r="2137" spans="2:2" x14ac:dyDescent="0.25">
      <c r="B2137" s="18"/>
    </row>
    <row r="2138" spans="2:2" x14ac:dyDescent="0.25">
      <c r="B2138" s="18"/>
    </row>
    <row r="2139" spans="2:2" x14ac:dyDescent="0.25">
      <c r="B2139" s="18"/>
    </row>
    <row r="2140" spans="2:2" x14ac:dyDescent="0.25">
      <c r="B2140" s="18"/>
    </row>
    <row r="2141" spans="2:2" x14ac:dyDescent="0.25">
      <c r="B2141" s="18"/>
    </row>
    <row r="2142" spans="2:2" x14ac:dyDescent="0.25">
      <c r="B2142" s="18"/>
    </row>
    <row r="2143" spans="2:2" x14ac:dyDescent="0.25">
      <c r="B2143" s="18"/>
    </row>
    <row r="2144" spans="2:2" x14ac:dyDescent="0.25">
      <c r="B2144" s="18"/>
    </row>
    <row r="2145" spans="2:2" x14ac:dyDescent="0.25">
      <c r="B2145" s="18"/>
    </row>
    <row r="2146" spans="2:2" x14ac:dyDescent="0.25">
      <c r="B2146" s="18"/>
    </row>
    <row r="2147" spans="2:2" x14ac:dyDescent="0.25">
      <c r="B2147" s="18"/>
    </row>
    <row r="2148" spans="2:2" x14ac:dyDescent="0.25">
      <c r="B2148" s="18"/>
    </row>
    <row r="2149" spans="2:2" x14ac:dyDescent="0.25">
      <c r="B2149" s="18"/>
    </row>
    <row r="2150" spans="2:2" x14ac:dyDescent="0.25">
      <c r="B2150" s="18"/>
    </row>
    <row r="2151" spans="2:2" x14ac:dyDescent="0.25">
      <c r="B2151" s="18"/>
    </row>
    <row r="2152" spans="2:2" x14ac:dyDescent="0.25">
      <c r="B2152" s="18"/>
    </row>
    <row r="2153" spans="2:2" x14ac:dyDescent="0.25">
      <c r="B2153" s="18"/>
    </row>
    <row r="2154" spans="2:2" x14ac:dyDescent="0.25">
      <c r="B2154" s="18"/>
    </row>
    <row r="2155" spans="2:2" x14ac:dyDescent="0.25">
      <c r="B2155" s="18"/>
    </row>
    <row r="2156" spans="2:2" x14ac:dyDescent="0.25">
      <c r="B2156" s="18"/>
    </row>
    <row r="2157" spans="2:2" x14ac:dyDescent="0.25">
      <c r="B2157" s="18"/>
    </row>
    <row r="2158" spans="2:2" x14ac:dyDescent="0.25">
      <c r="B2158" s="18"/>
    </row>
    <row r="2159" spans="2:2" x14ac:dyDescent="0.25">
      <c r="B2159" s="18"/>
    </row>
    <row r="2160" spans="2:2" x14ac:dyDescent="0.25">
      <c r="B2160" s="18"/>
    </row>
    <row r="2161" spans="2:2" x14ac:dyDescent="0.25">
      <c r="B2161" s="18"/>
    </row>
    <row r="2162" spans="2:2" x14ac:dyDescent="0.25">
      <c r="B2162" s="18"/>
    </row>
    <row r="2163" spans="2:2" x14ac:dyDescent="0.25">
      <c r="B2163" s="18"/>
    </row>
    <row r="2164" spans="2:2" x14ac:dyDescent="0.25">
      <c r="B2164" s="18"/>
    </row>
    <row r="2165" spans="2:2" x14ac:dyDescent="0.25">
      <c r="B2165" s="18"/>
    </row>
    <row r="2166" spans="2:2" x14ac:dyDescent="0.25">
      <c r="B2166" s="18"/>
    </row>
    <row r="2167" spans="2:2" x14ac:dyDescent="0.25">
      <c r="B2167" s="18"/>
    </row>
    <row r="2168" spans="2:2" x14ac:dyDescent="0.25">
      <c r="B2168" s="18"/>
    </row>
    <row r="2169" spans="2:2" x14ac:dyDescent="0.25">
      <c r="B2169" s="18"/>
    </row>
    <row r="2170" spans="2:2" x14ac:dyDescent="0.25">
      <c r="B2170" s="18"/>
    </row>
    <row r="2171" spans="2:2" x14ac:dyDescent="0.25">
      <c r="B2171" s="18"/>
    </row>
    <row r="2172" spans="2:2" x14ac:dyDescent="0.25">
      <c r="B2172" s="18"/>
    </row>
    <row r="2173" spans="2:2" x14ac:dyDescent="0.25">
      <c r="B2173" s="18"/>
    </row>
    <row r="2174" spans="2:2" x14ac:dyDescent="0.25">
      <c r="B2174" s="18"/>
    </row>
    <row r="2175" spans="2:2" x14ac:dyDescent="0.25">
      <c r="B2175" s="18"/>
    </row>
    <row r="2176" spans="2:2" x14ac:dyDescent="0.25">
      <c r="B2176" s="18"/>
    </row>
    <row r="2177" spans="2:2" x14ac:dyDescent="0.25">
      <c r="B2177" s="18"/>
    </row>
    <row r="2178" spans="2:2" x14ac:dyDescent="0.25">
      <c r="B2178" s="18"/>
    </row>
    <row r="2179" spans="2:2" x14ac:dyDescent="0.25">
      <c r="B2179" s="18"/>
    </row>
    <row r="2180" spans="2:2" x14ac:dyDescent="0.25">
      <c r="B2180" s="18"/>
    </row>
    <row r="2181" spans="2:2" x14ac:dyDescent="0.25">
      <c r="B2181" s="18"/>
    </row>
    <row r="2182" spans="2:2" x14ac:dyDescent="0.25">
      <c r="B2182" s="18"/>
    </row>
    <row r="2183" spans="2:2" x14ac:dyDescent="0.25">
      <c r="B2183" s="18"/>
    </row>
    <row r="2184" spans="2:2" x14ac:dyDescent="0.25">
      <c r="B2184" s="18"/>
    </row>
    <row r="2185" spans="2:2" x14ac:dyDescent="0.25">
      <c r="B2185" s="18"/>
    </row>
    <row r="2186" spans="2:2" x14ac:dyDescent="0.25">
      <c r="B2186" s="18"/>
    </row>
    <row r="2187" spans="2:2" x14ac:dyDescent="0.25">
      <c r="B2187" s="18"/>
    </row>
    <row r="2188" spans="2:2" x14ac:dyDescent="0.25">
      <c r="B2188" s="18"/>
    </row>
    <row r="2189" spans="2:2" x14ac:dyDescent="0.25">
      <c r="B2189" s="18"/>
    </row>
    <row r="2190" spans="2:2" x14ac:dyDescent="0.25">
      <c r="B2190" s="18"/>
    </row>
    <row r="2191" spans="2:2" x14ac:dyDescent="0.25">
      <c r="B2191" s="18"/>
    </row>
    <row r="2192" spans="2:2" x14ac:dyDescent="0.25">
      <c r="B2192" s="18"/>
    </row>
    <row r="2193" spans="2:2" x14ac:dyDescent="0.25">
      <c r="B2193" s="18"/>
    </row>
    <row r="2194" spans="2:2" x14ac:dyDescent="0.25">
      <c r="B2194" s="18"/>
    </row>
    <row r="2195" spans="2:2" x14ac:dyDescent="0.25">
      <c r="B2195" s="18"/>
    </row>
    <row r="2196" spans="2:2" x14ac:dyDescent="0.25">
      <c r="B2196" s="18"/>
    </row>
    <row r="2197" spans="2:2" x14ac:dyDescent="0.25">
      <c r="B2197" s="18"/>
    </row>
    <row r="2198" spans="2:2" x14ac:dyDescent="0.25">
      <c r="B2198" s="18"/>
    </row>
    <row r="2199" spans="2:2" x14ac:dyDescent="0.25">
      <c r="B2199" s="18"/>
    </row>
    <row r="2200" spans="2:2" x14ac:dyDescent="0.25">
      <c r="B2200" s="18"/>
    </row>
    <row r="2201" spans="2:2" x14ac:dyDescent="0.25">
      <c r="B2201" s="18"/>
    </row>
    <row r="2202" spans="2:2" x14ac:dyDescent="0.25">
      <c r="B2202" s="18"/>
    </row>
    <row r="2203" spans="2:2" x14ac:dyDescent="0.25">
      <c r="B2203" s="18"/>
    </row>
    <row r="2204" spans="2:2" x14ac:dyDescent="0.25">
      <c r="B2204" s="18"/>
    </row>
    <row r="2205" spans="2:2" x14ac:dyDescent="0.25">
      <c r="B2205" s="18"/>
    </row>
    <row r="2206" spans="2:2" x14ac:dyDescent="0.25">
      <c r="B2206" s="18"/>
    </row>
    <row r="2207" spans="2:2" x14ac:dyDescent="0.25">
      <c r="B2207" s="18"/>
    </row>
    <row r="2208" spans="2:2" x14ac:dyDescent="0.25">
      <c r="B2208" s="18"/>
    </row>
    <row r="2209" spans="2:2" x14ac:dyDescent="0.25">
      <c r="B2209" s="18"/>
    </row>
    <row r="2210" spans="2:2" x14ac:dyDescent="0.25">
      <c r="B2210" s="18"/>
    </row>
    <row r="2211" spans="2:2" x14ac:dyDescent="0.25">
      <c r="B2211" s="18"/>
    </row>
    <row r="2212" spans="2:2" x14ac:dyDescent="0.25">
      <c r="B2212" s="18"/>
    </row>
    <row r="2213" spans="2:2" x14ac:dyDescent="0.25">
      <c r="B2213" s="18"/>
    </row>
    <row r="2214" spans="2:2" x14ac:dyDescent="0.25">
      <c r="B2214" s="18"/>
    </row>
    <row r="2215" spans="2:2" x14ac:dyDescent="0.25">
      <c r="B2215" s="18"/>
    </row>
    <row r="2216" spans="2:2" x14ac:dyDescent="0.25">
      <c r="B2216" s="18"/>
    </row>
    <row r="2217" spans="2:2" x14ac:dyDescent="0.25">
      <c r="B2217" s="18"/>
    </row>
    <row r="2218" spans="2:2" x14ac:dyDescent="0.25">
      <c r="B2218" s="18"/>
    </row>
    <row r="2219" spans="2:2" x14ac:dyDescent="0.25">
      <c r="B2219" s="18"/>
    </row>
    <row r="2220" spans="2:2" x14ac:dyDescent="0.25">
      <c r="B2220" s="18"/>
    </row>
    <row r="2221" spans="2:2" x14ac:dyDescent="0.25">
      <c r="B2221" s="18"/>
    </row>
    <row r="2222" spans="2:2" x14ac:dyDescent="0.25">
      <c r="B2222" s="18"/>
    </row>
    <row r="2223" spans="2:2" x14ac:dyDescent="0.25">
      <c r="B2223" s="18"/>
    </row>
    <row r="2224" spans="2:2" x14ac:dyDescent="0.25">
      <c r="B2224" s="18"/>
    </row>
    <row r="2225" spans="2:2" x14ac:dyDescent="0.25">
      <c r="B2225" s="18"/>
    </row>
    <row r="2226" spans="2:2" x14ac:dyDescent="0.25">
      <c r="B2226" s="18"/>
    </row>
    <row r="2227" spans="2:2" x14ac:dyDescent="0.25">
      <c r="B2227" s="18"/>
    </row>
    <row r="2228" spans="2:2" x14ac:dyDescent="0.25">
      <c r="B2228" s="18"/>
    </row>
    <row r="2229" spans="2:2" x14ac:dyDescent="0.25">
      <c r="B2229" s="18"/>
    </row>
    <row r="2230" spans="2:2" x14ac:dyDescent="0.25">
      <c r="B2230" s="18"/>
    </row>
    <row r="2231" spans="2:2" x14ac:dyDescent="0.25">
      <c r="B2231" s="18"/>
    </row>
    <row r="2232" spans="2:2" x14ac:dyDescent="0.25">
      <c r="B2232" s="18"/>
    </row>
    <row r="2233" spans="2:2" x14ac:dyDescent="0.25">
      <c r="B2233" s="18"/>
    </row>
    <row r="2234" spans="2:2" x14ac:dyDescent="0.25">
      <c r="B2234" s="18"/>
    </row>
    <row r="2235" spans="2:2" x14ac:dyDescent="0.25">
      <c r="B2235" s="18"/>
    </row>
    <row r="2236" spans="2:2" x14ac:dyDescent="0.25">
      <c r="B2236" s="18"/>
    </row>
    <row r="2237" spans="2:2" x14ac:dyDescent="0.25">
      <c r="B2237" s="18"/>
    </row>
    <row r="2238" spans="2:2" x14ac:dyDescent="0.25">
      <c r="B2238" s="18"/>
    </row>
    <row r="2239" spans="2:2" x14ac:dyDescent="0.25">
      <c r="B2239" s="18"/>
    </row>
    <row r="2240" spans="2:2" x14ac:dyDescent="0.25">
      <c r="B2240" s="18"/>
    </row>
    <row r="2241" spans="2:2" x14ac:dyDescent="0.25">
      <c r="B2241" s="18"/>
    </row>
    <row r="2242" spans="2:2" x14ac:dyDescent="0.25">
      <c r="B2242" s="18"/>
    </row>
    <row r="2243" spans="2:2" x14ac:dyDescent="0.25">
      <c r="B2243" s="18"/>
    </row>
    <row r="2244" spans="2:2" x14ac:dyDescent="0.25">
      <c r="B2244" s="18"/>
    </row>
    <row r="2245" spans="2:2" x14ac:dyDescent="0.25">
      <c r="B2245" s="18"/>
    </row>
    <row r="2246" spans="2:2" x14ac:dyDescent="0.25">
      <c r="B2246" s="18"/>
    </row>
    <row r="2247" spans="2:2" x14ac:dyDescent="0.25">
      <c r="B2247" s="18"/>
    </row>
    <row r="2248" spans="2:2" x14ac:dyDescent="0.25">
      <c r="B2248" s="18"/>
    </row>
    <row r="2249" spans="2:2" x14ac:dyDescent="0.25">
      <c r="B2249" s="18"/>
    </row>
    <row r="2250" spans="2:2" x14ac:dyDescent="0.25">
      <c r="B2250" s="18"/>
    </row>
    <row r="2251" spans="2:2" x14ac:dyDescent="0.25">
      <c r="B2251" s="18"/>
    </row>
    <row r="2252" spans="2:2" x14ac:dyDescent="0.25">
      <c r="B2252" s="18"/>
    </row>
    <row r="2253" spans="2:2" x14ac:dyDescent="0.25">
      <c r="B2253" s="18"/>
    </row>
    <row r="2254" spans="2:2" x14ac:dyDescent="0.25">
      <c r="B2254" s="18"/>
    </row>
    <row r="2255" spans="2:2" x14ac:dyDescent="0.25">
      <c r="B2255" s="18"/>
    </row>
    <row r="2256" spans="2:2" x14ac:dyDescent="0.25">
      <c r="B2256" s="18"/>
    </row>
    <row r="2257" spans="2:2" x14ac:dyDescent="0.25">
      <c r="B2257" s="18"/>
    </row>
    <row r="2258" spans="2:2" x14ac:dyDescent="0.25">
      <c r="B2258" s="18"/>
    </row>
    <row r="2259" spans="2:2" x14ac:dyDescent="0.25">
      <c r="B2259" s="18"/>
    </row>
    <row r="2260" spans="2:2" x14ac:dyDescent="0.25">
      <c r="B2260" s="18"/>
    </row>
    <row r="2261" spans="2:2" x14ac:dyDescent="0.25">
      <c r="B2261" s="18"/>
    </row>
    <row r="2262" spans="2:2" x14ac:dyDescent="0.25">
      <c r="B2262" s="18"/>
    </row>
    <row r="2263" spans="2:2" x14ac:dyDescent="0.25">
      <c r="B2263" s="18"/>
    </row>
    <row r="2264" spans="2:2" x14ac:dyDescent="0.25">
      <c r="B2264" s="18"/>
    </row>
    <row r="2265" spans="2:2" x14ac:dyDescent="0.25">
      <c r="B2265" s="18"/>
    </row>
    <row r="2266" spans="2:2" x14ac:dyDescent="0.25">
      <c r="B2266" s="18"/>
    </row>
    <row r="2267" spans="2:2" x14ac:dyDescent="0.25">
      <c r="B2267" s="18"/>
    </row>
    <row r="2268" spans="2:2" x14ac:dyDescent="0.25">
      <c r="B2268" s="18"/>
    </row>
    <row r="2269" spans="2:2" x14ac:dyDescent="0.25">
      <c r="B2269" s="18"/>
    </row>
    <row r="2270" spans="2:2" x14ac:dyDescent="0.25">
      <c r="B2270" s="18"/>
    </row>
    <row r="2271" spans="2:2" x14ac:dyDescent="0.25">
      <c r="B2271" s="18"/>
    </row>
    <row r="2272" spans="2:2" x14ac:dyDescent="0.25">
      <c r="B2272" s="18"/>
    </row>
    <row r="2273" spans="2:2" x14ac:dyDescent="0.25">
      <c r="B2273" s="18"/>
    </row>
    <row r="2274" spans="2:2" x14ac:dyDescent="0.25">
      <c r="B2274" s="18"/>
    </row>
    <row r="2275" spans="2:2" x14ac:dyDescent="0.25">
      <c r="B2275" s="18"/>
    </row>
    <row r="2276" spans="2:2" x14ac:dyDescent="0.25">
      <c r="B2276" s="18"/>
    </row>
    <row r="2277" spans="2:2" x14ac:dyDescent="0.25">
      <c r="B2277" s="18"/>
    </row>
    <row r="2278" spans="2:2" x14ac:dyDescent="0.25">
      <c r="B2278" s="18"/>
    </row>
    <row r="2279" spans="2:2" x14ac:dyDescent="0.25">
      <c r="B2279" s="18"/>
    </row>
    <row r="2280" spans="2:2" x14ac:dyDescent="0.25">
      <c r="B2280" s="18"/>
    </row>
    <row r="2281" spans="2:2" x14ac:dyDescent="0.25">
      <c r="B2281" s="18"/>
    </row>
    <row r="2282" spans="2:2" x14ac:dyDescent="0.25">
      <c r="B2282" s="18"/>
    </row>
    <row r="2283" spans="2:2" x14ac:dyDescent="0.25">
      <c r="B2283" s="18"/>
    </row>
    <row r="2284" spans="2:2" x14ac:dyDescent="0.25">
      <c r="B2284" s="18"/>
    </row>
    <row r="2285" spans="2:2" x14ac:dyDescent="0.25">
      <c r="B2285" s="18"/>
    </row>
    <row r="2286" spans="2:2" x14ac:dyDescent="0.25">
      <c r="B2286" s="18"/>
    </row>
    <row r="2287" spans="2:2" x14ac:dyDescent="0.25">
      <c r="B2287" s="18"/>
    </row>
    <row r="2288" spans="2:2" x14ac:dyDescent="0.25">
      <c r="B2288" s="18"/>
    </row>
    <row r="2289" spans="2:2" x14ac:dyDescent="0.25">
      <c r="B2289" s="18"/>
    </row>
    <row r="2290" spans="2:2" x14ac:dyDescent="0.25">
      <c r="B2290" s="18"/>
    </row>
    <row r="2291" spans="2:2" x14ac:dyDescent="0.25">
      <c r="B2291" s="18"/>
    </row>
    <row r="2292" spans="2:2" x14ac:dyDescent="0.25">
      <c r="B2292" s="18"/>
    </row>
    <row r="2293" spans="2:2" x14ac:dyDescent="0.25">
      <c r="B2293" s="18"/>
    </row>
    <row r="2294" spans="2:2" x14ac:dyDescent="0.25">
      <c r="B2294" s="18"/>
    </row>
    <row r="2295" spans="2:2" x14ac:dyDescent="0.25">
      <c r="B2295" s="18"/>
    </row>
    <row r="2296" spans="2:2" x14ac:dyDescent="0.25">
      <c r="B2296" s="18"/>
    </row>
    <row r="2297" spans="2:2" x14ac:dyDescent="0.25">
      <c r="B2297" s="18"/>
    </row>
    <row r="2298" spans="2:2" x14ac:dyDescent="0.25">
      <c r="B2298" s="18"/>
    </row>
    <row r="2299" spans="2:2" x14ac:dyDescent="0.25">
      <c r="B2299" s="18"/>
    </row>
    <row r="2300" spans="2:2" x14ac:dyDescent="0.25">
      <c r="B2300" s="18"/>
    </row>
    <row r="2301" spans="2:2" x14ac:dyDescent="0.25">
      <c r="B2301" s="18"/>
    </row>
    <row r="2302" spans="2:2" x14ac:dyDescent="0.25">
      <c r="B2302" s="18"/>
    </row>
    <row r="2303" spans="2:2" x14ac:dyDescent="0.25">
      <c r="B2303" s="18"/>
    </row>
    <row r="2304" spans="2:2" x14ac:dyDescent="0.25">
      <c r="B2304" s="18"/>
    </row>
    <row r="2305" spans="2:2" x14ac:dyDescent="0.25">
      <c r="B2305" s="18"/>
    </row>
    <row r="2306" spans="2:2" x14ac:dyDescent="0.25">
      <c r="B2306" s="18"/>
    </row>
    <row r="2307" spans="2:2" x14ac:dyDescent="0.25">
      <c r="B2307" s="18"/>
    </row>
    <row r="2308" spans="2:2" x14ac:dyDescent="0.25">
      <c r="B2308" s="18"/>
    </row>
    <row r="2309" spans="2:2" x14ac:dyDescent="0.25">
      <c r="B2309" s="18"/>
    </row>
    <row r="2310" spans="2:2" x14ac:dyDescent="0.25">
      <c r="B2310" s="18"/>
    </row>
    <row r="2311" spans="2:2" x14ac:dyDescent="0.25">
      <c r="B2311" s="18"/>
    </row>
    <row r="2312" spans="2:2" x14ac:dyDescent="0.25">
      <c r="B2312" s="18"/>
    </row>
    <row r="2313" spans="2:2" x14ac:dyDescent="0.25">
      <c r="B2313" s="18"/>
    </row>
    <row r="2314" spans="2:2" x14ac:dyDescent="0.25">
      <c r="B2314" s="18"/>
    </row>
    <row r="2315" spans="2:2" x14ac:dyDescent="0.25">
      <c r="B2315" s="18"/>
    </row>
    <row r="2316" spans="2:2" x14ac:dyDescent="0.25">
      <c r="B2316" s="18"/>
    </row>
    <row r="2317" spans="2:2" x14ac:dyDescent="0.25">
      <c r="B2317" s="18"/>
    </row>
    <row r="2318" spans="2:2" x14ac:dyDescent="0.25">
      <c r="B2318" s="18"/>
    </row>
    <row r="2319" spans="2:2" x14ac:dyDescent="0.25">
      <c r="B2319" s="18"/>
    </row>
    <row r="2320" spans="2:2" x14ac:dyDescent="0.25">
      <c r="B2320" s="18"/>
    </row>
    <row r="2321" spans="2:2" x14ac:dyDescent="0.25">
      <c r="B2321" s="18"/>
    </row>
    <row r="2322" spans="2:2" x14ac:dyDescent="0.25">
      <c r="B2322" s="18"/>
    </row>
    <row r="2323" spans="2:2" x14ac:dyDescent="0.25">
      <c r="B2323" s="18"/>
    </row>
    <row r="2324" spans="2:2" x14ac:dyDescent="0.25">
      <c r="B2324" s="18"/>
    </row>
    <row r="2325" spans="2:2" x14ac:dyDescent="0.25">
      <c r="B2325" s="18"/>
    </row>
    <row r="2326" spans="2:2" x14ac:dyDescent="0.25">
      <c r="B2326" s="18"/>
    </row>
    <row r="2327" spans="2:2" x14ac:dyDescent="0.25">
      <c r="B2327" s="18"/>
    </row>
    <row r="2328" spans="2:2" x14ac:dyDescent="0.25">
      <c r="B2328" s="18"/>
    </row>
    <row r="2329" spans="2:2" x14ac:dyDescent="0.25">
      <c r="B2329" s="18"/>
    </row>
    <row r="2330" spans="2:2" x14ac:dyDescent="0.25">
      <c r="B2330" s="18"/>
    </row>
    <row r="2331" spans="2:2" x14ac:dyDescent="0.25">
      <c r="B2331" s="18"/>
    </row>
    <row r="2332" spans="2:2" x14ac:dyDescent="0.25">
      <c r="B2332" s="18"/>
    </row>
    <row r="2333" spans="2:2" x14ac:dyDescent="0.25">
      <c r="B2333" s="18"/>
    </row>
    <row r="2334" spans="2:2" x14ac:dyDescent="0.25">
      <c r="B2334" s="18"/>
    </row>
    <row r="2335" spans="2:2" x14ac:dyDescent="0.25">
      <c r="B2335" s="18"/>
    </row>
    <row r="2336" spans="2:2" x14ac:dyDescent="0.25">
      <c r="B2336" s="18"/>
    </row>
    <row r="2337" spans="2:2" x14ac:dyDescent="0.25">
      <c r="B2337" s="18"/>
    </row>
    <row r="2338" spans="2:2" x14ac:dyDescent="0.25">
      <c r="B2338" s="18"/>
    </row>
    <row r="2339" spans="2:2" x14ac:dyDescent="0.25">
      <c r="B2339" s="18"/>
    </row>
    <row r="2340" spans="2:2" x14ac:dyDescent="0.25">
      <c r="B2340" s="18"/>
    </row>
    <row r="2341" spans="2:2" x14ac:dyDescent="0.25">
      <c r="B2341" s="18"/>
    </row>
    <row r="2342" spans="2:2" x14ac:dyDescent="0.25">
      <c r="B2342" s="18"/>
    </row>
    <row r="2343" spans="2:2" x14ac:dyDescent="0.25">
      <c r="B2343" s="18"/>
    </row>
    <row r="2344" spans="2:2" x14ac:dyDescent="0.25">
      <c r="B2344" s="18"/>
    </row>
    <row r="2345" spans="2:2" x14ac:dyDescent="0.25">
      <c r="B2345" s="18"/>
    </row>
    <row r="2346" spans="2:2" x14ac:dyDescent="0.25">
      <c r="B2346" s="18"/>
    </row>
    <row r="2347" spans="2:2" x14ac:dyDescent="0.25">
      <c r="B2347" s="18"/>
    </row>
    <row r="2348" spans="2:2" x14ac:dyDescent="0.25">
      <c r="B2348" s="18"/>
    </row>
    <row r="2349" spans="2:2" x14ac:dyDescent="0.25">
      <c r="B2349" s="18"/>
    </row>
    <row r="2350" spans="2:2" x14ac:dyDescent="0.25">
      <c r="B2350" s="18"/>
    </row>
    <row r="2351" spans="2:2" x14ac:dyDescent="0.25">
      <c r="B2351" s="18"/>
    </row>
    <row r="2352" spans="2:2" x14ac:dyDescent="0.25">
      <c r="B2352" s="18"/>
    </row>
    <row r="2353" spans="2:2" x14ac:dyDescent="0.25">
      <c r="B2353" s="18"/>
    </row>
    <row r="2354" spans="2:2" x14ac:dyDescent="0.25">
      <c r="B2354" s="18"/>
    </row>
    <row r="2355" spans="2:2" x14ac:dyDescent="0.25">
      <c r="B2355" s="18"/>
    </row>
    <row r="2356" spans="2:2" x14ac:dyDescent="0.25">
      <c r="B2356" s="18"/>
    </row>
    <row r="2357" spans="2:2" x14ac:dyDescent="0.25">
      <c r="B2357" s="18"/>
    </row>
    <row r="2358" spans="2:2" x14ac:dyDescent="0.25">
      <c r="B2358" s="18"/>
    </row>
    <row r="2359" spans="2:2" x14ac:dyDescent="0.25">
      <c r="B2359" s="18"/>
    </row>
    <row r="2360" spans="2:2" x14ac:dyDescent="0.25">
      <c r="B2360" s="18"/>
    </row>
    <row r="2361" spans="2:2" x14ac:dyDescent="0.25">
      <c r="B2361" s="18"/>
    </row>
    <row r="2362" spans="2:2" x14ac:dyDescent="0.25">
      <c r="B2362" s="18"/>
    </row>
    <row r="2363" spans="2:2" x14ac:dyDescent="0.25">
      <c r="B2363" s="18"/>
    </row>
    <row r="2364" spans="2:2" x14ac:dyDescent="0.25">
      <c r="B2364" s="18"/>
    </row>
    <row r="2365" spans="2:2" x14ac:dyDescent="0.25">
      <c r="B2365" s="18"/>
    </row>
    <row r="2366" spans="2:2" x14ac:dyDescent="0.25">
      <c r="B2366" s="18"/>
    </row>
    <row r="2367" spans="2:2" x14ac:dyDescent="0.25">
      <c r="B2367" s="18"/>
    </row>
    <row r="2368" spans="2:2" x14ac:dyDescent="0.25">
      <c r="B2368" s="18"/>
    </row>
    <row r="2369" spans="2:2" x14ac:dyDescent="0.25">
      <c r="B2369" s="18"/>
    </row>
    <row r="2370" spans="2:2" x14ac:dyDescent="0.25">
      <c r="B2370" s="18"/>
    </row>
    <row r="2371" spans="2:2" x14ac:dyDescent="0.25">
      <c r="B2371" s="18"/>
    </row>
    <row r="2372" spans="2:2" x14ac:dyDescent="0.25">
      <c r="B2372" s="18"/>
    </row>
    <row r="2373" spans="2:2" x14ac:dyDescent="0.25">
      <c r="B2373" s="18"/>
    </row>
    <row r="2374" spans="2:2" x14ac:dyDescent="0.25">
      <c r="B2374" s="18"/>
    </row>
    <row r="2375" spans="2:2" x14ac:dyDescent="0.25">
      <c r="B2375" s="18"/>
    </row>
    <row r="2376" spans="2:2" x14ac:dyDescent="0.25">
      <c r="B2376" s="18"/>
    </row>
    <row r="2377" spans="2:2" x14ac:dyDescent="0.25">
      <c r="B2377" s="18"/>
    </row>
    <row r="2378" spans="2:2" x14ac:dyDescent="0.25">
      <c r="B2378" s="18"/>
    </row>
    <row r="2379" spans="2:2" x14ac:dyDescent="0.25">
      <c r="B2379" s="18"/>
    </row>
    <row r="2380" spans="2:2" x14ac:dyDescent="0.25">
      <c r="B2380" s="18"/>
    </row>
    <row r="2381" spans="2:2" x14ac:dyDescent="0.25">
      <c r="B2381" s="18"/>
    </row>
    <row r="2382" spans="2:2" x14ac:dyDescent="0.25">
      <c r="B2382" s="18"/>
    </row>
    <row r="2383" spans="2:2" x14ac:dyDescent="0.25">
      <c r="B2383" s="18"/>
    </row>
    <row r="2384" spans="2:2" x14ac:dyDescent="0.25">
      <c r="B2384" s="18"/>
    </row>
    <row r="2385" spans="2:2" x14ac:dyDescent="0.25">
      <c r="B2385" s="18"/>
    </row>
    <row r="2386" spans="2:2" x14ac:dyDescent="0.25">
      <c r="B2386" s="18"/>
    </row>
    <row r="2387" spans="2:2" x14ac:dyDescent="0.25">
      <c r="B2387" s="18"/>
    </row>
    <row r="2388" spans="2:2" x14ac:dyDescent="0.25">
      <c r="B2388" s="18"/>
    </row>
    <row r="2389" spans="2:2" x14ac:dyDescent="0.25">
      <c r="B2389" s="18"/>
    </row>
    <row r="2390" spans="2:2" x14ac:dyDescent="0.25">
      <c r="B2390" s="18"/>
    </row>
    <row r="2391" spans="2:2" x14ac:dyDescent="0.25">
      <c r="B2391" s="18"/>
    </row>
    <row r="2392" spans="2:2" x14ac:dyDescent="0.25">
      <c r="B2392" s="18"/>
    </row>
    <row r="2393" spans="2:2" x14ac:dyDescent="0.25">
      <c r="B2393" s="18"/>
    </row>
    <row r="2394" spans="2:2" x14ac:dyDescent="0.25">
      <c r="B2394" s="18"/>
    </row>
    <row r="2395" spans="2:2" x14ac:dyDescent="0.25">
      <c r="B2395" s="18"/>
    </row>
    <row r="2396" spans="2:2" x14ac:dyDescent="0.25">
      <c r="B2396" s="18"/>
    </row>
    <row r="2397" spans="2:2" x14ac:dyDescent="0.25">
      <c r="B2397" s="18"/>
    </row>
    <row r="2398" spans="2:2" x14ac:dyDescent="0.25">
      <c r="B2398" s="18"/>
    </row>
    <row r="2399" spans="2:2" x14ac:dyDescent="0.25">
      <c r="B2399" s="18"/>
    </row>
    <row r="2400" spans="2:2" x14ac:dyDescent="0.25">
      <c r="B2400" s="18"/>
    </row>
    <row r="2401" spans="2:2" x14ac:dyDescent="0.25">
      <c r="B2401" s="18"/>
    </row>
    <row r="2402" spans="2:2" x14ac:dyDescent="0.25">
      <c r="B2402" s="18"/>
    </row>
    <row r="2403" spans="2:2" x14ac:dyDescent="0.25">
      <c r="B2403" s="18"/>
    </row>
    <row r="2404" spans="2:2" x14ac:dyDescent="0.25">
      <c r="B2404" s="18"/>
    </row>
    <row r="2405" spans="2:2" x14ac:dyDescent="0.25">
      <c r="B2405" s="18"/>
    </row>
    <row r="2406" spans="2:2" x14ac:dyDescent="0.25">
      <c r="B2406" s="18"/>
    </row>
    <row r="2407" spans="2:2" x14ac:dyDescent="0.25">
      <c r="B2407" s="18"/>
    </row>
    <row r="2408" spans="2:2" x14ac:dyDescent="0.25">
      <c r="B2408" s="18"/>
    </row>
    <row r="2409" spans="2:2" x14ac:dyDescent="0.25">
      <c r="B2409" s="18"/>
    </row>
    <row r="2410" spans="2:2" x14ac:dyDescent="0.25">
      <c r="B2410" s="18"/>
    </row>
    <row r="2411" spans="2:2" x14ac:dyDescent="0.25">
      <c r="B2411" s="18"/>
    </row>
    <row r="2412" spans="2:2" x14ac:dyDescent="0.25">
      <c r="B2412" s="18"/>
    </row>
    <row r="2413" spans="2:2" x14ac:dyDescent="0.25">
      <c r="B2413" s="18"/>
    </row>
    <row r="2414" spans="2:2" x14ac:dyDescent="0.25">
      <c r="B2414" s="18"/>
    </row>
    <row r="2415" spans="2:2" x14ac:dyDescent="0.25">
      <c r="B2415" s="18"/>
    </row>
    <row r="2416" spans="2:2" x14ac:dyDescent="0.25">
      <c r="B2416" s="18"/>
    </row>
    <row r="2417" spans="2:2" x14ac:dyDescent="0.25">
      <c r="B2417" s="18"/>
    </row>
    <row r="2418" spans="2:2" x14ac:dyDescent="0.25">
      <c r="B2418" s="18"/>
    </row>
    <row r="2419" spans="2:2" x14ac:dyDescent="0.25">
      <c r="B2419" s="18"/>
    </row>
    <row r="2420" spans="2:2" x14ac:dyDescent="0.25">
      <c r="B2420" s="18"/>
    </row>
    <row r="2421" spans="2:2" x14ac:dyDescent="0.25">
      <c r="B2421" s="18"/>
    </row>
    <row r="2422" spans="2:2" x14ac:dyDescent="0.25">
      <c r="B2422" s="18"/>
    </row>
    <row r="2423" spans="2:2" x14ac:dyDescent="0.25">
      <c r="B2423" s="18"/>
    </row>
    <row r="2424" spans="2:2" x14ac:dyDescent="0.25">
      <c r="B2424" s="18"/>
    </row>
    <row r="2425" spans="2:2" x14ac:dyDescent="0.25">
      <c r="B2425" s="18"/>
    </row>
    <row r="2426" spans="2:2" x14ac:dyDescent="0.25">
      <c r="B2426" s="18"/>
    </row>
    <row r="2427" spans="2:2" x14ac:dyDescent="0.25">
      <c r="B2427" s="18"/>
    </row>
    <row r="2428" spans="2:2" x14ac:dyDescent="0.25">
      <c r="B2428" s="18"/>
    </row>
    <row r="2429" spans="2:2" x14ac:dyDescent="0.25">
      <c r="B2429" s="18"/>
    </row>
    <row r="2430" spans="2:2" x14ac:dyDescent="0.25">
      <c r="B2430" s="18"/>
    </row>
    <row r="2431" spans="2:2" x14ac:dyDescent="0.25">
      <c r="B2431" s="18"/>
    </row>
    <row r="2432" spans="2:2" x14ac:dyDescent="0.25">
      <c r="B2432" s="18"/>
    </row>
    <row r="2433" spans="2:2" x14ac:dyDescent="0.25">
      <c r="B2433" s="18"/>
    </row>
    <row r="2434" spans="2:2" x14ac:dyDescent="0.25">
      <c r="B2434" s="18"/>
    </row>
    <row r="2435" spans="2:2" x14ac:dyDescent="0.25">
      <c r="B2435" s="18"/>
    </row>
    <row r="2436" spans="2:2" x14ac:dyDescent="0.25">
      <c r="B2436" s="18"/>
    </row>
    <row r="2437" spans="2:2" x14ac:dyDescent="0.25">
      <c r="B2437" s="18"/>
    </row>
    <row r="2438" spans="2:2" x14ac:dyDescent="0.25">
      <c r="B2438" s="18"/>
    </row>
    <row r="2439" spans="2:2" x14ac:dyDescent="0.25">
      <c r="B2439" s="18"/>
    </row>
    <row r="2440" spans="2:2" x14ac:dyDescent="0.25">
      <c r="B2440" s="18"/>
    </row>
    <row r="2441" spans="2:2" x14ac:dyDescent="0.25">
      <c r="B2441" s="18"/>
    </row>
    <row r="2442" spans="2:2" x14ac:dyDescent="0.25">
      <c r="B2442" s="18"/>
    </row>
    <row r="2443" spans="2:2" x14ac:dyDescent="0.25">
      <c r="B2443" s="18"/>
    </row>
    <row r="2444" spans="2:2" x14ac:dyDescent="0.25">
      <c r="B2444" s="18"/>
    </row>
    <row r="2445" spans="2:2" x14ac:dyDescent="0.25">
      <c r="B2445" s="18"/>
    </row>
    <row r="2446" spans="2:2" x14ac:dyDescent="0.25">
      <c r="B2446" s="18"/>
    </row>
    <row r="2447" spans="2:2" x14ac:dyDescent="0.25">
      <c r="B2447" s="18"/>
    </row>
    <row r="2448" spans="2:2" x14ac:dyDescent="0.25">
      <c r="B2448" s="18"/>
    </row>
    <row r="2449" spans="2:2" x14ac:dyDescent="0.25">
      <c r="B2449" s="18"/>
    </row>
    <row r="2450" spans="2:2" x14ac:dyDescent="0.25">
      <c r="B2450" s="18"/>
    </row>
    <row r="2451" spans="2:2" x14ac:dyDescent="0.25">
      <c r="B2451" s="18"/>
    </row>
    <row r="2452" spans="2:2" x14ac:dyDescent="0.25">
      <c r="B2452" s="18"/>
    </row>
    <row r="2453" spans="2:2" x14ac:dyDescent="0.25">
      <c r="B2453" s="18"/>
    </row>
    <row r="2454" spans="2:2" x14ac:dyDescent="0.25">
      <c r="B2454" s="18"/>
    </row>
    <row r="2455" spans="2:2" x14ac:dyDescent="0.25">
      <c r="B2455" s="18"/>
    </row>
    <row r="2456" spans="2:2" x14ac:dyDescent="0.25">
      <c r="B2456" s="18"/>
    </row>
    <row r="2457" spans="2:2" x14ac:dyDescent="0.25">
      <c r="B2457" s="18"/>
    </row>
    <row r="2458" spans="2:2" x14ac:dyDescent="0.25">
      <c r="B2458" s="18"/>
    </row>
    <row r="2459" spans="2:2" x14ac:dyDescent="0.25">
      <c r="B2459" s="18"/>
    </row>
    <row r="2460" spans="2:2" x14ac:dyDescent="0.25">
      <c r="B2460" s="18"/>
    </row>
    <row r="2461" spans="2:2" x14ac:dyDescent="0.25">
      <c r="B2461" s="18"/>
    </row>
    <row r="2462" spans="2:2" x14ac:dyDescent="0.25">
      <c r="B2462" s="18"/>
    </row>
    <row r="2463" spans="2:2" x14ac:dyDescent="0.25">
      <c r="B2463" s="18"/>
    </row>
    <row r="2464" spans="2:2" x14ac:dyDescent="0.25">
      <c r="B2464" s="18"/>
    </row>
    <row r="2465" spans="2:2" x14ac:dyDescent="0.25">
      <c r="B2465" s="18"/>
    </row>
    <row r="2466" spans="2:2" x14ac:dyDescent="0.25">
      <c r="B2466" s="18"/>
    </row>
    <row r="2467" spans="2:2" x14ac:dyDescent="0.25">
      <c r="B2467" s="18"/>
    </row>
    <row r="2468" spans="2:2" x14ac:dyDescent="0.25">
      <c r="B2468" s="18"/>
    </row>
    <row r="2469" spans="2:2" x14ac:dyDescent="0.25">
      <c r="B2469" s="18"/>
    </row>
    <row r="2470" spans="2:2" x14ac:dyDescent="0.25">
      <c r="B2470" s="18"/>
    </row>
    <row r="2471" spans="2:2" x14ac:dyDescent="0.25">
      <c r="B2471" s="18"/>
    </row>
    <row r="2472" spans="2:2" x14ac:dyDescent="0.25">
      <c r="B2472" s="18"/>
    </row>
    <row r="2473" spans="2:2" x14ac:dyDescent="0.25">
      <c r="B2473" s="18"/>
    </row>
    <row r="2474" spans="2:2" x14ac:dyDescent="0.25">
      <c r="B2474" s="18"/>
    </row>
    <row r="2475" spans="2:2" x14ac:dyDescent="0.25">
      <c r="B2475" s="18"/>
    </row>
    <row r="2476" spans="2:2" x14ac:dyDescent="0.25">
      <c r="B2476" s="18"/>
    </row>
    <row r="2477" spans="2:2" x14ac:dyDescent="0.25">
      <c r="B2477" s="18"/>
    </row>
    <row r="2478" spans="2:2" x14ac:dyDescent="0.25">
      <c r="B2478" s="18"/>
    </row>
    <row r="2479" spans="2:2" x14ac:dyDescent="0.25">
      <c r="B2479" s="18"/>
    </row>
    <row r="2480" spans="2:2" x14ac:dyDescent="0.25">
      <c r="B2480" s="18"/>
    </row>
    <row r="2481" spans="2:2" x14ac:dyDescent="0.25">
      <c r="B2481" s="18"/>
    </row>
    <row r="2482" spans="2:2" x14ac:dyDescent="0.25">
      <c r="B2482" s="18"/>
    </row>
    <row r="2483" spans="2:2" x14ac:dyDescent="0.25">
      <c r="B2483" s="18"/>
    </row>
    <row r="2484" spans="2:2" x14ac:dyDescent="0.25">
      <c r="B2484" s="18"/>
    </row>
    <row r="2485" spans="2:2" x14ac:dyDescent="0.25">
      <c r="B2485" s="18"/>
    </row>
    <row r="2486" spans="2:2" x14ac:dyDescent="0.25">
      <c r="B2486" s="18"/>
    </row>
    <row r="2487" spans="2:2" x14ac:dyDescent="0.25">
      <c r="B2487" s="18"/>
    </row>
    <row r="2488" spans="2:2" x14ac:dyDescent="0.25">
      <c r="B2488" s="18"/>
    </row>
    <row r="2489" spans="2:2" x14ac:dyDescent="0.25">
      <c r="B2489" s="18"/>
    </row>
    <row r="2490" spans="2:2" x14ac:dyDescent="0.25">
      <c r="B2490" s="18"/>
    </row>
    <row r="2491" spans="2:2" x14ac:dyDescent="0.25">
      <c r="B2491" s="18"/>
    </row>
    <row r="2492" spans="2:2" x14ac:dyDescent="0.25">
      <c r="B2492" s="18"/>
    </row>
    <row r="2493" spans="2:2" x14ac:dyDescent="0.25">
      <c r="B2493" s="18"/>
    </row>
    <row r="2494" spans="2:2" x14ac:dyDescent="0.25">
      <c r="B2494" s="18"/>
    </row>
    <row r="2495" spans="2:2" x14ac:dyDescent="0.25">
      <c r="B2495" s="18"/>
    </row>
    <row r="2496" spans="2:2" x14ac:dyDescent="0.25">
      <c r="B2496" s="18"/>
    </row>
    <row r="2497" spans="2:2" x14ac:dyDescent="0.25">
      <c r="B2497" s="18"/>
    </row>
    <row r="2498" spans="2:2" x14ac:dyDescent="0.25">
      <c r="B2498" s="18"/>
    </row>
    <row r="2499" spans="2:2" x14ac:dyDescent="0.25">
      <c r="B2499" s="18"/>
    </row>
    <row r="2500" spans="2:2" x14ac:dyDescent="0.25">
      <c r="B2500" s="18"/>
    </row>
    <row r="2501" spans="2:2" x14ac:dyDescent="0.25">
      <c r="B2501" s="18"/>
    </row>
    <row r="2502" spans="2:2" x14ac:dyDescent="0.25">
      <c r="B2502" s="18"/>
    </row>
    <row r="2503" spans="2:2" x14ac:dyDescent="0.25">
      <c r="B2503" s="18"/>
    </row>
    <row r="2504" spans="2:2" x14ac:dyDescent="0.25">
      <c r="B2504" s="18"/>
    </row>
    <row r="2505" spans="2:2" x14ac:dyDescent="0.25">
      <c r="B2505" s="18"/>
    </row>
    <row r="2506" spans="2:2" x14ac:dyDescent="0.25">
      <c r="B2506" s="18"/>
    </row>
    <row r="2507" spans="2:2" x14ac:dyDescent="0.25">
      <c r="B2507" s="18"/>
    </row>
    <row r="2508" spans="2:2" x14ac:dyDescent="0.25">
      <c r="B2508" s="18"/>
    </row>
    <row r="2509" spans="2:2" x14ac:dyDescent="0.25">
      <c r="B2509" s="18"/>
    </row>
    <row r="2510" spans="2:2" x14ac:dyDescent="0.25">
      <c r="B2510" s="18"/>
    </row>
    <row r="2511" spans="2:2" x14ac:dyDescent="0.25">
      <c r="B2511" s="18"/>
    </row>
    <row r="2512" spans="2:2" x14ac:dyDescent="0.25">
      <c r="B2512" s="18"/>
    </row>
    <row r="2513" spans="2:2" x14ac:dyDescent="0.25">
      <c r="B2513" s="18"/>
    </row>
    <row r="2514" spans="2:2" x14ac:dyDescent="0.25">
      <c r="B2514" s="18"/>
    </row>
    <row r="2515" spans="2:2" x14ac:dyDescent="0.25">
      <c r="B2515" s="18"/>
    </row>
    <row r="2516" spans="2:2" x14ac:dyDescent="0.25">
      <c r="B2516" s="18"/>
    </row>
    <row r="2517" spans="2:2" x14ac:dyDescent="0.25">
      <c r="B2517" s="18"/>
    </row>
    <row r="2518" spans="2:2" x14ac:dyDescent="0.25">
      <c r="B2518" s="18"/>
    </row>
    <row r="2519" spans="2:2" x14ac:dyDescent="0.25">
      <c r="B2519" s="18"/>
    </row>
    <row r="2520" spans="2:2" x14ac:dyDescent="0.25">
      <c r="B2520" s="18"/>
    </row>
    <row r="2521" spans="2:2" x14ac:dyDescent="0.25">
      <c r="B2521" s="18"/>
    </row>
    <row r="2522" spans="2:2" x14ac:dyDescent="0.25">
      <c r="B2522" s="18"/>
    </row>
    <row r="2523" spans="2:2" x14ac:dyDescent="0.25">
      <c r="B2523" s="18"/>
    </row>
    <row r="2524" spans="2:2" x14ac:dyDescent="0.25">
      <c r="B2524" s="18"/>
    </row>
    <row r="2525" spans="2:2" x14ac:dyDescent="0.25">
      <c r="B2525" s="18"/>
    </row>
    <row r="2526" spans="2:2" x14ac:dyDescent="0.25">
      <c r="B2526" s="18"/>
    </row>
    <row r="2527" spans="2:2" x14ac:dyDescent="0.25">
      <c r="B2527" s="18"/>
    </row>
    <row r="2528" spans="2:2" x14ac:dyDescent="0.25">
      <c r="B2528" s="18"/>
    </row>
    <row r="2529" spans="2:2" x14ac:dyDescent="0.25">
      <c r="B2529" s="18"/>
    </row>
    <row r="2530" spans="2:2" x14ac:dyDescent="0.25">
      <c r="B2530" s="18"/>
    </row>
    <row r="2531" spans="2:2" x14ac:dyDescent="0.25">
      <c r="B2531" s="18"/>
    </row>
    <row r="2532" spans="2:2" x14ac:dyDescent="0.25">
      <c r="B2532" s="18"/>
    </row>
    <row r="2533" spans="2:2" x14ac:dyDescent="0.25">
      <c r="B2533" s="18"/>
    </row>
    <row r="2534" spans="2:2" x14ac:dyDescent="0.25">
      <c r="B2534" s="18"/>
    </row>
    <row r="2535" spans="2:2" x14ac:dyDescent="0.25">
      <c r="B2535" s="18"/>
    </row>
    <row r="2536" spans="2:2" x14ac:dyDescent="0.25">
      <c r="B2536" s="18"/>
    </row>
    <row r="2537" spans="2:2" x14ac:dyDescent="0.25">
      <c r="B2537" s="18"/>
    </row>
    <row r="2538" spans="2:2" x14ac:dyDescent="0.25">
      <c r="B2538" s="18"/>
    </row>
    <row r="2539" spans="2:2" x14ac:dyDescent="0.25">
      <c r="B2539" s="18"/>
    </row>
    <row r="2540" spans="2:2" x14ac:dyDescent="0.25">
      <c r="B2540" s="18"/>
    </row>
    <row r="2541" spans="2:2" x14ac:dyDescent="0.25">
      <c r="B2541" s="18"/>
    </row>
    <row r="2542" spans="2:2" x14ac:dyDescent="0.25">
      <c r="B2542" s="18"/>
    </row>
    <row r="2543" spans="2:2" x14ac:dyDescent="0.25">
      <c r="B2543" s="18"/>
    </row>
    <row r="2544" spans="2:2" x14ac:dyDescent="0.25">
      <c r="B2544" s="18"/>
    </row>
    <row r="2545" spans="2:2" x14ac:dyDescent="0.25">
      <c r="B2545" s="18"/>
    </row>
    <row r="2546" spans="2:2" x14ac:dyDescent="0.25">
      <c r="B2546" s="18"/>
    </row>
    <row r="2547" spans="2:2" x14ac:dyDescent="0.25">
      <c r="B2547" s="18"/>
    </row>
    <row r="2548" spans="2:2" x14ac:dyDescent="0.25">
      <c r="B2548" s="18"/>
    </row>
    <row r="2549" spans="2:2" x14ac:dyDescent="0.25">
      <c r="B2549" s="18"/>
    </row>
    <row r="2550" spans="2:2" x14ac:dyDescent="0.25">
      <c r="B2550" s="18"/>
    </row>
    <row r="2551" spans="2:2" x14ac:dyDescent="0.25">
      <c r="B2551" s="18"/>
    </row>
    <row r="2552" spans="2:2" x14ac:dyDescent="0.25">
      <c r="B2552" s="18"/>
    </row>
    <row r="2553" spans="2:2" x14ac:dyDescent="0.25">
      <c r="B2553" s="18"/>
    </row>
    <row r="2554" spans="2:2" x14ac:dyDescent="0.25">
      <c r="B2554" s="18"/>
    </row>
    <row r="2555" spans="2:2" x14ac:dyDescent="0.25">
      <c r="B2555" s="18"/>
    </row>
    <row r="2556" spans="2:2" x14ac:dyDescent="0.25">
      <c r="B2556" s="18"/>
    </row>
    <row r="2557" spans="2:2" x14ac:dyDescent="0.25">
      <c r="B2557" s="18"/>
    </row>
    <row r="2558" spans="2:2" x14ac:dyDescent="0.25">
      <c r="B2558" s="18"/>
    </row>
    <row r="2559" spans="2:2" x14ac:dyDescent="0.25">
      <c r="B2559" s="18"/>
    </row>
    <row r="2560" spans="2:2" x14ac:dyDescent="0.25">
      <c r="B2560" s="18"/>
    </row>
    <row r="2561" spans="2:2" x14ac:dyDescent="0.25">
      <c r="B2561" s="18"/>
    </row>
    <row r="2562" spans="2:2" x14ac:dyDescent="0.25">
      <c r="B2562" s="18"/>
    </row>
    <row r="2563" spans="2:2" x14ac:dyDescent="0.25">
      <c r="B2563" s="18"/>
    </row>
    <row r="2564" spans="2:2" x14ac:dyDescent="0.25">
      <c r="B2564" s="18"/>
    </row>
    <row r="2565" spans="2:2" x14ac:dyDescent="0.25">
      <c r="B2565" s="18"/>
    </row>
    <row r="2566" spans="2:2" x14ac:dyDescent="0.25">
      <c r="B2566" s="18"/>
    </row>
    <row r="2567" spans="2:2" x14ac:dyDescent="0.25">
      <c r="B2567" s="18"/>
    </row>
    <row r="2568" spans="2:2" x14ac:dyDescent="0.25">
      <c r="B2568" s="18"/>
    </row>
    <row r="2569" spans="2:2" x14ac:dyDescent="0.25">
      <c r="B2569" s="18"/>
    </row>
    <row r="2570" spans="2:2" x14ac:dyDescent="0.25">
      <c r="B2570" s="18"/>
    </row>
    <row r="2571" spans="2:2" x14ac:dyDescent="0.25">
      <c r="B2571" s="18"/>
    </row>
    <row r="2572" spans="2:2" x14ac:dyDescent="0.25">
      <c r="B2572" s="18"/>
    </row>
    <row r="2573" spans="2:2" x14ac:dyDescent="0.25">
      <c r="B2573" s="18"/>
    </row>
    <row r="2574" spans="2:2" x14ac:dyDescent="0.25">
      <c r="B2574" s="18"/>
    </row>
    <row r="2575" spans="2:2" x14ac:dyDescent="0.25">
      <c r="B2575" s="18"/>
    </row>
    <row r="2576" spans="2:2" x14ac:dyDescent="0.25">
      <c r="B2576" s="18"/>
    </row>
    <row r="2577" spans="2:2" x14ac:dyDescent="0.25">
      <c r="B2577" s="18"/>
    </row>
    <row r="2578" spans="2:2" x14ac:dyDescent="0.25">
      <c r="B2578" s="18"/>
    </row>
    <row r="2579" spans="2:2" x14ac:dyDescent="0.25">
      <c r="B2579" s="18"/>
    </row>
    <row r="2580" spans="2:2" x14ac:dyDescent="0.25">
      <c r="B2580" s="18"/>
    </row>
    <row r="2581" spans="2:2" x14ac:dyDescent="0.25">
      <c r="B2581" s="18"/>
    </row>
    <row r="2582" spans="2:2" x14ac:dyDescent="0.25">
      <c r="B2582" s="18"/>
    </row>
    <row r="2583" spans="2:2" x14ac:dyDescent="0.25">
      <c r="B2583" s="18"/>
    </row>
    <row r="2584" spans="2:2" x14ac:dyDescent="0.25">
      <c r="B2584" s="18"/>
    </row>
    <row r="2585" spans="2:2" x14ac:dyDescent="0.25">
      <c r="B2585" s="18"/>
    </row>
    <row r="2586" spans="2:2" x14ac:dyDescent="0.25">
      <c r="B2586" s="18"/>
    </row>
    <row r="2587" spans="2:2" x14ac:dyDescent="0.25">
      <c r="B2587" s="18"/>
    </row>
    <row r="2588" spans="2:2" x14ac:dyDescent="0.25">
      <c r="B2588" s="18"/>
    </row>
    <row r="2589" spans="2:2" x14ac:dyDescent="0.25">
      <c r="B2589" s="18"/>
    </row>
    <row r="2590" spans="2:2" x14ac:dyDescent="0.25">
      <c r="B2590" s="18"/>
    </row>
    <row r="2591" spans="2:2" x14ac:dyDescent="0.25">
      <c r="B2591" s="18"/>
    </row>
    <row r="2592" spans="2:2" x14ac:dyDescent="0.25">
      <c r="B2592" s="18"/>
    </row>
    <row r="2593" spans="2:2" x14ac:dyDescent="0.25">
      <c r="B2593" s="18"/>
    </row>
    <row r="2594" spans="2:2" x14ac:dyDescent="0.25">
      <c r="B2594" s="18"/>
    </row>
    <row r="2595" spans="2:2" x14ac:dyDescent="0.25">
      <c r="B2595" s="18"/>
    </row>
    <row r="2596" spans="2:2" x14ac:dyDescent="0.25">
      <c r="B2596" s="18"/>
    </row>
    <row r="2597" spans="2:2" x14ac:dyDescent="0.25">
      <c r="B2597" s="18"/>
    </row>
    <row r="2598" spans="2:2" x14ac:dyDescent="0.25">
      <c r="B2598" s="18"/>
    </row>
    <row r="2599" spans="2:2" x14ac:dyDescent="0.25">
      <c r="B2599" s="18"/>
    </row>
    <row r="2600" spans="2:2" x14ac:dyDescent="0.25">
      <c r="B2600" s="18"/>
    </row>
    <row r="2601" spans="2:2" x14ac:dyDescent="0.25">
      <c r="B2601" s="18"/>
    </row>
    <row r="2602" spans="2:2" x14ac:dyDescent="0.25">
      <c r="B2602" s="18"/>
    </row>
    <row r="2603" spans="2:2" x14ac:dyDescent="0.25">
      <c r="B2603" s="18"/>
    </row>
    <row r="2604" spans="2:2" x14ac:dyDescent="0.25">
      <c r="B2604" s="18"/>
    </row>
    <row r="2605" spans="2:2" x14ac:dyDescent="0.25">
      <c r="B2605" s="18"/>
    </row>
    <row r="2606" spans="2:2" x14ac:dyDescent="0.25">
      <c r="B2606" s="18"/>
    </row>
    <row r="2607" spans="2:2" x14ac:dyDescent="0.25">
      <c r="B2607" s="18"/>
    </row>
    <row r="2608" spans="2:2" x14ac:dyDescent="0.25">
      <c r="B2608" s="18"/>
    </row>
    <row r="2609" spans="2:2" x14ac:dyDescent="0.25">
      <c r="B2609" s="18"/>
    </row>
    <row r="2610" spans="2:2" x14ac:dyDescent="0.25">
      <c r="B2610" s="18"/>
    </row>
    <row r="2611" spans="2:2" x14ac:dyDescent="0.25">
      <c r="B2611" s="18"/>
    </row>
    <row r="2612" spans="2:2" x14ac:dyDescent="0.25">
      <c r="B2612" s="18"/>
    </row>
    <row r="2613" spans="2:2" x14ac:dyDescent="0.25">
      <c r="B2613" s="18"/>
    </row>
    <row r="2614" spans="2:2" x14ac:dyDescent="0.25">
      <c r="B2614" s="18"/>
    </row>
    <row r="2615" spans="2:2" x14ac:dyDescent="0.25">
      <c r="B2615" s="18"/>
    </row>
    <row r="2616" spans="2:2" x14ac:dyDescent="0.25">
      <c r="B2616" s="18"/>
    </row>
    <row r="2617" spans="2:2" x14ac:dyDescent="0.25">
      <c r="B2617" s="18"/>
    </row>
    <row r="2618" spans="2:2" x14ac:dyDescent="0.25">
      <c r="B2618" s="18"/>
    </row>
    <row r="2619" spans="2:2" x14ac:dyDescent="0.25">
      <c r="B2619" s="18"/>
    </row>
    <row r="2620" spans="2:2" x14ac:dyDescent="0.25">
      <c r="B2620" s="18"/>
    </row>
    <row r="2621" spans="2:2" x14ac:dyDescent="0.25">
      <c r="B2621" s="18"/>
    </row>
    <row r="2622" spans="2:2" x14ac:dyDescent="0.25">
      <c r="B2622" s="18"/>
    </row>
    <row r="2623" spans="2:2" x14ac:dyDescent="0.25">
      <c r="B2623" s="18"/>
    </row>
    <row r="2624" spans="2:2" x14ac:dyDescent="0.25">
      <c r="B2624" s="18"/>
    </row>
    <row r="2625" spans="2:2" x14ac:dyDescent="0.25">
      <c r="B2625" s="18"/>
    </row>
    <row r="2626" spans="2:2" x14ac:dyDescent="0.25">
      <c r="B2626" s="18"/>
    </row>
    <row r="2627" spans="2:2" x14ac:dyDescent="0.25">
      <c r="B2627" s="18"/>
    </row>
    <row r="2628" spans="2:2" x14ac:dyDescent="0.25">
      <c r="B2628" s="18"/>
    </row>
    <row r="2629" spans="2:2" x14ac:dyDescent="0.25">
      <c r="B2629" s="18"/>
    </row>
    <row r="2630" spans="2:2" x14ac:dyDescent="0.25">
      <c r="B2630" s="18"/>
    </row>
    <row r="2631" spans="2:2" x14ac:dyDescent="0.25">
      <c r="B2631" s="18"/>
    </row>
    <row r="2632" spans="2:2" x14ac:dyDescent="0.25">
      <c r="B2632" s="18"/>
    </row>
    <row r="2633" spans="2:2" x14ac:dyDescent="0.25">
      <c r="B2633" s="18"/>
    </row>
    <row r="2634" spans="2:2" x14ac:dyDescent="0.25">
      <c r="B2634" s="18"/>
    </row>
    <row r="2635" spans="2:2" x14ac:dyDescent="0.25">
      <c r="B2635" s="18"/>
    </row>
    <row r="2636" spans="2:2" x14ac:dyDescent="0.25">
      <c r="B2636" s="18"/>
    </row>
    <row r="2637" spans="2:2" x14ac:dyDescent="0.25">
      <c r="B2637" s="18"/>
    </row>
    <row r="2638" spans="2:2" x14ac:dyDescent="0.25">
      <c r="B2638" s="18"/>
    </row>
    <row r="2639" spans="2:2" x14ac:dyDescent="0.25">
      <c r="B2639" s="18"/>
    </row>
    <row r="2640" spans="2:2" x14ac:dyDescent="0.25">
      <c r="B2640" s="18"/>
    </row>
    <row r="2641" spans="2:2" x14ac:dyDescent="0.25">
      <c r="B2641" s="18"/>
    </row>
    <row r="2642" spans="2:2" x14ac:dyDescent="0.25">
      <c r="B2642" s="18"/>
    </row>
    <row r="2643" spans="2:2" x14ac:dyDescent="0.25">
      <c r="B2643" s="18"/>
    </row>
    <row r="2644" spans="2:2" x14ac:dyDescent="0.25">
      <c r="B2644" s="18"/>
    </row>
    <row r="2645" spans="2:2" x14ac:dyDescent="0.25">
      <c r="B2645" s="18"/>
    </row>
    <row r="2646" spans="2:2" x14ac:dyDescent="0.25">
      <c r="B2646" s="18"/>
    </row>
    <row r="2647" spans="2:2" x14ac:dyDescent="0.25">
      <c r="B2647" s="18"/>
    </row>
    <row r="2648" spans="2:2" x14ac:dyDescent="0.25">
      <c r="B2648" s="18"/>
    </row>
    <row r="2649" spans="2:2" x14ac:dyDescent="0.25">
      <c r="B2649" s="18"/>
    </row>
    <row r="2650" spans="2:2" x14ac:dyDescent="0.25">
      <c r="B2650" s="18"/>
    </row>
    <row r="2651" spans="2:2" x14ac:dyDescent="0.25">
      <c r="B2651" s="18"/>
    </row>
    <row r="2652" spans="2:2" x14ac:dyDescent="0.25">
      <c r="B2652" s="18"/>
    </row>
    <row r="2653" spans="2:2" x14ac:dyDescent="0.25">
      <c r="B2653" s="18"/>
    </row>
    <row r="2654" spans="2:2" x14ac:dyDescent="0.25">
      <c r="B2654" s="18"/>
    </row>
    <row r="2655" spans="2:2" x14ac:dyDescent="0.25">
      <c r="B2655" s="18"/>
    </row>
    <row r="2656" spans="2:2" x14ac:dyDescent="0.25">
      <c r="B2656" s="18"/>
    </row>
    <row r="2657" spans="2:2" x14ac:dyDescent="0.25">
      <c r="B2657" s="18"/>
    </row>
    <row r="2658" spans="2:2" x14ac:dyDescent="0.25">
      <c r="B2658" s="18"/>
    </row>
    <row r="2659" spans="2:2" x14ac:dyDescent="0.25">
      <c r="B2659" s="18"/>
    </row>
    <row r="2660" spans="2:2" x14ac:dyDescent="0.25">
      <c r="B2660" s="18"/>
    </row>
    <row r="2661" spans="2:2" x14ac:dyDescent="0.25">
      <c r="B2661" s="18"/>
    </row>
    <row r="2662" spans="2:2" x14ac:dyDescent="0.25">
      <c r="B2662" s="18"/>
    </row>
    <row r="2663" spans="2:2" x14ac:dyDescent="0.25">
      <c r="B2663" s="18"/>
    </row>
    <row r="2664" spans="2:2" x14ac:dyDescent="0.25">
      <c r="B2664" s="18"/>
    </row>
    <row r="2665" spans="2:2" x14ac:dyDescent="0.25">
      <c r="B2665" s="18"/>
    </row>
    <row r="2666" spans="2:2" x14ac:dyDescent="0.25">
      <c r="B2666" s="18"/>
    </row>
    <row r="2667" spans="2:2" x14ac:dyDescent="0.25">
      <c r="B2667" s="18"/>
    </row>
    <row r="2668" spans="2:2" x14ac:dyDescent="0.25">
      <c r="B2668" s="18"/>
    </row>
    <row r="2669" spans="2:2" x14ac:dyDescent="0.25">
      <c r="B2669" s="18"/>
    </row>
    <row r="2670" spans="2:2" x14ac:dyDescent="0.25">
      <c r="B2670" s="18"/>
    </row>
    <row r="2671" spans="2:2" x14ac:dyDescent="0.25">
      <c r="B2671" s="18"/>
    </row>
    <row r="2672" spans="2:2" x14ac:dyDescent="0.25">
      <c r="B2672" s="18"/>
    </row>
    <row r="2673" spans="2:2" x14ac:dyDescent="0.25">
      <c r="B2673" s="18"/>
    </row>
    <row r="2674" spans="2:2" x14ac:dyDescent="0.25">
      <c r="B2674" s="18"/>
    </row>
    <row r="2675" spans="2:2" x14ac:dyDescent="0.25">
      <c r="B2675" s="18"/>
    </row>
    <row r="2676" spans="2:2" x14ac:dyDescent="0.25">
      <c r="B2676" s="18"/>
    </row>
    <row r="2677" spans="2:2" x14ac:dyDescent="0.25">
      <c r="B2677" s="18"/>
    </row>
    <row r="2678" spans="2:2" x14ac:dyDescent="0.25">
      <c r="B2678" s="18"/>
    </row>
    <row r="2679" spans="2:2" x14ac:dyDescent="0.25">
      <c r="B2679" s="18"/>
    </row>
    <row r="2680" spans="2:2" x14ac:dyDescent="0.25">
      <c r="B2680" s="18"/>
    </row>
    <row r="2681" spans="2:2" x14ac:dyDescent="0.25">
      <c r="B2681" s="18"/>
    </row>
    <row r="2682" spans="2:2" x14ac:dyDescent="0.25">
      <c r="B2682" s="18"/>
    </row>
    <row r="2683" spans="2:2" x14ac:dyDescent="0.25">
      <c r="B2683" s="18"/>
    </row>
    <row r="2684" spans="2:2" x14ac:dyDescent="0.25">
      <c r="B2684" s="18"/>
    </row>
    <row r="2685" spans="2:2" x14ac:dyDescent="0.25">
      <c r="B2685" s="18"/>
    </row>
    <row r="2686" spans="2:2" x14ac:dyDescent="0.25">
      <c r="B2686" s="18"/>
    </row>
    <row r="2687" spans="2:2" x14ac:dyDescent="0.25">
      <c r="B2687" s="18"/>
    </row>
    <row r="2688" spans="2:2" x14ac:dyDescent="0.25">
      <c r="B2688" s="18"/>
    </row>
    <row r="2689" spans="2:2" x14ac:dyDescent="0.25">
      <c r="B2689" s="18"/>
    </row>
    <row r="2690" spans="2:2" x14ac:dyDescent="0.25">
      <c r="B2690" s="18"/>
    </row>
    <row r="2691" spans="2:2" x14ac:dyDescent="0.25">
      <c r="B2691" s="18"/>
    </row>
    <row r="2692" spans="2:2" x14ac:dyDescent="0.25">
      <c r="B2692" s="18"/>
    </row>
    <row r="2693" spans="2:2" x14ac:dyDescent="0.25">
      <c r="B2693" s="18"/>
    </row>
    <row r="2694" spans="2:2" x14ac:dyDescent="0.25">
      <c r="B2694" s="18"/>
    </row>
    <row r="2695" spans="2:2" x14ac:dyDescent="0.25">
      <c r="B2695" s="18"/>
    </row>
    <row r="2696" spans="2:2" x14ac:dyDescent="0.25">
      <c r="B2696" s="18"/>
    </row>
    <row r="2697" spans="2:2" x14ac:dyDescent="0.25">
      <c r="B2697" s="18"/>
    </row>
    <row r="2698" spans="2:2" x14ac:dyDescent="0.25">
      <c r="B2698" s="18"/>
    </row>
    <row r="2699" spans="2:2" x14ac:dyDescent="0.25">
      <c r="B2699" s="18"/>
    </row>
    <row r="2700" spans="2:2" x14ac:dyDescent="0.25">
      <c r="B2700" s="18"/>
    </row>
    <row r="2701" spans="2:2" x14ac:dyDescent="0.25">
      <c r="B2701" s="18"/>
    </row>
    <row r="2702" spans="2:2" x14ac:dyDescent="0.25">
      <c r="B2702" s="18"/>
    </row>
    <row r="2703" spans="2:2" x14ac:dyDescent="0.25">
      <c r="B2703" s="18"/>
    </row>
    <row r="2704" spans="2:2" x14ac:dyDescent="0.25">
      <c r="B2704" s="18"/>
    </row>
    <row r="2705" spans="2:2" x14ac:dyDescent="0.25">
      <c r="B2705" s="18"/>
    </row>
    <row r="2706" spans="2:2" x14ac:dyDescent="0.25">
      <c r="B2706" s="18"/>
    </row>
    <row r="2707" spans="2:2" x14ac:dyDescent="0.25">
      <c r="B2707" s="18"/>
    </row>
    <row r="2708" spans="2:2" x14ac:dyDescent="0.25">
      <c r="B2708" s="18"/>
    </row>
    <row r="2709" spans="2:2" x14ac:dyDescent="0.25">
      <c r="B2709" s="18"/>
    </row>
    <row r="2710" spans="2:2" x14ac:dyDescent="0.25">
      <c r="B2710" s="18"/>
    </row>
    <row r="2711" spans="2:2" x14ac:dyDescent="0.25">
      <c r="B2711" s="18"/>
    </row>
    <row r="2712" spans="2:2" x14ac:dyDescent="0.25">
      <c r="B2712" s="18"/>
    </row>
    <row r="2713" spans="2:2" x14ac:dyDescent="0.25">
      <c r="B2713" s="18"/>
    </row>
    <row r="2714" spans="2:2" x14ac:dyDescent="0.25">
      <c r="B2714" s="18"/>
    </row>
    <row r="2715" spans="2:2" x14ac:dyDescent="0.25">
      <c r="B2715" s="18"/>
    </row>
    <row r="2716" spans="2:2" x14ac:dyDescent="0.25">
      <c r="B2716" s="18"/>
    </row>
    <row r="2717" spans="2:2" x14ac:dyDescent="0.25">
      <c r="B2717" s="18"/>
    </row>
    <row r="2718" spans="2:2" x14ac:dyDescent="0.25">
      <c r="B2718" s="18"/>
    </row>
    <row r="2719" spans="2:2" x14ac:dyDescent="0.25">
      <c r="B2719" s="18"/>
    </row>
    <row r="2720" spans="2:2" x14ac:dyDescent="0.25">
      <c r="B2720" s="18"/>
    </row>
    <row r="2721" spans="2:2" x14ac:dyDescent="0.25">
      <c r="B2721" s="18"/>
    </row>
    <row r="2722" spans="2:2" x14ac:dyDescent="0.25">
      <c r="B2722" s="18"/>
    </row>
    <row r="2723" spans="2:2" x14ac:dyDescent="0.25">
      <c r="B2723" s="18"/>
    </row>
    <row r="2724" spans="2:2" x14ac:dyDescent="0.25">
      <c r="B2724" s="18"/>
    </row>
    <row r="2725" spans="2:2" x14ac:dyDescent="0.25">
      <c r="B2725" s="18"/>
    </row>
    <row r="2726" spans="2:2" x14ac:dyDescent="0.25">
      <c r="B2726" s="18"/>
    </row>
    <row r="2727" spans="2:2" x14ac:dyDescent="0.25">
      <c r="B2727" s="18"/>
    </row>
    <row r="2728" spans="2:2" x14ac:dyDescent="0.25">
      <c r="B2728" s="18"/>
    </row>
    <row r="2729" spans="2:2" x14ac:dyDescent="0.25">
      <c r="B2729" s="18"/>
    </row>
    <row r="2730" spans="2:2" x14ac:dyDescent="0.25">
      <c r="B2730" s="18"/>
    </row>
    <row r="2731" spans="2:2" x14ac:dyDescent="0.25">
      <c r="B2731" s="18"/>
    </row>
    <row r="2732" spans="2:2" x14ac:dyDescent="0.25">
      <c r="B2732" s="18"/>
    </row>
    <row r="2733" spans="2:2" x14ac:dyDescent="0.25">
      <c r="B2733" s="18"/>
    </row>
    <row r="2734" spans="2:2" x14ac:dyDescent="0.25">
      <c r="B2734" s="18"/>
    </row>
    <row r="2735" spans="2:2" x14ac:dyDescent="0.25">
      <c r="B2735" s="18"/>
    </row>
    <row r="2736" spans="2:2" x14ac:dyDescent="0.25">
      <c r="B2736" s="18"/>
    </row>
    <row r="2737" spans="2:2" x14ac:dyDescent="0.25">
      <c r="B2737" s="18"/>
    </row>
    <row r="2738" spans="2:2" x14ac:dyDescent="0.25">
      <c r="B2738" s="18"/>
    </row>
    <row r="2739" spans="2:2" x14ac:dyDescent="0.25">
      <c r="B2739" s="18"/>
    </row>
    <row r="2740" spans="2:2" x14ac:dyDescent="0.25">
      <c r="B2740" s="18"/>
    </row>
    <row r="2741" spans="2:2" x14ac:dyDescent="0.25">
      <c r="B2741" s="18"/>
    </row>
    <row r="2742" spans="2:2" x14ac:dyDescent="0.25">
      <c r="B2742" s="18"/>
    </row>
    <row r="2743" spans="2:2" x14ac:dyDescent="0.25">
      <c r="B2743" s="18"/>
    </row>
    <row r="2744" spans="2:2" x14ac:dyDescent="0.25">
      <c r="B2744" s="18"/>
    </row>
    <row r="2745" spans="2:2" x14ac:dyDescent="0.25">
      <c r="B2745" s="18"/>
    </row>
    <row r="2746" spans="2:2" x14ac:dyDescent="0.25">
      <c r="B2746" s="18"/>
    </row>
    <row r="2747" spans="2:2" x14ac:dyDescent="0.25">
      <c r="B2747" s="18"/>
    </row>
    <row r="2748" spans="2:2" x14ac:dyDescent="0.25">
      <c r="B2748" s="18"/>
    </row>
    <row r="2749" spans="2:2" x14ac:dyDescent="0.25">
      <c r="B2749" s="18"/>
    </row>
    <row r="2750" spans="2:2" x14ac:dyDescent="0.25">
      <c r="B2750" s="18"/>
    </row>
    <row r="2751" spans="2:2" x14ac:dyDescent="0.25">
      <c r="B2751" s="18"/>
    </row>
    <row r="2752" spans="2:2" x14ac:dyDescent="0.25">
      <c r="B2752" s="18"/>
    </row>
    <row r="2753" spans="2:2" x14ac:dyDescent="0.25">
      <c r="B2753" s="18"/>
    </row>
    <row r="2754" spans="2:2" x14ac:dyDescent="0.25">
      <c r="B2754" s="18"/>
    </row>
    <row r="2755" spans="2:2" x14ac:dyDescent="0.25">
      <c r="B2755" s="18"/>
    </row>
    <row r="2756" spans="2:2" x14ac:dyDescent="0.25">
      <c r="B2756" s="18"/>
    </row>
    <row r="2757" spans="2:2" x14ac:dyDescent="0.25">
      <c r="B2757" s="18"/>
    </row>
    <row r="2758" spans="2:2" x14ac:dyDescent="0.25">
      <c r="B2758" s="18"/>
    </row>
    <row r="2759" spans="2:2" x14ac:dyDescent="0.25">
      <c r="B2759" s="18"/>
    </row>
    <row r="2760" spans="2:2" x14ac:dyDescent="0.25">
      <c r="B2760" s="18"/>
    </row>
    <row r="2761" spans="2:2" x14ac:dyDescent="0.25">
      <c r="B2761" s="18"/>
    </row>
    <row r="2762" spans="2:2" x14ac:dyDescent="0.25">
      <c r="B2762" s="18"/>
    </row>
    <row r="2763" spans="2:2" x14ac:dyDescent="0.25">
      <c r="B2763" s="18"/>
    </row>
    <row r="2764" spans="2:2" x14ac:dyDescent="0.25">
      <c r="B2764" s="18"/>
    </row>
    <row r="2765" spans="2:2" x14ac:dyDescent="0.25">
      <c r="B2765" s="18"/>
    </row>
    <row r="2766" spans="2:2" x14ac:dyDescent="0.25">
      <c r="B2766" s="18"/>
    </row>
    <row r="2767" spans="2:2" x14ac:dyDescent="0.25">
      <c r="B2767" s="18"/>
    </row>
    <row r="2768" spans="2:2" x14ac:dyDescent="0.25">
      <c r="B2768" s="18"/>
    </row>
    <row r="2769" spans="2:2" x14ac:dyDescent="0.25">
      <c r="B2769" s="18"/>
    </row>
    <row r="2770" spans="2:2" x14ac:dyDescent="0.25">
      <c r="B2770" s="18"/>
    </row>
    <row r="2771" spans="2:2" x14ac:dyDescent="0.25">
      <c r="B2771" s="18"/>
    </row>
    <row r="2772" spans="2:2" x14ac:dyDescent="0.25">
      <c r="B2772" s="18"/>
    </row>
    <row r="2773" spans="2:2" x14ac:dyDescent="0.25">
      <c r="B2773" s="18"/>
    </row>
    <row r="2774" spans="2:2" x14ac:dyDescent="0.25">
      <c r="B2774" s="18"/>
    </row>
    <row r="2775" spans="2:2" x14ac:dyDescent="0.25">
      <c r="B2775" s="18"/>
    </row>
    <row r="2776" spans="2:2" x14ac:dyDescent="0.25">
      <c r="B2776" s="18"/>
    </row>
    <row r="2777" spans="2:2" x14ac:dyDescent="0.25">
      <c r="B2777" s="18"/>
    </row>
    <row r="2778" spans="2:2" x14ac:dyDescent="0.25">
      <c r="B2778" s="18"/>
    </row>
    <row r="2779" spans="2:2" x14ac:dyDescent="0.25">
      <c r="B2779" s="18"/>
    </row>
    <row r="2780" spans="2:2" x14ac:dyDescent="0.25">
      <c r="B2780" s="18"/>
    </row>
    <row r="2781" spans="2:2" x14ac:dyDescent="0.25">
      <c r="B2781" s="18"/>
    </row>
    <row r="2782" spans="2:2" x14ac:dyDescent="0.25">
      <c r="B2782" s="18"/>
    </row>
    <row r="2783" spans="2:2" x14ac:dyDescent="0.25">
      <c r="B2783" s="18"/>
    </row>
    <row r="2784" spans="2:2" x14ac:dyDescent="0.25">
      <c r="B2784" s="18"/>
    </row>
    <row r="2785" spans="2:2" x14ac:dyDescent="0.25">
      <c r="B2785" s="18"/>
    </row>
    <row r="2786" spans="2:2" x14ac:dyDescent="0.25">
      <c r="B2786" s="18"/>
    </row>
    <row r="2787" spans="2:2" x14ac:dyDescent="0.25">
      <c r="B2787" s="18"/>
    </row>
    <row r="2788" spans="2:2" x14ac:dyDescent="0.25">
      <c r="B2788" s="18"/>
    </row>
    <row r="2789" spans="2:2" x14ac:dyDescent="0.25">
      <c r="B2789" s="18"/>
    </row>
    <row r="2790" spans="2:2" x14ac:dyDescent="0.25">
      <c r="B2790" s="18"/>
    </row>
    <row r="2791" spans="2:2" x14ac:dyDescent="0.25">
      <c r="B2791" s="18"/>
    </row>
    <row r="2792" spans="2:2" x14ac:dyDescent="0.25">
      <c r="B2792" s="18"/>
    </row>
    <row r="2793" spans="2:2" x14ac:dyDescent="0.25">
      <c r="B2793" s="18"/>
    </row>
    <row r="2794" spans="2:2" x14ac:dyDescent="0.25">
      <c r="B2794" s="18"/>
    </row>
    <row r="2795" spans="2:2" x14ac:dyDescent="0.25">
      <c r="B2795" s="18"/>
    </row>
    <row r="2796" spans="2:2" x14ac:dyDescent="0.25">
      <c r="B2796" s="18"/>
    </row>
    <row r="2797" spans="2:2" x14ac:dyDescent="0.25">
      <c r="B2797" s="18"/>
    </row>
    <row r="2798" spans="2:2" x14ac:dyDescent="0.25">
      <c r="B2798" s="18"/>
    </row>
    <row r="2799" spans="2:2" x14ac:dyDescent="0.25">
      <c r="B2799" s="18"/>
    </row>
    <row r="2800" spans="2:2" x14ac:dyDescent="0.25">
      <c r="B2800" s="18"/>
    </row>
    <row r="2801" spans="2:2" x14ac:dyDescent="0.25">
      <c r="B2801" s="18"/>
    </row>
    <row r="2802" spans="2:2" x14ac:dyDescent="0.25">
      <c r="B2802" s="18"/>
    </row>
    <row r="2803" spans="2:2" x14ac:dyDescent="0.25">
      <c r="B2803" s="18"/>
    </row>
    <row r="2804" spans="2:2" x14ac:dyDescent="0.25">
      <c r="B2804" s="18"/>
    </row>
    <row r="2805" spans="2:2" x14ac:dyDescent="0.25">
      <c r="B2805" s="18"/>
    </row>
    <row r="2806" spans="2:2" x14ac:dyDescent="0.25">
      <c r="B2806" s="18"/>
    </row>
    <row r="2807" spans="2:2" x14ac:dyDescent="0.25">
      <c r="B2807" s="18"/>
    </row>
    <row r="2808" spans="2:2" x14ac:dyDescent="0.25">
      <c r="B2808" s="18"/>
    </row>
    <row r="2809" spans="2:2" x14ac:dyDescent="0.25">
      <c r="B2809" s="18"/>
    </row>
    <row r="2810" spans="2:2" x14ac:dyDescent="0.25">
      <c r="B2810" s="18"/>
    </row>
    <row r="2811" spans="2:2" x14ac:dyDescent="0.25">
      <c r="B2811" s="18"/>
    </row>
    <row r="2812" spans="2:2" x14ac:dyDescent="0.25">
      <c r="B2812" s="18"/>
    </row>
    <row r="2813" spans="2:2" x14ac:dyDescent="0.25">
      <c r="B2813" s="18"/>
    </row>
    <row r="2814" spans="2:2" x14ac:dyDescent="0.25">
      <c r="B2814" s="18"/>
    </row>
    <row r="2815" spans="2:2" x14ac:dyDescent="0.25">
      <c r="B2815" s="18"/>
    </row>
    <row r="2816" spans="2:2" x14ac:dyDescent="0.25">
      <c r="B2816" s="18"/>
    </row>
    <row r="2817" spans="2:2" x14ac:dyDescent="0.25">
      <c r="B2817" s="18"/>
    </row>
    <row r="2818" spans="2:2" x14ac:dyDescent="0.25">
      <c r="B2818" s="18"/>
    </row>
    <row r="2819" spans="2:2" x14ac:dyDescent="0.25">
      <c r="B2819" s="18"/>
    </row>
    <row r="2820" spans="2:2" x14ac:dyDescent="0.25">
      <c r="B2820" s="18"/>
    </row>
    <row r="2821" spans="2:2" x14ac:dyDescent="0.25">
      <c r="B2821" s="18"/>
    </row>
    <row r="2822" spans="2:2" x14ac:dyDescent="0.25">
      <c r="B2822" s="18"/>
    </row>
    <row r="2823" spans="2:2" x14ac:dyDescent="0.25">
      <c r="B2823" s="18"/>
    </row>
    <row r="2824" spans="2:2" x14ac:dyDescent="0.25">
      <c r="B2824" s="18"/>
    </row>
    <row r="2825" spans="2:2" x14ac:dyDescent="0.25">
      <c r="B2825" s="18"/>
    </row>
    <row r="2826" spans="2:2" x14ac:dyDescent="0.25">
      <c r="B2826" s="18"/>
    </row>
    <row r="2827" spans="2:2" x14ac:dyDescent="0.25">
      <c r="B2827" s="18"/>
    </row>
    <row r="2828" spans="2:2" x14ac:dyDescent="0.25">
      <c r="B2828" s="18"/>
    </row>
    <row r="2829" spans="2:2" x14ac:dyDescent="0.25">
      <c r="B2829" s="18"/>
    </row>
    <row r="2830" spans="2:2" x14ac:dyDescent="0.25">
      <c r="B2830" s="18"/>
    </row>
    <row r="2831" spans="2:2" x14ac:dyDescent="0.25">
      <c r="B2831" s="18"/>
    </row>
    <row r="2832" spans="2:2" x14ac:dyDescent="0.25">
      <c r="B2832" s="18"/>
    </row>
    <row r="2833" spans="2:2" x14ac:dyDescent="0.25">
      <c r="B2833" s="18"/>
    </row>
    <row r="2834" spans="2:2" x14ac:dyDescent="0.25">
      <c r="B2834" s="18"/>
    </row>
    <row r="2835" spans="2:2" x14ac:dyDescent="0.25">
      <c r="B2835" s="18"/>
    </row>
    <row r="2836" spans="2:2" x14ac:dyDescent="0.25">
      <c r="B2836" s="18"/>
    </row>
    <row r="2837" spans="2:2" x14ac:dyDescent="0.25">
      <c r="B2837" s="18"/>
    </row>
    <row r="2838" spans="2:2" x14ac:dyDescent="0.25">
      <c r="B2838" s="18"/>
    </row>
    <row r="2839" spans="2:2" x14ac:dyDescent="0.25">
      <c r="B2839" s="18"/>
    </row>
    <row r="2840" spans="2:2" x14ac:dyDescent="0.25">
      <c r="B2840" s="18"/>
    </row>
    <row r="2841" spans="2:2" x14ac:dyDescent="0.25">
      <c r="B2841" s="18"/>
    </row>
    <row r="2842" spans="2:2" x14ac:dyDescent="0.25">
      <c r="B2842" s="18"/>
    </row>
    <row r="2843" spans="2:2" x14ac:dyDescent="0.25">
      <c r="B2843" s="18"/>
    </row>
    <row r="2844" spans="2:2" x14ac:dyDescent="0.25">
      <c r="B2844" s="18"/>
    </row>
    <row r="2845" spans="2:2" x14ac:dyDescent="0.25">
      <c r="B2845" s="18"/>
    </row>
    <row r="2846" spans="2:2" x14ac:dyDescent="0.25">
      <c r="B2846" s="18"/>
    </row>
    <row r="2847" spans="2:2" x14ac:dyDescent="0.25">
      <c r="B2847" s="18"/>
    </row>
    <row r="2848" spans="2:2" x14ac:dyDescent="0.25">
      <c r="B2848" s="18"/>
    </row>
    <row r="2849" spans="2:2" x14ac:dyDescent="0.25">
      <c r="B2849" s="18"/>
    </row>
    <row r="2850" spans="2:2" x14ac:dyDescent="0.25">
      <c r="B2850" s="18"/>
    </row>
    <row r="2851" spans="2:2" x14ac:dyDescent="0.25">
      <c r="B2851" s="18"/>
    </row>
    <row r="2852" spans="2:2" x14ac:dyDescent="0.25">
      <c r="B2852" s="18"/>
    </row>
    <row r="2853" spans="2:2" x14ac:dyDescent="0.25">
      <c r="B2853" s="18"/>
    </row>
    <row r="2854" spans="2:2" x14ac:dyDescent="0.25">
      <c r="B2854" s="18"/>
    </row>
    <row r="2855" spans="2:2" x14ac:dyDescent="0.25">
      <c r="B2855" s="18"/>
    </row>
    <row r="2856" spans="2:2" x14ac:dyDescent="0.25">
      <c r="B2856" s="18"/>
    </row>
    <row r="2857" spans="2:2" x14ac:dyDescent="0.25">
      <c r="B2857" s="18"/>
    </row>
    <row r="2858" spans="2:2" x14ac:dyDescent="0.25">
      <c r="B2858" s="18"/>
    </row>
    <row r="2859" spans="2:2" x14ac:dyDescent="0.25">
      <c r="B2859" s="18"/>
    </row>
    <row r="2860" spans="2:2" x14ac:dyDescent="0.25">
      <c r="B2860" s="18"/>
    </row>
    <row r="2861" spans="2:2" x14ac:dyDescent="0.25">
      <c r="B2861" s="18"/>
    </row>
    <row r="2862" spans="2:2" x14ac:dyDescent="0.25">
      <c r="B2862" s="18"/>
    </row>
    <row r="2863" spans="2:2" x14ac:dyDescent="0.25">
      <c r="B2863" s="18"/>
    </row>
    <row r="2864" spans="2:2" x14ac:dyDescent="0.25">
      <c r="B2864" s="18"/>
    </row>
    <row r="2865" spans="2:2" x14ac:dyDescent="0.25">
      <c r="B2865" s="18"/>
    </row>
    <row r="2866" spans="2:2" x14ac:dyDescent="0.25">
      <c r="B2866" s="18"/>
    </row>
    <row r="2867" spans="2:2" x14ac:dyDescent="0.25">
      <c r="B2867" s="18"/>
    </row>
    <row r="2868" spans="2:2" x14ac:dyDescent="0.25">
      <c r="B2868" s="18"/>
    </row>
    <row r="2869" spans="2:2" x14ac:dyDescent="0.25">
      <c r="B2869" s="18"/>
    </row>
    <row r="2870" spans="2:2" x14ac:dyDescent="0.25">
      <c r="B2870" s="18"/>
    </row>
    <row r="2871" spans="2:2" x14ac:dyDescent="0.25">
      <c r="B2871" s="18"/>
    </row>
    <row r="2872" spans="2:2" x14ac:dyDescent="0.25">
      <c r="B2872" s="18"/>
    </row>
    <row r="2873" spans="2:2" x14ac:dyDescent="0.25">
      <c r="B2873" s="18"/>
    </row>
    <row r="2874" spans="2:2" x14ac:dyDescent="0.25">
      <c r="B2874" s="18"/>
    </row>
    <row r="2875" spans="2:2" x14ac:dyDescent="0.25">
      <c r="B2875" s="18"/>
    </row>
    <row r="2876" spans="2:2" x14ac:dyDescent="0.25">
      <c r="B2876" s="18"/>
    </row>
    <row r="2877" spans="2:2" x14ac:dyDescent="0.25">
      <c r="B2877" s="18"/>
    </row>
    <row r="2878" spans="2:2" x14ac:dyDescent="0.25">
      <c r="B2878" s="18"/>
    </row>
    <row r="2879" spans="2:2" x14ac:dyDescent="0.25">
      <c r="B2879" s="18"/>
    </row>
    <row r="2880" spans="2:2" x14ac:dyDescent="0.25">
      <c r="B2880" s="18"/>
    </row>
    <row r="2881" spans="2:2" x14ac:dyDescent="0.25">
      <c r="B2881" s="18"/>
    </row>
    <row r="2882" spans="2:2" x14ac:dyDescent="0.25">
      <c r="B2882" s="18"/>
    </row>
    <row r="2883" spans="2:2" x14ac:dyDescent="0.25">
      <c r="B2883" s="18"/>
    </row>
    <row r="2884" spans="2:2" x14ac:dyDescent="0.25">
      <c r="B2884" s="18"/>
    </row>
    <row r="2885" spans="2:2" x14ac:dyDescent="0.25">
      <c r="B2885" s="18"/>
    </row>
    <row r="2886" spans="2:2" x14ac:dyDescent="0.25">
      <c r="B2886" s="18"/>
    </row>
    <row r="2887" spans="2:2" x14ac:dyDescent="0.25">
      <c r="B2887" s="18"/>
    </row>
    <row r="2888" spans="2:2" x14ac:dyDescent="0.25">
      <c r="B2888" s="18"/>
    </row>
    <row r="2889" spans="2:2" x14ac:dyDescent="0.25">
      <c r="B2889" s="18"/>
    </row>
    <row r="2890" spans="2:2" x14ac:dyDescent="0.25">
      <c r="B2890" s="18"/>
    </row>
    <row r="2891" spans="2:2" x14ac:dyDescent="0.25">
      <c r="B2891" s="18"/>
    </row>
    <row r="2892" spans="2:2" x14ac:dyDescent="0.25">
      <c r="B2892" s="18"/>
    </row>
    <row r="2893" spans="2:2" x14ac:dyDescent="0.25">
      <c r="B2893" s="18"/>
    </row>
    <row r="2894" spans="2:2" x14ac:dyDescent="0.25">
      <c r="B2894" s="18"/>
    </row>
    <row r="2895" spans="2:2" x14ac:dyDescent="0.25">
      <c r="B2895" s="18"/>
    </row>
    <row r="2896" spans="2:2" x14ac:dyDescent="0.25">
      <c r="B2896" s="18"/>
    </row>
    <row r="2897" spans="2:2" x14ac:dyDescent="0.25">
      <c r="B2897" s="18"/>
    </row>
    <row r="2898" spans="2:2" x14ac:dyDescent="0.25">
      <c r="B2898" s="18"/>
    </row>
    <row r="2899" spans="2:2" x14ac:dyDescent="0.25">
      <c r="B2899" s="18"/>
    </row>
    <row r="2900" spans="2:2" x14ac:dyDescent="0.25">
      <c r="B2900" s="18"/>
    </row>
    <row r="2901" spans="2:2" x14ac:dyDescent="0.25">
      <c r="B2901" s="18"/>
    </row>
    <row r="2902" spans="2:2" x14ac:dyDescent="0.25">
      <c r="B2902" s="18"/>
    </row>
    <row r="2903" spans="2:2" x14ac:dyDescent="0.25">
      <c r="B2903" s="18"/>
    </row>
    <row r="2904" spans="2:2" x14ac:dyDescent="0.25">
      <c r="B2904" s="18"/>
    </row>
    <row r="2905" spans="2:2" x14ac:dyDescent="0.25">
      <c r="B2905" s="18"/>
    </row>
    <row r="2906" spans="2:2" x14ac:dyDescent="0.25">
      <c r="B2906" s="18"/>
    </row>
    <row r="2907" spans="2:2" x14ac:dyDescent="0.25">
      <c r="B2907" s="18"/>
    </row>
    <row r="2908" spans="2:2" x14ac:dyDescent="0.25">
      <c r="B2908" s="18"/>
    </row>
    <row r="2909" spans="2:2" x14ac:dyDescent="0.25">
      <c r="B2909" s="18"/>
    </row>
    <row r="2910" spans="2:2" x14ac:dyDescent="0.25">
      <c r="B2910" s="18"/>
    </row>
    <row r="2911" spans="2:2" x14ac:dyDescent="0.25">
      <c r="B2911" s="18"/>
    </row>
    <row r="2912" spans="2:2" x14ac:dyDescent="0.25">
      <c r="B2912" s="18"/>
    </row>
    <row r="2913" spans="2:2" x14ac:dyDescent="0.25">
      <c r="B2913" s="18"/>
    </row>
    <row r="2914" spans="2:2" x14ac:dyDescent="0.25">
      <c r="B2914" s="18"/>
    </row>
    <row r="2915" spans="2:2" x14ac:dyDescent="0.25">
      <c r="B2915" s="18"/>
    </row>
    <row r="2916" spans="2:2" x14ac:dyDescent="0.25">
      <c r="B2916" s="18"/>
    </row>
    <row r="2917" spans="2:2" x14ac:dyDescent="0.25">
      <c r="B2917" s="18"/>
    </row>
    <row r="2918" spans="2:2" x14ac:dyDescent="0.25">
      <c r="B2918" s="18"/>
    </row>
    <row r="2919" spans="2:2" x14ac:dyDescent="0.25">
      <c r="B2919" s="18"/>
    </row>
    <row r="2920" spans="2:2" x14ac:dyDescent="0.25">
      <c r="B2920" s="18"/>
    </row>
    <row r="2921" spans="2:2" x14ac:dyDescent="0.25">
      <c r="B2921" s="18"/>
    </row>
    <row r="2922" spans="2:2" x14ac:dyDescent="0.25">
      <c r="B2922" s="18"/>
    </row>
    <row r="2923" spans="2:2" x14ac:dyDescent="0.25">
      <c r="B2923" s="18"/>
    </row>
    <row r="2924" spans="2:2" x14ac:dyDescent="0.25">
      <c r="B2924" s="18"/>
    </row>
    <row r="2925" spans="2:2" x14ac:dyDescent="0.25">
      <c r="B2925" s="18"/>
    </row>
    <row r="2926" spans="2:2" x14ac:dyDescent="0.25">
      <c r="B2926" s="18"/>
    </row>
    <row r="2927" spans="2:2" x14ac:dyDescent="0.25">
      <c r="B2927" s="18"/>
    </row>
    <row r="2928" spans="2:2" x14ac:dyDescent="0.25">
      <c r="B2928" s="18"/>
    </row>
    <row r="2929" spans="2:2" x14ac:dyDescent="0.25">
      <c r="B2929" s="18"/>
    </row>
    <row r="2930" spans="2:2" x14ac:dyDescent="0.25">
      <c r="B2930" s="18"/>
    </row>
    <row r="2931" spans="2:2" x14ac:dyDescent="0.25">
      <c r="B2931" s="18"/>
    </row>
    <row r="2932" spans="2:2" x14ac:dyDescent="0.25">
      <c r="B2932" s="18"/>
    </row>
    <row r="2933" spans="2:2" x14ac:dyDescent="0.25">
      <c r="B2933" s="18"/>
    </row>
    <row r="2934" spans="2:2" x14ac:dyDescent="0.25">
      <c r="B2934" s="18"/>
    </row>
    <row r="2935" spans="2:2" x14ac:dyDescent="0.25">
      <c r="B2935" s="18"/>
    </row>
    <row r="2936" spans="2:2" x14ac:dyDescent="0.25">
      <c r="B2936" s="18"/>
    </row>
    <row r="2937" spans="2:2" x14ac:dyDescent="0.25">
      <c r="B2937" s="18"/>
    </row>
    <row r="2938" spans="2:2" x14ac:dyDescent="0.25">
      <c r="B2938" s="18"/>
    </row>
    <row r="2939" spans="2:2" x14ac:dyDescent="0.25">
      <c r="B2939" s="18"/>
    </row>
    <row r="2940" spans="2:2" x14ac:dyDescent="0.25">
      <c r="B2940" s="18"/>
    </row>
    <row r="2941" spans="2:2" x14ac:dyDescent="0.25">
      <c r="B2941" s="18"/>
    </row>
    <row r="2942" spans="2:2" x14ac:dyDescent="0.25">
      <c r="B2942" s="18"/>
    </row>
    <row r="2943" spans="2:2" x14ac:dyDescent="0.25">
      <c r="B2943" s="18"/>
    </row>
    <row r="2944" spans="2:2" x14ac:dyDescent="0.25">
      <c r="B2944" s="18"/>
    </row>
    <row r="2945" spans="2:2" x14ac:dyDescent="0.25">
      <c r="B2945" s="18"/>
    </row>
    <row r="2946" spans="2:2" x14ac:dyDescent="0.25">
      <c r="B2946" s="18"/>
    </row>
    <row r="2947" spans="2:2" x14ac:dyDescent="0.25">
      <c r="B2947" s="18"/>
    </row>
    <row r="2948" spans="2:2" x14ac:dyDescent="0.25">
      <c r="B2948" s="18"/>
    </row>
    <row r="2949" spans="2:2" x14ac:dyDescent="0.25">
      <c r="B2949" s="18"/>
    </row>
    <row r="2950" spans="2:2" x14ac:dyDescent="0.25">
      <c r="B2950" s="18"/>
    </row>
    <row r="2951" spans="2:2" x14ac:dyDescent="0.25">
      <c r="B2951" s="18"/>
    </row>
    <row r="2952" spans="2:2" x14ac:dyDescent="0.25">
      <c r="B2952" s="18"/>
    </row>
    <row r="2953" spans="2:2" x14ac:dyDescent="0.25">
      <c r="B2953" s="18"/>
    </row>
    <row r="2954" spans="2:2" x14ac:dyDescent="0.25">
      <c r="B2954" s="18"/>
    </row>
    <row r="2955" spans="2:2" x14ac:dyDescent="0.25">
      <c r="B2955" s="18"/>
    </row>
    <row r="2956" spans="2:2" x14ac:dyDescent="0.25">
      <c r="B2956" s="18"/>
    </row>
    <row r="2957" spans="2:2" x14ac:dyDescent="0.25">
      <c r="B2957" s="18"/>
    </row>
    <row r="2958" spans="2:2" x14ac:dyDescent="0.25">
      <c r="B2958" s="18"/>
    </row>
    <row r="2959" spans="2:2" x14ac:dyDescent="0.25">
      <c r="B2959" s="18"/>
    </row>
    <row r="2960" spans="2:2" x14ac:dyDescent="0.25">
      <c r="B2960" s="18"/>
    </row>
    <row r="2961" spans="2:2" x14ac:dyDescent="0.25">
      <c r="B2961" s="18"/>
    </row>
    <row r="2962" spans="2:2" x14ac:dyDescent="0.25">
      <c r="B2962" s="18"/>
    </row>
    <row r="2963" spans="2:2" x14ac:dyDescent="0.25">
      <c r="B2963" s="18"/>
    </row>
    <row r="2964" spans="2:2" x14ac:dyDescent="0.25">
      <c r="B2964" s="18"/>
    </row>
    <row r="2965" spans="2:2" x14ac:dyDescent="0.25">
      <c r="B2965" s="18"/>
    </row>
    <row r="2966" spans="2:2" x14ac:dyDescent="0.25">
      <c r="B2966" s="18"/>
    </row>
    <row r="2967" spans="2:2" x14ac:dyDescent="0.25">
      <c r="B2967" s="18"/>
    </row>
    <row r="2968" spans="2:2" x14ac:dyDescent="0.25">
      <c r="B2968" s="18"/>
    </row>
    <row r="2969" spans="2:2" x14ac:dyDescent="0.25">
      <c r="B2969" s="18"/>
    </row>
    <row r="2970" spans="2:2" x14ac:dyDescent="0.25">
      <c r="B2970" s="18"/>
    </row>
    <row r="2971" spans="2:2" x14ac:dyDescent="0.25">
      <c r="B2971" s="18"/>
    </row>
    <row r="2972" spans="2:2" x14ac:dyDescent="0.25">
      <c r="B2972" s="18"/>
    </row>
    <row r="2973" spans="2:2" x14ac:dyDescent="0.25">
      <c r="B2973" s="18"/>
    </row>
    <row r="2974" spans="2:2" x14ac:dyDescent="0.25">
      <c r="B2974" s="18"/>
    </row>
    <row r="2975" spans="2:2" x14ac:dyDescent="0.25">
      <c r="B2975" s="18"/>
    </row>
    <row r="2976" spans="2:2" x14ac:dyDescent="0.25">
      <c r="B2976" s="18"/>
    </row>
    <row r="2977" spans="2:2" x14ac:dyDescent="0.25">
      <c r="B2977" s="18"/>
    </row>
    <row r="2978" spans="2:2" x14ac:dyDescent="0.25">
      <c r="B2978" s="18"/>
    </row>
    <row r="2979" spans="2:2" x14ac:dyDescent="0.25">
      <c r="B2979" s="18"/>
    </row>
    <row r="2980" spans="2:2" x14ac:dyDescent="0.25">
      <c r="B2980" s="18"/>
    </row>
    <row r="2981" spans="2:2" x14ac:dyDescent="0.25">
      <c r="B2981" s="18"/>
    </row>
    <row r="2982" spans="2:2" x14ac:dyDescent="0.25">
      <c r="B2982" s="18"/>
    </row>
    <row r="2983" spans="2:2" x14ac:dyDescent="0.25">
      <c r="B2983" s="18"/>
    </row>
    <row r="2984" spans="2:2" x14ac:dyDescent="0.25">
      <c r="B2984" s="18"/>
    </row>
    <row r="2985" spans="2:2" x14ac:dyDescent="0.25">
      <c r="B2985" s="18"/>
    </row>
    <row r="2986" spans="2:2" x14ac:dyDescent="0.25">
      <c r="B2986" s="18"/>
    </row>
    <row r="2987" spans="2:2" x14ac:dyDescent="0.25">
      <c r="B2987" s="18"/>
    </row>
    <row r="2988" spans="2:2" x14ac:dyDescent="0.25">
      <c r="B2988" s="18"/>
    </row>
    <row r="2989" spans="2:2" x14ac:dyDescent="0.25">
      <c r="B2989" s="18"/>
    </row>
    <row r="2990" spans="2:2" x14ac:dyDescent="0.25">
      <c r="B2990" s="18"/>
    </row>
    <row r="2991" spans="2:2" x14ac:dyDescent="0.25">
      <c r="B2991" s="18"/>
    </row>
    <row r="2992" spans="2:2" x14ac:dyDescent="0.25">
      <c r="B2992" s="18"/>
    </row>
    <row r="2993" spans="2:2" x14ac:dyDescent="0.25">
      <c r="B2993" s="18"/>
    </row>
    <row r="2994" spans="2:2" x14ac:dyDescent="0.25">
      <c r="B2994" s="18"/>
    </row>
    <row r="2995" spans="2:2" x14ac:dyDescent="0.25">
      <c r="B2995" s="18"/>
    </row>
    <row r="2996" spans="2:2" x14ac:dyDescent="0.25">
      <c r="B2996" s="18"/>
    </row>
    <row r="2997" spans="2:2" x14ac:dyDescent="0.25">
      <c r="B2997" s="18"/>
    </row>
    <row r="2998" spans="2:2" x14ac:dyDescent="0.25">
      <c r="B2998" s="18"/>
    </row>
    <row r="2999" spans="2:2" x14ac:dyDescent="0.25">
      <c r="B2999" s="18"/>
    </row>
    <row r="3000" spans="2:2" x14ac:dyDescent="0.25">
      <c r="B3000" s="18"/>
    </row>
    <row r="3001" spans="2:2" x14ac:dyDescent="0.25">
      <c r="B3001" s="18"/>
    </row>
    <row r="3002" spans="2:2" x14ac:dyDescent="0.25">
      <c r="B3002" s="18"/>
    </row>
    <row r="3003" spans="2:2" x14ac:dyDescent="0.25">
      <c r="B3003" s="18"/>
    </row>
    <row r="3004" spans="2:2" x14ac:dyDescent="0.25">
      <c r="B3004" s="18"/>
    </row>
    <row r="3005" spans="2:2" x14ac:dyDescent="0.25">
      <c r="B3005" s="18"/>
    </row>
    <row r="3006" spans="2:2" x14ac:dyDescent="0.25">
      <c r="B3006" s="18"/>
    </row>
    <row r="3007" spans="2:2" x14ac:dyDescent="0.25">
      <c r="B3007" s="18"/>
    </row>
    <row r="3008" spans="2:2" x14ac:dyDescent="0.25">
      <c r="B3008" s="18"/>
    </row>
    <row r="3009" spans="2:2" x14ac:dyDescent="0.25">
      <c r="B3009" s="18"/>
    </row>
    <row r="3010" spans="2:2" x14ac:dyDescent="0.25">
      <c r="B3010" s="18"/>
    </row>
    <row r="3011" spans="2:2" x14ac:dyDescent="0.25">
      <c r="B3011" s="18"/>
    </row>
    <row r="3012" spans="2:2" x14ac:dyDescent="0.25">
      <c r="B3012" s="18"/>
    </row>
    <row r="3013" spans="2:2" x14ac:dyDescent="0.25">
      <c r="B3013" s="18"/>
    </row>
    <row r="3014" spans="2:2" x14ac:dyDescent="0.25">
      <c r="B3014" s="18"/>
    </row>
    <row r="3015" spans="2:2" x14ac:dyDescent="0.25">
      <c r="B3015" s="18"/>
    </row>
    <row r="3016" spans="2:2" x14ac:dyDescent="0.25">
      <c r="B3016" s="18"/>
    </row>
    <row r="3017" spans="2:2" x14ac:dyDescent="0.25">
      <c r="B3017" s="18"/>
    </row>
    <row r="3018" spans="2:2" x14ac:dyDescent="0.25">
      <c r="B3018" s="18"/>
    </row>
    <row r="3019" spans="2:2" x14ac:dyDescent="0.25">
      <c r="B3019" s="18"/>
    </row>
    <row r="3020" spans="2:2" x14ac:dyDescent="0.25">
      <c r="B3020" s="18"/>
    </row>
    <row r="3021" spans="2:2" x14ac:dyDescent="0.25">
      <c r="B3021" s="18"/>
    </row>
    <row r="3022" spans="2:2" x14ac:dyDescent="0.25">
      <c r="B3022" s="18"/>
    </row>
    <row r="3023" spans="2:2" x14ac:dyDescent="0.25">
      <c r="B3023" s="18"/>
    </row>
    <row r="3024" spans="2:2" x14ac:dyDescent="0.25">
      <c r="B3024" s="18"/>
    </row>
    <row r="3025" spans="2:2" x14ac:dyDescent="0.25">
      <c r="B3025" s="18"/>
    </row>
    <row r="3026" spans="2:2" x14ac:dyDescent="0.25">
      <c r="B3026" s="18"/>
    </row>
    <row r="3027" spans="2:2" x14ac:dyDescent="0.25">
      <c r="B3027" s="18"/>
    </row>
    <row r="3028" spans="2:2" x14ac:dyDescent="0.25">
      <c r="B3028" s="18"/>
    </row>
    <row r="3029" spans="2:2" x14ac:dyDescent="0.25">
      <c r="B3029" s="18"/>
    </row>
    <row r="3030" spans="2:2" x14ac:dyDescent="0.25">
      <c r="B3030" s="18"/>
    </row>
    <row r="3031" spans="2:2" x14ac:dyDescent="0.25">
      <c r="B3031" s="18"/>
    </row>
    <row r="3032" spans="2:2" x14ac:dyDescent="0.25">
      <c r="B3032" s="18"/>
    </row>
    <row r="3033" spans="2:2" x14ac:dyDescent="0.25">
      <c r="B3033" s="18"/>
    </row>
    <row r="3034" spans="2:2" x14ac:dyDescent="0.25">
      <c r="B3034" s="18"/>
    </row>
    <row r="3035" spans="2:2" x14ac:dyDescent="0.25">
      <c r="B3035" s="18"/>
    </row>
    <row r="3036" spans="2:2" x14ac:dyDescent="0.25">
      <c r="B3036" s="18"/>
    </row>
    <row r="3037" spans="2:2" x14ac:dyDescent="0.25">
      <c r="B3037" s="18"/>
    </row>
    <row r="3038" spans="2:2" x14ac:dyDescent="0.25">
      <c r="B3038" s="18"/>
    </row>
    <row r="3039" spans="2:2" x14ac:dyDescent="0.25">
      <c r="B3039" s="18"/>
    </row>
    <row r="3040" spans="2:2" x14ac:dyDescent="0.25">
      <c r="B3040" s="18"/>
    </row>
    <row r="3041" spans="2:2" x14ac:dyDescent="0.25">
      <c r="B3041" s="18"/>
    </row>
    <row r="3042" spans="2:2" x14ac:dyDescent="0.25">
      <c r="B3042" s="18"/>
    </row>
    <row r="3043" spans="2:2" x14ac:dyDescent="0.25">
      <c r="B3043" s="18"/>
    </row>
    <row r="3044" spans="2:2" x14ac:dyDescent="0.25">
      <c r="B3044" s="18"/>
    </row>
    <row r="3045" spans="2:2" x14ac:dyDescent="0.25">
      <c r="B3045" s="18"/>
    </row>
    <row r="3046" spans="2:2" x14ac:dyDescent="0.25">
      <c r="B3046" s="18"/>
    </row>
    <row r="3047" spans="2:2" x14ac:dyDescent="0.25">
      <c r="B3047" s="18"/>
    </row>
    <row r="3048" spans="2:2" x14ac:dyDescent="0.25">
      <c r="B3048" s="18"/>
    </row>
    <row r="3049" spans="2:2" x14ac:dyDescent="0.25">
      <c r="B3049" s="18"/>
    </row>
    <row r="3050" spans="2:2" x14ac:dyDescent="0.25">
      <c r="B3050" s="18"/>
    </row>
    <row r="3051" spans="2:2" x14ac:dyDescent="0.25">
      <c r="B3051" s="18"/>
    </row>
    <row r="3052" spans="2:2" x14ac:dyDescent="0.25">
      <c r="B3052" s="18"/>
    </row>
    <row r="3053" spans="2:2" x14ac:dyDescent="0.25">
      <c r="B3053" s="18"/>
    </row>
    <row r="3054" spans="2:2" x14ac:dyDescent="0.25">
      <c r="B3054" s="18"/>
    </row>
    <row r="3055" spans="2:2" x14ac:dyDescent="0.25">
      <c r="B3055" s="18"/>
    </row>
    <row r="3056" spans="2:2" x14ac:dyDescent="0.25">
      <c r="B3056" s="18"/>
    </row>
    <row r="3057" spans="2:2" x14ac:dyDescent="0.25">
      <c r="B3057" s="18"/>
    </row>
    <row r="3058" spans="2:2" x14ac:dyDescent="0.25">
      <c r="B3058" s="18"/>
    </row>
    <row r="3059" spans="2:2" x14ac:dyDescent="0.25">
      <c r="B3059" s="18"/>
    </row>
    <row r="3060" spans="2:2" x14ac:dyDescent="0.25">
      <c r="B3060" s="18"/>
    </row>
    <row r="3061" spans="2:2" x14ac:dyDescent="0.25">
      <c r="B3061" s="18"/>
    </row>
    <row r="3062" spans="2:2" x14ac:dyDescent="0.25">
      <c r="B3062" s="18"/>
    </row>
    <row r="3063" spans="2:2" x14ac:dyDescent="0.25">
      <c r="B3063" s="18"/>
    </row>
    <row r="3064" spans="2:2" x14ac:dyDescent="0.25">
      <c r="B3064" s="18"/>
    </row>
    <row r="3065" spans="2:2" x14ac:dyDescent="0.25">
      <c r="B3065" s="18"/>
    </row>
    <row r="3066" spans="2:2" x14ac:dyDescent="0.25">
      <c r="B3066" s="18"/>
    </row>
    <row r="3067" spans="2:2" x14ac:dyDescent="0.25">
      <c r="B3067" s="18"/>
    </row>
    <row r="3068" spans="2:2" x14ac:dyDescent="0.25">
      <c r="B3068" s="18"/>
    </row>
    <row r="3069" spans="2:2" x14ac:dyDescent="0.25">
      <c r="B3069" s="18"/>
    </row>
    <row r="3070" spans="2:2" x14ac:dyDescent="0.25">
      <c r="B3070" s="18"/>
    </row>
    <row r="3071" spans="2:2" x14ac:dyDescent="0.25">
      <c r="B3071" s="18"/>
    </row>
    <row r="3072" spans="2:2" x14ac:dyDescent="0.25">
      <c r="B3072" s="18"/>
    </row>
    <row r="3073" spans="2:2" x14ac:dyDescent="0.25">
      <c r="B3073" s="18"/>
    </row>
    <row r="3074" spans="2:2" x14ac:dyDescent="0.25">
      <c r="B3074" s="18"/>
    </row>
    <row r="3075" spans="2:2" x14ac:dyDescent="0.25">
      <c r="B3075" s="18"/>
    </row>
    <row r="3076" spans="2:2" x14ac:dyDescent="0.25">
      <c r="B3076" s="18"/>
    </row>
    <row r="3077" spans="2:2" x14ac:dyDescent="0.25">
      <c r="B3077" s="18"/>
    </row>
    <row r="3078" spans="2:2" x14ac:dyDescent="0.25">
      <c r="B3078" s="18"/>
    </row>
    <row r="3079" spans="2:2" x14ac:dyDescent="0.25">
      <c r="B3079" s="18"/>
    </row>
    <row r="3080" spans="2:2" x14ac:dyDescent="0.25">
      <c r="B3080" s="18"/>
    </row>
    <row r="3081" spans="2:2" x14ac:dyDescent="0.25">
      <c r="B3081" s="18"/>
    </row>
    <row r="3082" spans="2:2" x14ac:dyDescent="0.25">
      <c r="B3082" s="18"/>
    </row>
    <row r="3083" spans="2:2" x14ac:dyDescent="0.25">
      <c r="B3083" s="18"/>
    </row>
    <row r="3084" spans="2:2" x14ac:dyDescent="0.25">
      <c r="B3084" s="18"/>
    </row>
    <row r="3085" spans="2:2" x14ac:dyDescent="0.25">
      <c r="B3085" s="18"/>
    </row>
    <row r="3086" spans="2:2" x14ac:dyDescent="0.25">
      <c r="B3086" s="18"/>
    </row>
    <row r="3087" spans="2:2" x14ac:dyDescent="0.25">
      <c r="B3087" s="18"/>
    </row>
    <row r="3088" spans="2:2" x14ac:dyDescent="0.25">
      <c r="B3088" s="18"/>
    </row>
    <row r="3089" spans="2:2" x14ac:dyDescent="0.25">
      <c r="B3089" s="18"/>
    </row>
    <row r="3090" spans="2:2" x14ac:dyDescent="0.25">
      <c r="B3090" s="18"/>
    </row>
    <row r="3091" spans="2:2" x14ac:dyDescent="0.25">
      <c r="B3091" s="18"/>
    </row>
    <row r="3092" spans="2:2" x14ac:dyDescent="0.25">
      <c r="B3092" s="18"/>
    </row>
    <row r="3093" spans="2:2" x14ac:dyDescent="0.25">
      <c r="B3093" s="18"/>
    </row>
    <row r="3094" spans="2:2" x14ac:dyDescent="0.25">
      <c r="B3094" s="18"/>
    </row>
    <row r="3095" spans="2:2" x14ac:dyDescent="0.25">
      <c r="B3095" s="18"/>
    </row>
    <row r="3096" spans="2:2" x14ac:dyDescent="0.25">
      <c r="B3096" s="18"/>
    </row>
    <row r="3097" spans="2:2" x14ac:dyDescent="0.25">
      <c r="B3097" s="18"/>
    </row>
    <row r="3098" spans="2:2" x14ac:dyDescent="0.25">
      <c r="B3098" s="18"/>
    </row>
    <row r="3099" spans="2:2" x14ac:dyDescent="0.25">
      <c r="B3099" s="18"/>
    </row>
    <row r="3100" spans="2:2" x14ac:dyDescent="0.25">
      <c r="B3100" s="18"/>
    </row>
    <row r="3101" spans="2:2" x14ac:dyDescent="0.25">
      <c r="B3101" s="18"/>
    </row>
    <row r="3102" spans="2:2" x14ac:dyDescent="0.25">
      <c r="B3102" s="18"/>
    </row>
    <row r="3103" spans="2:2" x14ac:dyDescent="0.25">
      <c r="B3103" s="18"/>
    </row>
    <row r="3104" spans="2:2" x14ac:dyDescent="0.25">
      <c r="B3104" s="18"/>
    </row>
    <row r="3105" spans="2:2" x14ac:dyDescent="0.25">
      <c r="B3105" s="18"/>
    </row>
    <row r="3106" spans="2:2" x14ac:dyDescent="0.25">
      <c r="B3106" s="18"/>
    </row>
    <row r="3107" spans="2:2" x14ac:dyDescent="0.25">
      <c r="B3107" s="18"/>
    </row>
    <row r="3108" spans="2:2" x14ac:dyDescent="0.25">
      <c r="B3108" s="18"/>
    </row>
    <row r="3109" spans="2:2" x14ac:dyDescent="0.25">
      <c r="B3109" s="18"/>
    </row>
    <row r="3110" spans="2:2" x14ac:dyDescent="0.25">
      <c r="B3110" s="18"/>
    </row>
    <row r="3111" spans="2:2" x14ac:dyDescent="0.25">
      <c r="B3111" s="18"/>
    </row>
    <row r="3112" spans="2:2" x14ac:dyDescent="0.25">
      <c r="B3112" s="18"/>
    </row>
    <row r="3113" spans="2:2" x14ac:dyDescent="0.25">
      <c r="B3113" s="18"/>
    </row>
    <row r="3114" spans="2:2" x14ac:dyDescent="0.25">
      <c r="B3114" s="18"/>
    </row>
    <row r="3115" spans="2:2" x14ac:dyDescent="0.25">
      <c r="B3115" s="18"/>
    </row>
    <row r="3116" spans="2:2" x14ac:dyDescent="0.25">
      <c r="B3116" s="18"/>
    </row>
    <row r="3117" spans="2:2" x14ac:dyDescent="0.25">
      <c r="B3117" s="18"/>
    </row>
    <row r="3118" spans="2:2" x14ac:dyDescent="0.25">
      <c r="B3118" s="18"/>
    </row>
    <row r="3119" spans="2:2" x14ac:dyDescent="0.25">
      <c r="B3119" s="18"/>
    </row>
    <row r="3120" spans="2:2" x14ac:dyDescent="0.25">
      <c r="B3120" s="18"/>
    </row>
    <row r="3121" spans="2:2" x14ac:dyDescent="0.25">
      <c r="B3121" s="18"/>
    </row>
    <row r="3122" spans="2:2" x14ac:dyDescent="0.25">
      <c r="B3122" s="18"/>
    </row>
    <row r="3123" spans="2:2" x14ac:dyDescent="0.25">
      <c r="B3123" s="18"/>
    </row>
    <row r="3124" spans="2:2" x14ac:dyDescent="0.25">
      <c r="B3124" s="18"/>
    </row>
    <row r="3125" spans="2:2" x14ac:dyDescent="0.25">
      <c r="B3125" s="18"/>
    </row>
    <row r="3126" spans="2:2" x14ac:dyDescent="0.25">
      <c r="B3126" s="18"/>
    </row>
    <row r="3127" spans="2:2" x14ac:dyDescent="0.25">
      <c r="B3127" s="18"/>
    </row>
    <row r="3128" spans="2:2" x14ac:dyDescent="0.25">
      <c r="B3128" s="18"/>
    </row>
    <row r="3129" spans="2:2" x14ac:dyDescent="0.25">
      <c r="B3129" s="18"/>
    </row>
    <row r="3130" spans="2:2" x14ac:dyDescent="0.25">
      <c r="B3130" s="18"/>
    </row>
    <row r="3131" spans="2:2" x14ac:dyDescent="0.25">
      <c r="B3131" s="18"/>
    </row>
    <row r="3132" spans="2:2" x14ac:dyDescent="0.25">
      <c r="B3132" s="18"/>
    </row>
    <row r="3133" spans="2:2" x14ac:dyDescent="0.25">
      <c r="B3133" s="18"/>
    </row>
    <row r="3134" spans="2:2" x14ac:dyDescent="0.25">
      <c r="B3134" s="18"/>
    </row>
    <row r="3135" spans="2:2" x14ac:dyDescent="0.25">
      <c r="B3135" s="18"/>
    </row>
    <row r="3136" spans="2:2" x14ac:dyDescent="0.25">
      <c r="B3136" s="18"/>
    </row>
    <row r="3137" spans="2:2" x14ac:dyDescent="0.25">
      <c r="B3137" s="18"/>
    </row>
    <row r="3138" spans="2:2" x14ac:dyDescent="0.25">
      <c r="B3138" s="18"/>
    </row>
    <row r="3139" spans="2:2" x14ac:dyDescent="0.25">
      <c r="B3139" s="18"/>
    </row>
    <row r="3140" spans="2:2" x14ac:dyDescent="0.25">
      <c r="B3140" s="18"/>
    </row>
    <row r="3141" spans="2:2" x14ac:dyDescent="0.25">
      <c r="B3141" s="18"/>
    </row>
    <row r="3142" spans="2:2" x14ac:dyDescent="0.25">
      <c r="B3142" s="18"/>
    </row>
    <row r="3143" spans="2:2" x14ac:dyDescent="0.25">
      <c r="B3143" s="18"/>
    </row>
    <row r="3144" spans="2:2" x14ac:dyDescent="0.25">
      <c r="B3144" s="18"/>
    </row>
    <row r="3145" spans="2:2" x14ac:dyDescent="0.25">
      <c r="B3145" s="18"/>
    </row>
    <row r="3146" spans="2:2" x14ac:dyDescent="0.25">
      <c r="B3146" s="18"/>
    </row>
    <row r="3147" spans="2:2" x14ac:dyDescent="0.25">
      <c r="B3147" s="18"/>
    </row>
    <row r="3148" spans="2:2" x14ac:dyDescent="0.25">
      <c r="B3148" s="18"/>
    </row>
    <row r="3149" spans="2:2" x14ac:dyDescent="0.25">
      <c r="B3149" s="18"/>
    </row>
    <row r="3150" spans="2:2" x14ac:dyDescent="0.25">
      <c r="B3150" s="18"/>
    </row>
    <row r="3151" spans="2:2" x14ac:dyDescent="0.25">
      <c r="B3151" s="18"/>
    </row>
    <row r="3152" spans="2:2" x14ac:dyDescent="0.25">
      <c r="B3152" s="18"/>
    </row>
    <row r="3153" spans="2:2" x14ac:dyDescent="0.25">
      <c r="B3153" s="18"/>
    </row>
    <row r="3154" spans="2:2" x14ac:dyDescent="0.25">
      <c r="B3154" s="18"/>
    </row>
    <row r="3155" spans="2:2" x14ac:dyDescent="0.25">
      <c r="B3155" s="18"/>
    </row>
    <row r="3156" spans="2:2" x14ac:dyDescent="0.25">
      <c r="B3156" s="18"/>
    </row>
    <row r="3157" spans="2:2" x14ac:dyDescent="0.25">
      <c r="B3157" s="18"/>
    </row>
    <row r="3158" spans="2:2" x14ac:dyDescent="0.25">
      <c r="B3158" s="18"/>
    </row>
    <row r="3159" spans="2:2" x14ac:dyDescent="0.25">
      <c r="B3159" s="18"/>
    </row>
    <row r="3160" spans="2:2" x14ac:dyDescent="0.25">
      <c r="B3160" s="18"/>
    </row>
    <row r="3161" spans="2:2" x14ac:dyDescent="0.25">
      <c r="B3161" s="18"/>
    </row>
    <row r="3162" spans="2:2" x14ac:dyDescent="0.25">
      <c r="B3162" s="18"/>
    </row>
    <row r="3163" spans="2:2" x14ac:dyDescent="0.25">
      <c r="B3163" s="18"/>
    </row>
    <row r="3164" spans="2:2" x14ac:dyDescent="0.25">
      <c r="B3164" s="18"/>
    </row>
    <row r="3165" spans="2:2" x14ac:dyDescent="0.25">
      <c r="B3165" s="18"/>
    </row>
    <row r="3166" spans="2:2" x14ac:dyDescent="0.25">
      <c r="B3166" s="18"/>
    </row>
    <row r="3167" spans="2:2" x14ac:dyDescent="0.25">
      <c r="B3167" s="18"/>
    </row>
    <row r="3168" spans="2:2" x14ac:dyDescent="0.25">
      <c r="B3168" s="18"/>
    </row>
    <row r="3169" spans="2:2" x14ac:dyDescent="0.25">
      <c r="B3169" s="18"/>
    </row>
    <row r="3170" spans="2:2" x14ac:dyDescent="0.25">
      <c r="B3170" s="18"/>
    </row>
    <row r="3171" spans="2:2" x14ac:dyDescent="0.25">
      <c r="B3171" s="18"/>
    </row>
    <row r="3172" spans="2:2" x14ac:dyDescent="0.25">
      <c r="B3172" s="18"/>
    </row>
    <row r="3173" spans="2:2" x14ac:dyDescent="0.25">
      <c r="B3173" s="18"/>
    </row>
    <row r="3174" spans="2:2" x14ac:dyDescent="0.25">
      <c r="B3174" s="18"/>
    </row>
    <row r="3175" spans="2:2" x14ac:dyDescent="0.25">
      <c r="B3175" s="18"/>
    </row>
    <row r="3176" spans="2:2" x14ac:dyDescent="0.25">
      <c r="B3176" s="18"/>
    </row>
    <row r="3177" spans="2:2" x14ac:dyDescent="0.25">
      <c r="B3177" s="18"/>
    </row>
    <row r="3178" spans="2:2" x14ac:dyDescent="0.25">
      <c r="B3178" s="18"/>
    </row>
    <row r="3179" spans="2:2" x14ac:dyDescent="0.25">
      <c r="B3179" s="18"/>
    </row>
    <row r="3180" spans="2:2" x14ac:dyDescent="0.25">
      <c r="B3180" s="18"/>
    </row>
    <row r="3181" spans="2:2" x14ac:dyDescent="0.25">
      <c r="B3181" s="18"/>
    </row>
    <row r="3182" spans="2:2" x14ac:dyDescent="0.25">
      <c r="B3182" s="18"/>
    </row>
    <row r="3183" spans="2:2" x14ac:dyDescent="0.25">
      <c r="B3183" s="18"/>
    </row>
    <row r="3184" spans="2:2" x14ac:dyDescent="0.25">
      <c r="B3184" s="18"/>
    </row>
    <row r="3185" spans="2:2" x14ac:dyDescent="0.25">
      <c r="B3185" s="18"/>
    </row>
    <row r="3186" spans="2:2" x14ac:dyDescent="0.25">
      <c r="B3186" s="18"/>
    </row>
    <row r="3187" spans="2:2" x14ac:dyDescent="0.25">
      <c r="B3187" s="18"/>
    </row>
    <row r="3188" spans="2:2" x14ac:dyDescent="0.25">
      <c r="B3188" s="18"/>
    </row>
    <row r="3189" spans="2:2" x14ac:dyDescent="0.25">
      <c r="B3189" s="18"/>
    </row>
    <row r="3190" spans="2:2" x14ac:dyDescent="0.25">
      <c r="B3190" s="18"/>
    </row>
    <row r="3191" spans="2:2" x14ac:dyDescent="0.25">
      <c r="B3191" s="18"/>
    </row>
    <row r="3192" spans="2:2" x14ac:dyDescent="0.25">
      <c r="B3192" s="18"/>
    </row>
    <row r="3193" spans="2:2" x14ac:dyDescent="0.25">
      <c r="B3193" s="18"/>
    </row>
    <row r="3194" spans="2:2" x14ac:dyDescent="0.25">
      <c r="B3194" s="18"/>
    </row>
    <row r="3195" spans="2:2" x14ac:dyDescent="0.25">
      <c r="B3195" s="18"/>
    </row>
    <row r="3196" spans="2:2" x14ac:dyDescent="0.25">
      <c r="B3196" s="18"/>
    </row>
    <row r="3197" spans="2:2" x14ac:dyDescent="0.25">
      <c r="B3197" s="18"/>
    </row>
    <row r="3198" spans="2:2" x14ac:dyDescent="0.25">
      <c r="B3198" s="18"/>
    </row>
    <row r="3199" spans="2:2" x14ac:dyDescent="0.25">
      <c r="B3199" s="18"/>
    </row>
    <row r="3200" spans="2:2" x14ac:dyDescent="0.25">
      <c r="B3200" s="18"/>
    </row>
    <row r="3201" spans="2:2" x14ac:dyDescent="0.25">
      <c r="B3201" s="18"/>
    </row>
    <row r="3202" spans="2:2" x14ac:dyDescent="0.25">
      <c r="B3202" s="18"/>
    </row>
    <row r="3203" spans="2:2" x14ac:dyDescent="0.25">
      <c r="B3203" s="18"/>
    </row>
    <row r="3204" spans="2:2" x14ac:dyDescent="0.25">
      <c r="B3204" s="18"/>
    </row>
    <row r="3205" spans="2:2" x14ac:dyDescent="0.25">
      <c r="B3205" s="18"/>
    </row>
    <row r="3206" spans="2:2" x14ac:dyDescent="0.25">
      <c r="B3206" s="18"/>
    </row>
    <row r="3207" spans="2:2" x14ac:dyDescent="0.25">
      <c r="B3207" s="18"/>
    </row>
    <row r="3208" spans="2:2" x14ac:dyDescent="0.25">
      <c r="B3208" s="18"/>
    </row>
    <row r="3209" spans="2:2" x14ac:dyDescent="0.25">
      <c r="B3209" s="18"/>
    </row>
    <row r="3210" spans="2:2" x14ac:dyDescent="0.25">
      <c r="B3210" s="18"/>
    </row>
    <row r="3211" spans="2:2" x14ac:dyDescent="0.25">
      <c r="B3211" s="18"/>
    </row>
    <row r="3212" spans="2:2" x14ac:dyDescent="0.25">
      <c r="B3212" s="18"/>
    </row>
    <row r="3213" spans="2:2" x14ac:dyDescent="0.25">
      <c r="B3213" s="18"/>
    </row>
    <row r="3214" spans="2:2" x14ac:dyDescent="0.25">
      <c r="B3214" s="18"/>
    </row>
    <row r="3215" spans="2:2" x14ac:dyDescent="0.25">
      <c r="B3215" s="18"/>
    </row>
    <row r="3216" spans="2:2" x14ac:dyDescent="0.25">
      <c r="B3216" s="18"/>
    </row>
    <row r="3217" spans="2:2" x14ac:dyDescent="0.25">
      <c r="B3217" s="18"/>
    </row>
    <row r="3218" spans="2:2" x14ac:dyDescent="0.25">
      <c r="B3218" s="18"/>
    </row>
    <row r="3219" spans="2:2" x14ac:dyDescent="0.25">
      <c r="B3219" s="18"/>
    </row>
    <row r="3220" spans="2:2" x14ac:dyDescent="0.25">
      <c r="B3220" s="18"/>
    </row>
    <row r="3221" spans="2:2" x14ac:dyDescent="0.25">
      <c r="B3221" s="18"/>
    </row>
    <row r="3222" spans="2:2" x14ac:dyDescent="0.25">
      <c r="B3222" s="18"/>
    </row>
    <row r="3223" spans="2:2" x14ac:dyDescent="0.25">
      <c r="B3223" s="18"/>
    </row>
    <row r="3224" spans="2:2" x14ac:dyDescent="0.25">
      <c r="B3224" s="18"/>
    </row>
    <row r="3225" spans="2:2" x14ac:dyDescent="0.25">
      <c r="B3225" s="18"/>
    </row>
    <row r="3226" spans="2:2" x14ac:dyDescent="0.25">
      <c r="B3226" s="18"/>
    </row>
    <row r="3227" spans="2:2" x14ac:dyDescent="0.25">
      <c r="B3227" s="18"/>
    </row>
    <row r="3228" spans="2:2" x14ac:dyDescent="0.25">
      <c r="B3228" s="18"/>
    </row>
    <row r="3229" spans="2:2" x14ac:dyDescent="0.25">
      <c r="B3229" s="18"/>
    </row>
    <row r="3230" spans="2:2" x14ac:dyDescent="0.25">
      <c r="B3230" s="18"/>
    </row>
    <row r="3231" spans="2:2" x14ac:dyDescent="0.25">
      <c r="B3231" s="18"/>
    </row>
    <row r="3232" spans="2:2" x14ac:dyDescent="0.25">
      <c r="B3232" s="18"/>
    </row>
    <row r="3233" spans="2:2" x14ac:dyDescent="0.25">
      <c r="B3233" s="18"/>
    </row>
    <row r="3234" spans="2:2" x14ac:dyDescent="0.25">
      <c r="B3234" s="18"/>
    </row>
    <row r="3235" spans="2:2" x14ac:dyDescent="0.25">
      <c r="B3235" s="18"/>
    </row>
    <row r="3236" spans="2:2" x14ac:dyDescent="0.25">
      <c r="B3236" s="18"/>
    </row>
    <row r="3237" spans="2:2" x14ac:dyDescent="0.25">
      <c r="B3237" s="18"/>
    </row>
    <row r="3238" spans="2:2" x14ac:dyDescent="0.25">
      <c r="B3238" s="18"/>
    </row>
    <row r="3239" spans="2:2" x14ac:dyDescent="0.25">
      <c r="B3239" s="18"/>
    </row>
    <row r="3240" spans="2:2" x14ac:dyDescent="0.25">
      <c r="B3240" s="18"/>
    </row>
    <row r="3241" spans="2:2" x14ac:dyDescent="0.25">
      <c r="B3241" s="18"/>
    </row>
    <row r="3242" spans="2:2" x14ac:dyDescent="0.25">
      <c r="B3242" s="18"/>
    </row>
    <row r="3243" spans="2:2" x14ac:dyDescent="0.25">
      <c r="B3243" s="18"/>
    </row>
    <row r="3244" spans="2:2" x14ac:dyDescent="0.25">
      <c r="B3244" s="18"/>
    </row>
    <row r="3245" spans="2:2" x14ac:dyDescent="0.25">
      <c r="B3245" s="18"/>
    </row>
    <row r="3246" spans="2:2" x14ac:dyDescent="0.25">
      <c r="B3246" s="18"/>
    </row>
    <row r="3247" spans="2:2" x14ac:dyDescent="0.25">
      <c r="B3247" s="18"/>
    </row>
    <row r="3248" spans="2:2" x14ac:dyDescent="0.25">
      <c r="B3248" s="18"/>
    </row>
    <row r="3249" spans="2:2" x14ac:dyDescent="0.25">
      <c r="B3249" s="18"/>
    </row>
    <row r="3250" spans="2:2" x14ac:dyDescent="0.25">
      <c r="B3250" s="18"/>
    </row>
    <row r="3251" spans="2:2" x14ac:dyDescent="0.25">
      <c r="B3251" s="18"/>
    </row>
    <row r="3252" spans="2:2" x14ac:dyDescent="0.25">
      <c r="B3252" s="18"/>
    </row>
    <row r="3253" spans="2:2" x14ac:dyDescent="0.25">
      <c r="B3253" s="18"/>
    </row>
    <row r="3254" spans="2:2" x14ac:dyDescent="0.25">
      <c r="B3254" s="18"/>
    </row>
    <row r="3255" spans="2:2" x14ac:dyDescent="0.25">
      <c r="B3255" s="18"/>
    </row>
    <row r="3256" spans="2:2" x14ac:dyDescent="0.25">
      <c r="B3256" s="18"/>
    </row>
    <row r="3257" spans="2:2" x14ac:dyDescent="0.25">
      <c r="B3257" s="18"/>
    </row>
    <row r="3258" spans="2:2" x14ac:dyDescent="0.25">
      <c r="B3258" s="18"/>
    </row>
    <row r="3259" spans="2:2" x14ac:dyDescent="0.25">
      <c r="B3259" s="18"/>
    </row>
    <row r="3260" spans="2:2" x14ac:dyDescent="0.25">
      <c r="B3260" s="18"/>
    </row>
    <row r="3261" spans="2:2" x14ac:dyDescent="0.25">
      <c r="B3261" s="18"/>
    </row>
    <row r="3262" spans="2:2" x14ac:dyDescent="0.25">
      <c r="B3262" s="18"/>
    </row>
    <row r="3263" spans="2:2" x14ac:dyDescent="0.25">
      <c r="B3263" s="18"/>
    </row>
    <row r="3264" spans="2:2" x14ac:dyDescent="0.25">
      <c r="B3264" s="18"/>
    </row>
    <row r="3265" spans="2:2" x14ac:dyDescent="0.25">
      <c r="B3265" s="18"/>
    </row>
    <row r="3266" spans="2:2" x14ac:dyDescent="0.25">
      <c r="B3266" s="18"/>
    </row>
    <row r="3267" spans="2:2" x14ac:dyDescent="0.25">
      <c r="B3267" s="18"/>
    </row>
    <row r="3268" spans="2:2" x14ac:dyDescent="0.25">
      <c r="B3268" s="18"/>
    </row>
    <row r="3269" spans="2:2" x14ac:dyDescent="0.25">
      <c r="B3269" s="18"/>
    </row>
    <row r="3270" spans="2:2" x14ac:dyDescent="0.25">
      <c r="B3270" s="18"/>
    </row>
    <row r="3271" spans="2:2" x14ac:dyDescent="0.25">
      <c r="B3271" s="18"/>
    </row>
    <row r="3272" spans="2:2" x14ac:dyDescent="0.25">
      <c r="B3272" s="18"/>
    </row>
    <row r="3273" spans="2:2" x14ac:dyDescent="0.25">
      <c r="B3273" s="18"/>
    </row>
    <row r="3274" spans="2:2" x14ac:dyDescent="0.25">
      <c r="B3274" s="18"/>
    </row>
    <row r="3275" spans="2:2" x14ac:dyDescent="0.25">
      <c r="B3275" s="18"/>
    </row>
    <row r="3276" spans="2:2" x14ac:dyDescent="0.25">
      <c r="B3276" s="18"/>
    </row>
    <row r="3277" spans="2:2" x14ac:dyDescent="0.25">
      <c r="B3277" s="18"/>
    </row>
    <row r="3278" spans="2:2" x14ac:dyDescent="0.25">
      <c r="B3278" s="18"/>
    </row>
    <row r="3279" spans="2:2" x14ac:dyDescent="0.25">
      <c r="B3279" s="18"/>
    </row>
    <row r="3280" spans="2:2" x14ac:dyDescent="0.25">
      <c r="B3280" s="18"/>
    </row>
    <row r="3281" spans="2:2" x14ac:dyDescent="0.25">
      <c r="B3281" s="18"/>
    </row>
    <row r="3282" spans="2:2" x14ac:dyDescent="0.25">
      <c r="B3282" s="18"/>
    </row>
    <row r="3283" spans="2:2" x14ac:dyDescent="0.25">
      <c r="B3283" s="18"/>
    </row>
    <row r="3284" spans="2:2" x14ac:dyDescent="0.25">
      <c r="B3284" s="18"/>
    </row>
    <row r="3285" spans="2:2" x14ac:dyDescent="0.25">
      <c r="B3285" s="18"/>
    </row>
    <row r="3286" spans="2:2" x14ac:dyDescent="0.25">
      <c r="B3286" s="18"/>
    </row>
    <row r="3287" spans="2:2" x14ac:dyDescent="0.25">
      <c r="B3287" s="18"/>
    </row>
    <row r="3288" spans="2:2" x14ac:dyDescent="0.25">
      <c r="B3288" s="18"/>
    </row>
    <row r="3289" spans="2:2" x14ac:dyDescent="0.25">
      <c r="B3289" s="18"/>
    </row>
    <row r="3290" spans="2:2" x14ac:dyDescent="0.25">
      <c r="B3290" s="18"/>
    </row>
    <row r="3291" spans="2:2" x14ac:dyDescent="0.25">
      <c r="B3291" s="18"/>
    </row>
    <row r="3292" spans="2:2" x14ac:dyDescent="0.25">
      <c r="B3292" s="18"/>
    </row>
    <row r="3293" spans="2:2" x14ac:dyDescent="0.25">
      <c r="B3293" s="18"/>
    </row>
    <row r="3294" spans="2:2" x14ac:dyDescent="0.25">
      <c r="B3294" s="18"/>
    </row>
    <row r="3295" spans="2:2" x14ac:dyDescent="0.25">
      <c r="B3295" s="18"/>
    </row>
    <row r="3296" spans="2:2" x14ac:dyDescent="0.25">
      <c r="B3296" s="18"/>
    </row>
    <row r="3297" spans="2:2" x14ac:dyDescent="0.25">
      <c r="B3297" s="18"/>
    </row>
    <row r="3298" spans="2:2" x14ac:dyDescent="0.25">
      <c r="B3298" s="18"/>
    </row>
    <row r="3299" spans="2:2" x14ac:dyDescent="0.25">
      <c r="B3299" s="18"/>
    </row>
    <row r="3300" spans="2:2" x14ac:dyDescent="0.25">
      <c r="B3300" s="18"/>
    </row>
    <row r="3301" spans="2:2" x14ac:dyDescent="0.25">
      <c r="B3301" s="18"/>
    </row>
    <row r="3302" spans="2:2" x14ac:dyDescent="0.25">
      <c r="B3302" s="18"/>
    </row>
    <row r="3303" spans="2:2" x14ac:dyDescent="0.25">
      <c r="B3303" s="18"/>
    </row>
    <row r="3304" spans="2:2" x14ac:dyDescent="0.25">
      <c r="B3304" s="18"/>
    </row>
    <row r="3305" spans="2:2" x14ac:dyDescent="0.25">
      <c r="B3305" s="18"/>
    </row>
    <row r="3306" spans="2:2" x14ac:dyDescent="0.25">
      <c r="B3306" s="18"/>
    </row>
    <row r="3307" spans="2:2" x14ac:dyDescent="0.25">
      <c r="B3307" s="18"/>
    </row>
    <row r="3308" spans="2:2" x14ac:dyDescent="0.25">
      <c r="B3308" s="18"/>
    </row>
    <row r="3309" spans="2:2" x14ac:dyDescent="0.25">
      <c r="B3309" s="18"/>
    </row>
    <row r="3310" spans="2:2" x14ac:dyDescent="0.25">
      <c r="B3310" s="18"/>
    </row>
    <row r="3311" spans="2:2" x14ac:dyDescent="0.25">
      <c r="B3311" s="18"/>
    </row>
    <row r="3312" spans="2:2" x14ac:dyDescent="0.25">
      <c r="B3312" s="18"/>
    </row>
    <row r="3313" spans="2:2" x14ac:dyDescent="0.25">
      <c r="B3313" s="18"/>
    </row>
    <row r="3314" spans="2:2" x14ac:dyDescent="0.25">
      <c r="B3314" s="18"/>
    </row>
    <row r="3315" spans="2:2" x14ac:dyDescent="0.25">
      <c r="B3315" s="18"/>
    </row>
    <row r="3316" spans="2:2" x14ac:dyDescent="0.25">
      <c r="B3316" s="18"/>
    </row>
    <row r="3317" spans="2:2" x14ac:dyDescent="0.25">
      <c r="B3317" s="18"/>
    </row>
    <row r="3318" spans="2:2" x14ac:dyDescent="0.25">
      <c r="B3318" s="18"/>
    </row>
    <row r="3319" spans="2:2" x14ac:dyDescent="0.25">
      <c r="B3319" s="18"/>
    </row>
    <row r="3320" spans="2:2" x14ac:dyDescent="0.25">
      <c r="B3320" s="18"/>
    </row>
    <row r="3321" spans="2:2" x14ac:dyDescent="0.25">
      <c r="B3321" s="18"/>
    </row>
    <row r="3322" spans="2:2" x14ac:dyDescent="0.25">
      <c r="B3322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H54"/>
  <sheetViews>
    <sheetView view="pageBreakPreview" zoomScale="60" workbookViewId="0">
      <selection activeCell="C8" sqref="C8:D54"/>
    </sheetView>
  </sheetViews>
  <sheetFormatPr defaultColWidth="9.140625" defaultRowHeight="21" x14ac:dyDescent="0.25"/>
  <cols>
    <col min="1" max="1" width="30.5703125" customWidth="1"/>
    <col min="2" max="2" width="33.140625" customWidth="1"/>
    <col min="3" max="3" width="47.7109375" customWidth="1"/>
    <col min="4" max="4" width="32.7109375" customWidth="1"/>
    <col min="5" max="5" width="11.7109375" customWidth="1"/>
    <col min="6" max="6" width="25.28515625" customWidth="1"/>
    <col min="7" max="7" width="15.42578125" customWidth="1"/>
    <col min="8" max="8" width="20.85546875" customWidth="1"/>
    <col min="9" max="16384" width="9.140625" style="5"/>
  </cols>
  <sheetData>
    <row r="1" spans="1:8" x14ac:dyDescent="0.25">
      <c r="A1" s="7"/>
      <c r="B1" s="7"/>
      <c r="C1" s="7"/>
      <c r="D1" s="8"/>
      <c r="E1" s="7"/>
      <c r="F1" s="7"/>
      <c r="G1" s="7"/>
      <c r="H1" s="7"/>
    </row>
    <row r="2" spans="1:8" x14ac:dyDescent="0.25">
      <c r="A2" s="29" t="s">
        <v>22</v>
      </c>
      <c r="B2" s="29"/>
      <c r="C2" s="29"/>
      <c r="D2" s="29"/>
      <c r="E2" s="29"/>
      <c r="F2" s="29"/>
      <c r="G2" s="29"/>
      <c r="H2" s="29"/>
    </row>
    <row r="3" spans="1:8" x14ac:dyDescent="0.25">
      <c r="A3" s="7" t="s">
        <v>23</v>
      </c>
      <c r="B3" s="9">
        <f ca="1">TODAY()</f>
        <v>43370</v>
      </c>
      <c r="C3" s="7"/>
      <c r="D3" s="8"/>
      <c r="E3" s="7"/>
      <c r="F3" s="7" t="s">
        <v>24</v>
      </c>
      <c r="G3" s="7"/>
      <c r="H3" s="7"/>
    </row>
    <row r="4" spans="1:8" x14ac:dyDescent="0.25">
      <c r="A4" s="7"/>
      <c r="B4" s="7"/>
      <c r="C4" s="7"/>
      <c r="D4" s="8"/>
      <c r="E4" s="7"/>
      <c r="F4" s="7" t="s">
        <v>25</v>
      </c>
      <c r="G4" s="7"/>
      <c r="H4" s="7"/>
    </row>
    <row r="5" spans="1:8" x14ac:dyDescent="0.25">
      <c r="A5" s="7"/>
      <c r="B5" s="7"/>
      <c r="C5" s="7"/>
      <c r="D5" s="8"/>
      <c r="E5" s="7"/>
      <c r="F5" s="7"/>
      <c r="G5" s="7"/>
      <c r="H5" s="7"/>
    </row>
    <row r="6" spans="1:8" x14ac:dyDescent="0.25">
      <c r="A6" s="10" t="s">
        <v>11</v>
      </c>
      <c r="B6" s="10" t="s">
        <v>14</v>
      </c>
      <c r="C6" s="10" t="s">
        <v>28</v>
      </c>
      <c r="D6" s="11" t="s">
        <v>29</v>
      </c>
      <c r="E6" s="10" t="s">
        <v>6</v>
      </c>
      <c r="F6" s="10" t="s">
        <v>15</v>
      </c>
      <c r="G6" s="10" t="s">
        <v>16</v>
      </c>
      <c r="H6" s="10" t="s">
        <v>17</v>
      </c>
    </row>
    <row r="7" spans="1:8" ht="63" x14ac:dyDescent="0.25">
      <c r="A7" s="22" t="s">
        <v>195</v>
      </c>
      <c r="B7" s="22" t="s">
        <v>6703</v>
      </c>
      <c r="C7" s="22" t="str">
        <f>IFERROR(VLOOKUP(A7,Seller_Details!A:E,3,0),"Not Found")</f>
        <v>4G COM GENERAL TRADING LLC ; OFC 501; GARGASA CENTRE ; DEIRA; DUBAI; UAE</v>
      </c>
      <c r="D7" s="23">
        <f>IFERROR(VLOOKUP(A7,Seller_Details!A:E,5,0),"Not Found")</f>
        <v>971555786668</v>
      </c>
      <c r="E7" s="22">
        <v>19</v>
      </c>
      <c r="F7" s="22"/>
      <c r="G7" s="22"/>
      <c r="H7" s="22"/>
    </row>
    <row r="8" spans="1:8" ht="126" x14ac:dyDescent="0.25">
      <c r="A8" s="22" t="s">
        <v>2037</v>
      </c>
      <c r="B8" s="22" t="s">
        <v>6704</v>
      </c>
      <c r="C8" s="22" t="str">
        <f>IFERROR(VLOOKUP(A8,Seller_Details!A:E,3,0),"Not Found")</f>
        <v>1213 Indigo Tower Cluster D</v>
      </c>
      <c r="D8" s="23">
        <f>IFERROR(VLOOKUP(A8,Seller_Details!A:E,5,0),"Not Found")</f>
        <v>971504587085</v>
      </c>
      <c r="E8" s="22">
        <v>34</v>
      </c>
      <c r="F8" s="22"/>
      <c r="G8" s="22"/>
      <c r="H8" s="22"/>
    </row>
    <row r="9" spans="1:8" ht="42" x14ac:dyDescent="0.25">
      <c r="A9" s="22" t="s">
        <v>448</v>
      </c>
      <c r="B9" s="22" t="s">
        <v>6705</v>
      </c>
      <c r="C9" s="22" t="str">
        <f>IFERROR(VLOOKUP(A9,Seller_Details!A:E,3,0),"Not Found")</f>
        <v>Shop 1-2;Opp Ferrari Hotel;Deira Dubai</v>
      </c>
      <c r="D9" s="23">
        <f>IFERROR(VLOOKUP(A9,Seller_Details!A:E,5,0),"Not Found")</f>
        <v>971506285108</v>
      </c>
      <c r="E9" s="22">
        <v>2</v>
      </c>
      <c r="F9" s="22"/>
      <c r="G9" s="22"/>
      <c r="H9" s="22"/>
    </row>
    <row r="10" spans="1:8" ht="105" x14ac:dyDescent="0.25">
      <c r="A10" s="22" t="s">
        <v>86</v>
      </c>
      <c r="B10" s="22" t="s">
        <v>6706</v>
      </c>
      <c r="C10" s="22" t="str">
        <f>IFERROR(VLOOKUP(A10,Seller_Details!A:E,3,0),"Not Found")</f>
        <v xml:space="preserve">Hyatt Regency Galleria Mall, 2nd Floor Room 249-A Al Khaleej Road Deira Dubai </v>
      </c>
      <c r="D10" s="23">
        <f>IFERROR(VLOOKUP(A10,Seller_Details!A:E,5,0),"Not Found")</f>
        <v>97142343999</v>
      </c>
      <c r="E10" s="22">
        <v>98</v>
      </c>
      <c r="F10" s="22"/>
      <c r="G10" s="22"/>
      <c r="H10" s="22"/>
    </row>
    <row r="11" spans="1:8" ht="42" x14ac:dyDescent="0.25">
      <c r="A11" s="22" t="s">
        <v>161</v>
      </c>
      <c r="B11" s="22" t="s">
        <v>6707</v>
      </c>
      <c r="C11" s="22" t="str">
        <f>IFERROR(VLOOKUP(A11,Seller_Details!A:E,3,0),"Not Found")</f>
        <v>Deira Gold Souq; Opp Gold Center;Deira</v>
      </c>
      <c r="D11" s="23">
        <f>IFERROR(VLOOKUP(A11,Seller_Details!A:E,5,0),"Not Found")</f>
        <v>971557263337</v>
      </c>
      <c r="E11" s="22">
        <v>5</v>
      </c>
      <c r="F11" s="22"/>
      <c r="G11" s="22"/>
      <c r="H11" s="22"/>
    </row>
    <row r="12" spans="1:8" ht="105" x14ac:dyDescent="0.25">
      <c r="A12" s="22" t="s">
        <v>643</v>
      </c>
      <c r="B12" s="22" t="s">
        <v>6708</v>
      </c>
      <c r="C12" s="22" t="str">
        <f>IFERROR(VLOOKUP(A12,Seller_Details!A:E,3,0),"Not Found")</f>
        <v>918; B Block; Business village; Clock tower deira Dubai</v>
      </c>
      <c r="D12" s="23">
        <f>IFERROR(VLOOKUP(A12,Seller_Details!A:E,5,0),"Not Found")</f>
        <v>971558883784</v>
      </c>
      <c r="E12" s="22">
        <v>60</v>
      </c>
      <c r="F12" s="22"/>
      <c r="G12" s="22"/>
      <c r="H12" s="22"/>
    </row>
    <row r="13" spans="1:8" ht="63" x14ac:dyDescent="0.25">
      <c r="A13" s="22" t="s">
        <v>2195</v>
      </c>
      <c r="B13" s="22" t="s">
        <v>6709</v>
      </c>
      <c r="C13" s="22" t="str">
        <f>IFERROR(VLOOKUP(A13,Seller_Details!A:E,3,0),"Not Found")</f>
        <v>Office No. 304, Al Sabkha Building, Above Jovial Watch Shop, Near Sabkha Bus Station, Deira</v>
      </c>
      <c r="D13" s="23">
        <f>IFERROR(VLOOKUP(A13,Seller_Details!A:E,5,0),"Not Found")</f>
        <v>971529878204</v>
      </c>
      <c r="E13" s="22">
        <v>5</v>
      </c>
      <c r="F13" s="22"/>
      <c r="G13" s="22"/>
      <c r="H13" s="22"/>
    </row>
    <row r="14" spans="1:8" ht="42" x14ac:dyDescent="0.25">
      <c r="A14" s="22" t="s">
        <v>1956</v>
      </c>
      <c r="B14" s="22" t="s">
        <v>6710</v>
      </c>
      <c r="C14" s="22" t="str">
        <f>IFERROR(VLOOKUP(A14,Seller_Details!A:E,3,0),"Not Found")</f>
        <v>Mursheed Bazaar, Al Buteen Center, shop no 2 &amp; 4, Deira</v>
      </c>
      <c r="D14" s="23">
        <f>IFERROR(VLOOKUP(A14,Seller_Details!A:E,5,0),"Not Found")</f>
        <v>971526449421</v>
      </c>
      <c r="E14" s="22">
        <v>3</v>
      </c>
      <c r="F14" s="22"/>
      <c r="G14" s="22"/>
      <c r="H14" s="22"/>
    </row>
    <row r="15" spans="1:8" ht="63" x14ac:dyDescent="0.25">
      <c r="A15" s="22" t="s">
        <v>78</v>
      </c>
      <c r="B15" s="22" t="s">
        <v>6711</v>
      </c>
      <c r="C15" s="22" t="str">
        <f>IFERROR(VLOOKUP(A15,Seller_Details!A:E,3,0),"Not Found")</f>
        <v>SHEIKH RASHID BUILDING ; BEHIND TWIN TOWERS ; BANIYAS ROAD ; DEIRA ; DUBAI</v>
      </c>
      <c r="D15" s="23">
        <f>IFERROR(VLOOKUP(A15,Seller_Details!A:E,5,0),"Not Found")</f>
        <v>0</v>
      </c>
      <c r="E15" s="22">
        <v>4</v>
      </c>
      <c r="F15" s="22"/>
      <c r="G15" s="22"/>
      <c r="H15" s="22"/>
    </row>
    <row r="16" spans="1:8" ht="336" x14ac:dyDescent="0.25">
      <c r="A16" s="22" t="s">
        <v>654</v>
      </c>
      <c r="B16" s="22" t="s">
        <v>6712</v>
      </c>
      <c r="C16" s="22" t="str">
        <f>IFERROR(VLOOKUP(A16,Seller_Details!A:E,3,0),"Not Found")</f>
        <v>GA ; IDC; Sector- 16 Gurgaon; india - 122001</v>
      </c>
      <c r="D16" s="23">
        <f>IFERROR(VLOOKUP(A16,Seller_Details!A:E,5,0),"Not Found")</f>
        <v>999810159597</v>
      </c>
      <c r="E16" s="22">
        <v>529</v>
      </c>
      <c r="F16" s="22"/>
      <c r="G16" s="22"/>
      <c r="H16" s="22"/>
    </row>
    <row r="17" spans="1:8" ht="63" x14ac:dyDescent="0.25">
      <c r="A17" s="22" t="s">
        <v>2691</v>
      </c>
      <c r="B17" s="22" t="s">
        <v>6713</v>
      </c>
      <c r="C17" s="22" t="str">
        <f>IFERROR(VLOOKUP(A17,Seller_Details!A:E,3,0),"Not Found")</f>
        <v>M-28B, Computer plaza, Al-Ain Centre, Al Mankhool St., P.O. Box: 51369, Bur Dubai, UAE</v>
      </c>
      <c r="D17" s="23">
        <f>IFERROR(VLOOKUP(A17,Seller_Details!A:E,5,0),"Not Found")</f>
        <v>971558448616</v>
      </c>
      <c r="E17" s="22">
        <v>4</v>
      </c>
      <c r="F17" s="22"/>
      <c r="G17" s="22"/>
      <c r="H17" s="22"/>
    </row>
    <row r="18" spans="1:8" ht="63" x14ac:dyDescent="0.25">
      <c r="A18" s="22" t="s">
        <v>184</v>
      </c>
      <c r="B18" s="22" t="s">
        <v>6714</v>
      </c>
      <c r="C18" s="22" t="str">
        <f>IFERROR(VLOOKUP(A18,Seller_Details!A:E,3,0),"Not Found")</f>
        <v>AL JABAR OPTICAL CENTER ;AL KHABAISI AREA ; AL MURRAQQABAT ;DEIRA ;DUBAI ; UAE</v>
      </c>
      <c r="D18" s="23">
        <f>IFERROR(VLOOKUP(A18,Seller_Details!A:E,5,0),"Not Found")</f>
        <v>0</v>
      </c>
      <c r="E18" s="22">
        <v>8</v>
      </c>
      <c r="F18" s="22"/>
      <c r="G18" s="22"/>
      <c r="H18" s="22"/>
    </row>
    <row r="19" spans="1:8" ht="63" x14ac:dyDescent="0.25">
      <c r="A19" s="22" t="s">
        <v>54</v>
      </c>
      <c r="B19" s="22" t="s">
        <v>4823</v>
      </c>
      <c r="C19" s="22" t="str">
        <f>IFERROR(VLOOKUP(A19,Seller_Details!A:E,3,0),"Not Found")</f>
        <v>TRIZONE ELECTRONICS TRADING LLC ; M:03 AYAL NASSER STREET ; NEAR HAWAR HOTEL ;DEIRA; DUBAI ; UAE</v>
      </c>
      <c r="D19" s="23">
        <f>IFERROR(VLOOKUP(A19,Seller_Details!A:E,5,0),"Not Found")</f>
        <v>971509957808</v>
      </c>
      <c r="E19" s="22">
        <v>1</v>
      </c>
      <c r="F19" s="22"/>
      <c r="G19" s="22"/>
      <c r="H19" s="22"/>
    </row>
    <row r="20" spans="1:8" ht="63" x14ac:dyDescent="0.25">
      <c r="A20" s="22" t="s">
        <v>1264</v>
      </c>
      <c r="B20" s="22" t="s">
        <v>6715</v>
      </c>
      <c r="C20" s="22" t="str">
        <f>IFERROR(VLOOKUP(A20,Seller_Details!A:E,3,0),"Not Found")</f>
        <v>Ayal Nasir ; Al Zabbi Building Deira Dubai</v>
      </c>
      <c r="D20" s="23">
        <f>IFERROR(VLOOKUP(A20,Seller_Details!A:E,5,0),"Not Found")</f>
        <v>971551779933</v>
      </c>
      <c r="E20" s="22">
        <v>6</v>
      </c>
      <c r="F20" s="22"/>
      <c r="G20" s="22"/>
      <c r="H20" s="22"/>
    </row>
    <row r="21" spans="1:8" ht="84" x14ac:dyDescent="0.25">
      <c r="A21" s="22" t="s">
        <v>1277</v>
      </c>
      <c r="B21" s="22" t="s">
        <v>6716</v>
      </c>
      <c r="C21" s="22" t="str">
        <f>IFERROR(VLOOKUP(A21,Seller_Details!A:E,3,0),"Not Found")</f>
        <v>Near Al Badie Travel Agency &amp; Tourism Land Mark : Sufyan Ibn Al-Harith Mosque Al Nasser Street,Al Markaziyah Area - Abu Dhabi</v>
      </c>
      <c r="D21" s="23">
        <f>IFERROR(VLOOKUP(A21,Seller_Details!A:E,5,0),"Not Found")</f>
        <v>9710559911705</v>
      </c>
      <c r="E21" s="22">
        <v>21</v>
      </c>
      <c r="F21" s="22"/>
      <c r="G21" s="22"/>
      <c r="H21" s="22"/>
    </row>
    <row r="22" spans="1:8" ht="63" x14ac:dyDescent="0.25">
      <c r="A22" s="22" t="s">
        <v>216</v>
      </c>
      <c r="B22" s="22" t="s">
        <v>6717</v>
      </c>
      <c r="C22" s="22" t="str">
        <f>IFERROR(VLOOKUP(A22,Seller_Details!A:E,3,0),"Not Found")</f>
        <v>PO Box 51305 ;Dubai UAE; AL fardan Building (opp. choithrams) meena bazar dubai</v>
      </c>
      <c r="D22" s="23">
        <f>IFERROR(VLOOKUP(A22,Seller_Details!A:E,5,0),"Not Found")</f>
        <v>971555054644</v>
      </c>
      <c r="E22" s="22">
        <v>4</v>
      </c>
      <c r="F22" s="22"/>
      <c r="G22" s="22"/>
      <c r="H22" s="22"/>
    </row>
    <row r="23" spans="1:8" ht="63" x14ac:dyDescent="0.25">
      <c r="A23" s="22" t="s">
        <v>1799</v>
      </c>
      <c r="B23" s="22" t="s">
        <v>6336</v>
      </c>
      <c r="C23" s="22" t="str">
        <f>IFERROR(VLOOKUP(A23,Seller_Details!A:E,3,0),"Not Found")</f>
        <v>Dubai South business center, Logistics- viation City-PO Box 390667, Dubai UAE</v>
      </c>
      <c r="D23" s="23">
        <f>IFERROR(VLOOKUP(A23,Seller_Details!A:E,5,0),"Not Found")</f>
        <v>9710566512161</v>
      </c>
      <c r="E23" s="22">
        <v>1</v>
      </c>
      <c r="F23" s="22"/>
      <c r="G23" s="22"/>
      <c r="H23" s="22"/>
    </row>
    <row r="24" spans="1:8" ht="42" x14ac:dyDescent="0.25">
      <c r="A24" s="22" t="s">
        <v>1711</v>
      </c>
      <c r="B24" s="22" t="s">
        <v>6718</v>
      </c>
      <c r="C24" s="22" t="str">
        <f>IFERROR(VLOOKUP(A24,Seller_Details!A:E,3,0),"Not Found")</f>
        <v>211, Gargash centre, Baniyas Square, Deira Dubai</v>
      </c>
      <c r="D24" s="23">
        <f>IFERROR(VLOOKUP(A24,Seller_Details!A:E,5,0),"Not Found")</f>
        <v>97142271064</v>
      </c>
      <c r="E24" s="22">
        <v>13</v>
      </c>
      <c r="F24" s="22"/>
      <c r="G24" s="22"/>
      <c r="H24" s="22"/>
    </row>
    <row r="25" spans="1:8" ht="84" x14ac:dyDescent="0.25">
      <c r="A25" s="22" t="s">
        <v>174</v>
      </c>
      <c r="B25" s="22" t="s">
        <v>6719</v>
      </c>
      <c r="C25" s="22" t="str">
        <f>IFERROR(VLOOKUP(A25,Seller_Details!A:E,3,0),"Not Found")</f>
        <v>BAIT AL ARAB LLC ;SHOP NO 7; AL NASR PLAZA BLDG; BESIDES OUD METHA METRO STATION; OUD METHA ROAD; DUBAI; UAE</v>
      </c>
      <c r="D25" s="23">
        <f>IFERROR(VLOOKUP(A25,Seller_Details!A:E,5,0),"Not Found")</f>
        <v>971505456876</v>
      </c>
      <c r="E25" s="22">
        <v>13</v>
      </c>
      <c r="F25" s="22"/>
      <c r="G25" s="22"/>
      <c r="H25" s="22"/>
    </row>
    <row r="26" spans="1:8" ht="84" x14ac:dyDescent="0.25">
      <c r="A26" s="22" t="s">
        <v>373</v>
      </c>
      <c r="B26" s="22" t="s">
        <v>6720</v>
      </c>
      <c r="C26" s="22" t="str">
        <f>IFERROR(VLOOKUP(A26,Seller_Details!A:E,3,0),"Not Found")</f>
        <v>MID Asia TRd; OFF #302;3rd floor Iran Insurance Buinding near Union Metro . Al Maktoum RD. Deira Dubai UAE</v>
      </c>
      <c r="D26" s="23" t="str">
        <f>IFERROR(VLOOKUP(A26,Seller_Details!A:E,5,0),"Not Found")</f>
        <v>97142242449; 971506520701; 971551958827</v>
      </c>
      <c r="E26" s="22">
        <v>3</v>
      </c>
      <c r="F26" s="22"/>
      <c r="G26" s="22"/>
      <c r="H26" s="22"/>
    </row>
    <row r="27" spans="1:8" ht="63" x14ac:dyDescent="0.25">
      <c r="A27" s="22" t="s">
        <v>220</v>
      </c>
      <c r="B27" s="22" t="s">
        <v>6721</v>
      </c>
      <c r="C27" s="22" t="str">
        <f>IFERROR(VLOOKUP(A27,Seller_Details!A:E,3,0),"Not Found")</f>
        <v>PO Box 376920;Office No 941C;9th Floor;Office Tower;Al Ghurair;Center Dubai;UAE</v>
      </c>
      <c r="D27" s="23">
        <f>IFERROR(VLOOKUP(A27,Seller_Details!A:E,5,0),"Not Found")</f>
        <v>971529023366</v>
      </c>
      <c r="E27" s="22">
        <v>14</v>
      </c>
      <c r="F27" s="22"/>
      <c r="G27" s="22"/>
      <c r="H27" s="22"/>
    </row>
    <row r="28" spans="1:8" ht="63" x14ac:dyDescent="0.25">
      <c r="A28" s="22" t="s">
        <v>105</v>
      </c>
      <c r="B28" s="22" t="s">
        <v>6722</v>
      </c>
      <c r="C28" s="22" t="str">
        <f>IFERROR(VLOOKUP(A28,Seller_Details!A:E,3,0),"Not Found")</f>
        <v>MUSEUM ZONE ; 8 6a STREET ; TAJ DAWLAT BUILDING ;BUR DUBAI ;DUBAI UAE</v>
      </c>
      <c r="D28" s="23">
        <f>IFERROR(VLOOKUP(A28,Seller_Details!A:E,5,0),"Not Found")</f>
        <v>556341606</v>
      </c>
      <c r="E28" s="22">
        <v>18</v>
      </c>
      <c r="F28" s="22"/>
      <c r="G28" s="22"/>
      <c r="H28" s="22"/>
    </row>
    <row r="29" spans="1:8" x14ac:dyDescent="0.25">
      <c r="A29" s="22" t="s">
        <v>3221</v>
      </c>
      <c r="B29" s="22" t="s">
        <v>3220</v>
      </c>
      <c r="C29" s="22" t="str">
        <f>IFERROR(VLOOKUP(A29,Seller_Details!A:E,3,0),"Not Found")</f>
        <v>Not Found</v>
      </c>
      <c r="D29" s="23" t="str">
        <f>IFERROR(VLOOKUP(A29,Seller_Details!A:E,5,0),"Not Found")</f>
        <v>Not Found</v>
      </c>
      <c r="E29" s="22">
        <v>1</v>
      </c>
      <c r="F29" s="22"/>
      <c r="G29" s="22"/>
      <c r="H29" s="22"/>
    </row>
    <row r="30" spans="1:8" ht="42" x14ac:dyDescent="0.25">
      <c r="A30" s="22" t="s">
        <v>2192</v>
      </c>
      <c r="B30" s="22" t="s">
        <v>4693</v>
      </c>
      <c r="C30" s="22" t="str">
        <f>IFERROR(VLOOKUP(A30,Seller_Details!A:E,3,0),"Not Found")</f>
        <v>Wadi Warehsouse, 17 street umm ramool</v>
      </c>
      <c r="D30" s="23">
        <f>IFERROR(VLOOKUP(A30,Seller_Details!A:E,5,0),"Not Found")</f>
        <v>9710561930109</v>
      </c>
      <c r="E30" s="22">
        <v>3</v>
      </c>
      <c r="F30" s="22"/>
      <c r="G30" s="22"/>
      <c r="H30" s="22"/>
    </row>
    <row r="31" spans="1:8" ht="42" x14ac:dyDescent="0.25">
      <c r="A31" s="22" t="s">
        <v>1273</v>
      </c>
      <c r="B31" s="22" t="s">
        <v>4694</v>
      </c>
      <c r="C31" s="22" t="str">
        <f>IFERROR(VLOOKUP(A31,Seller_Details!A:E,3,0),"Not Found")</f>
        <v>Living Legends Villa B78, Wadi Al Safa 3 Dubai Land</v>
      </c>
      <c r="D31" s="23">
        <f>IFERROR(VLOOKUP(A31,Seller_Details!A:E,5,0),"Not Found")</f>
        <v>971553860038</v>
      </c>
      <c r="E31" s="22">
        <v>3</v>
      </c>
      <c r="F31" s="22"/>
      <c r="G31" s="22"/>
      <c r="H31" s="22"/>
    </row>
    <row r="32" spans="1:8" ht="42" x14ac:dyDescent="0.25">
      <c r="A32" s="22" t="s">
        <v>2287</v>
      </c>
      <c r="B32" s="22" t="s">
        <v>6723</v>
      </c>
      <c r="C32" s="22" t="str">
        <f>IFERROR(VLOOKUP(A32,Seller_Details!A:E,3,0),"Not Found")</f>
        <v>DUBAI, DEIRA, MUSSALAH ROAD, OPPOSITE SHARAF EXCHANGE</v>
      </c>
      <c r="D32" s="23">
        <f>IFERROR(VLOOKUP(A32,Seller_Details!A:E,5,0),"Not Found")</f>
        <v>971555522053</v>
      </c>
      <c r="E32" s="22">
        <v>2</v>
      </c>
      <c r="F32" s="22"/>
      <c r="G32" s="22"/>
      <c r="H32" s="22"/>
    </row>
    <row r="33" spans="1:8" ht="42" x14ac:dyDescent="0.25">
      <c r="A33" s="22" t="s">
        <v>2031</v>
      </c>
      <c r="B33" s="22" t="s">
        <v>6724</v>
      </c>
      <c r="C33" s="22" t="str">
        <f>IFERROR(VLOOKUP(A33,Seller_Details!A:E,3,0),"Not Found")</f>
        <v>ABH-11, Dragon Mart (Come through AB Gate)</v>
      </c>
      <c r="D33" s="23">
        <f>IFERROR(VLOOKUP(A33,Seller_Details!A:E,5,0),"Not Found")</f>
        <v>971526991213</v>
      </c>
      <c r="E33" s="22">
        <v>9</v>
      </c>
      <c r="F33" s="22"/>
      <c r="G33" s="22"/>
      <c r="H33" s="22"/>
    </row>
    <row r="34" spans="1:8" ht="63" x14ac:dyDescent="0.25">
      <c r="A34" s="22" t="s">
        <v>212</v>
      </c>
      <c r="B34" s="22" t="s">
        <v>6725</v>
      </c>
      <c r="C34" s="22" t="str">
        <f>IFERROR(VLOOKUP(A34,Seller_Details!A:E,3,0),"Not Found")</f>
        <v>Axiom Telecom;Umm Ramool; Rashidya Near Dubai Duty Free Warehouse</v>
      </c>
      <c r="D34" s="23">
        <f>IFERROR(VLOOKUP(A34,Seller_Details!A:E,5,0),"Not Found")</f>
        <v>97143636555</v>
      </c>
      <c r="E34" s="22">
        <v>16</v>
      </c>
      <c r="F34" s="22"/>
      <c r="G34" s="22"/>
      <c r="H34" s="22"/>
    </row>
    <row r="35" spans="1:8" ht="63" x14ac:dyDescent="0.25">
      <c r="A35" s="22" t="s">
        <v>2001</v>
      </c>
      <c r="B35" s="22" t="s">
        <v>6635</v>
      </c>
      <c r="C35" s="22" t="str">
        <f>IFERROR(VLOOKUP(A35,Seller_Details!A:E,3,0),"Not Found")</f>
        <v>208, Office Court Building, Opp. Oud Metha Metro Station, Oud metha Road, Dubai, U.A.E. P.O Box# 62</v>
      </c>
      <c r="D35" s="23">
        <f>IFERROR(VLOOKUP(A35,Seller_Details!A:E,5,0),"Not Found")</f>
        <v>971555531006</v>
      </c>
      <c r="E35" s="22">
        <v>1</v>
      </c>
      <c r="F35" s="22"/>
      <c r="G35" s="22"/>
      <c r="H35" s="22"/>
    </row>
    <row r="36" spans="1:8" ht="63" x14ac:dyDescent="0.25">
      <c r="A36" s="22" t="s">
        <v>188</v>
      </c>
      <c r="B36" s="22" t="s">
        <v>5751</v>
      </c>
      <c r="C36" s="22" t="str">
        <f>IFERROR(VLOOKUP(A36,Seller_Details!A:E,3,0),"Not Found")</f>
        <v>AL ERSHAD COMPUTER TRADING LLC ; M27 ; AL AIN CENTRE ; DUBAI ; UAE PO BOX - 42782</v>
      </c>
      <c r="D36" s="23">
        <f>IFERROR(VLOOKUP(A36,Seller_Details!A:E,5,0),"Not Found")</f>
        <v>0</v>
      </c>
      <c r="E36" s="22">
        <v>1</v>
      </c>
      <c r="F36" s="22"/>
      <c r="G36" s="22"/>
      <c r="H36" s="22"/>
    </row>
    <row r="37" spans="1:8" ht="42" x14ac:dyDescent="0.25">
      <c r="A37" s="22" t="s">
        <v>43</v>
      </c>
      <c r="B37" s="22" t="s">
        <v>6726</v>
      </c>
      <c r="C37" s="22" t="str">
        <f>IFERROR(VLOOKUP(A37,Seller_Details!A:E,3,0),"Not Found")</f>
        <v>WAREHOUSE #407 SHED NO. 1; DUBAI MARITIME CITY ; DUBAI</v>
      </c>
      <c r="D37" s="23" t="str">
        <f>IFERROR(VLOOKUP(A37,Seller_Details!A:E,5,0),"Not Found")</f>
        <v>not provided</v>
      </c>
      <c r="E37" s="22">
        <v>8</v>
      </c>
      <c r="F37" s="22"/>
      <c r="G37" s="22"/>
      <c r="H37" s="22"/>
    </row>
    <row r="38" spans="1:8" ht="63" x14ac:dyDescent="0.25">
      <c r="A38" s="22" t="s">
        <v>1502</v>
      </c>
      <c r="B38" s="22" t="s">
        <v>6727</v>
      </c>
      <c r="C38" s="22" t="str">
        <f>IFERROR(VLOOKUP(A38,Seller_Details!A:E,3,0),"Not Found")</f>
        <v>$4 Business Center, Bank Street, PO :31906, Dubie UAE, Burjuman</v>
      </c>
      <c r="D38" s="23">
        <f>IFERROR(VLOOKUP(A38,Seller_Details!A:E,5,0),"Not Found")</f>
        <v>97143579929</v>
      </c>
      <c r="E38" s="22">
        <v>108</v>
      </c>
      <c r="F38" s="22"/>
      <c r="G38" s="22"/>
      <c r="H38" s="22"/>
    </row>
    <row r="39" spans="1:8" ht="63" x14ac:dyDescent="0.25">
      <c r="A39" s="22" t="s">
        <v>2733</v>
      </c>
      <c r="B39" s="22" t="s">
        <v>4838</v>
      </c>
      <c r="C39" s="22" t="str">
        <f>IFERROR(VLOOKUP(A39,Seller_Details!A:E,3,0),"Not Found")</f>
        <v>King of Computers LLC , Opp. Royal Ascot Hotel Khalid Bin Al Waleed St. Bur Dubai</v>
      </c>
      <c r="D39" s="23">
        <f>IFERROR(VLOOKUP(A39,Seller_Details!A:E,5,0),"Not Found")</f>
        <v>971558004403</v>
      </c>
      <c r="E39" s="22">
        <v>1</v>
      </c>
      <c r="F39" s="22"/>
      <c r="G39" s="22"/>
      <c r="H39" s="22"/>
    </row>
    <row r="40" spans="1:8" ht="42" x14ac:dyDescent="0.25">
      <c r="A40" s="22" t="s">
        <v>70</v>
      </c>
      <c r="B40" s="22" t="s">
        <v>6728</v>
      </c>
      <c r="C40" s="22" t="str">
        <f>IFERROR(VLOOKUP(A40,Seller_Details!A:E,3,0),"Not Found")</f>
        <v>shop#9;Naij Comp Plaza; Naij Road;Deira;Dubai</v>
      </c>
      <c r="D40" s="23">
        <f>IFERROR(VLOOKUP(A40,Seller_Details!A:E,5,0),"Not Found")</f>
        <v>971507646999</v>
      </c>
      <c r="E40" s="22">
        <v>9</v>
      </c>
      <c r="F40" s="22"/>
      <c r="G40" s="22"/>
      <c r="H40" s="22"/>
    </row>
    <row r="41" spans="1:8" ht="84" x14ac:dyDescent="0.25">
      <c r="A41" s="22" t="s">
        <v>52</v>
      </c>
      <c r="B41" s="22" t="s">
        <v>6729</v>
      </c>
      <c r="C41" s="22" t="str">
        <f>IFERROR(VLOOKUP(A41,Seller_Details!A:E,3,0),"Not Found")</f>
        <v>UNICOM INT GEN TRADING LLC ; 407;4TH FLOOR;BANIYAS SQ ;GARGASH CENTER;DEIRA ;DUBAI; UAE</v>
      </c>
      <c r="D41" s="23">
        <f>IFERROR(VLOOKUP(A41,Seller_Details!A:E,5,0),"Not Found")</f>
        <v>715536164739</v>
      </c>
      <c r="E41" s="22">
        <v>2</v>
      </c>
      <c r="F41" s="22"/>
      <c r="G41" s="22"/>
      <c r="H41" s="22"/>
    </row>
    <row r="42" spans="1:8" ht="84" x14ac:dyDescent="0.25">
      <c r="A42" s="22" t="s">
        <v>2735</v>
      </c>
      <c r="B42" s="22" t="s">
        <v>6730</v>
      </c>
      <c r="C42" s="22" t="str">
        <f>IFERROR(VLOOKUP(A42,Seller_Details!A:E,3,0),"Not Found")</f>
        <v>Warehouse # 6, Plot # 598-1156, Sheikh Mohammed Bin Zayed Road (E311 Road), Dubai Investment Park 1</v>
      </c>
      <c r="D42" s="23">
        <f>IFERROR(VLOOKUP(A42,Seller_Details!A:E,5,0),"Not Found")</f>
        <v>971552449243</v>
      </c>
      <c r="E42" s="22">
        <v>62</v>
      </c>
      <c r="F42" s="22"/>
      <c r="G42" s="22"/>
      <c r="H42" s="22"/>
    </row>
    <row r="43" spans="1:8" ht="42" x14ac:dyDescent="0.25">
      <c r="A43" s="22" t="s">
        <v>2769</v>
      </c>
      <c r="B43" s="22" t="s">
        <v>5255</v>
      </c>
      <c r="C43" s="22" t="str">
        <f>IFERROR(VLOOKUP(A43,Seller_Details!A:E,3,0),"Not Found")</f>
        <v>OFFICE#303, NGI BUILDING, DEIRA</v>
      </c>
      <c r="D43" s="23">
        <f>IFERROR(VLOOKUP(A43,Seller_Details!A:E,5,0),"Not Found")</f>
        <v>971544778596</v>
      </c>
      <c r="E43" s="22">
        <v>2</v>
      </c>
      <c r="F43" s="22"/>
      <c r="G43" s="22"/>
      <c r="H43" s="22"/>
    </row>
    <row r="44" spans="1:8" ht="42" x14ac:dyDescent="0.25">
      <c r="A44" s="22" t="s">
        <v>2605</v>
      </c>
      <c r="B44" s="22" t="s">
        <v>6731</v>
      </c>
      <c r="C44" s="22" t="str">
        <f>IFERROR(VLOOKUP(A44,Seller_Details!A:E,3,0),"Not Found")</f>
        <v>Sabka Bus Station, textile market PO BOX 378315 - DUBAI UAE</v>
      </c>
      <c r="D44" s="23">
        <f>IFERROR(VLOOKUP(A44,Seller_Details!A:E,5,0),"Not Found")</f>
        <v>971504203750</v>
      </c>
      <c r="E44" s="22">
        <v>2</v>
      </c>
      <c r="F44" s="22"/>
      <c r="G44" s="22"/>
      <c r="H44" s="22"/>
    </row>
    <row r="45" spans="1:8" ht="42" x14ac:dyDescent="0.25">
      <c r="A45" s="22" t="s">
        <v>377</v>
      </c>
      <c r="B45" s="22" t="s">
        <v>6732</v>
      </c>
      <c r="C45" s="22" t="str">
        <f>IFERROR(VLOOKUP(A45,Seller_Details!A:E,3,0),"Not Found")</f>
        <v>RAK Free ZONE Techology Park Ras Al Khaimah</v>
      </c>
      <c r="D45" s="23">
        <f>IFERROR(VLOOKUP(A45,Seller_Details!A:E,5,0),"Not Found")</f>
        <v>971506566773</v>
      </c>
      <c r="E45" s="22">
        <v>3</v>
      </c>
      <c r="F45" s="22"/>
      <c r="G45" s="22"/>
      <c r="H45" s="22"/>
    </row>
    <row r="46" spans="1:8" ht="84" x14ac:dyDescent="0.25">
      <c r="A46" s="22" t="s">
        <v>1685</v>
      </c>
      <c r="B46" s="22" t="s">
        <v>6269</v>
      </c>
      <c r="C46" s="22" t="str">
        <f>IFERROR(VLOOKUP(A46,Seller_Details!A:E,3,0),"Not Found")</f>
        <v>Transworld Computer technology shop No 273 Capital Apartment al nadha street burdubai near admiral plaza hotel PO box 12417</v>
      </c>
      <c r="D46" s="23">
        <f>IFERROR(VLOOKUP(A46,Seller_Details!A:E,5,0),"Not Found")</f>
        <v>971506561977</v>
      </c>
      <c r="E46" s="22">
        <v>1</v>
      </c>
      <c r="F46" s="22"/>
      <c r="G46" s="22"/>
      <c r="H46" s="22"/>
    </row>
    <row r="47" spans="1:8" ht="63" x14ac:dyDescent="0.25">
      <c r="A47" s="22" t="s">
        <v>387</v>
      </c>
      <c r="B47" s="22" t="s">
        <v>6733</v>
      </c>
      <c r="C47" s="22" t="str">
        <f>IFERROR(VLOOKUP(A47,Seller_Details!A:E,3,0),"Not Found")</f>
        <v>AL WIFAQ GENRAL TRADING LLC OFFICE #202; Al Gaz Building Nasser Square; DEIRA; UAE</v>
      </c>
      <c r="D47" s="23">
        <f>IFERROR(VLOOKUP(A47,Seller_Details!A:E,5,0),"Not Found")</f>
        <v>971505581396</v>
      </c>
      <c r="E47" s="22">
        <v>15</v>
      </c>
      <c r="F47" s="22"/>
      <c r="G47" s="22"/>
      <c r="H47" s="22"/>
    </row>
    <row r="48" spans="1:8" ht="63" x14ac:dyDescent="0.25">
      <c r="A48" s="22" t="s">
        <v>157</v>
      </c>
      <c r="B48" s="22" t="s">
        <v>4636</v>
      </c>
      <c r="C48" s="22" t="str">
        <f>IFERROR(VLOOKUP(A48,Seller_Details!A:E,3,0),"Not Found")</f>
        <v>FLICKON TECHNOLOGIES LLC ; F-102 ; AL ZAROONI BLDG ; AYAL NASSER ; DEIRA; DUBAI</v>
      </c>
      <c r="D48" s="23">
        <f>IFERROR(VLOOKUP(A48,Seller_Details!A:E,5,0),"Not Found")</f>
        <v>0</v>
      </c>
      <c r="E48" s="22">
        <v>1</v>
      </c>
      <c r="F48" s="22"/>
      <c r="G48" s="22"/>
      <c r="H48" s="22"/>
    </row>
    <row r="49" spans="1:8" ht="63" x14ac:dyDescent="0.25">
      <c r="A49" s="22" t="s">
        <v>450</v>
      </c>
      <c r="B49" s="22" t="s">
        <v>5708</v>
      </c>
      <c r="C49" s="22" t="str">
        <f>IFERROR(VLOOKUP(A49,Seller_Details!A:E,3,0),"Not Found")</f>
        <v>Shop No 21-22;Al-Nahdah strt;Opp Hotel Admiral Plaza;Bur Dubai-20063</v>
      </c>
      <c r="D49" s="23">
        <f>IFERROR(VLOOKUP(A49,Seller_Details!A:E,5,0),"Not Found")</f>
        <v>971556448625</v>
      </c>
      <c r="E49" s="22">
        <v>2</v>
      </c>
      <c r="F49" s="22"/>
      <c r="G49" s="22"/>
      <c r="H49" s="22"/>
    </row>
    <row r="50" spans="1:8" ht="42" x14ac:dyDescent="0.25">
      <c r="A50" s="22" t="s">
        <v>452</v>
      </c>
      <c r="B50" s="22" t="s">
        <v>4666</v>
      </c>
      <c r="C50" s="22" t="str">
        <f>IFERROR(VLOOKUP(A50,Seller_Details!A:E,3,0),"Not Found")</f>
        <v>GARGESH CENTRE 204</v>
      </c>
      <c r="D50" s="23">
        <f>IFERROR(VLOOKUP(A50,Seller_Details!A:E,5,0),"Not Found")</f>
        <v>971507980647</v>
      </c>
      <c r="E50" s="22">
        <v>1</v>
      </c>
      <c r="F50" s="22"/>
      <c r="G50" s="22"/>
      <c r="H50" s="22"/>
    </row>
    <row r="51" spans="1:8" ht="63" x14ac:dyDescent="0.25">
      <c r="A51" s="22" t="s">
        <v>3045</v>
      </c>
      <c r="B51" s="22" t="s">
        <v>5368</v>
      </c>
      <c r="C51" s="22" t="str">
        <f>IFERROR(VLOOKUP(A51,Seller_Details!A:E,3,0),"Not Found")</f>
        <v>Windsor Residence, Appt 413, Al-Ain Road, Dubai Land</v>
      </c>
      <c r="D51" s="23">
        <f>IFERROR(VLOOKUP(A51,Seller_Details!A:E,5,0),"Not Found")</f>
        <v>971556676405</v>
      </c>
      <c r="E51" s="22">
        <v>1</v>
      </c>
      <c r="F51" s="22"/>
      <c r="G51" s="22"/>
      <c r="H51" s="22"/>
    </row>
    <row r="52" spans="1:8" ht="63" x14ac:dyDescent="0.25">
      <c r="A52" s="22" t="s">
        <v>2658</v>
      </c>
      <c r="B52" s="22" t="s">
        <v>5894</v>
      </c>
      <c r="C52" s="22" t="str">
        <f>IFERROR(VLOOKUP(A52,Seller_Details!A:E,3,0),"Not Found")</f>
        <v>Bur Dubai, Newar Al Ghubaiba Bus Station, Al Moosa Building, Shop No: 907</v>
      </c>
      <c r="D52" s="23">
        <f>IFERROR(VLOOKUP(A52,Seller_Details!A:E,5,0),"Not Found")</f>
        <v>9710521228275</v>
      </c>
      <c r="E52" s="22">
        <v>1</v>
      </c>
      <c r="F52" s="22"/>
      <c r="G52" s="22"/>
      <c r="H52" s="22"/>
    </row>
    <row r="53" spans="1:8" ht="63" x14ac:dyDescent="0.25">
      <c r="A53" s="22" t="s">
        <v>2540</v>
      </c>
      <c r="B53" s="22" t="s">
        <v>6168</v>
      </c>
      <c r="C53" s="22" t="str">
        <f>IFERROR(VLOOKUP(A53,Seller_Details!A:E,3,0),"Not Found")</f>
        <v>4th Floor, Office 24, Mighas Jewellery / Cash Express Building, 10 Al Khor Street, Community 112, Al</v>
      </c>
      <c r="D53" s="23">
        <f>IFERROR(VLOOKUP(A53,Seller_Details!A:E,5,0),"Not Found")</f>
        <v>971504585245</v>
      </c>
      <c r="E53" s="22">
        <v>1</v>
      </c>
      <c r="F53" s="22"/>
      <c r="G53" s="22"/>
      <c r="H53" s="22"/>
    </row>
    <row r="54" spans="1:8" ht="84" x14ac:dyDescent="0.25">
      <c r="A54" s="22" t="s">
        <v>82</v>
      </c>
      <c r="B54" s="22" t="s">
        <v>6530</v>
      </c>
      <c r="C54" s="22" t="str">
        <f>IFERROR(VLOOKUP(A54,Seller_Details!A:E,3,0),"Not Found")</f>
        <v>ROSELINE TRADING COMPANY LLC; SUITE 301 ; AL ZAROONI BUILDING ; AL RIGGA STREET (OPP . ADCB) ; DEIRA ; DUBAI ; UAE</v>
      </c>
      <c r="D54" s="23">
        <f>IFERROR(VLOOKUP(A54,Seller_Details!A:E,5,0),"Not Found")</f>
        <v>971506448504</v>
      </c>
      <c r="E54" s="22">
        <v>1</v>
      </c>
      <c r="F54" s="22"/>
      <c r="G54" s="22"/>
      <c r="H54" s="22"/>
    </row>
  </sheetData>
  <mergeCells count="1">
    <mergeCell ref="A2:H2"/>
  </mergeCells>
  <pageMargins left="0.7" right="0.7" top="0.75" bottom="0.75" header="0.3" footer="0.3"/>
  <pageSetup paperSize="9" scale="40" fitToHeight="0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3:I5709"/>
  <sheetViews>
    <sheetView showGridLines="0" view="pageBreakPreview" zoomScale="60" zoomScaleNormal="100" workbookViewId="0"/>
  </sheetViews>
  <sheetFormatPr defaultColWidth="22.7109375" defaultRowHeight="21" x14ac:dyDescent="0.25"/>
  <cols>
    <col min="1" max="1" width="20.7109375" style="6" customWidth="1"/>
    <col min="2" max="2" width="25.7109375" style="6" customWidth="1"/>
    <col min="3" max="3" width="36.85546875" style="6" bestFit="1" customWidth="1"/>
    <col min="4" max="9" width="22.7109375" style="6"/>
    <col min="10" max="16384" width="22.7109375" style="5"/>
  </cols>
  <sheetData>
    <row r="3" spans="1:9" ht="147" x14ac:dyDescent="0.25">
      <c r="A3" s="6" t="s">
        <v>31</v>
      </c>
      <c r="B3" s="6" t="s">
        <v>195</v>
      </c>
      <c r="D3" s="6" t="s">
        <v>2960</v>
      </c>
      <c r="G3" s="6" t="s">
        <v>2961</v>
      </c>
      <c r="H3" s="6" t="str">
        <f>IFERROR(VLOOKUP(B3,Seller_Details!A:C,3,0),"Not Found")</f>
        <v>4G COM GENERAL TRADING LLC ; OFC 501; GARGASA CENTRE ; DEIRA; DUBAI; UAE</v>
      </c>
    </row>
    <row r="4" spans="1:9" x14ac:dyDescent="0.25">
      <c r="A4" s="6" t="s">
        <v>13</v>
      </c>
      <c r="B4" s="6" t="str">
        <f>IFERROR(VLOOKUP(B3,Seller_Details!A:C,2,0),"Not Found")</f>
        <v>V00006</v>
      </c>
      <c r="G4" s="6" t="s">
        <v>2962</v>
      </c>
      <c r="H4" s="24">
        <v>42819</v>
      </c>
    </row>
    <row r="7" spans="1:9" ht="42" x14ac:dyDescent="0.25">
      <c r="A7" s="22" t="s">
        <v>2963</v>
      </c>
      <c r="B7" s="22" t="s">
        <v>2964</v>
      </c>
      <c r="C7" s="22" t="s">
        <v>2965</v>
      </c>
      <c r="D7" s="22" t="s">
        <v>2966</v>
      </c>
      <c r="E7" s="22" t="s">
        <v>2967</v>
      </c>
      <c r="F7" s="22" t="s">
        <v>6</v>
      </c>
      <c r="G7" s="22" t="s">
        <v>2968</v>
      </c>
      <c r="H7" s="22" t="s">
        <v>2969</v>
      </c>
      <c r="I7" s="22" t="s">
        <v>2970</v>
      </c>
    </row>
    <row r="8" spans="1:9" ht="63" x14ac:dyDescent="0.25">
      <c r="A8" s="22" t="s">
        <v>6734</v>
      </c>
      <c r="B8" s="22" t="s">
        <v>4227</v>
      </c>
      <c r="C8" s="22" t="s">
        <v>4228</v>
      </c>
      <c r="D8" s="22" t="s">
        <v>6099</v>
      </c>
      <c r="E8" s="22" t="s">
        <v>4229</v>
      </c>
      <c r="F8" s="22">
        <v>1</v>
      </c>
      <c r="G8" s="22">
        <v>785</v>
      </c>
      <c r="H8" s="22"/>
      <c r="I8" s="22"/>
    </row>
    <row r="9" spans="1:9" ht="84" x14ac:dyDescent="0.25">
      <c r="A9" s="22" t="s">
        <v>6735</v>
      </c>
      <c r="B9" s="22" t="s">
        <v>4466</v>
      </c>
      <c r="C9" s="22" t="s">
        <v>4467</v>
      </c>
      <c r="D9" s="22" t="s">
        <v>6405</v>
      </c>
      <c r="E9" s="22" t="s">
        <v>4468</v>
      </c>
      <c r="F9" s="22">
        <v>1</v>
      </c>
      <c r="G9" s="22">
        <v>2720</v>
      </c>
      <c r="H9" s="22"/>
      <c r="I9" s="22"/>
    </row>
    <row r="10" spans="1:9" ht="63" x14ac:dyDescent="0.25">
      <c r="A10" s="22" t="s">
        <v>6736</v>
      </c>
      <c r="B10" s="22" t="s">
        <v>4879</v>
      </c>
      <c r="C10" s="22" t="s">
        <v>4880</v>
      </c>
      <c r="D10" s="22" t="s">
        <v>4882</v>
      </c>
      <c r="E10" s="22" t="s">
        <v>4881</v>
      </c>
      <c r="F10" s="22">
        <v>1</v>
      </c>
      <c r="G10" s="22">
        <v>1790</v>
      </c>
      <c r="H10" s="22"/>
      <c r="I10" s="22"/>
    </row>
    <row r="11" spans="1:9" ht="63" x14ac:dyDescent="0.25">
      <c r="A11" s="22" t="s">
        <v>6737</v>
      </c>
      <c r="B11" s="22" t="s">
        <v>4879</v>
      </c>
      <c r="C11" s="22" t="s">
        <v>4880</v>
      </c>
      <c r="D11" s="22" t="s">
        <v>4882</v>
      </c>
      <c r="E11" s="22" t="s">
        <v>4881</v>
      </c>
      <c r="F11" s="22">
        <v>1</v>
      </c>
      <c r="G11" s="22">
        <v>1790</v>
      </c>
      <c r="H11" s="22"/>
      <c r="I11" s="22"/>
    </row>
    <row r="12" spans="1:9" ht="63" x14ac:dyDescent="0.25">
      <c r="A12" s="22" t="s">
        <v>6738</v>
      </c>
      <c r="B12" s="22" t="s">
        <v>4879</v>
      </c>
      <c r="C12" s="22" t="s">
        <v>4880</v>
      </c>
      <c r="D12" s="22" t="s">
        <v>4882</v>
      </c>
      <c r="E12" s="22" t="s">
        <v>4881</v>
      </c>
      <c r="F12" s="22">
        <v>1</v>
      </c>
      <c r="G12" s="22">
        <v>1790</v>
      </c>
      <c r="H12" s="22"/>
      <c r="I12" s="22"/>
    </row>
    <row r="13" spans="1:9" ht="63" x14ac:dyDescent="0.25">
      <c r="A13" s="22" t="s">
        <v>6739</v>
      </c>
      <c r="B13" s="22" t="s">
        <v>4879</v>
      </c>
      <c r="C13" s="22" t="s">
        <v>4880</v>
      </c>
      <c r="D13" s="22" t="s">
        <v>4882</v>
      </c>
      <c r="E13" s="22" t="s">
        <v>4881</v>
      </c>
      <c r="F13" s="22">
        <v>1</v>
      </c>
      <c r="G13" s="22">
        <v>1790</v>
      </c>
      <c r="H13" s="22"/>
      <c r="I13" s="22"/>
    </row>
    <row r="14" spans="1:9" ht="63" x14ac:dyDescent="0.25">
      <c r="A14" s="22" t="s">
        <v>6740</v>
      </c>
      <c r="B14" s="22" t="s">
        <v>4879</v>
      </c>
      <c r="C14" s="22" t="s">
        <v>4880</v>
      </c>
      <c r="D14" s="22" t="s">
        <v>4882</v>
      </c>
      <c r="E14" s="22" t="s">
        <v>4881</v>
      </c>
      <c r="F14" s="22">
        <v>1</v>
      </c>
      <c r="G14" s="22">
        <v>1790</v>
      </c>
      <c r="H14" s="22"/>
      <c r="I14" s="22"/>
    </row>
    <row r="15" spans="1:9" ht="84" x14ac:dyDescent="0.25">
      <c r="A15" s="22" t="s">
        <v>6741</v>
      </c>
      <c r="B15" s="22" t="s">
        <v>4930</v>
      </c>
      <c r="C15" s="22" t="s">
        <v>4931</v>
      </c>
      <c r="D15" s="22" t="s">
        <v>4933</v>
      </c>
      <c r="E15" s="22" t="s">
        <v>4932</v>
      </c>
      <c r="F15" s="22">
        <v>1</v>
      </c>
      <c r="G15" s="22">
        <v>2070</v>
      </c>
      <c r="H15" s="22"/>
      <c r="I15" s="22"/>
    </row>
    <row r="16" spans="1:9" ht="84" x14ac:dyDescent="0.25">
      <c r="A16" s="22" t="s">
        <v>6742</v>
      </c>
      <c r="B16" s="22" t="s">
        <v>4930</v>
      </c>
      <c r="C16" s="22" t="s">
        <v>4931</v>
      </c>
      <c r="D16" s="22" t="s">
        <v>4933</v>
      </c>
      <c r="E16" s="22" t="s">
        <v>4932</v>
      </c>
      <c r="F16" s="22">
        <v>1</v>
      </c>
      <c r="G16" s="22">
        <v>2070</v>
      </c>
      <c r="H16" s="22"/>
      <c r="I16" s="22"/>
    </row>
    <row r="17" spans="1:9" ht="84" x14ac:dyDescent="0.25">
      <c r="A17" s="22" t="s">
        <v>6743</v>
      </c>
      <c r="B17" s="22" t="s">
        <v>4930</v>
      </c>
      <c r="C17" s="22" t="s">
        <v>4931</v>
      </c>
      <c r="D17" s="22" t="s">
        <v>4933</v>
      </c>
      <c r="E17" s="22" t="s">
        <v>4932</v>
      </c>
      <c r="F17" s="22">
        <v>1</v>
      </c>
      <c r="G17" s="22">
        <v>2070</v>
      </c>
      <c r="H17" s="22"/>
      <c r="I17" s="22"/>
    </row>
    <row r="18" spans="1:9" ht="84" x14ac:dyDescent="0.25">
      <c r="A18" s="22" t="s">
        <v>6744</v>
      </c>
      <c r="B18" s="22" t="s">
        <v>4930</v>
      </c>
      <c r="C18" s="22" t="s">
        <v>4931</v>
      </c>
      <c r="D18" s="22" t="s">
        <v>4933</v>
      </c>
      <c r="E18" s="22" t="s">
        <v>4932</v>
      </c>
      <c r="F18" s="22">
        <v>1</v>
      </c>
      <c r="G18" s="22">
        <v>2070</v>
      </c>
      <c r="H18" s="22"/>
      <c r="I18" s="22"/>
    </row>
    <row r="19" spans="1:9" ht="84" x14ac:dyDescent="0.25">
      <c r="A19" s="22" t="s">
        <v>6745</v>
      </c>
      <c r="B19" s="22" t="s">
        <v>4964</v>
      </c>
      <c r="C19" s="22" t="s">
        <v>4965</v>
      </c>
      <c r="D19" s="22" t="s">
        <v>4933</v>
      </c>
      <c r="E19" s="22" t="s">
        <v>4966</v>
      </c>
      <c r="F19" s="22">
        <v>1</v>
      </c>
      <c r="G19" s="22">
        <v>2060</v>
      </c>
      <c r="H19" s="22"/>
      <c r="I19" s="22"/>
    </row>
    <row r="20" spans="1:9" ht="42" x14ac:dyDescent="0.25">
      <c r="A20" s="22" t="s">
        <v>6746</v>
      </c>
      <c r="B20" s="22" t="s">
        <v>5719</v>
      </c>
      <c r="C20" s="22" t="s">
        <v>5720</v>
      </c>
      <c r="D20" s="22" t="s">
        <v>5722</v>
      </c>
      <c r="E20" s="22" t="s">
        <v>5721</v>
      </c>
      <c r="F20" s="22">
        <v>1</v>
      </c>
      <c r="G20" s="22">
        <v>235</v>
      </c>
      <c r="H20" s="22"/>
      <c r="I20" s="22"/>
    </row>
    <row r="21" spans="1:9" ht="84" x14ac:dyDescent="0.25">
      <c r="A21" s="22" t="s">
        <v>6747</v>
      </c>
      <c r="B21" s="22" t="s">
        <v>6642</v>
      </c>
      <c r="C21" s="22" t="s">
        <v>6643</v>
      </c>
      <c r="D21" s="22" t="s">
        <v>6645</v>
      </c>
      <c r="E21" s="22" t="s">
        <v>6644</v>
      </c>
      <c r="F21" s="22">
        <v>1</v>
      </c>
      <c r="G21" s="22">
        <v>295</v>
      </c>
      <c r="H21" s="22"/>
      <c r="I21" s="22"/>
    </row>
    <row r="22" spans="1:9" ht="84" x14ac:dyDescent="0.25">
      <c r="A22" s="22" t="s">
        <v>6748</v>
      </c>
      <c r="B22" s="22" t="s">
        <v>6642</v>
      </c>
      <c r="C22" s="22" t="s">
        <v>6643</v>
      </c>
      <c r="D22" s="22" t="s">
        <v>6645</v>
      </c>
      <c r="E22" s="22" t="s">
        <v>6644</v>
      </c>
      <c r="F22" s="22">
        <v>1</v>
      </c>
      <c r="G22" s="22">
        <v>295</v>
      </c>
      <c r="H22" s="22"/>
      <c r="I22" s="22"/>
    </row>
    <row r="23" spans="1:9" ht="84" x14ac:dyDescent="0.25">
      <c r="A23" s="22" t="s">
        <v>6749</v>
      </c>
      <c r="B23" s="22" t="s">
        <v>6642</v>
      </c>
      <c r="C23" s="22" t="s">
        <v>6643</v>
      </c>
      <c r="D23" s="22" t="s">
        <v>6645</v>
      </c>
      <c r="E23" s="22" t="s">
        <v>6644</v>
      </c>
      <c r="F23" s="22">
        <v>1</v>
      </c>
      <c r="G23" s="22">
        <v>295</v>
      </c>
      <c r="H23" s="22"/>
      <c r="I23" s="22"/>
    </row>
    <row r="24" spans="1:9" ht="84" x14ac:dyDescent="0.25">
      <c r="A24" s="22" t="s">
        <v>6750</v>
      </c>
      <c r="B24" s="22" t="s">
        <v>6649</v>
      </c>
      <c r="C24" s="22" t="s">
        <v>6650</v>
      </c>
      <c r="D24" s="22" t="s">
        <v>6645</v>
      </c>
      <c r="E24" s="22" t="s">
        <v>6651</v>
      </c>
      <c r="F24" s="22">
        <v>1</v>
      </c>
      <c r="G24" s="22">
        <v>290</v>
      </c>
      <c r="H24" s="22"/>
      <c r="I24" s="22"/>
    </row>
    <row r="25" spans="1:9" ht="84" x14ac:dyDescent="0.25">
      <c r="A25" s="22" t="s">
        <v>6751</v>
      </c>
      <c r="B25" s="22" t="s">
        <v>6649</v>
      </c>
      <c r="C25" s="22" t="s">
        <v>6650</v>
      </c>
      <c r="D25" s="22" t="s">
        <v>6645</v>
      </c>
      <c r="E25" s="22" t="s">
        <v>6651</v>
      </c>
      <c r="F25" s="22">
        <v>1</v>
      </c>
      <c r="G25" s="22">
        <v>290</v>
      </c>
      <c r="H25" s="22"/>
      <c r="I25" s="22"/>
    </row>
    <row r="26" spans="1:9" ht="84" x14ac:dyDescent="0.25">
      <c r="A26" s="22" t="s">
        <v>6752</v>
      </c>
      <c r="B26" s="22" t="s">
        <v>6649</v>
      </c>
      <c r="C26" s="22" t="s">
        <v>6650</v>
      </c>
      <c r="D26" s="22" t="s">
        <v>6645</v>
      </c>
      <c r="E26" s="22" t="s">
        <v>6651</v>
      </c>
      <c r="F26" s="22">
        <v>1</v>
      </c>
      <c r="G26" s="22">
        <v>290</v>
      </c>
      <c r="H26" s="22"/>
      <c r="I26" s="22"/>
    </row>
    <row r="33" spans="1:9" ht="42" x14ac:dyDescent="0.25">
      <c r="A33" s="6" t="s">
        <v>2971</v>
      </c>
      <c r="H33" s="6" t="s">
        <v>2972</v>
      </c>
    </row>
    <row r="35" spans="1:9" ht="42" x14ac:dyDescent="0.25">
      <c r="A35" s="6" t="s">
        <v>31</v>
      </c>
      <c r="B35" s="6" t="s">
        <v>2037</v>
      </c>
      <c r="D35" s="6" t="s">
        <v>2973</v>
      </c>
      <c r="G35" s="6" t="s">
        <v>2961</v>
      </c>
      <c r="H35" s="6" t="str">
        <f>IFERROR(VLOOKUP(B35,Seller_Details!A:C,3,0),"Not Found")</f>
        <v>1213 Indigo Tower Cluster D</v>
      </c>
    </row>
    <row r="36" spans="1:9" x14ac:dyDescent="0.25">
      <c r="A36" s="6" t="s">
        <v>13</v>
      </c>
      <c r="B36" s="6" t="str">
        <f>IFERROR(VLOOKUP(B35,Seller_Details!A:C,2,0),"Not Found")</f>
        <v>V00671</v>
      </c>
      <c r="G36" s="6" t="s">
        <v>2962</v>
      </c>
      <c r="H36" s="24">
        <v>42819</v>
      </c>
    </row>
    <row r="39" spans="1:9" ht="42" x14ac:dyDescent="0.25">
      <c r="A39" s="22" t="s">
        <v>2963</v>
      </c>
      <c r="B39" s="22" t="s">
        <v>2964</v>
      </c>
      <c r="C39" s="22" t="s">
        <v>2965</v>
      </c>
      <c r="D39" s="22" t="s">
        <v>2966</v>
      </c>
      <c r="E39" s="22" t="s">
        <v>2967</v>
      </c>
      <c r="F39" s="22" t="s">
        <v>6</v>
      </c>
      <c r="G39" s="22" t="s">
        <v>2968</v>
      </c>
      <c r="H39" s="22" t="s">
        <v>2969</v>
      </c>
      <c r="I39" s="22" t="s">
        <v>2970</v>
      </c>
    </row>
    <row r="40" spans="1:9" ht="84" x14ac:dyDescent="0.25">
      <c r="A40" s="22" t="s">
        <v>6753</v>
      </c>
      <c r="B40" s="22" t="s">
        <v>3157</v>
      </c>
      <c r="C40" s="22" t="s">
        <v>3158</v>
      </c>
      <c r="D40" s="22" t="s">
        <v>3263</v>
      </c>
      <c r="E40" s="22" t="s">
        <v>3159</v>
      </c>
      <c r="F40" s="22">
        <v>1</v>
      </c>
      <c r="G40" s="22">
        <v>3320</v>
      </c>
      <c r="H40" s="22"/>
      <c r="I40" s="22"/>
    </row>
    <row r="41" spans="1:9" ht="84" x14ac:dyDescent="0.25">
      <c r="A41" s="22" t="s">
        <v>6754</v>
      </c>
      <c r="B41" s="22" t="s">
        <v>3157</v>
      </c>
      <c r="C41" s="22" t="s">
        <v>3158</v>
      </c>
      <c r="D41" s="22" t="s">
        <v>3263</v>
      </c>
      <c r="E41" s="22" t="s">
        <v>3159</v>
      </c>
      <c r="F41" s="22">
        <v>1</v>
      </c>
      <c r="G41" s="22">
        <v>3320</v>
      </c>
      <c r="H41" s="22"/>
      <c r="I41" s="22"/>
    </row>
    <row r="42" spans="1:9" ht="84" x14ac:dyDescent="0.25">
      <c r="A42" s="22" t="s">
        <v>6755</v>
      </c>
      <c r="B42" s="22" t="s">
        <v>3157</v>
      </c>
      <c r="C42" s="22" t="s">
        <v>3158</v>
      </c>
      <c r="D42" s="22" t="s">
        <v>3263</v>
      </c>
      <c r="E42" s="22" t="s">
        <v>3159</v>
      </c>
      <c r="F42" s="22">
        <v>1</v>
      </c>
      <c r="G42" s="22">
        <v>3320</v>
      </c>
      <c r="H42" s="22"/>
      <c r="I42" s="22"/>
    </row>
    <row r="43" spans="1:9" ht="84" x14ac:dyDescent="0.25">
      <c r="A43" s="22" t="s">
        <v>6756</v>
      </c>
      <c r="B43" s="22" t="s">
        <v>3157</v>
      </c>
      <c r="C43" s="22" t="s">
        <v>3158</v>
      </c>
      <c r="D43" s="22" t="s">
        <v>3872</v>
      </c>
      <c r="E43" s="22" t="s">
        <v>3159</v>
      </c>
      <c r="F43" s="22">
        <v>1</v>
      </c>
      <c r="G43" s="22">
        <v>3320</v>
      </c>
      <c r="H43" s="22"/>
      <c r="I43" s="22"/>
    </row>
    <row r="44" spans="1:9" ht="84" x14ac:dyDescent="0.25">
      <c r="A44" s="22" t="s">
        <v>6757</v>
      </c>
      <c r="B44" s="22" t="s">
        <v>3157</v>
      </c>
      <c r="C44" s="22" t="s">
        <v>3158</v>
      </c>
      <c r="D44" s="22" t="s">
        <v>4069</v>
      </c>
      <c r="E44" s="22" t="s">
        <v>3159</v>
      </c>
      <c r="F44" s="22">
        <v>1</v>
      </c>
      <c r="G44" s="22">
        <v>3320</v>
      </c>
      <c r="H44" s="22"/>
      <c r="I44" s="22"/>
    </row>
    <row r="45" spans="1:9" ht="63" x14ac:dyDescent="0.25">
      <c r="A45" s="22" t="s">
        <v>6758</v>
      </c>
      <c r="B45" s="22" t="s">
        <v>3510</v>
      </c>
      <c r="C45" s="22" t="s">
        <v>3511</v>
      </c>
      <c r="D45" s="22" t="s">
        <v>4291</v>
      </c>
      <c r="E45" s="22" t="s">
        <v>3512</v>
      </c>
      <c r="F45" s="22">
        <v>1</v>
      </c>
      <c r="G45" s="22">
        <v>65</v>
      </c>
      <c r="H45" s="22"/>
      <c r="I45" s="22"/>
    </row>
    <row r="46" spans="1:9" ht="63" x14ac:dyDescent="0.25">
      <c r="A46" s="22" t="s">
        <v>6759</v>
      </c>
      <c r="B46" s="22" t="s">
        <v>3510</v>
      </c>
      <c r="C46" s="22" t="s">
        <v>3511</v>
      </c>
      <c r="D46" s="22" t="s">
        <v>4291</v>
      </c>
      <c r="E46" s="22" t="s">
        <v>3512</v>
      </c>
      <c r="F46" s="22">
        <v>1</v>
      </c>
      <c r="G46" s="22">
        <v>65</v>
      </c>
      <c r="H46" s="22"/>
      <c r="I46" s="22"/>
    </row>
    <row r="47" spans="1:9" ht="84" x14ac:dyDescent="0.25">
      <c r="A47" s="22" t="s">
        <v>6760</v>
      </c>
      <c r="B47" s="22" t="s">
        <v>3845</v>
      </c>
      <c r="C47" s="22" t="s">
        <v>3846</v>
      </c>
      <c r="D47" s="22" t="s">
        <v>3848</v>
      </c>
      <c r="E47" s="22" t="s">
        <v>3847</v>
      </c>
      <c r="F47" s="22">
        <v>1</v>
      </c>
      <c r="G47" s="22">
        <v>120</v>
      </c>
      <c r="H47" s="22"/>
      <c r="I47" s="22"/>
    </row>
    <row r="48" spans="1:9" ht="63" x14ac:dyDescent="0.25">
      <c r="A48" s="22" t="s">
        <v>6761</v>
      </c>
      <c r="B48" s="22" t="s">
        <v>3869</v>
      </c>
      <c r="C48" s="22" t="s">
        <v>3870</v>
      </c>
      <c r="D48" s="22" t="s">
        <v>4403</v>
      </c>
      <c r="E48" s="22" t="s">
        <v>3871</v>
      </c>
      <c r="F48" s="22">
        <v>1</v>
      </c>
      <c r="G48" s="22">
        <v>470</v>
      </c>
      <c r="H48" s="22"/>
      <c r="I48" s="22"/>
    </row>
    <row r="49" spans="1:9" ht="105" x14ac:dyDescent="0.25">
      <c r="A49" s="22" t="s">
        <v>6762</v>
      </c>
      <c r="B49" s="22" t="s">
        <v>3926</v>
      </c>
      <c r="C49" s="22" t="s">
        <v>3927</v>
      </c>
      <c r="D49" s="22" t="s">
        <v>3848</v>
      </c>
      <c r="E49" s="22" t="s">
        <v>3928</v>
      </c>
      <c r="F49" s="22">
        <v>1</v>
      </c>
      <c r="G49" s="22">
        <v>330</v>
      </c>
      <c r="H49" s="22"/>
      <c r="I49" s="22"/>
    </row>
    <row r="50" spans="1:9" ht="105" x14ac:dyDescent="0.25">
      <c r="A50" s="22" t="s">
        <v>6763</v>
      </c>
      <c r="B50" s="22" t="s">
        <v>3926</v>
      </c>
      <c r="C50" s="22" t="s">
        <v>3927</v>
      </c>
      <c r="D50" s="22" t="s">
        <v>4291</v>
      </c>
      <c r="E50" s="22" t="s">
        <v>3928</v>
      </c>
      <c r="F50" s="22">
        <v>1</v>
      </c>
      <c r="G50" s="22">
        <v>330</v>
      </c>
      <c r="H50" s="22"/>
      <c r="I50" s="22"/>
    </row>
    <row r="51" spans="1:9" ht="105" x14ac:dyDescent="0.25">
      <c r="A51" s="22" t="s">
        <v>6764</v>
      </c>
      <c r="B51" s="22" t="s">
        <v>3926</v>
      </c>
      <c r="C51" s="22" t="s">
        <v>3927</v>
      </c>
      <c r="D51" s="22" t="s">
        <v>4291</v>
      </c>
      <c r="E51" s="22" t="s">
        <v>3928</v>
      </c>
      <c r="F51" s="22">
        <v>1</v>
      </c>
      <c r="G51" s="22">
        <v>330</v>
      </c>
      <c r="H51" s="22"/>
      <c r="I51" s="22"/>
    </row>
    <row r="52" spans="1:9" ht="84" x14ac:dyDescent="0.25">
      <c r="A52" s="22" t="s">
        <v>6765</v>
      </c>
      <c r="B52" s="22" t="s">
        <v>3963</v>
      </c>
      <c r="C52" s="22" t="s">
        <v>3964</v>
      </c>
      <c r="D52" s="22" t="s">
        <v>5138</v>
      </c>
      <c r="E52" s="22" t="s">
        <v>3965</v>
      </c>
      <c r="F52" s="22">
        <v>1</v>
      </c>
      <c r="G52" s="22">
        <v>135</v>
      </c>
      <c r="H52" s="22"/>
      <c r="I52" s="22"/>
    </row>
    <row r="53" spans="1:9" ht="84" x14ac:dyDescent="0.25">
      <c r="A53" s="22" t="s">
        <v>6766</v>
      </c>
      <c r="B53" s="22" t="s">
        <v>4320</v>
      </c>
      <c r="C53" s="22" t="s">
        <v>4321</v>
      </c>
      <c r="D53" s="22" t="s">
        <v>5138</v>
      </c>
      <c r="E53" s="22" t="s">
        <v>4322</v>
      </c>
      <c r="F53" s="22">
        <v>1</v>
      </c>
      <c r="G53" s="22">
        <v>59</v>
      </c>
      <c r="H53" s="22"/>
      <c r="I53" s="22"/>
    </row>
    <row r="54" spans="1:9" ht="63" x14ac:dyDescent="0.25">
      <c r="A54" s="22" t="s">
        <v>6767</v>
      </c>
      <c r="B54" s="22" t="s">
        <v>4450</v>
      </c>
      <c r="C54" s="22" t="s">
        <v>4451</v>
      </c>
      <c r="D54" s="22" t="s">
        <v>4069</v>
      </c>
      <c r="E54" s="22" t="s">
        <v>4452</v>
      </c>
      <c r="F54" s="22">
        <v>1</v>
      </c>
      <c r="G54" s="22">
        <v>715</v>
      </c>
      <c r="H54" s="22"/>
      <c r="I54" s="22"/>
    </row>
    <row r="55" spans="1:9" ht="105" x14ac:dyDescent="0.25">
      <c r="A55" s="22" t="s">
        <v>6768</v>
      </c>
      <c r="B55" s="22" t="s">
        <v>4680</v>
      </c>
      <c r="C55" s="22" t="s">
        <v>4681</v>
      </c>
      <c r="D55" s="22" t="s">
        <v>5138</v>
      </c>
      <c r="E55" s="22" t="s">
        <v>4682</v>
      </c>
      <c r="F55" s="22">
        <v>1</v>
      </c>
      <c r="G55" s="22">
        <v>96</v>
      </c>
      <c r="H55" s="22"/>
      <c r="I55" s="22"/>
    </row>
    <row r="56" spans="1:9" ht="105" x14ac:dyDescent="0.25">
      <c r="A56" s="22" t="s">
        <v>6769</v>
      </c>
      <c r="B56" s="22" t="s">
        <v>4680</v>
      </c>
      <c r="C56" s="22" t="s">
        <v>4681</v>
      </c>
      <c r="D56" s="22" t="s">
        <v>5138</v>
      </c>
      <c r="E56" s="22" t="s">
        <v>4682</v>
      </c>
      <c r="F56" s="22">
        <v>1</v>
      </c>
      <c r="G56" s="22">
        <v>96</v>
      </c>
      <c r="H56" s="22"/>
      <c r="I56" s="22"/>
    </row>
    <row r="57" spans="1:9" ht="84" x14ac:dyDescent="0.25">
      <c r="A57" s="22" t="s">
        <v>6770</v>
      </c>
      <c r="B57" s="22" t="s">
        <v>4829</v>
      </c>
      <c r="C57" s="22" t="s">
        <v>4830</v>
      </c>
      <c r="D57" s="22" t="s">
        <v>4832</v>
      </c>
      <c r="E57" s="22" t="s">
        <v>4831</v>
      </c>
      <c r="F57" s="22">
        <v>1</v>
      </c>
      <c r="G57" s="22">
        <v>290</v>
      </c>
      <c r="H57" s="22"/>
      <c r="I57" s="22"/>
    </row>
    <row r="58" spans="1:9" ht="84" x14ac:dyDescent="0.25">
      <c r="A58" s="22" t="s">
        <v>6771</v>
      </c>
      <c r="B58" s="22" t="s">
        <v>4829</v>
      </c>
      <c r="C58" s="22" t="s">
        <v>4830</v>
      </c>
      <c r="D58" s="22" t="s">
        <v>4832</v>
      </c>
      <c r="E58" s="22" t="s">
        <v>4831</v>
      </c>
      <c r="F58" s="22">
        <v>1</v>
      </c>
      <c r="G58" s="22">
        <v>290</v>
      </c>
      <c r="H58" s="22"/>
      <c r="I58" s="22"/>
    </row>
    <row r="59" spans="1:9" ht="42" x14ac:dyDescent="0.25">
      <c r="A59" s="22" t="s">
        <v>6772</v>
      </c>
      <c r="B59" s="22" t="s">
        <v>4891</v>
      </c>
      <c r="C59" s="22" t="s">
        <v>4892</v>
      </c>
      <c r="D59" s="22" t="s">
        <v>4894</v>
      </c>
      <c r="E59" s="22" t="s">
        <v>4893</v>
      </c>
      <c r="F59" s="22">
        <v>1</v>
      </c>
      <c r="G59" s="22">
        <v>1800</v>
      </c>
      <c r="H59" s="22"/>
      <c r="I59" s="22"/>
    </row>
    <row r="60" spans="1:9" ht="42" x14ac:dyDescent="0.25">
      <c r="A60" s="22" t="s">
        <v>6773</v>
      </c>
      <c r="B60" s="22" t="s">
        <v>4891</v>
      </c>
      <c r="C60" s="22" t="s">
        <v>4892</v>
      </c>
      <c r="D60" s="22" t="s">
        <v>4894</v>
      </c>
      <c r="E60" s="22" t="s">
        <v>4893</v>
      </c>
      <c r="F60" s="22">
        <v>1</v>
      </c>
      <c r="G60" s="22">
        <v>1800</v>
      </c>
      <c r="H60" s="22"/>
      <c r="I60" s="22"/>
    </row>
    <row r="61" spans="1:9" ht="42" x14ac:dyDescent="0.25">
      <c r="A61" s="22" t="s">
        <v>6774</v>
      </c>
      <c r="B61" s="22" t="s">
        <v>4891</v>
      </c>
      <c r="C61" s="22" t="s">
        <v>4892</v>
      </c>
      <c r="D61" s="22" t="s">
        <v>4894</v>
      </c>
      <c r="E61" s="22" t="s">
        <v>4893</v>
      </c>
      <c r="F61" s="22">
        <v>1</v>
      </c>
      <c r="G61" s="22">
        <v>1800</v>
      </c>
      <c r="H61" s="22"/>
      <c r="I61" s="22"/>
    </row>
    <row r="62" spans="1:9" ht="42" x14ac:dyDescent="0.25">
      <c r="A62" s="22" t="s">
        <v>6775</v>
      </c>
      <c r="B62" s="22" t="s">
        <v>4891</v>
      </c>
      <c r="C62" s="22" t="s">
        <v>4892</v>
      </c>
      <c r="D62" s="22" t="s">
        <v>4894</v>
      </c>
      <c r="E62" s="22" t="s">
        <v>4893</v>
      </c>
      <c r="F62" s="22">
        <v>1</v>
      </c>
      <c r="G62" s="22">
        <v>1800</v>
      </c>
      <c r="H62" s="22"/>
      <c r="I62" s="22"/>
    </row>
    <row r="63" spans="1:9" ht="42" x14ac:dyDescent="0.25">
      <c r="A63" s="22" t="s">
        <v>6776</v>
      </c>
      <c r="B63" s="22" t="s">
        <v>5506</v>
      </c>
      <c r="C63" s="22" t="s">
        <v>5507</v>
      </c>
      <c r="D63" s="22" t="s">
        <v>5509</v>
      </c>
      <c r="E63" s="22" t="s">
        <v>5508</v>
      </c>
      <c r="F63" s="22">
        <v>1</v>
      </c>
      <c r="G63" s="22">
        <v>394</v>
      </c>
      <c r="H63" s="22"/>
      <c r="I63" s="22"/>
    </row>
    <row r="64" spans="1:9" ht="84" x14ac:dyDescent="0.25">
      <c r="A64" s="22" t="s">
        <v>6777</v>
      </c>
      <c r="B64" s="22" t="s">
        <v>5602</v>
      </c>
      <c r="C64" s="22" t="s">
        <v>5603</v>
      </c>
      <c r="D64" s="22" t="s">
        <v>5138</v>
      </c>
      <c r="E64" s="22" t="s">
        <v>5604</v>
      </c>
      <c r="F64" s="22">
        <v>1</v>
      </c>
      <c r="G64" s="22">
        <v>96</v>
      </c>
      <c r="H64" s="22"/>
      <c r="I64" s="22"/>
    </row>
    <row r="65" spans="1:9" ht="84" x14ac:dyDescent="0.25">
      <c r="A65" s="22" t="s">
        <v>6778</v>
      </c>
      <c r="B65" s="22" t="s">
        <v>6147</v>
      </c>
      <c r="C65" s="22" t="s">
        <v>6148</v>
      </c>
      <c r="D65" s="22" t="s">
        <v>6150</v>
      </c>
      <c r="E65" s="22" t="s">
        <v>6149</v>
      </c>
      <c r="F65" s="22">
        <v>1</v>
      </c>
      <c r="G65" s="22">
        <v>3020</v>
      </c>
      <c r="H65" s="22"/>
      <c r="I65" s="22"/>
    </row>
    <row r="66" spans="1:9" ht="84" x14ac:dyDescent="0.25">
      <c r="A66" s="22" t="s">
        <v>6779</v>
      </c>
      <c r="B66" s="22" t="s">
        <v>6147</v>
      </c>
      <c r="C66" s="22" t="s">
        <v>6148</v>
      </c>
      <c r="D66" s="22" t="s">
        <v>6150</v>
      </c>
      <c r="E66" s="22" t="s">
        <v>6149</v>
      </c>
      <c r="F66" s="22">
        <v>1</v>
      </c>
      <c r="G66" s="22">
        <v>3020</v>
      </c>
      <c r="H66" s="22"/>
      <c r="I66" s="22"/>
    </row>
    <row r="67" spans="1:9" ht="84" x14ac:dyDescent="0.25">
      <c r="A67" s="22" t="s">
        <v>6780</v>
      </c>
      <c r="B67" s="22" t="s">
        <v>6147</v>
      </c>
      <c r="C67" s="22" t="s">
        <v>6148</v>
      </c>
      <c r="D67" s="22" t="s">
        <v>6150</v>
      </c>
      <c r="E67" s="22" t="s">
        <v>6149</v>
      </c>
      <c r="F67" s="22">
        <v>1</v>
      </c>
      <c r="G67" s="22">
        <v>3020</v>
      </c>
      <c r="H67" s="22"/>
      <c r="I67" s="22"/>
    </row>
    <row r="68" spans="1:9" ht="84" x14ac:dyDescent="0.25">
      <c r="A68" s="22" t="s">
        <v>6781</v>
      </c>
      <c r="B68" s="22" t="s">
        <v>6147</v>
      </c>
      <c r="C68" s="22" t="s">
        <v>6148</v>
      </c>
      <c r="D68" s="22" t="s">
        <v>6397</v>
      </c>
      <c r="E68" s="22" t="s">
        <v>6149</v>
      </c>
      <c r="F68" s="22">
        <v>1</v>
      </c>
      <c r="G68" s="22">
        <v>3245</v>
      </c>
      <c r="H68" s="22"/>
      <c r="I68" s="22"/>
    </row>
    <row r="69" spans="1:9" ht="126" x14ac:dyDescent="0.25">
      <c r="A69" s="22" t="s">
        <v>6782</v>
      </c>
      <c r="B69" s="22" t="s">
        <v>6289</v>
      </c>
      <c r="C69" s="22" t="s">
        <v>6290</v>
      </c>
      <c r="D69" s="22" t="s">
        <v>6292</v>
      </c>
      <c r="E69" s="22" t="s">
        <v>6291</v>
      </c>
      <c r="F69" s="22">
        <v>1</v>
      </c>
      <c r="G69" s="22">
        <v>2275</v>
      </c>
      <c r="H69" s="22"/>
      <c r="I69" s="22"/>
    </row>
    <row r="70" spans="1:9" ht="84" x14ac:dyDescent="0.25">
      <c r="A70" s="22" t="s">
        <v>6783</v>
      </c>
      <c r="B70" s="22" t="s">
        <v>6610</v>
      </c>
      <c r="C70" s="22" t="s">
        <v>6611</v>
      </c>
      <c r="D70" s="22" t="s">
        <v>5138</v>
      </c>
      <c r="E70" s="22" t="s">
        <v>6612</v>
      </c>
      <c r="F70" s="22">
        <v>1</v>
      </c>
      <c r="G70" s="22">
        <v>80</v>
      </c>
      <c r="H70" s="22"/>
      <c r="I70" s="22"/>
    </row>
    <row r="71" spans="1:9" ht="63" x14ac:dyDescent="0.25">
      <c r="A71" s="22" t="s">
        <v>6784</v>
      </c>
      <c r="B71" s="22" t="s">
        <v>6614</v>
      </c>
      <c r="C71" s="22" t="s">
        <v>6615</v>
      </c>
      <c r="D71" s="22" t="s">
        <v>6292</v>
      </c>
      <c r="E71" s="22" t="s">
        <v>6616</v>
      </c>
      <c r="F71" s="22">
        <v>1</v>
      </c>
      <c r="G71" s="22">
        <v>2220</v>
      </c>
      <c r="H71" s="22"/>
      <c r="I71" s="22"/>
    </row>
    <row r="72" spans="1:9" ht="63" x14ac:dyDescent="0.25">
      <c r="A72" s="22" t="s">
        <v>6785</v>
      </c>
      <c r="B72" s="22" t="s">
        <v>6637</v>
      </c>
      <c r="C72" s="22" t="s">
        <v>6638</v>
      </c>
      <c r="D72" s="22" t="s">
        <v>5138</v>
      </c>
      <c r="E72" s="22" t="s">
        <v>6639</v>
      </c>
      <c r="F72" s="22">
        <v>1</v>
      </c>
      <c r="G72" s="22">
        <v>84</v>
      </c>
      <c r="H72" s="22"/>
      <c r="I72" s="22"/>
    </row>
    <row r="73" spans="1:9" ht="105" x14ac:dyDescent="0.25">
      <c r="A73" s="22" t="s">
        <v>6786</v>
      </c>
      <c r="B73" s="22" t="s">
        <v>6700</v>
      </c>
      <c r="C73" s="22" t="s">
        <v>6701</v>
      </c>
      <c r="D73" s="22" t="s">
        <v>5138</v>
      </c>
      <c r="E73" s="22" t="s">
        <v>6702</v>
      </c>
      <c r="F73" s="22">
        <v>1</v>
      </c>
      <c r="G73" s="22">
        <v>150</v>
      </c>
      <c r="H73" s="22"/>
      <c r="I73" s="22"/>
    </row>
    <row r="80" spans="1:9" ht="42" x14ac:dyDescent="0.25">
      <c r="A80" s="6" t="s">
        <v>2971</v>
      </c>
      <c r="H80" s="6" t="s">
        <v>2972</v>
      </c>
    </row>
    <row r="82" spans="1:9" ht="84" x14ac:dyDescent="0.25">
      <c r="A82" s="6" t="s">
        <v>31</v>
      </c>
      <c r="B82" s="6" t="s">
        <v>448</v>
      </c>
      <c r="D82" s="6" t="s">
        <v>2974</v>
      </c>
      <c r="G82" s="6" t="s">
        <v>2961</v>
      </c>
      <c r="H82" s="6" t="str">
        <f>IFERROR(VLOOKUP(B82,Seller_Details!A:C,3,0),"Not Found")</f>
        <v>Shop 1-2;Opp Ferrari Hotel;Deira Dubai</v>
      </c>
    </row>
    <row r="83" spans="1:9" x14ac:dyDescent="0.25">
      <c r="A83" s="6" t="s">
        <v>13</v>
      </c>
      <c r="B83" s="6" t="str">
        <f>IFERROR(VLOOKUP(B82,Seller_Details!A:C,2,0),"Not Found")</f>
        <v>V00258</v>
      </c>
      <c r="G83" s="6" t="s">
        <v>2962</v>
      </c>
      <c r="H83" s="24">
        <v>42819</v>
      </c>
    </row>
    <row r="86" spans="1:9" ht="42" x14ac:dyDescent="0.25">
      <c r="A86" s="22" t="s">
        <v>2963</v>
      </c>
      <c r="B86" s="22" t="s">
        <v>2964</v>
      </c>
      <c r="C86" s="22" t="s">
        <v>2965</v>
      </c>
      <c r="D86" s="22" t="s">
        <v>2966</v>
      </c>
      <c r="E86" s="22" t="s">
        <v>2967</v>
      </c>
      <c r="F86" s="22" t="s">
        <v>6</v>
      </c>
      <c r="G86" s="22" t="s">
        <v>2968</v>
      </c>
      <c r="H86" s="22" t="s">
        <v>2969</v>
      </c>
      <c r="I86" s="22" t="s">
        <v>2970</v>
      </c>
    </row>
    <row r="87" spans="1:9" ht="63" x14ac:dyDescent="0.25">
      <c r="A87" s="22" t="s">
        <v>6787</v>
      </c>
      <c r="B87" s="22" t="s">
        <v>3774</v>
      </c>
      <c r="C87" s="22" t="s">
        <v>3775</v>
      </c>
      <c r="D87" s="22" t="s">
        <v>3777</v>
      </c>
      <c r="E87" s="22" t="s">
        <v>3776</v>
      </c>
      <c r="F87" s="22">
        <v>1</v>
      </c>
      <c r="G87" s="22">
        <v>325</v>
      </c>
      <c r="H87" s="22"/>
      <c r="I87" s="22"/>
    </row>
    <row r="88" spans="1:9" ht="63" x14ac:dyDescent="0.25">
      <c r="A88" s="22" t="s">
        <v>6788</v>
      </c>
      <c r="B88" s="22" t="s">
        <v>3774</v>
      </c>
      <c r="C88" s="22" t="s">
        <v>3775</v>
      </c>
      <c r="D88" s="22" t="s">
        <v>4658</v>
      </c>
      <c r="E88" s="22" t="s">
        <v>3776</v>
      </c>
      <c r="F88" s="22">
        <v>1</v>
      </c>
      <c r="G88" s="22">
        <v>325</v>
      </c>
      <c r="H88" s="22"/>
      <c r="I88" s="22"/>
    </row>
    <row r="95" spans="1:9" ht="42" x14ac:dyDescent="0.25">
      <c r="A95" s="6" t="s">
        <v>2971</v>
      </c>
      <c r="H95" s="6" t="s">
        <v>2972</v>
      </c>
    </row>
    <row r="97" spans="1:9" ht="126" x14ac:dyDescent="0.25">
      <c r="A97" s="6" t="s">
        <v>31</v>
      </c>
      <c r="B97" s="6" t="s">
        <v>86</v>
      </c>
      <c r="D97" s="6" t="s">
        <v>2975</v>
      </c>
      <c r="G97" s="6" t="s">
        <v>2961</v>
      </c>
      <c r="H97" s="6" t="str">
        <f>IFERROR(VLOOKUP(B97,Seller_Details!A:C,3,0),"Not Found")</f>
        <v xml:space="preserve">Hyatt Regency Galleria Mall, 2nd Floor Room 249-A Al Khaleej Road Deira Dubai </v>
      </c>
    </row>
    <row r="98" spans="1:9" x14ac:dyDescent="0.25">
      <c r="A98" s="6" t="s">
        <v>13</v>
      </c>
      <c r="B98" s="6" t="str">
        <f>IFERROR(VLOOKUP(B97,Seller_Details!A:C,2,0),"Not Found")</f>
        <v>V00075</v>
      </c>
      <c r="G98" s="6" t="s">
        <v>2962</v>
      </c>
      <c r="H98" s="24">
        <v>42819</v>
      </c>
    </row>
    <row r="101" spans="1:9" ht="42" x14ac:dyDescent="0.25">
      <c r="A101" s="22" t="s">
        <v>2963</v>
      </c>
      <c r="B101" s="22" t="s">
        <v>2964</v>
      </c>
      <c r="C101" s="22" t="s">
        <v>2965</v>
      </c>
      <c r="D101" s="22" t="s">
        <v>2966</v>
      </c>
      <c r="E101" s="22" t="s">
        <v>2967</v>
      </c>
      <c r="F101" s="22" t="s">
        <v>6</v>
      </c>
      <c r="G101" s="22" t="s">
        <v>2968</v>
      </c>
      <c r="H101" s="22" t="s">
        <v>2969</v>
      </c>
      <c r="I101" s="22" t="s">
        <v>2970</v>
      </c>
    </row>
    <row r="102" spans="1:9" ht="84" x14ac:dyDescent="0.25">
      <c r="A102" s="22" t="s">
        <v>6789</v>
      </c>
      <c r="B102" s="22" t="s">
        <v>3446</v>
      </c>
      <c r="C102" s="22" t="s">
        <v>3447</v>
      </c>
      <c r="D102" s="22" t="s">
        <v>3449</v>
      </c>
      <c r="E102" s="22" t="s">
        <v>3448</v>
      </c>
      <c r="F102" s="22">
        <v>1</v>
      </c>
      <c r="G102" s="22">
        <v>80</v>
      </c>
      <c r="H102" s="22"/>
      <c r="I102" s="22"/>
    </row>
    <row r="103" spans="1:9" ht="84" x14ac:dyDescent="0.25">
      <c r="A103" s="22" t="s">
        <v>6790</v>
      </c>
      <c r="B103" s="22" t="s">
        <v>3446</v>
      </c>
      <c r="C103" s="22" t="s">
        <v>3447</v>
      </c>
      <c r="D103" s="22" t="s">
        <v>3686</v>
      </c>
      <c r="E103" s="22" t="s">
        <v>3448</v>
      </c>
      <c r="F103" s="22">
        <v>1</v>
      </c>
      <c r="G103" s="22">
        <v>80</v>
      </c>
      <c r="H103" s="22"/>
      <c r="I103" s="22"/>
    </row>
    <row r="104" spans="1:9" ht="84" x14ac:dyDescent="0.25">
      <c r="A104" s="22" t="s">
        <v>6791</v>
      </c>
      <c r="B104" s="22" t="s">
        <v>3560</v>
      </c>
      <c r="C104" s="22" t="s">
        <v>3561</v>
      </c>
      <c r="D104" s="22" t="s">
        <v>4346</v>
      </c>
      <c r="E104" s="22" t="s">
        <v>3562</v>
      </c>
      <c r="F104" s="22">
        <v>1</v>
      </c>
      <c r="G104" s="22">
        <v>85</v>
      </c>
      <c r="H104" s="22"/>
      <c r="I104" s="22"/>
    </row>
    <row r="105" spans="1:9" ht="84" x14ac:dyDescent="0.25">
      <c r="A105" s="22" t="s">
        <v>6792</v>
      </c>
      <c r="B105" s="22" t="s">
        <v>3560</v>
      </c>
      <c r="C105" s="22" t="s">
        <v>3561</v>
      </c>
      <c r="D105" s="22" t="s">
        <v>4346</v>
      </c>
      <c r="E105" s="22" t="s">
        <v>3562</v>
      </c>
      <c r="F105" s="22">
        <v>1</v>
      </c>
      <c r="G105" s="22">
        <v>85</v>
      </c>
      <c r="H105" s="22"/>
      <c r="I105" s="22"/>
    </row>
    <row r="106" spans="1:9" ht="84" x14ac:dyDescent="0.25">
      <c r="A106" s="22" t="s">
        <v>6793</v>
      </c>
      <c r="B106" s="22" t="s">
        <v>3560</v>
      </c>
      <c r="C106" s="22" t="s">
        <v>3561</v>
      </c>
      <c r="D106" s="22" t="s">
        <v>4346</v>
      </c>
      <c r="E106" s="22" t="s">
        <v>3562</v>
      </c>
      <c r="F106" s="22">
        <v>1</v>
      </c>
      <c r="G106" s="22">
        <v>85</v>
      </c>
      <c r="H106" s="22"/>
      <c r="I106" s="22"/>
    </row>
    <row r="107" spans="1:9" ht="84" x14ac:dyDescent="0.25">
      <c r="A107" s="22" t="s">
        <v>6794</v>
      </c>
      <c r="B107" s="22" t="s">
        <v>3560</v>
      </c>
      <c r="C107" s="22" t="s">
        <v>3561</v>
      </c>
      <c r="D107" s="22" t="s">
        <v>5186</v>
      </c>
      <c r="E107" s="22" t="s">
        <v>3562</v>
      </c>
      <c r="F107" s="22">
        <v>1</v>
      </c>
      <c r="G107" s="22">
        <v>85</v>
      </c>
      <c r="H107" s="22"/>
      <c r="I107" s="22"/>
    </row>
    <row r="108" spans="1:9" ht="84" x14ac:dyDescent="0.25">
      <c r="A108" s="22" t="s">
        <v>6795</v>
      </c>
      <c r="B108" s="22" t="s">
        <v>3560</v>
      </c>
      <c r="C108" s="22" t="s">
        <v>3561</v>
      </c>
      <c r="D108" s="22" t="s">
        <v>5186</v>
      </c>
      <c r="E108" s="22" t="s">
        <v>3562</v>
      </c>
      <c r="F108" s="22">
        <v>1</v>
      </c>
      <c r="G108" s="22">
        <v>85</v>
      </c>
      <c r="H108" s="22"/>
      <c r="I108" s="22"/>
    </row>
    <row r="109" spans="1:9" ht="84" x14ac:dyDescent="0.25">
      <c r="A109" s="22" t="s">
        <v>6796</v>
      </c>
      <c r="B109" s="22" t="s">
        <v>3560</v>
      </c>
      <c r="C109" s="22" t="s">
        <v>3561</v>
      </c>
      <c r="D109" s="22" t="s">
        <v>5186</v>
      </c>
      <c r="E109" s="22" t="s">
        <v>3562</v>
      </c>
      <c r="F109" s="22">
        <v>1</v>
      </c>
      <c r="G109" s="22">
        <v>85</v>
      </c>
      <c r="H109" s="22"/>
      <c r="I109" s="22"/>
    </row>
    <row r="110" spans="1:9" ht="84" x14ac:dyDescent="0.25">
      <c r="A110" s="22" t="s">
        <v>6797</v>
      </c>
      <c r="B110" s="22" t="s">
        <v>3560</v>
      </c>
      <c r="C110" s="22" t="s">
        <v>3561</v>
      </c>
      <c r="D110" s="22" t="s">
        <v>5186</v>
      </c>
      <c r="E110" s="22" t="s">
        <v>3562</v>
      </c>
      <c r="F110" s="22">
        <v>1</v>
      </c>
      <c r="G110" s="22">
        <v>85</v>
      </c>
      <c r="H110" s="22"/>
      <c r="I110" s="22"/>
    </row>
    <row r="111" spans="1:9" ht="84" x14ac:dyDescent="0.25">
      <c r="A111" s="22" t="s">
        <v>6798</v>
      </c>
      <c r="B111" s="22" t="s">
        <v>3560</v>
      </c>
      <c r="C111" s="22" t="s">
        <v>3561</v>
      </c>
      <c r="D111" s="22" t="s">
        <v>5186</v>
      </c>
      <c r="E111" s="22" t="s">
        <v>3562</v>
      </c>
      <c r="F111" s="22">
        <v>1</v>
      </c>
      <c r="G111" s="22">
        <v>85</v>
      </c>
      <c r="H111" s="22"/>
      <c r="I111" s="22"/>
    </row>
    <row r="112" spans="1:9" ht="84" x14ac:dyDescent="0.25">
      <c r="A112" s="22" t="s">
        <v>6799</v>
      </c>
      <c r="B112" s="22" t="s">
        <v>3560</v>
      </c>
      <c r="C112" s="22" t="s">
        <v>3561</v>
      </c>
      <c r="D112" s="22" t="s">
        <v>5186</v>
      </c>
      <c r="E112" s="22" t="s">
        <v>3562</v>
      </c>
      <c r="F112" s="22">
        <v>1</v>
      </c>
      <c r="G112" s="22">
        <v>85</v>
      </c>
      <c r="H112" s="22"/>
      <c r="I112" s="22"/>
    </row>
    <row r="113" spans="1:9" ht="84" x14ac:dyDescent="0.25">
      <c r="A113" s="22" t="s">
        <v>6800</v>
      </c>
      <c r="B113" s="22" t="s">
        <v>3560</v>
      </c>
      <c r="C113" s="22" t="s">
        <v>3561</v>
      </c>
      <c r="D113" s="22" t="s">
        <v>5664</v>
      </c>
      <c r="E113" s="22" t="s">
        <v>3562</v>
      </c>
      <c r="F113" s="22">
        <v>1</v>
      </c>
      <c r="G113" s="22">
        <v>85</v>
      </c>
      <c r="H113" s="22"/>
      <c r="I113" s="22"/>
    </row>
    <row r="114" spans="1:9" ht="84" x14ac:dyDescent="0.25">
      <c r="A114" s="22" t="s">
        <v>6801</v>
      </c>
      <c r="B114" s="22" t="s">
        <v>3560</v>
      </c>
      <c r="C114" s="22" t="s">
        <v>3561</v>
      </c>
      <c r="D114" s="22" t="s">
        <v>5664</v>
      </c>
      <c r="E114" s="22" t="s">
        <v>3562</v>
      </c>
      <c r="F114" s="22">
        <v>1</v>
      </c>
      <c r="G114" s="22">
        <v>85</v>
      </c>
      <c r="H114" s="22"/>
      <c r="I114" s="22"/>
    </row>
    <row r="115" spans="1:9" ht="84" x14ac:dyDescent="0.25">
      <c r="A115" s="22" t="s">
        <v>6802</v>
      </c>
      <c r="B115" s="22" t="s">
        <v>3584</v>
      </c>
      <c r="C115" s="22" t="s">
        <v>3585</v>
      </c>
      <c r="D115" s="22" t="s">
        <v>3702</v>
      </c>
      <c r="E115" s="22" t="s">
        <v>3586</v>
      </c>
      <c r="F115" s="22">
        <v>1</v>
      </c>
      <c r="G115" s="22">
        <v>140</v>
      </c>
      <c r="H115" s="22"/>
      <c r="I115" s="22"/>
    </row>
    <row r="116" spans="1:9" ht="84" x14ac:dyDescent="0.25">
      <c r="A116" s="22" t="s">
        <v>6803</v>
      </c>
      <c r="B116" s="22" t="s">
        <v>3865</v>
      </c>
      <c r="C116" s="22" t="s">
        <v>3866</v>
      </c>
      <c r="D116" s="22" t="s">
        <v>4979</v>
      </c>
      <c r="E116" s="22" t="s">
        <v>3867</v>
      </c>
      <c r="F116" s="22">
        <v>1</v>
      </c>
      <c r="G116" s="22">
        <v>40</v>
      </c>
      <c r="H116" s="22"/>
      <c r="I116" s="22"/>
    </row>
    <row r="117" spans="1:9" ht="84" x14ac:dyDescent="0.25">
      <c r="A117" s="22" t="s">
        <v>6804</v>
      </c>
      <c r="B117" s="22" t="s">
        <v>3865</v>
      </c>
      <c r="C117" s="22" t="s">
        <v>3866</v>
      </c>
      <c r="D117" s="22" t="s">
        <v>4979</v>
      </c>
      <c r="E117" s="22" t="s">
        <v>3867</v>
      </c>
      <c r="F117" s="22">
        <v>1</v>
      </c>
      <c r="G117" s="22">
        <v>40</v>
      </c>
      <c r="H117" s="22"/>
      <c r="I117" s="22"/>
    </row>
    <row r="118" spans="1:9" ht="84" x14ac:dyDescent="0.25">
      <c r="A118" s="22" t="s">
        <v>6805</v>
      </c>
      <c r="B118" s="22" t="s">
        <v>3865</v>
      </c>
      <c r="C118" s="22" t="s">
        <v>3866</v>
      </c>
      <c r="D118" s="22" t="s">
        <v>4979</v>
      </c>
      <c r="E118" s="22" t="s">
        <v>3867</v>
      </c>
      <c r="F118" s="22">
        <v>1</v>
      </c>
      <c r="G118" s="22">
        <v>40</v>
      </c>
      <c r="H118" s="22"/>
      <c r="I118" s="22"/>
    </row>
    <row r="119" spans="1:9" ht="84" x14ac:dyDescent="0.25">
      <c r="A119" s="22" t="s">
        <v>6806</v>
      </c>
      <c r="B119" s="22" t="s">
        <v>3865</v>
      </c>
      <c r="C119" s="22" t="s">
        <v>3866</v>
      </c>
      <c r="D119" s="22" t="s">
        <v>4979</v>
      </c>
      <c r="E119" s="22" t="s">
        <v>3867</v>
      </c>
      <c r="F119" s="22">
        <v>1</v>
      </c>
      <c r="G119" s="22">
        <v>40</v>
      </c>
      <c r="H119" s="22"/>
      <c r="I119" s="22"/>
    </row>
    <row r="120" spans="1:9" ht="84" x14ac:dyDescent="0.25">
      <c r="A120" s="22" t="s">
        <v>6807</v>
      </c>
      <c r="B120" s="22" t="s">
        <v>3865</v>
      </c>
      <c r="C120" s="22" t="s">
        <v>3866</v>
      </c>
      <c r="D120" s="22" t="s">
        <v>4979</v>
      </c>
      <c r="E120" s="22" t="s">
        <v>3867</v>
      </c>
      <c r="F120" s="22">
        <v>1</v>
      </c>
      <c r="G120" s="22">
        <v>40</v>
      </c>
      <c r="H120" s="22"/>
      <c r="I120" s="22"/>
    </row>
    <row r="121" spans="1:9" ht="84" x14ac:dyDescent="0.25">
      <c r="A121" s="22" t="s">
        <v>6808</v>
      </c>
      <c r="B121" s="22" t="s">
        <v>3865</v>
      </c>
      <c r="C121" s="22" t="s">
        <v>3866</v>
      </c>
      <c r="D121" s="22" t="s">
        <v>4979</v>
      </c>
      <c r="E121" s="22" t="s">
        <v>3867</v>
      </c>
      <c r="F121" s="22">
        <v>1</v>
      </c>
      <c r="G121" s="22">
        <v>40</v>
      </c>
      <c r="H121" s="22"/>
      <c r="I121" s="22"/>
    </row>
    <row r="122" spans="1:9" ht="84" x14ac:dyDescent="0.25">
      <c r="A122" s="22" t="s">
        <v>6809</v>
      </c>
      <c r="B122" s="22" t="s">
        <v>3865</v>
      </c>
      <c r="C122" s="22" t="s">
        <v>3866</v>
      </c>
      <c r="D122" s="22" t="s">
        <v>4979</v>
      </c>
      <c r="E122" s="22" t="s">
        <v>3867</v>
      </c>
      <c r="F122" s="22">
        <v>1</v>
      </c>
      <c r="G122" s="22">
        <v>40</v>
      </c>
      <c r="H122" s="22"/>
      <c r="I122" s="22"/>
    </row>
    <row r="123" spans="1:9" ht="84" x14ac:dyDescent="0.25">
      <c r="A123" s="22" t="s">
        <v>6810</v>
      </c>
      <c r="B123" s="22" t="s">
        <v>3865</v>
      </c>
      <c r="C123" s="22" t="s">
        <v>3866</v>
      </c>
      <c r="D123" s="22" t="s">
        <v>4979</v>
      </c>
      <c r="E123" s="22" t="s">
        <v>3867</v>
      </c>
      <c r="F123" s="22">
        <v>1</v>
      </c>
      <c r="G123" s="22">
        <v>40</v>
      </c>
      <c r="H123" s="22"/>
      <c r="I123" s="22"/>
    </row>
    <row r="124" spans="1:9" ht="84" x14ac:dyDescent="0.25">
      <c r="A124" s="22" t="s">
        <v>6811</v>
      </c>
      <c r="B124" s="22" t="s">
        <v>3865</v>
      </c>
      <c r="C124" s="22" t="s">
        <v>3866</v>
      </c>
      <c r="D124" s="22" t="s">
        <v>4979</v>
      </c>
      <c r="E124" s="22" t="s">
        <v>3867</v>
      </c>
      <c r="F124" s="22">
        <v>1</v>
      </c>
      <c r="G124" s="22">
        <v>40</v>
      </c>
      <c r="H124" s="22"/>
      <c r="I124" s="22"/>
    </row>
    <row r="125" spans="1:9" ht="84" x14ac:dyDescent="0.25">
      <c r="A125" s="22" t="s">
        <v>6812</v>
      </c>
      <c r="B125" s="22" t="s">
        <v>3865</v>
      </c>
      <c r="C125" s="22" t="s">
        <v>3866</v>
      </c>
      <c r="D125" s="22" t="s">
        <v>4979</v>
      </c>
      <c r="E125" s="22" t="s">
        <v>3867</v>
      </c>
      <c r="F125" s="22">
        <v>1</v>
      </c>
      <c r="G125" s="22">
        <v>40</v>
      </c>
      <c r="H125" s="22"/>
      <c r="I125" s="22"/>
    </row>
    <row r="126" spans="1:9" ht="84" x14ac:dyDescent="0.25">
      <c r="A126" s="22" t="s">
        <v>6813</v>
      </c>
      <c r="B126" s="22" t="s">
        <v>3865</v>
      </c>
      <c r="C126" s="22" t="s">
        <v>3866</v>
      </c>
      <c r="D126" s="22" t="s">
        <v>4979</v>
      </c>
      <c r="E126" s="22" t="s">
        <v>3867</v>
      </c>
      <c r="F126" s="22">
        <v>1</v>
      </c>
      <c r="G126" s="22">
        <v>40</v>
      </c>
      <c r="H126" s="22"/>
      <c r="I126" s="22"/>
    </row>
    <row r="127" spans="1:9" ht="84" x14ac:dyDescent="0.25">
      <c r="A127" s="22" t="s">
        <v>6814</v>
      </c>
      <c r="B127" s="22" t="s">
        <v>3865</v>
      </c>
      <c r="C127" s="22" t="s">
        <v>3866</v>
      </c>
      <c r="D127" s="22" t="s">
        <v>4979</v>
      </c>
      <c r="E127" s="22" t="s">
        <v>3867</v>
      </c>
      <c r="F127" s="22">
        <v>1</v>
      </c>
      <c r="G127" s="22">
        <v>40</v>
      </c>
      <c r="H127" s="22"/>
      <c r="I127" s="22"/>
    </row>
    <row r="128" spans="1:9" ht="84" x14ac:dyDescent="0.25">
      <c r="A128" s="22" t="s">
        <v>6815</v>
      </c>
      <c r="B128" s="22" t="s">
        <v>3865</v>
      </c>
      <c r="C128" s="22" t="s">
        <v>3866</v>
      </c>
      <c r="D128" s="22" t="s">
        <v>4979</v>
      </c>
      <c r="E128" s="22" t="s">
        <v>3867</v>
      </c>
      <c r="F128" s="22">
        <v>1</v>
      </c>
      <c r="G128" s="22">
        <v>40</v>
      </c>
      <c r="H128" s="22"/>
      <c r="I128" s="22"/>
    </row>
    <row r="129" spans="1:9" ht="84" x14ac:dyDescent="0.25">
      <c r="A129" s="22" t="s">
        <v>6816</v>
      </c>
      <c r="B129" s="22" t="s">
        <v>3865</v>
      </c>
      <c r="C129" s="22" t="s">
        <v>3866</v>
      </c>
      <c r="D129" s="22" t="s">
        <v>4979</v>
      </c>
      <c r="E129" s="22" t="s">
        <v>3867</v>
      </c>
      <c r="F129" s="22">
        <v>1</v>
      </c>
      <c r="G129" s="22">
        <v>40</v>
      </c>
      <c r="H129" s="22"/>
      <c r="I129" s="22"/>
    </row>
    <row r="130" spans="1:9" ht="84" x14ac:dyDescent="0.25">
      <c r="A130" s="22" t="s">
        <v>6817</v>
      </c>
      <c r="B130" s="22" t="s">
        <v>3865</v>
      </c>
      <c r="C130" s="22" t="s">
        <v>3866</v>
      </c>
      <c r="D130" s="22" t="s">
        <v>4979</v>
      </c>
      <c r="E130" s="22" t="s">
        <v>3867</v>
      </c>
      <c r="F130" s="22">
        <v>1</v>
      </c>
      <c r="G130" s="22">
        <v>40</v>
      </c>
      <c r="H130" s="22"/>
      <c r="I130" s="22"/>
    </row>
    <row r="131" spans="1:9" ht="84" x14ac:dyDescent="0.25">
      <c r="A131" s="22" t="s">
        <v>6818</v>
      </c>
      <c r="B131" s="22" t="s">
        <v>3865</v>
      </c>
      <c r="C131" s="22" t="s">
        <v>3866</v>
      </c>
      <c r="D131" s="22" t="s">
        <v>4979</v>
      </c>
      <c r="E131" s="22" t="s">
        <v>3867</v>
      </c>
      <c r="F131" s="22">
        <v>1</v>
      </c>
      <c r="G131" s="22">
        <v>40</v>
      </c>
      <c r="H131" s="22"/>
      <c r="I131" s="22"/>
    </row>
    <row r="132" spans="1:9" ht="84" x14ac:dyDescent="0.25">
      <c r="A132" s="22" t="s">
        <v>6819</v>
      </c>
      <c r="B132" s="22" t="s">
        <v>3865</v>
      </c>
      <c r="C132" s="22" t="s">
        <v>3866</v>
      </c>
      <c r="D132" s="22" t="s">
        <v>4979</v>
      </c>
      <c r="E132" s="22" t="s">
        <v>3867</v>
      </c>
      <c r="F132" s="22">
        <v>1</v>
      </c>
      <c r="G132" s="22">
        <v>40</v>
      </c>
      <c r="H132" s="22"/>
      <c r="I132" s="22"/>
    </row>
    <row r="133" spans="1:9" ht="84" x14ac:dyDescent="0.25">
      <c r="A133" s="22" t="s">
        <v>6820</v>
      </c>
      <c r="B133" s="22" t="s">
        <v>3865</v>
      </c>
      <c r="C133" s="22" t="s">
        <v>3866</v>
      </c>
      <c r="D133" s="22" t="s">
        <v>4979</v>
      </c>
      <c r="E133" s="22" t="s">
        <v>3867</v>
      </c>
      <c r="F133" s="22">
        <v>1</v>
      </c>
      <c r="G133" s="22">
        <v>40</v>
      </c>
      <c r="H133" s="22"/>
      <c r="I133" s="22"/>
    </row>
    <row r="134" spans="1:9" ht="84" x14ac:dyDescent="0.25">
      <c r="A134" s="22" t="s">
        <v>6821</v>
      </c>
      <c r="B134" s="22" t="s">
        <v>3865</v>
      </c>
      <c r="C134" s="22" t="s">
        <v>3866</v>
      </c>
      <c r="D134" s="22" t="s">
        <v>4979</v>
      </c>
      <c r="E134" s="22" t="s">
        <v>3867</v>
      </c>
      <c r="F134" s="22">
        <v>1</v>
      </c>
      <c r="G134" s="22">
        <v>40</v>
      </c>
      <c r="H134" s="22"/>
      <c r="I134" s="22"/>
    </row>
    <row r="135" spans="1:9" ht="84" x14ac:dyDescent="0.25">
      <c r="A135" s="22" t="s">
        <v>6822</v>
      </c>
      <c r="B135" s="22" t="s">
        <v>3865</v>
      </c>
      <c r="C135" s="22" t="s">
        <v>3866</v>
      </c>
      <c r="D135" s="22" t="s">
        <v>4979</v>
      </c>
      <c r="E135" s="22" t="s">
        <v>3867</v>
      </c>
      <c r="F135" s="22">
        <v>1</v>
      </c>
      <c r="G135" s="22">
        <v>40</v>
      </c>
      <c r="H135" s="22"/>
      <c r="I135" s="22"/>
    </row>
    <row r="136" spans="1:9" ht="84" x14ac:dyDescent="0.25">
      <c r="A136" s="22" t="s">
        <v>6823</v>
      </c>
      <c r="B136" s="22" t="s">
        <v>3865</v>
      </c>
      <c r="C136" s="22" t="s">
        <v>3866</v>
      </c>
      <c r="D136" s="22" t="s">
        <v>4979</v>
      </c>
      <c r="E136" s="22" t="s">
        <v>3867</v>
      </c>
      <c r="F136" s="22">
        <v>1</v>
      </c>
      <c r="G136" s="22">
        <v>40</v>
      </c>
      <c r="H136" s="22"/>
      <c r="I136" s="22"/>
    </row>
    <row r="137" spans="1:9" ht="84" x14ac:dyDescent="0.25">
      <c r="A137" s="22" t="s">
        <v>6824</v>
      </c>
      <c r="B137" s="22" t="s">
        <v>3865</v>
      </c>
      <c r="C137" s="22" t="s">
        <v>3866</v>
      </c>
      <c r="D137" s="22" t="s">
        <v>4979</v>
      </c>
      <c r="E137" s="22" t="s">
        <v>3867</v>
      </c>
      <c r="F137" s="22">
        <v>1</v>
      </c>
      <c r="G137" s="22">
        <v>40</v>
      </c>
      <c r="H137" s="22"/>
      <c r="I137" s="22"/>
    </row>
    <row r="138" spans="1:9" ht="84" x14ac:dyDescent="0.25">
      <c r="A138" s="22" t="s">
        <v>6825</v>
      </c>
      <c r="B138" s="22" t="s">
        <v>3865</v>
      </c>
      <c r="C138" s="22" t="s">
        <v>3866</v>
      </c>
      <c r="D138" s="22" t="s">
        <v>4979</v>
      </c>
      <c r="E138" s="22" t="s">
        <v>3867</v>
      </c>
      <c r="F138" s="22">
        <v>1</v>
      </c>
      <c r="G138" s="22">
        <v>40</v>
      </c>
      <c r="H138" s="22"/>
      <c r="I138" s="22"/>
    </row>
    <row r="139" spans="1:9" ht="84" x14ac:dyDescent="0.25">
      <c r="A139" s="22" t="s">
        <v>6826</v>
      </c>
      <c r="B139" s="22" t="s">
        <v>3865</v>
      </c>
      <c r="C139" s="22" t="s">
        <v>3866</v>
      </c>
      <c r="D139" s="22" t="s">
        <v>5607</v>
      </c>
      <c r="E139" s="22" t="s">
        <v>3867</v>
      </c>
      <c r="F139" s="22">
        <v>1</v>
      </c>
      <c r="G139" s="22">
        <v>40</v>
      </c>
      <c r="H139" s="22"/>
      <c r="I139" s="22"/>
    </row>
    <row r="140" spans="1:9" ht="84" x14ac:dyDescent="0.25">
      <c r="A140" s="22" t="s">
        <v>6827</v>
      </c>
      <c r="B140" s="22" t="s">
        <v>3865</v>
      </c>
      <c r="C140" s="22" t="s">
        <v>3866</v>
      </c>
      <c r="D140" s="22" t="s">
        <v>5607</v>
      </c>
      <c r="E140" s="22" t="s">
        <v>3867</v>
      </c>
      <c r="F140" s="22">
        <v>1</v>
      </c>
      <c r="G140" s="22">
        <v>40</v>
      </c>
      <c r="H140" s="22"/>
      <c r="I140" s="22"/>
    </row>
    <row r="141" spans="1:9" ht="84" x14ac:dyDescent="0.25">
      <c r="A141" s="22" t="s">
        <v>6828</v>
      </c>
      <c r="B141" s="22" t="s">
        <v>3865</v>
      </c>
      <c r="C141" s="22" t="s">
        <v>3866</v>
      </c>
      <c r="D141" s="22" t="s">
        <v>5607</v>
      </c>
      <c r="E141" s="22" t="s">
        <v>3867</v>
      </c>
      <c r="F141" s="22">
        <v>1</v>
      </c>
      <c r="G141" s="22">
        <v>40</v>
      </c>
      <c r="H141" s="22"/>
      <c r="I141" s="22"/>
    </row>
    <row r="142" spans="1:9" ht="84" x14ac:dyDescent="0.25">
      <c r="A142" s="22" t="s">
        <v>6829</v>
      </c>
      <c r="B142" s="22" t="s">
        <v>3865</v>
      </c>
      <c r="C142" s="22" t="s">
        <v>3866</v>
      </c>
      <c r="D142" s="22" t="s">
        <v>5607</v>
      </c>
      <c r="E142" s="22" t="s">
        <v>3867</v>
      </c>
      <c r="F142" s="22">
        <v>1</v>
      </c>
      <c r="G142" s="22">
        <v>40</v>
      </c>
      <c r="H142" s="22"/>
      <c r="I142" s="22"/>
    </row>
    <row r="143" spans="1:9" ht="84" x14ac:dyDescent="0.25">
      <c r="A143" s="22" t="s">
        <v>6830</v>
      </c>
      <c r="B143" s="22" t="s">
        <v>3865</v>
      </c>
      <c r="C143" s="22" t="s">
        <v>3866</v>
      </c>
      <c r="D143" s="22" t="s">
        <v>5607</v>
      </c>
      <c r="E143" s="22" t="s">
        <v>3867</v>
      </c>
      <c r="F143" s="22">
        <v>1</v>
      </c>
      <c r="G143" s="22">
        <v>40</v>
      </c>
      <c r="H143" s="22"/>
      <c r="I143" s="22"/>
    </row>
    <row r="144" spans="1:9" ht="84" x14ac:dyDescent="0.25">
      <c r="A144" s="22" t="s">
        <v>6831</v>
      </c>
      <c r="B144" s="22" t="s">
        <v>3865</v>
      </c>
      <c r="C144" s="22" t="s">
        <v>3866</v>
      </c>
      <c r="D144" s="22" t="s">
        <v>5607</v>
      </c>
      <c r="E144" s="22" t="s">
        <v>3867</v>
      </c>
      <c r="F144" s="22">
        <v>1</v>
      </c>
      <c r="G144" s="22">
        <v>40</v>
      </c>
      <c r="H144" s="22"/>
      <c r="I144" s="22"/>
    </row>
    <row r="145" spans="1:9" ht="84" x14ac:dyDescent="0.25">
      <c r="A145" s="22" t="s">
        <v>6832</v>
      </c>
      <c r="B145" s="22" t="s">
        <v>3865</v>
      </c>
      <c r="C145" s="22" t="s">
        <v>3866</v>
      </c>
      <c r="D145" s="22" t="s">
        <v>5607</v>
      </c>
      <c r="E145" s="22" t="s">
        <v>3867</v>
      </c>
      <c r="F145" s="22">
        <v>1</v>
      </c>
      <c r="G145" s="22">
        <v>40</v>
      </c>
      <c r="H145" s="22"/>
      <c r="I145" s="22"/>
    </row>
    <row r="146" spans="1:9" ht="84" x14ac:dyDescent="0.25">
      <c r="A146" s="22" t="s">
        <v>6833</v>
      </c>
      <c r="B146" s="22" t="s">
        <v>3865</v>
      </c>
      <c r="C146" s="22" t="s">
        <v>3866</v>
      </c>
      <c r="D146" s="22" t="s">
        <v>5607</v>
      </c>
      <c r="E146" s="22" t="s">
        <v>3867</v>
      </c>
      <c r="F146" s="22">
        <v>1</v>
      </c>
      <c r="G146" s="22">
        <v>40</v>
      </c>
      <c r="H146" s="22"/>
      <c r="I146" s="22"/>
    </row>
    <row r="147" spans="1:9" ht="84" x14ac:dyDescent="0.25">
      <c r="A147" s="22" t="s">
        <v>6834</v>
      </c>
      <c r="B147" s="22" t="s">
        <v>3865</v>
      </c>
      <c r="C147" s="22" t="s">
        <v>3866</v>
      </c>
      <c r="D147" s="22" t="s">
        <v>5607</v>
      </c>
      <c r="E147" s="22" t="s">
        <v>3867</v>
      </c>
      <c r="F147" s="22">
        <v>1</v>
      </c>
      <c r="G147" s="22">
        <v>40</v>
      </c>
      <c r="H147" s="22"/>
      <c r="I147" s="22"/>
    </row>
    <row r="148" spans="1:9" ht="84" x14ac:dyDescent="0.25">
      <c r="A148" s="22" t="s">
        <v>6835</v>
      </c>
      <c r="B148" s="22" t="s">
        <v>3865</v>
      </c>
      <c r="C148" s="22" t="s">
        <v>3866</v>
      </c>
      <c r="D148" s="22" t="s">
        <v>5607</v>
      </c>
      <c r="E148" s="22" t="s">
        <v>3867</v>
      </c>
      <c r="F148" s="22">
        <v>1</v>
      </c>
      <c r="G148" s="22">
        <v>40</v>
      </c>
      <c r="H148" s="22"/>
      <c r="I148" s="22"/>
    </row>
    <row r="149" spans="1:9" ht="84" x14ac:dyDescent="0.25">
      <c r="A149" s="22" t="s">
        <v>6836</v>
      </c>
      <c r="B149" s="22" t="s">
        <v>3865</v>
      </c>
      <c r="C149" s="22" t="s">
        <v>3866</v>
      </c>
      <c r="D149" s="22" t="s">
        <v>5607</v>
      </c>
      <c r="E149" s="22" t="s">
        <v>3867</v>
      </c>
      <c r="F149" s="22">
        <v>1</v>
      </c>
      <c r="G149" s="22">
        <v>40</v>
      </c>
      <c r="H149" s="22"/>
      <c r="I149" s="22"/>
    </row>
    <row r="150" spans="1:9" ht="84" x14ac:dyDescent="0.25">
      <c r="A150" s="22" t="s">
        <v>6837</v>
      </c>
      <c r="B150" s="22" t="s">
        <v>3865</v>
      </c>
      <c r="C150" s="22" t="s">
        <v>3866</v>
      </c>
      <c r="D150" s="22" t="s">
        <v>5607</v>
      </c>
      <c r="E150" s="22" t="s">
        <v>3867</v>
      </c>
      <c r="F150" s="22">
        <v>1</v>
      </c>
      <c r="G150" s="22">
        <v>40</v>
      </c>
      <c r="H150" s="22"/>
      <c r="I150" s="22"/>
    </row>
    <row r="151" spans="1:9" ht="84" x14ac:dyDescent="0.25">
      <c r="A151" s="22" t="s">
        <v>6838</v>
      </c>
      <c r="B151" s="22" t="s">
        <v>3865</v>
      </c>
      <c r="C151" s="22" t="s">
        <v>3866</v>
      </c>
      <c r="D151" s="22" t="s">
        <v>5607</v>
      </c>
      <c r="E151" s="22" t="s">
        <v>3867</v>
      </c>
      <c r="F151" s="22">
        <v>1</v>
      </c>
      <c r="G151" s="22">
        <v>40</v>
      </c>
      <c r="H151" s="22"/>
      <c r="I151" s="22"/>
    </row>
    <row r="152" spans="1:9" ht="84" x14ac:dyDescent="0.25">
      <c r="A152" s="22" t="s">
        <v>6839</v>
      </c>
      <c r="B152" s="22" t="s">
        <v>3865</v>
      </c>
      <c r="C152" s="22" t="s">
        <v>3866</v>
      </c>
      <c r="D152" s="22" t="s">
        <v>5607</v>
      </c>
      <c r="E152" s="22" t="s">
        <v>3867</v>
      </c>
      <c r="F152" s="22">
        <v>1</v>
      </c>
      <c r="G152" s="22">
        <v>40</v>
      </c>
      <c r="H152" s="22"/>
      <c r="I152" s="22"/>
    </row>
    <row r="153" spans="1:9" ht="84" x14ac:dyDescent="0.25">
      <c r="A153" s="22" t="s">
        <v>6840</v>
      </c>
      <c r="B153" s="22" t="s">
        <v>3865</v>
      </c>
      <c r="C153" s="22" t="s">
        <v>3866</v>
      </c>
      <c r="D153" s="22" t="s">
        <v>5607</v>
      </c>
      <c r="E153" s="22" t="s">
        <v>3867</v>
      </c>
      <c r="F153" s="22">
        <v>1</v>
      </c>
      <c r="G153" s="22">
        <v>40</v>
      </c>
      <c r="H153" s="22"/>
      <c r="I153" s="22"/>
    </row>
    <row r="154" spans="1:9" ht="84" x14ac:dyDescent="0.25">
      <c r="A154" s="22" t="s">
        <v>6841</v>
      </c>
      <c r="B154" s="22" t="s">
        <v>3865</v>
      </c>
      <c r="C154" s="22" t="s">
        <v>3866</v>
      </c>
      <c r="D154" s="22" t="s">
        <v>5607</v>
      </c>
      <c r="E154" s="22" t="s">
        <v>3867</v>
      </c>
      <c r="F154" s="22">
        <v>1</v>
      </c>
      <c r="G154" s="22">
        <v>40</v>
      </c>
      <c r="H154" s="22"/>
      <c r="I154" s="22"/>
    </row>
    <row r="155" spans="1:9" ht="84" x14ac:dyDescent="0.25">
      <c r="A155" s="22" t="s">
        <v>6842</v>
      </c>
      <c r="B155" s="22" t="s">
        <v>3865</v>
      </c>
      <c r="C155" s="22" t="s">
        <v>3866</v>
      </c>
      <c r="D155" s="22" t="s">
        <v>5607</v>
      </c>
      <c r="E155" s="22" t="s">
        <v>3867</v>
      </c>
      <c r="F155" s="22">
        <v>1</v>
      </c>
      <c r="G155" s="22">
        <v>40</v>
      </c>
      <c r="H155" s="22"/>
      <c r="I155" s="22"/>
    </row>
    <row r="156" spans="1:9" ht="84" x14ac:dyDescent="0.25">
      <c r="A156" s="22" t="s">
        <v>6843</v>
      </c>
      <c r="B156" s="22" t="s">
        <v>3865</v>
      </c>
      <c r="C156" s="22" t="s">
        <v>3866</v>
      </c>
      <c r="D156" s="22" t="s">
        <v>5607</v>
      </c>
      <c r="E156" s="22" t="s">
        <v>3867</v>
      </c>
      <c r="F156" s="22">
        <v>1</v>
      </c>
      <c r="G156" s="22">
        <v>40</v>
      </c>
      <c r="H156" s="22"/>
      <c r="I156" s="22"/>
    </row>
    <row r="157" spans="1:9" ht="84" x14ac:dyDescent="0.25">
      <c r="A157" s="22" t="s">
        <v>6844</v>
      </c>
      <c r="B157" s="22" t="s">
        <v>3865</v>
      </c>
      <c r="C157" s="22" t="s">
        <v>3866</v>
      </c>
      <c r="D157" s="22" t="s">
        <v>5607</v>
      </c>
      <c r="E157" s="22" t="s">
        <v>3867</v>
      </c>
      <c r="F157" s="22">
        <v>1</v>
      </c>
      <c r="G157" s="22">
        <v>40</v>
      </c>
      <c r="H157" s="22"/>
      <c r="I157" s="22"/>
    </row>
    <row r="158" spans="1:9" ht="84" x14ac:dyDescent="0.25">
      <c r="A158" s="22" t="s">
        <v>6845</v>
      </c>
      <c r="B158" s="22" t="s">
        <v>3865</v>
      </c>
      <c r="C158" s="22" t="s">
        <v>3866</v>
      </c>
      <c r="D158" s="22" t="s">
        <v>5607</v>
      </c>
      <c r="E158" s="22" t="s">
        <v>3867</v>
      </c>
      <c r="F158" s="22">
        <v>1</v>
      </c>
      <c r="G158" s="22">
        <v>40</v>
      </c>
      <c r="H158" s="22"/>
      <c r="I158" s="22"/>
    </row>
    <row r="159" spans="1:9" ht="84" x14ac:dyDescent="0.25">
      <c r="A159" s="22" t="s">
        <v>6846</v>
      </c>
      <c r="B159" s="22" t="s">
        <v>3865</v>
      </c>
      <c r="C159" s="22" t="s">
        <v>3866</v>
      </c>
      <c r="D159" s="22" t="s">
        <v>5607</v>
      </c>
      <c r="E159" s="22" t="s">
        <v>3867</v>
      </c>
      <c r="F159" s="22">
        <v>1</v>
      </c>
      <c r="G159" s="22">
        <v>40</v>
      </c>
      <c r="H159" s="22"/>
      <c r="I159" s="22"/>
    </row>
    <row r="160" spans="1:9" ht="84" x14ac:dyDescent="0.25">
      <c r="A160" s="22" t="s">
        <v>6847</v>
      </c>
      <c r="B160" s="22" t="s">
        <v>3865</v>
      </c>
      <c r="C160" s="22" t="s">
        <v>3866</v>
      </c>
      <c r="D160" s="22" t="s">
        <v>5607</v>
      </c>
      <c r="E160" s="22" t="s">
        <v>3867</v>
      </c>
      <c r="F160" s="22">
        <v>1</v>
      </c>
      <c r="G160" s="22">
        <v>40</v>
      </c>
      <c r="H160" s="22"/>
      <c r="I160" s="22"/>
    </row>
    <row r="161" spans="1:9" ht="84" x14ac:dyDescent="0.25">
      <c r="A161" s="22" t="s">
        <v>6848</v>
      </c>
      <c r="B161" s="22" t="s">
        <v>3865</v>
      </c>
      <c r="C161" s="22" t="s">
        <v>3866</v>
      </c>
      <c r="D161" s="22" t="s">
        <v>5607</v>
      </c>
      <c r="E161" s="22" t="s">
        <v>3867</v>
      </c>
      <c r="F161" s="22">
        <v>1</v>
      </c>
      <c r="G161" s="22">
        <v>40</v>
      </c>
      <c r="H161" s="22"/>
      <c r="I161" s="22"/>
    </row>
    <row r="162" spans="1:9" ht="84" x14ac:dyDescent="0.25">
      <c r="A162" s="22" t="s">
        <v>6849</v>
      </c>
      <c r="B162" s="22" t="s">
        <v>3865</v>
      </c>
      <c r="C162" s="22" t="s">
        <v>3866</v>
      </c>
      <c r="D162" s="22" t="s">
        <v>5607</v>
      </c>
      <c r="E162" s="22" t="s">
        <v>3867</v>
      </c>
      <c r="F162" s="22">
        <v>1</v>
      </c>
      <c r="G162" s="22">
        <v>40</v>
      </c>
      <c r="H162" s="22"/>
      <c r="I162" s="22"/>
    </row>
    <row r="163" spans="1:9" ht="84" x14ac:dyDescent="0.25">
      <c r="A163" s="22" t="s">
        <v>6850</v>
      </c>
      <c r="B163" s="22" t="s">
        <v>3865</v>
      </c>
      <c r="C163" s="22" t="s">
        <v>3866</v>
      </c>
      <c r="D163" s="22" t="s">
        <v>5607</v>
      </c>
      <c r="E163" s="22" t="s">
        <v>3867</v>
      </c>
      <c r="F163" s="22">
        <v>1</v>
      </c>
      <c r="G163" s="22">
        <v>40</v>
      </c>
      <c r="H163" s="22"/>
      <c r="I163" s="22"/>
    </row>
    <row r="164" spans="1:9" ht="84" x14ac:dyDescent="0.25">
      <c r="A164" s="22" t="s">
        <v>6851</v>
      </c>
      <c r="B164" s="22" t="s">
        <v>3865</v>
      </c>
      <c r="C164" s="22" t="s">
        <v>3866</v>
      </c>
      <c r="D164" s="22" t="s">
        <v>5607</v>
      </c>
      <c r="E164" s="22" t="s">
        <v>3867</v>
      </c>
      <c r="F164" s="22">
        <v>1</v>
      </c>
      <c r="G164" s="22">
        <v>40</v>
      </c>
      <c r="H164" s="22"/>
      <c r="I164" s="22"/>
    </row>
    <row r="165" spans="1:9" ht="84" x14ac:dyDescent="0.25">
      <c r="A165" s="22" t="s">
        <v>6852</v>
      </c>
      <c r="B165" s="22" t="s">
        <v>3865</v>
      </c>
      <c r="C165" s="22" t="s">
        <v>3866</v>
      </c>
      <c r="D165" s="22" t="s">
        <v>5607</v>
      </c>
      <c r="E165" s="22" t="s">
        <v>3867</v>
      </c>
      <c r="F165" s="22">
        <v>1</v>
      </c>
      <c r="G165" s="22">
        <v>40</v>
      </c>
      <c r="H165" s="22"/>
      <c r="I165" s="22"/>
    </row>
    <row r="166" spans="1:9" ht="84" x14ac:dyDescent="0.25">
      <c r="A166" s="22" t="s">
        <v>6853</v>
      </c>
      <c r="B166" s="22" t="s">
        <v>3865</v>
      </c>
      <c r="C166" s="22" t="s">
        <v>3866</v>
      </c>
      <c r="D166" s="22" t="s">
        <v>5607</v>
      </c>
      <c r="E166" s="22" t="s">
        <v>3867</v>
      </c>
      <c r="F166" s="22">
        <v>1</v>
      </c>
      <c r="G166" s="22">
        <v>40</v>
      </c>
      <c r="H166" s="22"/>
      <c r="I166" s="22"/>
    </row>
    <row r="167" spans="1:9" ht="84" x14ac:dyDescent="0.25">
      <c r="A167" s="22" t="s">
        <v>6854</v>
      </c>
      <c r="B167" s="22" t="s">
        <v>3865</v>
      </c>
      <c r="C167" s="22" t="s">
        <v>3866</v>
      </c>
      <c r="D167" s="22" t="s">
        <v>5607</v>
      </c>
      <c r="E167" s="22" t="s">
        <v>3867</v>
      </c>
      <c r="F167" s="22">
        <v>1</v>
      </c>
      <c r="G167" s="22">
        <v>40</v>
      </c>
      <c r="H167" s="22"/>
      <c r="I167" s="22"/>
    </row>
    <row r="168" spans="1:9" ht="84" x14ac:dyDescent="0.25">
      <c r="A168" s="22" t="s">
        <v>6855</v>
      </c>
      <c r="B168" s="22" t="s">
        <v>3865</v>
      </c>
      <c r="C168" s="22" t="s">
        <v>3866</v>
      </c>
      <c r="D168" s="22" t="s">
        <v>5607</v>
      </c>
      <c r="E168" s="22" t="s">
        <v>3867</v>
      </c>
      <c r="F168" s="22">
        <v>1</v>
      </c>
      <c r="G168" s="22">
        <v>40</v>
      </c>
      <c r="H168" s="22"/>
      <c r="I168" s="22"/>
    </row>
    <row r="169" spans="1:9" ht="84" x14ac:dyDescent="0.25">
      <c r="A169" s="22" t="s">
        <v>6856</v>
      </c>
      <c r="B169" s="22" t="s">
        <v>3865</v>
      </c>
      <c r="C169" s="22" t="s">
        <v>3866</v>
      </c>
      <c r="D169" s="22" t="s">
        <v>5607</v>
      </c>
      <c r="E169" s="22" t="s">
        <v>3867</v>
      </c>
      <c r="F169" s="22">
        <v>1</v>
      </c>
      <c r="G169" s="22">
        <v>40</v>
      </c>
      <c r="H169" s="22"/>
      <c r="I169" s="22"/>
    </row>
    <row r="170" spans="1:9" ht="84" x14ac:dyDescent="0.25">
      <c r="A170" s="22" t="s">
        <v>6857</v>
      </c>
      <c r="B170" s="22" t="s">
        <v>4074</v>
      </c>
      <c r="C170" s="22" t="s">
        <v>4075</v>
      </c>
      <c r="D170" s="22" t="s">
        <v>4771</v>
      </c>
      <c r="E170" s="22" t="s">
        <v>4076</v>
      </c>
      <c r="F170" s="22">
        <v>1</v>
      </c>
      <c r="G170" s="22">
        <v>40</v>
      </c>
      <c r="H170" s="22"/>
      <c r="I170" s="22"/>
    </row>
    <row r="171" spans="1:9" ht="84" x14ac:dyDescent="0.25">
      <c r="A171" s="22" t="s">
        <v>6858</v>
      </c>
      <c r="B171" s="22" t="s">
        <v>4074</v>
      </c>
      <c r="C171" s="22" t="s">
        <v>4075</v>
      </c>
      <c r="D171" s="22" t="s">
        <v>4979</v>
      </c>
      <c r="E171" s="22" t="s">
        <v>4076</v>
      </c>
      <c r="F171" s="22">
        <v>1</v>
      </c>
      <c r="G171" s="22">
        <v>40</v>
      </c>
      <c r="H171" s="22"/>
      <c r="I171" s="22"/>
    </row>
    <row r="172" spans="1:9" ht="84" x14ac:dyDescent="0.25">
      <c r="A172" s="22" t="s">
        <v>6859</v>
      </c>
      <c r="B172" s="22" t="s">
        <v>4074</v>
      </c>
      <c r="C172" s="22" t="s">
        <v>4075</v>
      </c>
      <c r="D172" s="22" t="s">
        <v>4979</v>
      </c>
      <c r="E172" s="22" t="s">
        <v>4076</v>
      </c>
      <c r="F172" s="22">
        <v>1</v>
      </c>
      <c r="G172" s="22">
        <v>40</v>
      </c>
      <c r="H172" s="22"/>
      <c r="I172" s="22"/>
    </row>
    <row r="173" spans="1:9" ht="84" x14ac:dyDescent="0.25">
      <c r="A173" s="22" t="s">
        <v>6860</v>
      </c>
      <c r="B173" s="22" t="s">
        <v>4074</v>
      </c>
      <c r="C173" s="22" t="s">
        <v>4075</v>
      </c>
      <c r="D173" s="22" t="s">
        <v>4979</v>
      </c>
      <c r="E173" s="22" t="s">
        <v>4076</v>
      </c>
      <c r="F173" s="22">
        <v>1</v>
      </c>
      <c r="G173" s="22">
        <v>40</v>
      </c>
      <c r="H173" s="22"/>
      <c r="I173" s="22"/>
    </row>
    <row r="174" spans="1:9" ht="84" x14ac:dyDescent="0.25">
      <c r="A174" s="22" t="s">
        <v>6861</v>
      </c>
      <c r="B174" s="22" t="s">
        <v>4074</v>
      </c>
      <c r="C174" s="22" t="s">
        <v>4075</v>
      </c>
      <c r="D174" s="22" t="s">
        <v>5607</v>
      </c>
      <c r="E174" s="22" t="s">
        <v>4076</v>
      </c>
      <c r="F174" s="22">
        <v>1</v>
      </c>
      <c r="G174" s="22">
        <v>40</v>
      </c>
      <c r="H174" s="22"/>
      <c r="I174" s="22"/>
    </row>
    <row r="175" spans="1:9" ht="84" x14ac:dyDescent="0.25">
      <c r="A175" s="22" t="s">
        <v>6862</v>
      </c>
      <c r="B175" s="22" t="s">
        <v>4074</v>
      </c>
      <c r="C175" s="22" t="s">
        <v>4075</v>
      </c>
      <c r="D175" s="22" t="s">
        <v>5607</v>
      </c>
      <c r="E175" s="22" t="s">
        <v>4076</v>
      </c>
      <c r="F175" s="22">
        <v>1</v>
      </c>
      <c r="G175" s="22">
        <v>40</v>
      </c>
      <c r="H175" s="22"/>
      <c r="I175" s="22"/>
    </row>
    <row r="176" spans="1:9" ht="84" x14ac:dyDescent="0.25">
      <c r="A176" s="22" t="s">
        <v>6863</v>
      </c>
      <c r="B176" s="22" t="s">
        <v>4074</v>
      </c>
      <c r="C176" s="22" t="s">
        <v>4075</v>
      </c>
      <c r="D176" s="22" t="s">
        <v>5607</v>
      </c>
      <c r="E176" s="22" t="s">
        <v>4076</v>
      </c>
      <c r="F176" s="22">
        <v>1</v>
      </c>
      <c r="G176" s="22">
        <v>40</v>
      </c>
      <c r="H176" s="22"/>
      <c r="I176" s="22"/>
    </row>
    <row r="177" spans="1:9" ht="84" x14ac:dyDescent="0.25">
      <c r="A177" s="22" t="s">
        <v>6864</v>
      </c>
      <c r="B177" s="22" t="s">
        <v>4074</v>
      </c>
      <c r="C177" s="22" t="s">
        <v>4075</v>
      </c>
      <c r="D177" s="22" t="s">
        <v>5607</v>
      </c>
      <c r="E177" s="22" t="s">
        <v>4076</v>
      </c>
      <c r="F177" s="22">
        <v>1</v>
      </c>
      <c r="G177" s="22">
        <v>40</v>
      </c>
      <c r="H177" s="22"/>
      <c r="I177" s="22"/>
    </row>
    <row r="178" spans="1:9" ht="84" x14ac:dyDescent="0.25">
      <c r="A178" s="22" t="s">
        <v>6865</v>
      </c>
      <c r="B178" s="22" t="s">
        <v>4074</v>
      </c>
      <c r="C178" s="22" t="s">
        <v>4075</v>
      </c>
      <c r="D178" s="22" t="s">
        <v>5607</v>
      </c>
      <c r="E178" s="22" t="s">
        <v>4076</v>
      </c>
      <c r="F178" s="22">
        <v>1</v>
      </c>
      <c r="G178" s="22">
        <v>40</v>
      </c>
      <c r="H178" s="22"/>
      <c r="I178" s="22"/>
    </row>
    <row r="179" spans="1:9" ht="84" x14ac:dyDescent="0.25">
      <c r="A179" s="22" t="s">
        <v>6866</v>
      </c>
      <c r="B179" s="22" t="s">
        <v>4074</v>
      </c>
      <c r="C179" s="22" t="s">
        <v>4075</v>
      </c>
      <c r="D179" s="22" t="s">
        <v>5607</v>
      </c>
      <c r="E179" s="22" t="s">
        <v>4076</v>
      </c>
      <c r="F179" s="22">
        <v>1</v>
      </c>
      <c r="G179" s="22">
        <v>40</v>
      </c>
      <c r="H179" s="22"/>
      <c r="I179" s="22"/>
    </row>
    <row r="180" spans="1:9" ht="84" x14ac:dyDescent="0.25">
      <c r="A180" s="22" t="s">
        <v>6867</v>
      </c>
      <c r="B180" s="22" t="s">
        <v>4074</v>
      </c>
      <c r="C180" s="22" t="s">
        <v>4075</v>
      </c>
      <c r="D180" s="22" t="s">
        <v>5607</v>
      </c>
      <c r="E180" s="22" t="s">
        <v>4076</v>
      </c>
      <c r="F180" s="22">
        <v>1</v>
      </c>
      <c r="G180" s="22">
        <v>40</v>
      </c>
      <c r="H180" s="22"/>
      <c r="I180" s="22"/>
    </row>
    <row r="181" spans="1:9" ht="84" x14ac:dyDescent="0.25">
      <c r="A181" s="22" t="s">
        <v>6868</v>
      </c>
      <c r="B181" s="22" t="s">
        <v>4074</v>
      </c>
      <c r="C181" s="22" t="s">
        <v>4075</v>
      </c>
      <c r="D181" s="22" t="s">
        <v>5607</v>
      </c>
      <c r="E181" s="22" t="s">
        <v>4076</v>
      </c>
      <c r="F181" s="22">
        <v>1</v>
      </c>
      <c r="G181" s="22">
        <v>40</v>
      </c>
      <c r="H181" s="22"/>
      <c r="I181" s="22"/>
    </row>
    <row r="182" spans="1:9" ht="84" x14ac:dyDescent="0.25">
      <c r="A182" s="22" t="s">
        <v>6869</v>
      </c>
      <c r="B182" s="22" t="s">
        <v>4074</v>
      </c>
      <c r="C182" s="22" t="s">
        <v>4075</v>
      </c>
      <c r="D182" s="22" t="s">
        <v>5607</v>
      </c>
      <c r="E182" s="22" t="s">
        <v>4076</v>
      </c>
      <c r="F182" s="22">
        <v>1</v>
      </c>
      <c r="G182" s="22">
        <v>40</v>
      </c>
      <c r="H182" s="22"/>
      <c r="I182" s="22"/>
    </row>
    <row r="183" spans="1:9" ht="84" x14ac:dyDescent="0.25">
      <c r="A183" s="22" t="s">
        <v>6870</v>
      </c>
      <c r="B183" s="22" t="s">
        <v>4074</v>
      </c>
      <c r="C183" s="22" t="s">
        <v>4075</v>
      </c>
      <c r="D183" s="22" t="s">
        <v>5607</v>
      </c>
      <c r="E183" s="22" t="s">
        <v>4076</v>
      </c>
      <c r="F183" s="22">
        <v>1</v>
      </c>
      <c r="G183" s="22">
        <v>40</v>
      </c>
      <c r="H183" s="22"/>
      <c r="I183" s="22"/>
    </row>
    <row r="184" spans="1:9" ht="84" x14ac:dyDescent="0.25">
      <c r="A184" s="22" t="s">
        <v>6871</v>
      </c>
      <c r="B184" s="22" t="s">
        <v>4074</v>
      </c>
      <c r="C184" s="22" t="s">
        <v>4075</v>
      </c>
      <c r="D184" s="22" t="s">
        <v>5607</v>
      </c>
      <c r="E184" s="22" t="s">
        <v>4076</v>
      </c>
      <c r="F184" s="22">
        <v>1</v>
      </c>
      <c r="G184" s="22">
        <v>40</v>
      </c>
      <c r="H184" s="22"/>
      <c r="I184" s="22"/>
    </row>
    <row r="185" spans="1:9" ht="84" x14ac:dyDescent="0.25">
      <c r="A185" s="22" t="s">
        <v>6872</v>
      </c>
      <c r="B185" s="22" t="s">
        <v>4074</v>
      </c>
      <c r="C185" s="22" t="s">
        <v>4075</v>
      </c>
      <c r="D185" s="22" t="s">
        <v>5607</v>
      </c>
      <c r="E185" s="22" t="s">
        <v>4076</v>
      </c>
      <c r="F185" s="22">
        <v>1</v>
      </c>
      <c r="G185" s="22">
        <v>40</v>
      </c>
      <c r="H185" s="22"/>
      <c r="I185" s="22"/>
    </row>
    <row r="186" spans="1:9" ht="84" x14ac:dyDescent="0.25">
      <c r="A186" s="22" t="s">
        <v>6873</v>
      </c>
      <c r="B186" s="22" t="s">
        <v>4074</v>
      </c>
      <c r="C186" s="22" t="s">
        <v>4075</v>
      </c>
      <c r="D186" s="22" t="s">
        <v>5607</v>
      </c>
      <c r="E186" s="22" t="s">
        <v>4076</v>
      </c>
      <c r="F186" s="22">
        <v>1</v>
      </c>
      <c r="G186" s="22">
        <v>40</v>
      </c>
      <c r="H186" s="22"/>
      <c r="I186" s="22"/>
    </row>
    <row r="187" spans="1:9" ht="84" x14ac:dyDescent="0.25">
      <c r="A187" s="22" t="s">
        <v>6874</v>
      </c>
      <c r="B187" s="22" t="s">
        <v>4351</v>
      </c>
      <c r="C187" s="22" t="s">
        <v>4352</v>
      </c>
      <c r="D187" s="22" t="s">
        <v>4913</v>
      </c>
      <c r="E187" s="22" t="s">
        <v>4353</v>
      </c>
      <c r="F187" s="22">
        <v>1</v>
      </c>
      <c r="G187" s="22">
        <v>85</v>
      </c>
      <c r="H187" s="22"/>
      <c r="I187" s="22"/>
    </row>
    <row r="188" spans="1:9" ht="84" x14ac:dyDescent="0.25">
      <c r="A188" s="22" t="s">
        <v>6875</v>
      </c>
      <c r="B188" s="22" t="s">
        <v>4351</v>
      </c>
      <c r="C188" s="22" t="s">
        <v>4352</v>
      </c>
      <c r="D188" s="22" t="s">
        <v>4913</v>
      </c>
      <c r="E188" s="22" t="s">
        <v>4353</v>
      </c>
      <c r="F188" s="22">
        <v>1</v>
      </c>
      <c r="G188" s="22">
        <v>85</v>
      </c>
      <c r="H188" s="22"/>
      <c r="I188" s="22"/>
    </row>
    <row r="189" spans="1:9" ht="84" x14ac:dyDescent="0.25">
      <c r="A189" s="22" t="s">
        <v>6876</v>
      </c>
      <c r="B189" s="22" t="s">
        <v>4351</v>
      </c>
      <c r="C189" s="22" t="s">
        <v>4352</v>
      </c>
      <c r="D189" s="22" t="s">
        <v>4913</v>
      </c>
      <c r="E189" s="22" t="s">
        <v>4353</v>
      </c>
      <c r="F189" s="22">
        <v>1</v>
      </c>
      <c r="G189" s="22">
        <v>85</v>
      </c>
      <c r="H189" s="22"/>
      <c r="I189" s="22"/>
    </row>
    <row r="190" spans="1:9" ht="84" x14ac:dyDescent="0.25">
      <c r="A190" s="22" t="s">
        <v>6877</v>
      </c>
      <c r="B190" s="22" t="s">
        <v>4351</v>
      </c>
      <c r="C190" s="22" t="s">
        <v>4352</v>
      </c>
      <c r="D190" s="22" t="s">
        <v>4913</v>
      </c>
      <c r="E190" s="22" t="s">
        <v>4353</v>
      </c>
      <c r="F190" s="22">
        <v>1</v>
      </c>
      <c r="G190" s="22">
        <v>85</v>
      </c>
      <c r="H190" s="22"/>
      <c r="I190" s="22"/>
    </row>
    <row r="191" spans="1:9" ht="84" x14ac:dyDescent="0.25">
      <c r="A191" s="22" t="s">
        <v>6878</v>
      </c>
      <c r="B191" s="22" t="s">
        <v>4351</v>
      </c>
      <c r="C191" s="22" t="s">
        <v>4352</v>
      </c>
      <c r="D191" s="22" t="s">
        <v>4955</v>
      </c>
      <c r="E191" s="22" t="s">
        <v>4353</v>
      </c>
      <c r="F191" s="22">
        <v>1</v>
      </c>
      <c r="G191" s="22">
        <v>85</v>
      </c>
      <c r="H191" s="22"/>
      <c r="I191" s="22"/>
    </row>
    <row r="192" spans="1:9" ht="84" x14ac:dyDescent="0.25">
      <c r="A192" s="22" t="s">
        <v>6879</v>
      </c>
      <c r="B192" s="22" t="s">
        <v>4351</v>
      </c>
      <c r="C192" s="22" t="s">
        <v>4352</v>
      </c>
      <c r="D192" s="22" t="s">
        <v>4955</v>
      </c>
      <c r="E192" s="22" t="s">
        <v>4353</v>
      </c>
      <c r="F192" s="22">
        <v>1</v>
      </c>
      <c r="G192" s="22">
        <v>85</v>
      </c>
      <c r="H192" s="22"/>
      <c r="I192" s="22"/>
    </row>
    <row r="193" spans="1:9" ht="126" x14ac:dyDescent="0.25">
      <c r="A193" s="22" t="s">
        <v>6880</v>
      </c>
      <c r="B193" s="22" t="s">
        <v>4400</v>
      </c>
      <c r="C193" s="22" t="s">
        <v>4401</v>
      </c>
      <c r="D193" s="22" t="s">
        <v>4346</v>
      </c>
      <c r="E193" s="22" t="s">
        <v>4402</v>
      </c>
      <c r="F193" s="22">
        <v>1</v>
      </c>
      <c r="G193" s="22">
        <v>110</v>
      </c>
      <c r="H193" s="22"/>
      <c r="I193" s="22"/>
    </row>
    <row r="194" spans="1:9" ht="126" x14ac:dyDescent="0.25">
      <c r="A194" s="22" t="s">
        <v>6881</v>
      </c>
      <c r="B194" s="22" t="s">
        <v>4400</v>
      </c>
      <c r="C194" s="22" t="s">
        <v>4401</v>
      </c>
      <c r="D194" s="22" t="s">
        <v>4346</v>
      </c>
      <c r="E194" s="22" t="s">
        <v>4402</v>
      </c>
      <c r="F194" s="22">
        <v>1</v>
      </c>
      <c r="G194" s="22">
        <v>110</v>
      </c>
      <c r="H194" s="22"/>
      <c r="I194" s="22"/>
    </row>
    <row r="195" spans="1:9" ht="126" x14ac:dyDescent="0.25">
      <c r="A195" s="22" t="s">
        <v>6882</v>
      </c>
      <c r="B195" s="22" t="s">
        <v>4400</v>
      </c>
      <c r="C195" s="22" t="s">
        <v>4401</v>
      </c>
      <c r="D195" s="22" t="s">
        <v>5664</v>
      </c>
      <c r="E195" s="22" t="s">
        <v>4402</v>
      </c>
      <c r="F195" s="22">
        <v>1</v>
      </c>
      <c r="G195" s="22">
        <v>110</v>
      </c>
      <c r="H195" s="22"/>
      <c r="I195" s="22"/>
    </row>
    <row r="196" spans="1:9" ht="126" x14ac:dyDescent="0.25">
      <c r="A196" s="22" t="s">
        <v>6883</v>
      </c>
      <c r="B196" s="22" t="s">
        <v>4400</v>
      </c>
      <c r="C196" s="22" t="s">
        <v>4401</v>
      </c>
      <c r="D196" s="22" t="s">
        <v>5664</v>
      </c>
      <c r="E196" s="22" t="s">
        <v>4402</v>
      </c>
      <c r="F196" s="22">
        <v>1</v>
      </c>
      <c r="G196" s="22">
        <v>110</v>
      </c>
      <c r="H196" s="22"/>
      <c r="I196" s="22"/>
    </row>
    <row r="197" spans="1:9" ht="105" x14ac:dyDescent="0.25">
      <c r="A197" s="22" t="s">
        <v>6884</v>
      </c>
      <c r="B197" s="22" t="s">
        <v>4525</v>
      </c>
      <c r="C197" s="22" t="s">
        <v>4526</v>
      </c>
      <c r="D197" s="22" t="s">
        <v>4913</v>
      </c>
      <c r="E197" s="22" t="s">
        <v>4527</v>
      </c>
      <c r="F197" s="22">
        <v>1</v>
      </c>
      <c r="G197" s="22">
        <v>70</v>
      </c>
      <c r="H197" s="22"/>
      <c r="I197" s="22"/>
    </row>
    <row r="198" spans="1:9" ht="105" x14ac:dyDescent="0.25">
      <c r="A198" s="22" t="s">
        <v>6885</v>
      </c>
      <c r="B198" s="22" t="s">
        <v>4525</v>
      </c>
      <c r="C198" s="22" t="s">
        <v>4526</v>
      </c>
      <c r="D198" s="22" t="s">
        <v>4955</v>
      </c>
      <c r="E198" s="22" t="s">
        <v>4527</v>
      </c>
      <c r="F198" s="22">
        <v>1</v>
      </c>
      <c r="G198" s="22">
        <v>70</v>
      </c>
      <c r="H198" s="22"/>
      <c r="I198" s="22"/>
    </row>
    <row r="199" spans="1:9" ht="105" x14ac:dyDescent="0.25">
      <c r="A199" s="22" t="s">
        <v>6886</v>
      </c>
      <c r="B199" s="22" t="s">
        <v>4644</v>
      </c>
      <c r="C199" s="22" t="s">
        <v>4645</v>
      </c>
      <c r="D199" s="22" t="s">
        <v>4346</v>
      </c>
      <c r="E199" s="22" t="s">
        <v>5155</v>
      </c>
      <c r="F199" s="22">
        <v>1</v>
      </c>
      <c r="G199" s="22">
        <v>140</v>
      </c>
      <c r="H199" s="22"/>
      <c r="I199" s="22"/>
    </row>
    <row r="206" spans="1:9" ht="42" x14ac:dyDescent="0.25">
      <c r="A206" s="6" t="s">
        <v>2971</v>
      </c>
      <c r="H206" s="6" t="s">
        <v>2972</v>
      </c>
    </row>
    <row r="208" spans="1:9" ht="63" x14ac:dyDescent="0.25">
      <c r="A208" s="6" t="s">
        <v>31</v>
      </c>
      <c r="B208" s="6" t="s">
        <v>161</v>
      </c>
      <c r="D208" s="6" t="s">
        <v>2976</v>
      </c>
      <c r="G208" s="6" t="s">
        <v>2961</v>
      </c>
      <c r="H208" s="6" t="str">
        <f>IFERROR(VLOOKUP(B208,Seller_Details!A:C,3,0),"Not Found")</f>
        <v>Deira Gold Souq; Opp Gold Center;Deira</v>
      </c>
    </row>
    <row r="209" spans="1:9" x14ac:dyDescent="0.25">
      <c r="A209" s="6" t="s">
        <v>13</v>
      </c>
      <c r="B209" s="6" t="str">
        <f>IFERROR(VLOOKUP(B208,Seller_Details!A:C,2,0),"Not Found")</f>
        <v>V00200</v>
      </c>
      <c r="G209" s="6" t="s">
        <v>2962</v>
      </c>
      <c r="H209" s="24">
        <v>42819</v>
      </c>
    </row>
    <row r="212" spans="1:9" ht="42" x14ac:dyDescent="0.25">
      <c r="A212" s="22" t="s">
        <v>2963</v>
      </c>
      <c r="B212" s="22" t="s">
        <v>2964</v>
      </c>
      <c r="C212" s="22" t="s">
        <v>2965</v>
      </c>
      <c r="D212" s="22" t="s">
        <v>2966</v>
      </c>
      <c r="E212" s="22" t="s">
        <v>2967</v>
      </c>
      <c r="F212" s="22" t="s">
        <v>6</v>
      </c>
      <c r="G212" s="22" t="s">
        <v>2968</v>
      </c>
      <c r="H212" s="22" t="s">
        <v>2969</v>
      </c>
      <c r="I212" s="22" t="s">
        <v>2970</v>
      </c>
    </row>
    <row r="213" spans="1:9" ht="63" x14ac:dyDescent="0.25">
      <c r="A213" s="22" t="s">
        <v>6887</v>
      </c>
      <c r="B213" s="22" t="s">
        <v>4404</v>
      </c>
      <c r="C213" s="22" t="s">
        <v>4405</v>
      </c>
      <c r="D213" s="22" t="s">
        <v>6300</v>
      </c>
      <c r="E213" s="22" t="s">
        <v>4406</v>
      </c>
      <c r="F213" s="22">
        <v>1</v>
      </c>
      <c r="G213" s="22">
        <v>1595</v>
      </c>
      <c r="H213" s="22"/>
      <c r="I213" s="22"/>
    </row>
    <row r="214" spans="1:9" ht="147" x14ac:dyDescent="0.25">
      <c r="A214" s="22" t="s">
        <v>6888</v>
      </c>
      <c r="B214" s="22" t="s">
        <v>4672</v>
      </c>
      <c r="C214" s="22" t="s">
        <v>4673</v>
      </c>
      <c r="D214" s="22" t="s">
        <v>6390</v>
      </c>
      <c r="E214" s="22" t="s">
        <v>4674</v>
      </c>
      <c r="F214" s="22">
        <v>1</v>
      </c>
      <c r="G214" s="22">
        <v>2675</v>
      </c>
      <c r="H214" s="22"/>
      <c r="I214" s="22"/>
    </row>
    <row r="215" spans="1:9" ht="147" x14ac:dyDescent="0.25">
      <c r="A215" s="22" t="s">
        <v>6889</v>
      </c>
      <c r="B215" s="22" t="s">
        <v>4672</v>
      </c>
      <c r="C215" s="22" t="s">
        <v>4673</v>
      </c>
      <c r="D215" s="22" t="s">
        <v>6390</v>
      </c>
      <c r="E215" s="22" t="s">
        <v>4674</v>
      </c>
      <c r="F215" s="22">
        <v>1</v>
      </c>
      <c r="G215" s="22">
        <v>2675</v>
      </c>
      <c r="H215" s="22"/>
      <c r="I215" s="22"/>
    </row>
    <row r="216" spans="1:9" ht="105" x14ac:dyDescent="0.25">
      <c r="A216" s="22" t="s">
        <v>6890</v>
      </c>
      <c r="B216" s="22" t="s">
        <v>4691</v>
      </c>
      <c r="C216" s="22" t="s">
        <v>4692</v>
      </c>
      <c r="D216" s="22" t="s">
        <v>4689</v>
      </c>
      <c r="E216" s="22" t="s">
        <v>5458</v>
      </c>
      <c r="F216" s="22">
        <v>1</v>
      </c>
      <c r="G216" s="22">
        <v>404</v>
      </c>
      <c r="H216" s="22"/>
      <c r="I216" s="22"/>
    </row>
    <row r="217" spans="1:9" ht="105" x14ac:dyDescent="0.25">
      <c r="A217" s="22" t="s">
        <v>6891</v>
      </c>
      <c r="B217" s="22" t="s">
        <v>5235</v>
      </c>
      <c r="C217" s="22" t="s">
        <v>5236</v>
      </c>
      <c r="D217" s="22" t="s">
        <v>5238</v>
      </c>
      <c r="E217" s="22" t="s">
        <v>5237</v>
      </c>
      <c r="F217" s="22">
        <v>1</v>
      </c>
      <c r="G217" s="22">
        <v>198</v>
      </c>
      <c r="H217" s="22"/>
      <c r="I217" s="22"/>
    </row>
    <row r="224" spans="1:9" ht="42" x14ac:dyDescent="0.25">
      <c r="A224" s="6" t="s">
        <v>2971</v>
      </c>
      <c r="H224" s="6" t="s">
        <v>2972</v>
      </c>
    </row>
    <row r="226" spans="1:9" ht="84" x14ac:dyDescent="0.25">
      <c r="A226" s="6" t="s">
        <v>31</v>
      </c>
      <c r="B226" s="6" t="s">
        <v>643</v>
      </c>
      <c r="D226" s="6" t="s">
        <v>2977</v>
      </c>
      <c r="G226" s="6" t="s">
        <v>2961</v>
      </c>
      <c r="H226" s="6" t="str">
        <f>IFERROR(VLOOKUP(B226,Seller_Details!A:C,3,0),"Not Found")</f>
        <v>918; B Block; Business village; Clock tower deira Dubai</v>
      </c>
    </row>
    <row r="227" spans="1:9" x14ac:dyDescent="0.25">
      <c r="A227" s="6" t="s">
        <v>13</v>
      </c>
      <c r="B227" s="6" t="str">
        <f>IFERROR(VLOOKUP(B226,Seller_Details!A:C,2,0),"Not Found")</f>
        <v>V00372</v>
      </c>
      <c r="G227" s="6" t="s">
        <v>2962</v>
      </c>
      <c r="H227" s="24">
        <v>42819</v>
      </c>
    </row>
    <row r="230" spans="1:9" ht="42" x14ac:dyDescent="0.25">
      <c r="A230" s="22" t="s">
        <v>2963</v>
      </c>
      <c r="B230" s="22" t="s">
        <v>2964</v>
      </c>
      <c r="C230" s="22" t="s">
        <v>2965</v>
      </c>
      <c r="D230" s="22" t="s">
        <v>2966</v>
      </c>
      <c r="E230" s="22" t="s">
        <v>2967</v>
      </c>
      <c r="F230" s="22" t="s">
        <v>6</v>
      </c>
      <c r="G230" s="22" t="s">
        <v>2968</v>
      </c>
      <c r="H230" s="22" t="s">
        <v>2969</v>
      </c>
      <c r="I230" s="22" t="s">
        <v>2970</v>
      </c>
    </row>
    <row r="231" spans="1:9" ht="84" x14ac:dyDescent="0.25">
      <c r="A231" s="22" t="s">
        <v>6892</v>
      </c>
      <c r="B231" s="22" t="s">
        <v>3475</v>
      </c>
      <c r="C231" s="22" t="s">
        <v>3476</v>
      </c>
      <c r="D231" s="22" t="s">
        <v>4379</v>
      </c>
      <c r="E231" s="22" t="s">
        <v>4958</v>
      </c>
      <c r="F231" s="22">
        <v>1</v>
      </c>
      <c r="G231" s="22">
        <v>138</v>
      </c>
      <c r="H231" s="22"/>
      <c r="I231" s="22"/>
    </row>
    <row r="232" spans="1:9" ht="84" x14ac:dyDescent="0.25">
      <c r="A232" s="22" t="s">
        <v>6893</v>
      </c>
      <c r="B232" s="22" t="s">
        <v>3475</v>
      </c>
      <c r="C232" s="22" t="s">
        <v>3476</v>
      </c>
      <c r="D232" s="22" t="s">
        <v>5197</v>
      </c>
      <c r="E232" s="22" t="s">
        <v>4958</v>
      </c>
      <c r="F232" s="22">
        <v>1</v>
      </c>
      <c r="G232" s="22">
        <v>138</v>
      </c>
      <c r="H232" s="22"/>
      <c r="I232" s="22"/>
    </row>
    <row r="233" spans="1:9" ht="84" x14ac:dyDescent="0.25">
      <c r="A233" s="22" t="s">
        <v>6894</v>
      </c>
      <c r="B233" s="22" t="s">
        <v>3475</v>
      </c>
      <c r="C233" s="22" t="s">
        <v>3476</v>
      </c>
      <c r="D233" s="22" t="s">
        <v>6134</v>
      </c>
      <c r="E233" s="22" t="s">
        <v>4958</v>
      </c>
      <c r="F233" s="22">
        <v>1</v>
      </c>
      <c r="G233" s="22">
        <v>138</v>
      </c>
      <c r="H233" s="22"/>
      <c r="I233" s="22"/>
    </row>
    <row r="234" spans="1:9" ht="84" x14ac:dyDescent="0.25">
      <c r="A234" s="22" t="s">
        <v>6895</v>
      </c>
      <c r="B234" s="22" t="s">
        <v>3475</v>
      </c>
      <c r="C234" s="22" t="s">
        <v>3476</v>
      </c>
      <c r="D234" s="22" t="s">
        <v>6134</v>
      </c>
      <c r="E234" s="22" t="s">
        <v>4958</v>
      </c>
      <c r="F234" s="22">
        <v>1</v>
      </c>
      <c r="G234" s="22">
        <v>138</v>
      </c>
      <c r="H234" s="22"/>
      <c r="I234" s="22"/>
    </row>
    <row r="235" spans="1:9" ht="63" x14ac:dyDescent="0.25">
      <c r="A235" s="22" t="s">
        <v>6896</v>
      </c>
      <c r="B235" s="22" t="s">
        <v>3677</v>
      </c>
      <c r="C235" s="22" t="s">
        <v>3678</v>
      </c>
      <c r="D235" s="22" t="s">
        <v>4871</v>
      </c>
      <c r="E235" s="22" t="s">
        <v>4870</v>
      </c>
      <c r="F235" s="22">
        <v>1</v>
      </c>
      <c r="G235" s="22">
        <v>104</v>
      </c>
      <c r="H235" s="22"/>
      <c r="I235" s="22"/>
    </row>
    <row r="236" spans="1:9" ht="63" x14ac:dyDescent="0.25">
      <c r="A236" s="22" t="s">
        <v>6897</v>
      </c>
      <c r="B236" s="22" t="s">
        <v>3677</v>
      </c>
      <c r="C236" s="22" t="s">
        <v>3678</v>
      </c>
      <c r="D236" s="22" t="s">
        <v>4871</v>
      </c>
      <c r="E236" s="22" t="s">
        <v>4870</v>
      </c>
      <c r="F236" s="22">
        <v>1</v>
      </c>
      <c r="G236" s="22">
        <v>104</v>
      </c>
      <c r="H236" s="22"/>
      <c r="I236" s="22"/>
    </row>
    <row r="237" spans="1:9" ht="63" x14ac:dyDescent="0.25">
      <c r="A237" s="22" t="s">
        <v>6898</v>
      </c>
      <c r="B237" s="22" t="s">
        <v>3677</v>
      </c>
      <c r="C237" s="22" t="s">
        <v>3678</v>
      </c>
      <c r="D237" s="22" t="s">
        <v>4871</v>
      </c>
      <c r="E237" s="22" t="s">
        <v>4870</v>
      </c>
      <c r="F237" s="22">
        <v>1</v>
      </c>
      <c r="G237" s="22">
        <v>104</v>
      </c>
      <c r="H237" s="22"/>
      <c r="I237" s="22"/>
    </row>
    <row r="238" spans="1:9" ht="84" x14ac:dyDescent="0.25">
      <c r="A238" s="22" t="s">
        <v>6899</v>
      </c>
      <c r="B238" s="22" t="s">
        <v>3718</v>
      </c>
      <c r="C238" s="22" t="s">
        <v>3719</v>
      </c>
      <c r="D238" s="22" t="s">
        <v>4871</v>
      </c>
      <c r="E238" s="22" t="s">
        <v>4872</v>
      </c>
      <c r="F238" s="22">
        <v>1</v>
      </c>
      <c r="G238" s="22">
        <v>82</v>
      </c>
      <c r="H238" s="22"/>
      <c r="I238" s="22"/>
    </row>
    <row r="239" spans="1:9" ht="84" x14ac:dyDescent="0.25">
      <c r="A239" s="22" t="s">
        <v>6900</v>
      </c>
      <c r="B239" s="22" t="s">
        <v>3966</v>
      </c>
      <c r="C239" s="22" t="s">
        <v>3967</v>
      </c>
      <c r="D239" s="22" t="s">
        <v>4871</v>
      </c>
      <c r="E239" s="22" t="s">
        <v>6153</v>
      </c>
      <c r="F239" s="22">
        <v>1</v>
      </c>
      <c r="G239" s="22">
        <v>46</v>
      </c>
      <c r="H239" s="22"/>
      <c r="I239" s="22"/>
    </row>
    <row r="240" spans="1:9" ht="84" x14ac:dyDescent="0.25">
      <c r="A240" s="22" t="s">
        <v>6901</v>
      </c>
      <c r="B240" s="22" t="s">
        <v>3991</v>
      </c>
      <c r="C240" s="22" t="s">
        <v>3992</v>
      </c>
      <c r="D240" s="22" t="s">
        <v>4871</v>
      </c>
      <c r="E240" s="22" t="s">
        <v>6132</v>
      </c>
      <c r="F240" s="22">
        <v>1</v>
      </c>
      <c r="G240" s="22">
        <v>38</v>
      </c>
      <c r="H240" s="22"/>
      <c r="I240" s="22"/>
    </row>
    <row r="241" spans="1:9" ht="84" x14ac:dyDescent="0.25">
      <c r="A241" s="22" t="s">
        <v>6902</v>
      </c>
      <c r="B241" s="22" t="s">
        <v>3991</v>
      </c>
      <c r="C241" s="22" t="s">
        <v>3992</v>
      </c>
      <c r="D241" s="22" t="s">
        <v>4957</v>
      </c>
      <c r="E241" s="22" t="s">
        <v>6132</v>
      </c>
      <c r="F241" s="22">
        <v>1</v>
      </c>
      <c r="G241" s="22">
        <v>38</v>
      </c>
      <c r="H241" s="22"/>
      <c r="I241" s="22"/>
    </row>
    <row r="242" spans="1:9" ht="84" x14ac:dyDescent="0.25">
      <c r="A242" s="22" t="s">
        <v>6903</v>
      </c>
      <c r="B242" s="22" t="s">
        <v>4047</v>
      </c>
      <c r="C242" s="22" t="s">
        <v>4048</v>
      </c>
      <c r="D242" s="22" t="s">
        <v>4379</v>
      </c>
      <c r="E242" s="22" t="s">
        <v>5347</v>
      </c>
      <c r="F242" s="22">
        <v>1</v>
      </c>
      <c r="G242" s="22">
        <v>504</v>
      </c>
      <c r="H242" s="22"/>
      <c r="I242" s="22"/>
    </row>
    <row r="243" spans="1:9" ht="84" x14ac:dyDescent="0.25">
      <c r="A243" s="22" t="s">
        <v>6904</v>
      </c>
      <c r="B243" s="22" t="s">
        <v>4047</v>
      </c>
      <c r="C243" s="22" t="s">
        <v>4048</v>
      </c>
      <c r="D243" s="22" t="s">
        <v>4957</v>
      </c>
      <c r="E243" s="22" t="s">
        <v>5347</v>
      </c>
      <c r="F243" s="22">
        <v>1</v>
      </c>
      <c r="G243" s="22">
        <v>504</v>
      </c>
      <c r="H243" s="22"/>
      <c r="I243" s="22"/>
    </row>
    <row r="244" spans="1:9" ht="63" x14ac:dyDescent="0.25">
      <c r="A244" s="22" t="s">
        <v>6905</v>
      </c>
      <c r="B244" s="22" t="s">
        <v>4085</v>
      </c>
      <c r="C244" s="22" t="s">
        <v>4086</v>
      </c>
      <c r="D244" s="22" t="s">
        <v>4379</v>
      </c>
      <c r="E244" s="22" t="s">
        <v>5153</v>
      </c>
      <c r="F244" s="22">
        <v>1</v>
      </c>
      <c r="G244" s="22">
        <v>50</v>
      </c>
      <c r="H244" s="22"/>
      <c r="I244" s="22"/>
    </row>
    <row r="245" spans="1:9" ht="63" x14ac:dyDescent="0.25">
      <c r="A245" s="22" t="s">
        <v>6906</v>
      </c>
      <c r="B245" s="22" t="s">
        <v>4085</v>
      </c>
      <c r="C245" s="22" t="s">
        <v>4086</v>
      </c>
      <c r="D245" s="22" t="s">
        <v>4871</v>
      </c>
      <c r="E245" s="22" t="s">
        <v>5153</v>
      </c>
      <c r="F245" s="22">
        <v>1</v>
      </c>
      <c r="G245" s="22">
        <v>50</v>
      </c>
      <c r="H245" s="22"/>
      <c r="I245" s="22"/>
    </row>
    <row r="246" spans="1:9" ht="63" x14ac:dyDescent="0.25">
      <c r="A246" s="22" t="s">
        <v>6907</v>
      </c>
      <c r="B246" s="22" t="s">
        <v>4085</v>
      </c>
      <c r="C246" s="22" t="s">
        <v>4086</v>
      </c>
      <c r="D246" s="22" t="s">
        <v>4871</v>
      </c>
      <c r="E246" s="22" t="s">
        <v>5153</v>
      </c>
      <c r="F246" s="22">
        <v>1</v>
      </c>
      <c r="G246" s="22">
        <v>50</v>
      </c>
      <c r="H246" s="22"/>
      <c r="I246" s="22"/>
    </row>
    <row r="247" spans="1:9" ht="63" x14ac:dyDescent="0.25">
      <c r="A247" s="22" t="s">
        <v>6908</v>
      </c>
      <c r="B247" s="22" t="s">
        <v>4085</v>
      </c>
      <c r="C247" s="22" t="s">
        <v>4086</v>
      </c>
      <c r="D247" s="22" t="s">
        <v>4871</v>
      </c>
      <c r="E247" s="22" t="s">
        <v>5153</v>
      </c>
      <c r="F247" s="22">
        <v>1</v>
      </c>
      <c r="G247" s="22">
        <v>50</v>
      </c>
      <c r="H247" s="22"/>
      <c r="I247" s="22"/>
    </row>
    <row r="248" spans="1:9" ht="84" x14ac:dyDescent="0.25">
      <c r="A248" s="22" t="s">
        <v>6909</v>
      </c>
      <c r="B248" s="22" t="s">
        <v>4117</v>
      </c>
      <c r="C248" s="22" t="s">
        <v>4118</v>
      </c>
      <c r="D248" s="22" t="s">
        <v>3968</v>
      </c>
      <c r="E248" s="22" t="s">
        <v>4928</v>
      </c>
      <c r="F248" s="22">
        <v>1</v>
      </c>
      <c r="G248" s="22">
        <v>78</v>
      </c>
      <c r="H248" s="22"/>
      <c r="I248" s="22"/>
    </row>
    <row r="249" spans="1:9" ht="84" x14ac:dyDescent="0.25">
      <c r="A249" s="22" t="s">
        <v>6910</v>
      </c>
      <c r="B249" s="22" t="s">
        <v>4174</v>
      </c>
      <c r="C249" s="22" t="s">
        <v>4175</v>
      </c>
      <c r="D249" s="22" t="s">
        <v>4379</v>
      </c>
      <c r="E249" s="22" t="s">
        <v>5217</v>
      </c>
      <c r="F249" s="22">
        <v>1</v>
      </c>
      <c r="G249" s="22">
        <v>42</v>
      </c>
      <c r="H249" s="22"/>
      <c r="I249" s="22"/>
    </row>
    <row r="250" spans="1:9" ht="84" x14ac:dyDescent="0.25">
      <c r="A250" s="22" t="s">
        <v>6911</v>
      </c>
      <c r="B250" s="22" t="s">
        <v>4174</v>
      </c>
      <c r="C250" s="22" t="s">
        <v>4175</v>
      </c>
      <c r="D250" s="22" t="s">
        <v>4379</v>
      </c>
      <c r="E250" s="22" t="s">
        <v>5217</v>
      </c>
      <c r="F250" s="22">
        <v>1</v>
      </c>
      <c r="G250" s="22">
        <v>42</v>
      </c>
      <c r="H250" s="22"/>
      <c r="I250" s="22"/>
    </row>
    <row r="251" spans="1:9" ht="84" x14ac:dyDescent="0.25">
      <c r="A251" s="22" t="s">
        <v>6912</v>
      </c>
      <c r="B251" s="22" t="s">
        <v>4174</v>
      </c>
      <c r="C251" s="22" t="s">
        <v>4175</v>
      </c>
      <c r="D251" s="22" t="s">
        <v>4379</v>
      </c>
      <c r="E251" s="22" t="s">
        <v>5217</v>
      </c>
      <c r="F251" s="22">
        <v>1</v>
      </c>
      <c r="G251" s="22">
        <v>42</v>
      </c>
      <c r="H251" s="22"/>
      <c r="I251" s="22"/>
    </row>
    <row r="252" spans="1:9" ht="84" x14ac:dyDescent="0.25">
      <c r="A252" s="22" t="s">
        <v>6913</v>
      </c>
      <c r="B252" s="22" t="s">
        <v>4174</v>
      </c>
      <c r="C252" s="22" t="s">
        <v>4175</v>
      </c>
      <c r="D252" s="22" t="s">
        <v>4871</v>
      </c>
      <c r="E252" s="22" t="s">
        <v>5217</v>
      </c>
      <c r="F252" s="22">
        <v>1</v>
      </c>
      <c r="G252" s="22">
        <v>42</v>
      </c>
      <c r="H252" s="22"/>
      <c r="I252" s="22"/>
    </row>
    <row r="253" spans="1:9" ht="84" x14ac:dyDescent="0.25">
      <c r="A253" s="22" t="s">
        <v>6914</v>
      </c>
      <c r="B253" s="22" t="s">
        <v>4174</v>
      </c>
      <c r="C253" s="22" t="s">
        <v>4175</v>
      </c>
      <c r="D253" s="22" t="s">
        <v>4871</v>
      </c>
      <c r="E253" s="22" t="s">
        <v>5217</v>
      </c>
      <c r="F253" s="22">
        <v>1</v>
      </c>
      <c r="G253" s="22">
        <v>42</v>
      </c>
      <c r="H253" s="22"/>
      <c r="I253" s="22"/>
    </row>
    <row r="254" spans="1:9" ht="84" x14ac:dyDescent="0.25">
      <c r="A254" s="22" t="s">
        <v>6915</v>
      </c>
      <c r="B254" s="22" t="s">
        <v>4174</v>
      </c>
      <c r="C254" s="22" t="s">
        <v>4175</v>
      </c>
      <c r="D254" s="22" t="s">
        <v>4871</v>
      </c>
      <c r="E254" s="22" t="s">
        <v>5217</v>
      </c>
      <c r="F254" s="22">
        <v>1</v>
      </c>
      <c r="G254" s="22">
        <v>42</v>
      </c>
      <c r="H254" s="22"/>
      <c r="I254" s="22"/>
    </row>
    <row r="255" spans="1:9" ht="63" x14ac:dyDescent="0.25">
      <c r="A255" s="22" t="s">
        <v>6916</v>
      </c>
      <c r="B255" s="22" t="s">
        <v>4191</v>
      </c>
      <c r="C255" s="22" t="s">
        <v>4192</v>
      </c>
      <c r="D255" s="22" t="s">
        <v>4871</v>
      </c>
      <c r="E255" s="22" t="s">
        <v>5495</v>
      </c>
      <c r="F255" s="22">
        <v>1</v>
      </c>
      <c r="G255" s="22">
        <v>95</v>
      </c>
      <c r="H255" s="22"/>
      <c r="I255" s="22"/>
    </row>
    <row r="256" spans="1:9" ht="63" x14ac:dyDescent="0.25">
      <c r="A256" s="22" t="s">
        <v>6917</v>
      </c>
      <c r="B256" s="22" t="s">
        <v>4191</v>
      </c>
      <c r="C256" s="22" t="s">
        <v>4192</v>
      </c>
      <c r="D256" s="22" t="s">
        <v>4871</v>
      </c>
      <c r="E256" s="22" t="s">
        <v>5495</v>
      </c>
      <c r="F256" s="22">
        <v>1</v>
      </c>
      <c r="G256" s="22">
        <v>95</v>
      </c>
      <c r="H256" s="22"/>
      <c r="I256" s="22"/>
    </row>
    <row r="257" spans="1:9" ht="84" x14ac:dyDescent="0.25">
      <c r="A257" s="22" t="s">
        <v>6918</v>
      </c>
      <c r="B257" s="22" t="s">
        <v>4230</v>
      </c>
      <c r="C257" s="22" t="s">
        <v>4231</v>
      </c>
      <c r="D257" s="22" t="s">
        <v>4871</v>
      </c>
      <c r="E257" s="22" t="s">
        <v>6130</v>
      </c>
      <c r="F257" s="22">
        <v>1</v>
      </c>
      <c r="G257" s="22">
        <v>46</v>
      </c>
      <c r="H257" s="22"/>
      <c r="I257" s="22"/>
    </row>
    <row r="258" spans="1:9" ht="84" x14ac:dyDescent="0.25">
      <c r="A258" s="22" t="s">
        <v>6919</v>
      </c>
      <c r="B258" s="22" t="s">
        <v>4230</v>
      </c>
      <c r="C258" s="22" t="s">
        <v>4231</v>
      </c>
      <c r="D258" s="22" t="s">
        <v>6134</v>
      </c>
      <c r="E258" s="22" t="s">
        <v>6130</v>
      </c>
      <c r="F258" s="22">
        <v>1</v>
      </c>
      <c r="G258" s="22">
        <v>46</v>
      </c>
      <c r="H258" s="22"/>
      <c r="I258" s="22"/>
    </row>
    <row r="259" spans="1:9" ht="84" x14ac:dyDescent="0.25">
      <c r="A259" s="22" t="s">
        <v>6920</v>
      </c>
      <c r="B259" s="22" t="s">
        <v>4230</v>
      </c>
      <c r="C259" s="22" t="s">
        <v>4231</v>
      </c>
      <c r="D259" s="22" t="s">
        <v>6510</v>
      </c>
      <c r="E259" s="22" t="s">
        <v>6130</v>
      </c>
      <c r="F259" s="22">
        <v>1</v>
      </c>
      <c r="G259" s="22">
        <v>46</v>
      </c>
      <c r="H259" s="22"/>
      <c r="I259" s="22"/>
    </row>
    <row r="260" spans="1:9" ht="84" x14ac:dyDescent="0.25">
      <c r="A260" s="22" t="s">
        <v>6921</v>
      </c>
      <c r="B260" s="22" t="s">
        <v>4230</v>
      </c>
      <c r="C260" s="22" t="s">
        <v>4231</v>
      </c>
      <c r="D260" s="22" t="s">
        <v>6510</v>
      </c>
      <c r="E260" s="22" t="s">
        <v>6130</v>
      </c>
      <c r="F260" s="22">
        <v>1</v>
      </c>
      <c r="G260" s="22">
        <v>46</v>
      </c>
      <c r="H260" s="22"/>
      <c r="I260" s="22"/>
    </row>
    <row r="261" spans="1:9" ht="84" x14ac:dyDescent="0.25">
      <c r="A261" s="22" t="s">
        <v>6922</v>
      </c>
      <c r="B261" s="22" t="s">
        <v>4371</v>
      </c>
      <c r="C261" s="22" t="s">
        <v>4372</v>
      </c>
      <c r="D261" s="22" t="s">
        <v>4871</v>
      </c>
      <c r="E261" s="22" t="s">
        <v>4956</v>
      </c>
      <c r="F261" s="22">
        <v>1</v>
      </c>
      <c r="G261" s="22">
        <v>58</v>
      </c>
      <c r="H261" s="22"/>
      <c r="I261" s="22"/>
    </row>
    <row r="262" spans="1:9" ht="84" x14ac:dyDescent="0.25">
      <c r="A262" s="22" t="s">
        <v>6923</v>
      </c>
      <c r="B262" s="22" t="s">
        <v>4371</v>
      </c>
      <c r="C262" s="22" t="s">
        <v>4372</v>
      </c>
      <c r="D262" s="22" t="s">
        <v>4957</v>
      </c>
      <c r="E262" s="22" t="s">
        <v>4956</v>
      </c>
      <c r="F262" s="22">
        <v>1</v>
      </c>
      <c r="G262" s="22">
        <v>74</v>
      </c>
      <c r="H262" s="22"/>
      <c r="I262" s="22"/>
    </row>
    <row r="263" spans="1:9" ht="84" x14ac:dyDescent="0.25">
      <c r="A263" s="22" t="s">
        <v>6924</v>
      </c>
      <c r="B263" s="22" t="s">
        <v>4371</v>
      </c>
      <c r="C263" s="22" t="s">
        <v>4372</v>
      </c>
      <c r="D263" s="22" t="s">
        <v>4957</v>
      </c>
      <c r="E263" s="22" t="s">
        <v>4956</v>
      </c>
      <c r="F263" s="22">
        <v>1</v>
      </c>
      <c r="G263" s="22">
        <v>74</v>
      </c>
      <c r="H263" s="22"/>
      <c r="I263" s="22"/>
    </row>
    <row r="264" spans="1:9" ht="84" x14ac:dyDescent="0.25">
      <c r="A264" s="22" t="s">
        <v>6925</v>
      </c>
      <c r="B264" s="22" t="s">
        <v>4381</v>
      </c>
      <c r="C264" s="22" t="s">
        <v>4382</v>
      </c>
      <c r="D264" s="22" t="s">
        <v>4373</v>
      </c>
      <c r="E264" s="22" t="s">
        <v>4959</v>
      </c>
      <c r="F264" s="22">
        <v>1</v>
      </c>
      <c r="G264" s="22">
        <v>43</v>
      </c>
      <c r="H264" s="22"/>
      <c r="I264" s="22"/>
    </row>
    <row r="265" spans="1:9" ht="84" x14ac:dyDescent="0.25">
      <c r="A265" s="22" t="s">
        <v>6926</v>
      </c>
      <c r="B265" s="22" t="s">
        <v>4381</v>
      </c>
      <c r="C265" s="22" t="s">
        <v>4382</v>
      </c>
      <c r="D265" s="22" t="s">
        <v>4379</v>
      </c>
      <c r="E265" s="22" t="s">
        <v>4959</v>
      </c>
      <c r="F265" s="22">
        <v>1</v>
      </c>
      <c r="G265" s="22">
        <v>43</v>
      </c>
      <c r="H265" s="22"/>
      <c r="I265" s="22"/>
    </row>
    <row r="266" spans="1:9" ht="84" x14ac:dyDescent="0.25">
      <c r="A266" s="22" t="s">
        <v>6927</v>
      </c>
      <c r="B266" s="22" t="s">
        <v>4381</v>
      </c>
      <c r="C266" s="22" t="s">
        <v>4382</v>
      </c>
      <c r="D266" s="22" t="s">
        <v>4871</v>
      </c>
      <c r="E266" s="22" t="s">
        <v>4959</v>
      </c>
      <c r="F266" s="22">
        <v>1</v>
      </c>
      <c r="G266" s="22">
        <v>43</v>
      </c>
      <c r="H266" s="22"/>
      <c r="I266" s="22"/>
    </row>
    <row r="267" spans="1:9" ht="84" x14ac:dyDescent="0.25">
      <c r="A267" s="22" t="s">
        <v>6928</v>
      </c>
      <c r="B267" s="22" t="s">
        <v>4381</v>
      </c>
      <c r="C267" s="22" t="s">
        <v>4382</v>
      </c>
      <c r="D267" s="22" t="s">
        <v>4957</v>
      </c>
      <c r="E267" s="22" t="s">
        <v>4959</v>
      </c>
      <c r="F267" s="22">
        <v>1</v>
      </c>
      <c r="G267" s="22">
        <v>43</v>
      </c>
      <c r="H267" s="22"/>
      <c r="I267" s="22"/>
    </row>
    <row r="268" spans="1:9" ht="84" x14ac:dyDescent="0.25">
      <c r="A268" s="22" t="s">
        <v>6929</v>
      </c>
      <c r="B268" s="22" t="s">
        <v>4523</v>
      </c>
      <c r="C268" s="22" t="s">
        <v>4524</v>
      </c>
      <c r="D268" s="22" t="s">
        <v>4957</v>
      </c>
      <c r="E268" s="22" t="s">
        <v>6461</v>
      </c>
      <c r="F268" s="22">
        <v>1</v>
      </c>
      <c r="G268" s="22">
        <v>58</v>
      </c>
      <c r="H268" s="22"/>
      <c r="I268" s="22"/>
    </row>
    <row r="269" spans="1:9" ht="63" x14ac:dyDescent="0.25">
      <c r="A269" s="22" t="s">
        <v>6930</v>
      </c>
      <c r="B269" s="22" t="s">
        <v>4641</v>
      </c>
      <c r="C269" s="22" t="s">
        <v>4642</v>
      </c>
      <c r="D269" s="22" t="s">
        <v>4871</v>
      </c>
      <c r="E269" s="22" t="s">
        <v>5872</v>
      </c>
      <c r="F269" s="22">
        <v>1</v>
      </c>
      <c r="G269" s="22">
        <v>71</v>
      </c>
      <c r="H269" s="22"/>
      <c r="I269" s="22"/>
    </row>
    <row r="270" spans="1:9" ht="63" x14ac:dyDescent="0.25">
      <c r="A270" s="22" t="s">
        <v>6931</v>
      </c>
      <c r="B270" s="22" t="s">
        <v>4641</v>
      </c>
      <c r="C270" s="22" t="s">
        <v>4642</v>
      </c>
      <c r="D270" s="22" t="s">
        <v>4957</v>
      </c>
      <c r="E270" s="22" t="s">
        <v>5872</v>
      </c>
      <c r="F270" s="22">
        <v>1</v>
      </c>
      <c r="G270" s="22">
        <v>71</v>
      </c>
      <c r="H270" s="22"/>
      <c r="I270" s="22"/>
    </row>
    <row r="271" spans="1:9" ht="105" x14ac:dyDescent="0.25">
      <c r="A271" s="22" t="s">
        <v>6932</v>
      </c>
      <c r="B271" s="22" t="s">
        <v>4654</v>
      </c>
      <c r="C271" s="22" t="s">
        <v>4655</v>
      </c>
      <c r="D271" s="22" t="s">
        <v>4379</v>
      </c>
      <c r="E271" s="22" t="s">
        <v>5195</v>
      </c>
      <c r="F271" s="22">
        <v>1</v>
      </c>
      <c r="G271" s="22">
        <v>98</v>
      </c>
      <c r="H271" s="22"/>
      <c r="I271" s="22"/>
    </row>
    <row r="272" spans="1:9" ht="105" x14ac:dyDescent="0.25">
      <c r="A272" s="22" t="s">
        <v>6933</v>
      </c>
      <c r="B272" s="22" t="s">
        <v>4654</v>
      </c>
      <c r="C272" s="22" t="s">
        <v>4655</v>
      </c>
      <c r="D272" s="22" t="s">
        <v>4379</v>
      </c>
      <c r="E272" s="22" t="s">
        <v>5195</v>
      </c>
      <c r="F272" s="22">
        <v>1</v>
      </c>
      <c r="G272" s="22">
        <v>98</v>
      </c>
      <c r="H272" s="22"/>
      <c r="I272" s="22"/>
    </row>
    <row r="273" spans="1:9" ht="84" x14ac:dyDescent="0.25">
      <c r="A273" s="22" t="s">
        <v>6934</v>
      </c>
      <c r="B273" s="22" t="s">
        <v>4677</v>
      </c>
      <c r="C273" s="22" t="s">
        <v>4678</v>
      </c>
      <c r="D273" s="22" t="s">
        <v>4379</v>
      </c>
      <c r="E273" s="22" t="s">
        <v>5346</v>
      </c>
      <c r="F273" s="22">
        <v>1</v>
      </c>
      <c r="G273" s="22">
        <v>96</v>
      </c>
      <c r="H273" s="22"/>
      <c r="I273" s="22"/>
    </row>
    <row r="274" spans="1:9" ht="84" x14ac:dyDescent="0.25">
      <c r="A274" s="22" t="s">
        <v>6935</v>
      </c>
      <c r="B274" s="22" t="s">
        <v>4766</v>
      </c>
      <c r="C274" s="22" t="s">
        <v>4767</v>
      </c>
      <c r="D274" s="22" t="s">
        <v>4769</v>
      </c>
      <c r="E274" s="22" t="s">
        <v>4768</v>
      </c>
      <c r="F274" s="22">
        <v>1</v>
      </c>
      <c r="G274" s="22">
        <v>179</v>
      </c>
      <c r="H274" s="22"/>
      <c r="I274" s="22"/>
    </row>
    <row r="275" spans="1:9" ht="63" x14ac:dyDescent="0.25">
      <c r="A275" s="22" t="s">
        <v>6936</v>
      </c>
      <c r="B275" s="22" t="s">
        <v>4811</v>
      </c>
      <c r="C275" s="22" t="s">
        <v>4812</v>
      </c>
      <c r="D275" s="22" t="s">
        <v>4814</v>
      </c>
      <c r="E275" s="22" t="s">
        <v>4813</v>
      </c>
      <c r="F275" s="22">
        <v>1</v>
      </c>
      <c r="G275" s="22">
        <v>186</v>
      </c>
      <c r="H275" s="22"/>
      <c r="I275" s="22"/>
    </row>
    <row r="276" spans="1:9" ht="63" x14ac:dyDescent="0.25">
      <c r="A276" s="22" t="s">
        <v>6937</v>
      </c>
      <c r="B276" s="22" t="s">
        <v>4811</v>
      </c>
      <c r="C276" s="22" t="s">
        <v>4812</v>
      </c>
      <c r="D276" s="22" t="s">
        <v>4871</v>
      </c>
      <c r="E276" s="22" t="s">
        <v>4813</v>
      </c>
      <c r="F276" s="22">
        <v>1</v>
      </c>
      <c r="G276" s="22">
        <v>186</v>
      </c>
      <c r="H276" s="22"/>
      <c r="I276" s="22"/>
    </row>
    <row r="277" spans="1:9" ht="63" x14ac:dyDescent="0.25">
      <c r="A277" s="22" t="s">
        <v>6938</v>
      </c>
      <c r="B277" s="22" t="s">
        <v>5557</v>
      </c>
      <c r="C277" s="22" t="s">
        <v>5558</v>
      </c>
      <c r="D277" s="22" t="s">
        <v>4871</v>
      </c>
      <c r="E277" s="22" t="s">
        <v>5559</v>
      </c>
      <c r="F277" s="22">
        <v>1</v>
      </c>
      <c r="G277" s="22">
        <v>70</v>
      </c>
      <c r="H277" s="22"/>
      <c r="I277" s="22"/>
    </row>
    <row r="278" spans="1:9" ht="84" x14ac:dyDescent="0.25">
      <c r="A278" s="22" t="s">
        <v>6939</v>
      </c>
      <c r="B278" s="22" t="s">
        <v>5625</v>
      </c>
      <c r="C278" s="22" t="s">
        <v>5626</v>
      </c>
      <c r="D278" s="22" t="s">
        <v>4871</v>
      </c>
      <c r="E278" s="22" t="s">
        <v>5627</v>
      </c>
      <c r="F278" s="22">
        <v>1</v>
      </c>
      <c r="G278" s="22">
        <v>113</v>
      </c>
      <c r="H278" s="22"/>
      <c r="I278" s="22"/>
    </row>
    <row r="279" spans="1:9" ht="63" x14ac:dyDescent="0.25">
      <c r="A279" s="22" t="s">
        <v>6940</v>
      </c>
      <c r="B279" s="22" t="s">
        <v>5884</v>
      </c>
      <c r="C279" s="22" t="s">
        <v>5885</v>
      </c>
      <c r="D279" s="22" t="s">
        <v>4871</v>
      </c>
      <c r="E279" s="22" t="s">
        <v>5886</v>
      </c>
      <c r="F279" s="22">
        <v>1</v>
      </c>
      <c r="G279" s="22">
        <v>178</v>
      </c>
      <c r="H279" s="22"/>
      <c r="I279" s="22"/>
    </row>
    <row r="280" spans="1:9" ht="84" x14ac:dyDescent="0.25">
      <c r="A280" s="22" t="s">
        <v>6941</v>
      </c>
      <c r="B280" s="22" t="s">
        <v>5915</v>
      </c>
      <c r="C280" s="22" t="s">
        <v>5916</v>
      </c>
      <c r="D280" s="22" t="s">
        <v>4871</v>
      </c>
      <c r="E280" s="22" t="s">
        <v>5917</v>
      </c>
      <c r="F280" s="22">
        <v>1</v>
      </c>
      <c r="G280" s="22">
        <v>95</v>
      </c>
      <c r="H280" s="22"/>
      <c r="I280" s="22"/>
    </row>
    <row r="281" spans="1:9" ht="63" x14ac:dyDescent="0.25">
      <c r="A281" s="22" t="s">
        <v>6942</v>
      </c>
      <c r="B281" s="22" t="s">
        <v>5942</v>
      </c>
      <c r="C281" s="22" t="s">
        <v>5943</v>
      </c>
      <c r="D281" s="22" t="s">
        <v>4871</v>
      </c>
      <c r="E281" s="22" t="s">
        <v>5944</v>
      </c>
      <c r="F281" s="22">
        <v>1</v>
      </c>
      <c r="G281" s="22">
        <v>84</v>
      </c>
      <c r="H281" s="22"/>
      <c r="I281" s="22"/>
    </row>
    <row r="282" spans="1:9" ht="63" x14ac:dyDescent="0.25">
      <c r="A282" s="22" t="s">
        <v>6943</v>
      </c>
      <c r="B282" s="22" t="s">
        <v>5942</v>
      </c>
      <c r="C282" s="22" t="s">
        <v>5943</v>
      </c>
      <c r="D282" s="22" t="s">
        <v>4957</v>
      </c>
      <c r="E282" s="22" t="s">
        <v>5944</v>
      </c>
      <c r="F282" s="22">
        <v>1</v>
      </c>
      <c r="G282" s="22">
        <v>84</v>
      </c>
      <c r="H282" s="22"/>
      <c r="I282" s="22"/>
    </row>
    <row r="283" spans="1:9" ht="63" x14ac:dyDescent="0.25">
      <c r="A283" s="22" t="s">
        <v>6944</v>
      </c>
      <c r="B283" s="22" t="s">
        <v>5942</v>
      </c>
      <c r="C283" s="22" t="s">
        <v>5943</v>
      </c>
      <c r="D283" s="22" t="s">
        <v>4957</v>
      </c>
      <c r="E283" s="22" t="s">
        <v>5944</v>
      </c>
      <c r="F283" s="22">
        <v>1</v>
      </c>
      <c r="G283" s="22">
        <v>84</v>
      </c>
      <c r="H283" s="22"/>
      <c r="I283" s="22"/>
    </row>
    <row r="284" spans="1:9" ht="84" x14ac:dyDescent="0.25">
      <c r="A284" s="22" t="s">
        <v>6945</v>
      </c>
      <c r="B284" s="22" t="s">
        <v>5958</v>
      </c>
      <c r="C284" s="22" t="s">
        <v>5959</v>
      </c>
      <c r="D284" s="22" t="s">
        <v>4871</v>
      </c>
      <c r="E284" s="22" t="s">
        <v>5960</v>
      </c>
      <c r="F284" s="22">
        <v>1</v>
      </c>
      <c r="G284" s="22">
        <v>32</v>
      </c>
      <c r="H284" s="22"/>
      <c r="I284" s="22"/>
    </row>
    <row r="285" spans="1:9" ht="84" x14ac:dyDescent="0.25">
      <c r="A285" s="22" t="s">
        <v>6946</v>
      </c>
      <c r="B285" s="22" t="s">
        <v>5958</v>
      </c>
      <c r="C285" s="22" t="s">
        <v>5959</v>
      </c>
      <c r="D285" s="22" t="s">
        <v>4871</v>
      </c>
      <c r="E285" s="22" t="s">
        <v>5960</v>
      </c>
      <c r="F285" s="22">
        <v>1</v>
      </c>
      <c r="G285" s="22">
        <v>32</v>
      </c>
      <c r="H285" s="22"/>
      <c r="I285" s="22"/>
    </row>
    <row r="286" spans="1:9" ht="84" x14ac:dyDescent="0.25">
      <c r="A286" s="22" t="s">
        <v>6947</v>
      </c>
      <c r="B286" s="22" t="s">
        <v>5958</v>
      </c>
      <c r="C286" s="22" t="s">
        <v>5959</v>
      </c>
      <c r="D286" s="22" t="s">
        <v>4957</v>
      </c>
      <c r="E286" s="22" t="s">
        <v>5960</v>
      </c>
      <c r="F286" s="22">
        <v>1</v>
      </c>
      <c r="G286" s="22">
        <v>32</v>
      </c>
      <c r="H286" s="22"/>
      <c r="I286" s="22"/>
    </row>
    <row r="287" spans="1:9" ht="63" x14ac:dyDescent="0.25">
      <c r="A287" s="22" t="s">
        <v>6948</v>
      </c>
      <c r="B287" s="22" t="s">
        <v>6044</v>
      </c>
      <c r="C287" s="22" t="s">
        <v>6045</v>
      </c>
      <c r="D287" s="22" t="s">
        <v>4871</v>
      </c>
      <c r="E287" s="22" t="s">
        <v>6046</v>
      </c>
      <c r="F287" s="22">
        <v>1</v>
      </c>
      <c r="G287" s="22">
        <v>72</v>
      </c>
      <c r="H287" s="22"/>
      <c r="I287" s="22"/>
    </row>
    <row r="288" spans="1:9" ht="63" x14ac:dyDescent="0.25">
      <c r="A288" s="22" t="s">
        <v>6949</v>
      </c>
      <c r="B288" s="22" t="s">
        <v>6155</v>
      </c>
      <c r="C288" s="22" t="s">
        <v>6156</v>
      </c>
      <c r="D288" s="22" t="s">
        <v>4871</v>
      </c>
      <c r="E288" s="22" t="s">
        <v>6157</v>
      </c>
      <c r="F288" s="22">
        <v>1</v>
      </c>
      <c r="G288" s="22">
        <v>89</v>
      </c>
      <c r="H288" s="22"/>
      <c r="I288" s="22"/>
    </row>
    <row r="289" spans="1:9" ht="84" x14ac:dyDescent="0.25">
      <c r="A289" s="22" t="s">
        <v>6950</v>
      </c>
      <c r="B289" s="22" t="s">
        <v>6474</v>
      </c>
      <c r="C289" s="22" t="s">
        <v>6475</v>
      </c>
      <c r="D289" s="22" t="s">
        <v>4957</v>
      </c>
      <c r="E289" s="22" t="s">
        <v>6476</v>
      </c>
      <c r="F289" s="22">
        <v>1</v>
      </c>
      <c r="G289" s="22">
        <v>119</v>
      </c>
      <c r="H289" s="22"/>
      <c r="I289" s="22"/>
    </row>
    <row r="290" spans="1:9" ht="63" x14ac:dyDescent="0.25">
      <c r="A290" s="22" t="s">
        <v>6951</v>
      </c>
      <c r="B290" s="22" t="s">
        <v>6606</v>
      </c>
      <c r="C290" s="22" t="s">
        <v>6607</v>
      </c>
      <c r="D290" s="22" t="s">
        <v>6510</v>
      </c>
      <c r="E290" s="22" t="s">
        <v>6608</v>
      </c>
      <c r="F290" s="22">
        <v>1</v>
      </c>
      <c r="G290" s="22">
        <v>336</v>
      </c>
      <c r="H290" s="22"/>
      <c r="I290" s="22"/>
    </row>
    <row r="297" spans="1:9" ht="42" x14ac:dyDescent="0.25">
      <c r="A297" s="6" t="s">
        <v>2971</v>
      </c>
      <c r="H297" s="6" t="s">
        <v>2972</v>
      </c>
    </row>
    <row r="299" spans="1:9" ht="147" x14ac:dyDescent="0.25">
      <c r="A299" s="6" t="s">
        <v>31</v>
      </c>
      <c r="B299" s="6" t="s">
        <v>2195</v>
      </c>
      <c r="D299" s="6" t="s">
        <v>2978</v>
      </c>
      <c r="G299" s="6" t="s">
        <v>2961</v>
      </c>
      <c r="H299" s="6" t="str">
        <f>IFERROR(VLOOKUP(B299,Seller_Details!A:C,3,0),"Not Found")</f>
        <v>Office No. 304, Al Sabkha Building, Above Jovial Watch Shop, Near Sabkha Bus Station, Deira</v>
      </c>
    </row>
    <row r="300" spans="1:9" x14ac:dyDescent="0.25">
      <c r="A300" s="6" t="s">
        <v>13</v>
      </c>
      <c r="B300" s="6" t="str">
        <f>IFERROR(VLOOKUP(B299,Seller_Details!A:C,2,0),"Not Found")</f>
        <v>V00708</v>
      </c>
      <c r="G300" s="6" t="s">
        <v>2962</v>
      </c>
      <c r="H300" s="24">
        <v>42819</v>
      </c>
    </row>
    <row r="303" spans="1:9" ht="42" x14ac:dyDescent="0.25">
      <c r="A303" s="22" t="s">
        <v>2963</v>
      </c>
      <c r="B303" s="22" t="s">
        <v>2964</v>
      </c>
      <c r="C303" s="22" t="s">
        <v>2965</v>
      </c>
      <c r="D303" s="22" t="s">
        <v>2966</v>
      </c>
      <c r="E303" s="22" t="s">
        <v>2967</v>
      </c>
      <c r="F303" s="22" t="s">
        <v>6</v>
      </c>
      <c r="G303" s="22" t="s">
        <v>2968</v>
      </c>
      <c r="H303" s="22" t="s">
        <v>2969</v>
      </c>
      <c r="I303" s="22" t="s">
        <v>2970</v>
      </c>
    </row>
    <row r="304" spans="1:9" ht="42" x14ac:dyDescent="0.25">
      <c r="A304" s="22" t="s">
        <v>6952</v>
      </c>
      <c r="B304" s="22" t="s">
        <v>4409</v>
      </c>
      <c r="C304" s="22" t="s">
        <v>4410</v>
      </c>
      <c r="D304" s="22" t="s">
        <v>4412</v>
      </c>
      <c r="E304" s="22" t="s">
        <v>4411</v>
      </c>
      <c r="F304" s="22">
        <v>1</v>
      </c>
      <c r="G304" s="22">
        <v>75</v>
      </c>
      <c r="H304" s="22"/>
      <c r="I304" s="22"/>
    </row>
    <row r="305" spans="1:9" ht="84" x14ac:dyDescent="0.25">
      <c r="A305" s="22" t="s">
        <v>6953</v>
      </c>
      <c r="B305" s="22" t="s">
        <v>4637</v>
      </c>
      <c r="C305" s="22" t="s">
        <v>4638</v>
      </c>
      <c r="D305" s="22" t="s">
        <v>6629</v>
      </c>
      <c r="E305" s="22" t="s">
        <v>4639</v>
      </c>
      <c r="F305" s="22">
        <v>1</v>
      </c>
      <c r="G305" s="22">
        <v>6</v>
      </c>
      <c r="H305" s="22"/>
      <c r="I305" s="22"/>
    </row>
    <row r="306" spans="1:9" ht="42" x14ac:dyDescent="0.25">
      <c r="A306" s="22" t="s">
        <v>6954</v>
      </c>
      <c r="B306" s="22" t="s">
        <v>6626</v>
      </c>
      <c r="C306" s="22" t="s">
        <v>6627</v>
      </c>
      <c r="D306" s="22" t="s">
        <v>6629</v>
      </c>
      <c r="E306" s="22" t="s">
        <v>6628</v>
      </c>
      <c r="F306" s="22">
        <v>1</v>
      </c>
      <c r="G306" s="22">
        <v>90</v>
      </c>
      <c r="H306" s="22"/>
      <c r="I306" s="22"/>
    </row>
    <row r="307" spans="1:9" ht="42" x14ac:dyDescent="0.25">
      <c r="A307" s="22" t="s">
        <v>6955</v>
      </c>
      <c r="B307" s="22" t="s">
        <v>6678</v>
      </c>
      <c r="C307" s="22" t="s">
        <v>6679</v>
      </c>
      <c r="D307" s="22" t="s">
        <v>6629</v>
      </c>
      <c r="E307" s="22" t="s">
        <v>6680</v>
      </c>
      <c r="F307" s="22">
        <v>1</v>
      </c>
      <c r="G307" s="22">
        <v>36</v>
      </c>
      <c r="H307" s="22"/>
      <c r="I307" s="22"/>
    </row>
    <row r="308" spans="1:9" ht="42" x14ac:dyDescent="0.25">
      <c r="A308" s="22" t="s">
        <v>6956</v>
      </c>
      <c r="B308" s="22" t="s">
        <v>6678</v>
      </c>
      <c r="C308" s="22" t="s">
        <v>6679</v>
      </c>
      <c r="D308" s="22" t="s">
        <v>6629</v>
      </c>
      <c r="E308" s="22" t="s">
        <v>6680</v>
      </c>
      <c r="F308" s="22">
        <v>1</v>
      </c>
      <c r="G308" s="22">
        <v>36</v>
      </c>
      <c r="H308" s="22"/>
      <c r="I308" s="22"/>
    </row>
    <row r="315" spans="1:9" ht="42" x14ac:dyDescent="0.25">
      <c r="A315" s="6" t="s">
        <v>2971</v>
      </c>
      <c r="H315" s="6" t="s">
        <v>2972</v>
      </c>
    </row>
    <row r="317" spans="1:9" ht="105" x14ac:dyDescent="0.25">
      <c r="A317" s="6" t="s">
        <v>31</v>
      </c>
      <c r="B317" s="6" t="s">
        <v>1956</v>
      </c>
      <c r="D317" s="6" t="s">
        <v>2979</v>
      </c>
      <c r="G317" s="6" t="s">
        <v>2961</v>
      </c>
      <c r="H317" s="6" t="str">
        <f>IFERROR(VLOOKUP(B317,Seller_Details!A:C,3,0),"Not Found")</f>
        <v>Mursheed Bazaar, Al Buteen Center, shop no 2 &amp; 4, Deira</v>
      </c>
    </row>
    <row r="318" spans="1:9" x14ac:dyDescent="0.25">
      <c r="A318" s="6" t="s">
        <v>13</v>
      </c>
      <c r="B318" s="6" t="str">
        <f>IFERROR(VLOOKUP(B317,Seller_Details!A:C,2,0),"Not Found")</f>
        <v>V00658</v>
      </c>
      <c r="G318" s="6" t="s">
        <v>2962</v>
      </c>
      <c r="H318" s="24">
        <v>42819</v>
      </c>
    </row>
    <row r="321" spans="1:9" ht="42" x14ac:dyDescent="0.25">
      <c r="A321" s="22" t="s">
        <v>2963</v>
      </c>
      <c r="B321" s="22" t="s">
        <v>2964</v>
      </c>
      <c r="C321" s="22" t="s">
        <v>2965</v>
      </c>
      <c r="D321" s="22" t="s">
        <v>2966</v>
      </c>
      <c r="E321" s="22" t="s">
        <v>2967</v>
      </c>
      <c r="F321" s="22" t="s">
        <v>6</v>
      </c>
      <c r="G321" s="22" t="s">
        <v>2968</v>
      </c>
      <c r="H321" s="22" t="s">
        <v>2969</v>
      </c>
      <c r="I321" s="22" t="s">
        <v>2970</v>
      </c>
    </row>
    <row r="322" spans="1:9" ht="105" x14ac:dyDescent="0.25">
      <c r="A322" s="22" t="s">
        <v>6957</v>
      </c>
      <c r="B322" s="22" t="s">
        <v>4773</v>
      </c>
      <c r="C322" s="22" t="s">
        <v>4774</v>
      </c>
      <c r="D322" s="22" t="s">
        <v>4776</v>
      </c>
      <c r="E322" s="22" t="s">
        <v>4775</v>
      </c>
      <c r="F322" s="22">
        <v>1</v>
      </c>
      <c r="G322" s="22">
        <v>75</v>
      </c>
      <c r="H322" s="22"/>
      <c r="I322" s="22"/>
    </row>
    <row r="323" spans="1:9" ht="42" x14ac:dyDescent="0.25">
      <c r="A323" s="22" t="s">
        <v>6958</v>
      </c>
      <c r="B323" s="22" t="s">
        <v>4796</v>
      </c>
      <c r="C323" s="22" t="s">
        <v>4797</v>
      </c>
      <c r="D323" s="22" t="s">
        <v>4799</v>
      </c>
      <c r="E323" s="22" t="s">
        <v>4798</v>
      </c>
      <c r="F323" s="22">
        <v>1</v>
      </c>
      <c r="G323" s="22">
        <v>75</v>
      </c>
      <c r="H323" s="22"/>
      <c r="I323" s="22"/>
    </row>
    <row r="324" spans="1:9" ht="42" x14ac:dyDescent="0.25">
      <c r="A324" s="22" t="s">
        <v>6959</v>
      </c>
      <c r="B324" s="22" t="s">
        <v>5972</v>
      </c>
      <c r="C324" s="22" t="s">
        <v>5973</v>
      </c>
      <c r="D324" s="22" t="s">
        <v>5975</v>
      </c>
      <c r="E324" s="22" t="s">
        <v>5974</v>
      </c>
      <c r="F324" s="22">
        <v>1</v>
      </c>
      <c r="G324" s="22">
        <v>85</v>
      </c>
      <c r="H324" s="22"/>
      <c r="I324" s="22"/>
    </row>
    <row r="331" spans="1:9" ht="42" x14ac:dyDescent="0.25">
      <c r="A331" s="6" t="s">
        <v>2971</v>
      </c>
      <c r="H331" s="6" t="s">
        <v>2972</v>
      </c>
    </row>
    <row r="333" spans="1:9" ht="126" x14ac:dyDescent="0.25">
      <c r="A333" s="6" t="s">
        <v>31</v>
      </c>
      <c r="B333" s="6" t="s">
        <v>78</v>
      </c>
      <c r="D333" s="6" t="s">
        <v>2980</v>
      </c>
      <c r="G333" s="6" t="s">
        <v>2961</v>
      </c>
      <c r="H333" s="6" t="str">
        <f>IFERROR(VLOOKUP(B333,Seller_Details!A:C,3,0),"Not Found")</f>
        <v>SHEIKH RASHID BUILDING ; BEHIND TWIN TOWERS ; BANIYAS ROAD ; DEIRA ; DUBAI</v>
      </c>
    </row>
    <row r="334" spans="1:9" x14ac:dyDescent="0.25">
      <c r="A334" s="6" t="s">
        <v>13</v>
      </c>
      <c r="B334" s="6" t="str">
        <f>IFERROR(VLOOKUP(B333,Seller_Details!A:C,2,0),"Not Found")</f>
        <v>V00158</v>
      </c>
      <c r="G334" s="6" t="s">
        <v>2962</v>
      </c>
      <c r="H334" s="24">
        <v>42819</v>
      </c>
    </row>
    <row r="337" spans="1:9" ht="42" x14ac:dyDescent="0.25">
      <c r="A337" s="22" t="s">
        <v>2963</v>
      </c>
      <c r="B337" s="22" t="s">
        <v>2964</v>
      </c>
      <c r="C337" s="22" t="s">
        <v>2965</v>
      </c>
      <c r="D337" s="22" t="s">
        <v>2966</v>
      </c>
      <c r="E337" s="22" t="s">
        <v>2967</v>
      </c>
      <c r="F337" s="22" t="s">
        <v>6</v>
      </c>
      <c r="G337" s="22" t="s">
        <v>2968</v>
      </c>
      <c r="H337" s="22" t="s">
        <v>2969</v>
      </c>
      <c r="I337" s="22" t="s">
        <v>2970</v>
      </c>
    </row>
    <row r="338" spans="1:9" ht="168" x14ac:dyDescent="0.25">
      <c r="A338" s="22" t="s">
        <v>6960</v>
      </c>
      <c r="B338" s="22" t="s">
        <v>4558</v>
      </c>
      <c r="C338" s="22" t="s">
        <v>4559</v>
      </c>
      <c r="D338" s="22" t="s">
        <v>4561</v>
      </c>
      <c r="E338" s="22" t="s">
        <v>4560</v>
      </c>
      <c r="F338" s="22">
        <v>1</v>
      </c>
      <c r="G338" s="22">
        <v>125</v>
      </c>
      <c r="H338" s="22"/>
      <c r="I338" s="22"/>
    </row>
    <row r="339" spans="1:9" ht="168" x14ac:dyDescent="0.25">
      <c r="A339" s="22" t="s">
        <v>6961</v>
      </c>
      <c r="B339" s="22" t="s">
        <v>4840</v>
      </c>
      <c r="C339" s="22" t="s">
        <v>4841</v>
      </c>
      <c r="D339" s="22" t="s">
        <v>4843</v>
      </c>
      <c r="E339" s="22" t="s">
        <v>4842</v>
      </c>
      <c r="F339" s="22">
        <v>1</v>
      </c>
      <c r="G339" s="22">
        <v>265</v>
      </c>
      <c r="H339" s="22"/>
      <c r="I339" s="22"/>
    </row>
    <row r="340" spans="1:9" ht="210" x14ac:dyDescent="0.25">
      <c r="A340" s="22" t="s">
        <v>6962</v>
      </c>
      <c r="B340" s="22" t="s">
        <v>6222</v>
      </c>
      <c r="C340" s="22" t="s">
        <v>6223</v>
      </c>
      <c r="D340" s="22" t="s">
        <v>6225</v>
      </c>
      <c r="E340" s="22" t="s">
        <v>6224</v>
      </c>
      <c r="F340" s="22">
        <v>1</v>
      </c>
      <c r="G340" s="22">
        <v>185</v>
      </c>
      <c r="H340" s="22"/>
      <c r="I340" s="22"/>
    </row>
    <row r="341" spans="1:9" ht="147" x14ac:dyDescent="0.25">
      <c r="A341" s="22" t="s">
        <v>6963</v>
      </c>
      <c r="B341" s="22" t="s">
        <v>6534</v>
      </c>
      <c r="C341" s="22" t="s">
        <v>6535</v>
      </c>
      <c r="D341" s="22" t="s">
        <v>6537</v>
      </c>
      <c r="E341" s="22" t="s">
        <v>6536</v>
      </c>
      <c r="F341" s="22">
        <v>1</v>
      </c>
      <c r="G341" s="22">
        <v>450</v>
      </c>
      <c r="H341" s="22"/>
      <c r="I341" s="22"/>
    </row>
    <row r="348" spans="1:9" ht="42" x14ac:dyDescent="0.25">
      <c r="A348" s="6" t="s">
        <v>2971</v>
      </c>
      <c r="H348" s="6" t="s">
        <v>2972</v>
      </c>
    </row>
    <row r="350" spans="1:9" ht="63" x14ac:dyDescent="0.25">
      <c r="A350" s="6" t="s">
        <v>31</v>
      </c>
      <c r="B350" s="6" t="s">
        <v>654</v>
      </c>
      <c r="D350" s="6" t="s">
        <v>2981</v>
      </c>
      <c r="G350" s="6" t="s">
        <v>2961</v>
      </c>
      <c r="H350" s="6" t="str">
        <f>IFERROR(VLOOKUP(B350,Seller_Details!A:C,3,0),"Not Found")</f>
        <v>GA ; IDC; Sector- 16 Gurgaon; india - 122001</v>
      </c>
    </row>
    <row r="351" spans="1:9" x14ac:dyDescent="0.25">
      <c r="A351" s="6" t="s">
        <v>13</v>
      </c>
      <c r="B351" s="6" t="str">
        <f>IFERROR(VLOOKUP(B350,Seller_Details!A:C,2,0),"Not Found")</f>
        <v>V00378</v>
      </c>
      <c r="G351" s="6" t="s">
        <v>2962</v>
      </c>
      <c r="H351" s="24">
        <v>42819</v>
      </c>
    </row>
    <row r="354" spans="1:9" ht="42" x14ac:dyDescent="0.25">
      <c r="A354" s="22" t="s">
        <v>2963</v>
      </c>
      <c r="B354" s="22" t="s">
        <v>2964</v>
      </c>
      <c r="C354" s="22" t="s">
        <v>2965</v>
      </c>
      <c r="D354" s="22" t="s">
        <v>2966</v>
      </c>
      <c r="E354" s="22" t="s">
        <v>2967</v>
      </c>
      <c r="F354" s="22" t="s">
        <v>6</v>
      </c>
      <c r="G354" s="22" t="s">
        <v>2968</v>
      </c>
      <c r="H354" s="22" t="s">
        <v>2969</v>
      </c>
      <c r="I354" s="22" t="s">
        <v>2970</v>
      </c>
    </row>
    <row r="355" spans="1:9" ht="42" x14ac:dyDescent="0.25">
      <c r="A355" s="22" t="s">
        <v>6964</v>
      </c>
      <c r="B355" s="22" t="s">
        <v>3161</v>
      </c>
      <c r="C355" s="22" t="s">
        <v>3162</v>
      </c>
      <c r="D355" s="22" t="s">
        <v>3164</v>
      </c>
      <c r="E355" s="22" t="s">
        <v>3163</v>
      </c>
      <c r="F355" s="22">
        <v>1</v>
      </c>
      <c r="G355" s="22">
        <v>53</v>
      </c>
      <c r="H355" s="22"/>
      <c r="I355" s="22"/>
    </row>
    <row r="356" spans="1:9" ht="42" x14ac:dyDescent="0.25">
      <c r="A356" s="22" t="s">
        <v>6965</v>
      </c>
      <c r="B356" s="22" t="s">
        <v>3161</v>
      </c>
      <c r="C356" s="22" t="s">
        <v>3162</v>
      </c>
      <c r="D356" s="22" t="s">
        <v>4900</v>
      </c>
      <c r="E356" s="22" t="s">
        <v>3163</v>
      </c>
      <c r="F356" s="22">
        <v>1</v>
      </c>
      <c r="G356" s="22">
        <v>53</v>
      </c>
      <c r="H356" s="22"/>
      <c r="I356" s="22"/>
    </row>
    <row r="357" spans="1:9" ht="84" x14ac:dyDescent="0.25">
      <c r="A357" s="22" t="s">
        <v>6966</v>
      </c>
      <c r="B357" s="22" t="s">
        <v>3166</v>
      </c>
      <c r="C357" s="22" t="s">
        <v>3167</v>
      </c>
      <c r="D357" s="22" t="s">
        <v>3164</v>
      </c>
      <c r="E357" s="22" t="s">
        <v>3168</v>
      </c>
      <c r="F357" s="22">
        <v>1</v>
      </c>
      <c r="G357" s="22">
        <v>74</v>
      </c>
      <c r="H357" s="22"/>
      <c r="I357" s="22"/>
    </row>
    <row r="358" spans="1:9" ht="63" x14ac:dyDescent="0.25">
      <c r="A358" s="22" t="s">
        <v>6967</v>
      </c>
      <c r="B358" s="22" t="s">
        <v>3170</v>
      </c>
      <c r="C358" s="22" t="s">
        <v>3171</v>
      </c>
      <c r="D358" s="22" t="s">
        <v>3164</v>
      </c>
      <c r="E358" s="22" t="s">
        <v>3172</v>
      </c>
      <c r="F358" s="22">
        <v>1</v>
      </c>
      <c r="G358" s="22">
        <v>57</v>
      </c>
      <c r="H358" s="22"/>
      <c r="I358" s="22"/>
    </row>
    <row r="359" spans="1:9" ht="42" x14ac:dyDescent="0.25">
      <c r="A359" s="22" t="s">
        <v>6968</v>
      </c>
      <c r="B359" s="22" t="s">
        <v>3174</v>
      </c>
      <c r="C359" s="22" t="s">
        <v>3175</v>
      </c>
      <c r="D359" s="22" t="s">
        <v>3164</v>
      </c>
      <c r="E359" s="22" t="s">
        <v>3176</v>
      </c>
      <c r="F359" s="22">
        <v>1</v>
      </c>
      <c r="G359" s="22">
        <v>13</v>
      </c>
      <c r="H359" s="22"/>
      <c r="I359" s="22"/>
    </row>
    <row r="360" spans="1:9" ht="84" x14ac:dyDescent="0.25">
      <c r="A360" s="22" t="s">
        <v>6969</v>
      </c>
      <c r="B360" s="22" t="s">
        <v>3178</v>
      </c>
      <c r="C360" s="22" t="s">
        <v>3179</v>
      </c>
      <c r="D360" s="22" t="s">
        <v>3164</v>
      </c>
      <c r="E360" s="22" t="s">
        <v>3180</v>
      </c>
      <c r="F360" s="22">
        <v>1</v>
      </c>
      <c r="G360" s="22">
        <v>55</v>
      </c>
      <c r="H360" s="22"/>
      <c r="I360" s="22"/>
    </row>
    <row r="361" spans="1:9" ht="84" x14ac:dyDescent="0.25">
      <c r="A361" s="22" t="s">
        <v>6970</v>
      </c>
      <c r="B361" s="22" t="s">
        <v>3182</v>
      </c>
      <c r="C361" s="22" t="s">
        <v>3183</v>
      </c>
      <c r="D361" s="22" t="s">
        <v>3164</v>
      </c>
      <c r="E361" s="22" t="s">
        <v>3184</v>
      </c>
      <c r="F361" s="22">
        <v>1</v>
      </c>
      <c r="G361" s="22">
        <v>26</v>
      </c>
      <c r="H361" s="22"/>
      <c r="I361" s="22"/>
    </row>
    <row r="362" spans="1:9" ht="84" x14ac:dyDescent="0.25">
      <c r="A362" s="22" t="s">
        <v>6971</v>
      </c>
      <c r="B362" s="22" t="s">
        <v>3182</v>
      </c>
      <c r="C362" s="22" t="s">
        <v>3183</v>
      </c>
      <c r="D362" s="22" t="s">
        <v>3436</v>
      </c>
      <c r="E362" s="22" t="s">
        <v>3184</v>
      </c>
      <c r="F362" s="22">
        <v>1</v>
      </c>
      <c r="G362" s="22">
        <v>26</v>
      </c>
      <c r="H362" s="22"/>
      <c r="I362" s="22"/>
    </row>
    <row r="363" spans="1:9" ht="84" x14ac:dyDescent="0.25">
      <c r="A363" s="22" t="s">
        <v>6972</v>
      </c>
      <c r="B363" s="22" t="s">
        <v>3182</v>
      </c>
      <c r="C363" s="22" t="s">
        <v>3183</v>
      </c>
      <c r="D363" s="22" t="s">
        <v>3771</v>
      </c>
      <c r="E363" s="22" t="s">
        <v>3184</v>
      </c>
      <c r="F363" s="22">
        <v>1</v>
      </c>
      <c r="G363" s="22">
        <v>26</v>
      </c>
      <c r="H363" s="22"/>
      <c r="I363" s="22"/>
    </row>
    <row r="364" spans="1:9" ht="84" x14ac:dyDescent="0.25">
      <c r="A364" s="22" t="s">
        <v>6973</v>
      </c>
      <c r="B364" s="22" t="s">
        <v>3182</v>
      </c>
      <c r="C364" s="22" t="s">
        <v>3183</v>
      </c>
      <c r="D364" s="22" t="s">
        <v>4900</v>
      </c>
      <c r="E364" s="22" t="s">
        <v>3184</v>
      </c>
      <c r="F364" s="22">
        <v>1</v>
      </c>
      <c r="G364" s="22">
        <v>26</v>
      </c>
      <c r="H364" s="22"/>
      <c r="I364" s="22"/>
    </row>
    <row r="365" spans="1:9" ht="63" x14ac:dyDescent="0.25">
      <c r="A365" s="22" t="s">
        <v>6974</v>
      </c>
      <c r="B365" s="22" t="s">
        <v>3186</v>
      </c>
      <c r="C365" s="22" t="s">
        <v>3187</v>
      </c>
      <c r="D365" s="22" t="s">
        <v>3189</v>
      </c>
      <c r="E365" s="22" t="s">
        <v>3188</v>
      </c>
      <c r="F365" s="22">
        <v>1</v>
      </c>
      <c r="G365" s="22">
        <v>60</v>
      </c>
      <c r="H365" s="22"/>
      <c r="I365" s="22"/>
    </row>
    <row r="366" spans="1:9" ht="63" x14ac:dyDescent="0.25">
      <c r="A366" s="22" t="s">
        <v>6975</v>
      </c>
      <c r="B366" s="22" t="s">
        <v>3194</v>
      </c>
      <c r="C366" s="22" t="s">
        <v>3195</v>
      </c>
      <c r="D366" s="22" t="s">
        <v>3189</v>
      </c>
      <c r="E366" s="22" t="s">
        <v>3196</v>
      </c>
      <c r="F366" s="22">
        <v>1</v>
      </c>
      <c r="G366" s="22">
        <v>55</v>
      </c>
      <c r="H366" s="22"/>
      <c r="I366" s="22"/>
    </row>
    <row r="367" spans="1:9" ht="84" x14ac:dyDescent="0.25">
      <c r="A367" s="22" t="s">
        <v>6976</v>
      </c>
      <c r="B367" s="22" t="s">
        <v>3198</v>
      </c>
      <c r="C367" s="22" t="s">
        <v>3199</v>
      </c>
      <c r="D367" s="22" t="s">
        <v>3189</v>
      </c>
      <c r="E367" s="22" t="s">
        <v>3200</v>
      </c>
      <c r="F367" s="22">
        <v>1</v>
      </c>
      <c r="G367" s="22">
        <v>39</v>
      </c>
      <c r="H367" s="22"/>
      <c r="I367" s="22"/>
    </row>
    <row r="368" spans="1:9" ht="63" x14ac:dyDescent="0.25">
      <c r="A368" s="22" t="s">
        <v>6977</v>
      </c>
      <c r="B368" s="22" t="s">
        <v>3213</v>
      </c>
      <c r="C368" s="22" t="s">
        <v>3214</v>
      </c>
      <c r="D368" s="22" t="s">
        <v>3211</v>
      </c>
      <c r="E368" s="22" t="s">
        <v>3215</v>
      </c>
      <c r="F368" s="22">
        <v>1</v>
      </c>
      <c r="G368" s="22">
        <v>57</v>
      </c>
      <c r="H368" s="22"/>
      <c r="I368" s="22"/>
    </row>
    <row r="369" spans="1:9" ht="63" x14ac:dyDescent="0.25">
      <c r="A369" s="22" t="s">
        <v>6978</v>
      </c>
      <c r="B369" s="22" t="s">
        <v>3213</v>
      </c>
      <c r="C369" s="22" t="s">
        <v>3214</v>
      </c>
      <c r="D369" s="22" t="s">
        <v>3771</v>
      </c>
      <c r="E369" s="22" t="s">
        <v>3215</v>
      </c>
      <c r="F369" s="22">
        <v>1</v>
      </c>
      <c r="G369" s="22">
        <v>57</v>
      </c>
      <c r="H369" s="22"/>
      <c r="I369" s="22"/>
    </row>
    <row r="370" spans="1:9" ht="63" x14ac:dyDescent="0.25">
      <c r="A370" s="22" t="s">
        <v>6979</v>
      </c>
      <c r="B370" s="22" t="s">
        <v>3213</v>
      </c>
      <c r="C370" s="22" t="s">
        <v>3214</v>
      </c>
      <c r="D370" s="22" t="s">
        <v>3771</v>
      </c>
      <c r="E370" s="22" t="s">
        <v>3215</v>
      </c>
      <c r="F370" s="22">
        <v>1</v>
      </c>
      <c r="G370" s="22">
        <v>57</v>
      </c>
      <c r="H370" s="22"/>
      <c r="I370" s="22"/>
    </row>
    <row r="371" spans="1:9" ht="42" x14ac:dyDescent="0.25">
      <c r="A371" s="22" t="s">
        <v>6980</v>
      </c>
      <c r="B371" s="22" t="s">
        <v>3257</v>
      </c>
      <c r="C371" s="22" t="s">
        <v>3258</v>
      </c>
      <c r="D371" s="22" t="s">
        <v>5091</v>
      </c>
      <c r="E371" s="22" t="s">
        <v>3259</v>
      </c>
      <c r="F371" s="22">
        <v>1</v>
      </c>
      <c r="G371" s="22">
        <v>14</v>
      </c>
      <c r="H371" s="22"/>
      <c r="I371" s="22"/>
    </row>
    <row r="372" spans="1:9" ht="84" x14ac:dyDescent="0.25">
      <c r="A372" s="22" t="s">
        <v>6981</v>
      </c>
      <c r="B372" s="22" t="s">
        <v>3260</v>
      </c>
      <c r="C372" s="22" t="s">
        <v>3261</v>
      </c>
      <c r="D372" s="22" t="s">
        <v>4750</v>
      </c>
      <c r="E372" s="22" t="s">
        <v>3262</v>
      </c>
      <c r="F372" s="22">
        <v>1</v>
      </c>
      <c r="G372" s="22">
        <v>21</v>
      </c>
      <c r="H372" s="22"/>
      <c r="I372" s="22"/>
    </row>
    <row r="373" spans="1:9" ht="84" x14ac:dyDescent="0.25">
      <c r="A373" s="22" t="s">
        <v>6982</v>
      </c>
      <c r="B373" s="22" t="s">
        <v>3260</v>
      </c>
      <c r="C373" s="22" t="s">
        <v>3261</v>
      </c>
      <c r="D373" s="22" t="s">
        <v>5091</v>
      </c>
      <c r="E373" s="22" t="s">
        <v>3262</v>
      </c>
      <c r="F373" s="22">
        <v>1</v>
      </c>
      <c r="G373" s="22">
        <v>21</v>
      </c>
      <c r="H373" s="22"/>
      <c r="I373" s="22"/>
    </row>
    <row r="374" spans="1:9" ht="84" x14ac:dyDescent="0.25">
      <c r="A374" s="22" t="s">
        <v>6983</v>
      </c>
      <c r="B374" s="22" t="s">
        <v>3260</v>
      </c>
      <c r="C374" s="22" t="s">
        <v>3261</v>
      </c>
      <c r="D374" s="22" t="s">
        <v>5091</v>
      </c>
      <c r="E374" s="22" t="s">
        <v>3262</v>
      </c>
      <c r="F374" s="22">
        <v>1</v>
      </c>
      <c r="G374" s="22">
        <v>21</v>
      </c>
      <c r="H374" s="22"/>
      <c r="I374" s="22"/>
    </row>
    <row r="375" spans="1:9" ht="84" x14ac:dyDescent="0.25">
      <c r="A375" s="22" t="s">
        <v>6984</v>
      </c>
      <c r="B375" s="22" t="s">
        <v>3267</v>
      </c>
      <c r="C375" s="22" t="s">
        <v>3268</v>
      </c>
      <c r="D375" s="22" t="s">
        <v>3264</v>
      </c>
      <c r="E375" s="22" t="s">
        <v>3269</v>
      </c>
      <c r="F375" s="22">
        <v>1</v>
      </c>
      <c r="G375" s="22">
        <v>25</v>
      </c>
      <c r="H375" s="22"/>
      <c r="I375" s="22"/>
    </row>
    <row r="376" spans="1:9" ht="63" x14ac:dyDescent="0.25">
      <c r="A376" s="22" t="s">
        <v>6985</v>
      </c>
      <c r="B376" s="22" t="s">
        <v>3271</v>
      </c>
      <c r="C376" s="22" t="s">
        <v>3272</v>
      </c>
      <c r="D376" s="22" t="s">
        <v>3264</v>
      </c>
      <c r="E376" s="22" t="s">
        <v>3273</v>
      </c>
      <c r="F376" s="22">
        <v>1</v>
      </c>
      <c r="G376" s="22">
        <v>7</v>
      </c>
      <c r="H376" s="22"/>
      <c r="I376" s="22"/>
    </row>
    <row r="377" spans="1:9" ht="63" x14ac:dyDescent="0.25">
      <c r="A377" s="22" t="s">
        <v>6986</v>
      </c>
      <c r="B377" s="22" t="s">
        <v>3275</v>
      </c>
      <c r="C377" s="22" t="s">
        <v>3276</v>
      </c>
      <c r="D377" s="22" t="s">
        <v>4900</v>
      </c>
      <c r="E377" s="22" t="s">
        <v>3277</v>
      </c>
      <c r="F377" s="22">
        <v>1</v>
      </c>
      <c r="G377" s="22">
        <v>105</v>
      </c>
      <c r="H377" s="22"/>
      <c r="I377" s="22"/>
    </row>
    <row r="378" spans="1:9" ht="84" x14ac:dyDescent="0.25">
      <c r="A378" s="22" t="s">
        <v>6987</v>
      </c>
      <c r="B378" s="22" t="s">
        <v>3280</v>
      </c>
      <c r="C378" s="22" t="s">
        <v>3281</v>
      </c>
      <c r="D378" s="22" t="s">
        <v>3283</v>
      </c>
      <c r="E378" s="22" t="s">
        <v>3282</v>
      </c>
      <c r="F378" s="22">
        <v>1</v>
      </c>
      <c r="G378" s="22">
        <v>18</v>
      </c>
      <c r="H378" s="22"/>
      <c r="I378" s="22"/>
    </row>
    <row r="379" spans="1:9" ht="42" x14ac:dyDescent="0.25">
      <c r="A379" s="22" t="s">
        <v>6988</v>
      </c>
      <c r="B379" s="22" t="s">
        <v>3290</v>
      </c>
      <c r="C379" s="22" t="s">
        <v>3291</v>
      </c>
      <c r="D379" s="22" t="s">
        <v>3310</v>
      </c>
      <c r="E379" s="22" t="s">
        <v>3292</v>
      </c>
      <c r="F379" s="22">
        <v>1</v>
      </c>
      <c r="G379" s="22">
        <v>42</v>
      </c>
      <c r="H379" s="22"/>
      <c r="I379" s="22"/>
    </row>
    <row r="380" spans="1:9" ht="63" x14ac:dyDescent="0.25">
      <c r="A380" s="22" t="s">
        <v>6989</v>
      </c>
      <c r="B380" s="22" t="s">
        <v>3293</v>
      </c>
      <c r="C380" s="22" t="s">
        <v>3294</v>
      </c>
      <c r="D380" s="22" t="s">
        <v>4900</v>
      </c>
      <c r="E380" s="22" t="s">
        <v>3295</v>
      </c>
      <c r="F380" s="22">
        <v>1</v>
      </c>
      <c r="G380" s="22">
        <v>18</v>
      </c>
      <c r="H380" s="22"/>
      <c r="I380" s="22"/>
    </row>
    <row r="381" spans="1:9" ht="42" x14ac:dyDescent="0.25">
      <c r="A381" s="22" t="s">
        <v>6990</v>
      </c>
      <c r="B381" s="22" t="s">
        <v>3297</v>
      </c>
      <c r="C381" s="22" t="s">
        <v>3298</v>
      </c>
      <c r="D381" s="22" t="s">
        <v>3300</v>
      </c>
      <c r="E381" s="22" t="s">
        <v>3299</v>
      </c>
      <c r="F381" s="22">
        <v>1</v>
      </c>
      <c r="G381" s="22">
        <v>105</v>
      </c>
      <c r="H381" s="22"/>
      <c r="I381" s="22"/>
    </row>
    <row r="382" spans="1:9" ht="42" x14ac:dyDescent="0.25">
      <c r="A382" s="22" t="s">
        <v>6991</v>
      </c>
      <c r="B382" s="22" t="s">
        <v>3302</v>
      </c>
      <c r="C382" s="22" t="s">
        <v>3303</v>
      </c>
      <c r="D382" s="22" t="s">
        <v>3305</v>
      </c>
      <c r="E382" s="22" t="s">
        <v>3304</v>
      </c>
      <c r="F382" s="22">
        <v>1</v>
      </c>
      <c r="G382" s="22">
        <v>40</v>
      </c>
      <c r="H382" s="22"/>
      <c r="I382" s="22"/>
    </row>
    <row r="383" spans="1:9" ht="63" x14ac:dyDescent="0.25">
      <c r="A383" s="22" t="s">
        <v>6992</v>
      </c>
      <c r="B383" s="22" t="s">
        <v>3307</v>
      </c>
      <c r="C383" s="22" t="s">
        <v>3308</v>
      </c>
      <c r="D383" s="22" t="s">
        <v>3310</v>
      </c>
      <c r="E383" s="22" t="s">
        <v>3309</v>
      </c>
      <c r="F383" s="22">
        <v>1</v>
      </c>
      <c r="G383" s="22">
        <v>54</v>
      </c>
      <c r="H383" s="22"/>
      <c r="I383" s="22"/>
    </row>
    <row r="384" spans="1:9" ht="42" x14ac:dyDescent="0.25">
      <c r="A384" s="22" t="s">
        <v>6993</v>
      </c>
      <c r="B384" s="22" t="s">
        <v>3313</v>
      </c>
      <c r="C384" s="22" t="s">
        <v>3314</v>
      </c>
      <c r="D384" s="22" t="s">
        <v>3310</v>
      </c>
      <c r="E384" s="22" t="s">
        <v>3315</v>
      </c>
      <c r="F384" s="22">
        <v>1</v>
      </c>
      <c r="G384" s="22">
        <v>51</v>
      </c>
      <c r="H384" s="22"/>
      <c r="I384" s="22"/>
    </row>
    <row r="385" spans="1:9" ht="42" x14ac:dyDescent="0.25">
      <c r="A385" s="22" t="s">
        <v>6994</v>
      </c>
      <c r="B385" s="22" t="s">
        <v>3317</v>
      </c>
      <c r="C385" s="22" t="s">
        <v>3318</v>
      </c>
      <c r="D385" s="22" t="s">
        <v>3310</v>
      </c>
      <c r="E385" s="22" t="s">
        <v>3319</v>
      </c>
      <c r="F385" s="22">
        <v>1</v>
      </c>
      <c r="G385" s="22">
        <v>69</v>
      </c>
      <c r="H385" s="22"/>
      <c r="I385" s="22"/>
    </row>
    <row r="386" spans="1:9" ht="84" x14ac:dyDescent="0.25">
      <c r="A386" s="22" t="s">
        <v>6995</v>
      </c>
      <c r="B386" s="22" t="s">
        <v>3321</v>
      </c>
      <c r="C386" s="22" t="s">
        <v>3322</v>
      </c>
      <c r="D386" s="22" t="s">
        <v>3310</v>
      </c>
      <c r="E386" s="22" t="s">
        <v>3323</v>
      </c>
      <c r="F386" s="22">
        <v>1</v>
      </c>
      <c r="G386" s="22">
        <v>21</v>
      </c>
      <c r="H386" s="22"/>
      <c r="I386" s="22"/>
    </row>
    <row r="387" spans="1:9" ht="42" x14ac:dyDescent="0.25">
      <c r="A387" s="22" t="s">
        <v>6996</v>
      </c>
      <c r="B387" s="22" t="s">
        <v>3326</v>
      </c>
      <c r="C387" s="22" t="s">
        <v>3327</v>
      </c>
      <c r="D387" s="22" t="s">
        <v>3329</v>
      </c>
      <c r="E387" s="22" t="s">
        <v>3328</v>
      </c>
      <c r="F387" s="22">
        <v>1</v>
      </c>
      <c r="G387" s="22">
        <v>333</v>
      </c>
      <c r="H387" s="22"/>
      <c r="I387" s="22"/>
    </row>
    <row r="388" spans="1:9" ht="42" x14ac:dyDescent="0.25">
      <c r="A388" s="22" t="s">
        <v>6997</v>
      </c>
      <c r="B388" s="22" t="s">
        <v>3331</v>
      </c>
      <c r="C388" s="22" t="s">
        <v>3332</v>
      </c>
      <c r="D388" s="22" t="s">
        <v>3329</v>
      </c>
      <c r="E388" s="22" t="s">
        <v>2516</v>
      </c>
      <c r="F388" s="22">
        <v>1</v>
      </c>
      <c r="G388" s="22">
        <v>136</v>
      </c>
      <c r="H388" s="22"/>
      <c r="I388" s="22"/>
    </row>
    <row r="389" spans="1:9" ht="84" x14ac:dyDescent="0.25">
      <c r="A389" s="22" t="s">
        <v>6998</v>
      </c>
      <c r="B389" s="22" t="s">
        <v>3333</v>
      </c>
      <c r="C389" s="22" t="s">
        <v>3334</v>
      </c>
      <c r="D389" s="22" t="s">
        <v>3771</v>
      </c>
      <c r="E389" s="22" t="s">
        <v>3335</v>
      </c>
      <c r="F389" s="22">
        <v>1</v>
      </c>
      <c r="G389" s="22">
        <v>25</v>
      </c>
      <c r="H389" s="22"/>
      <c r="I389" s="22"/>
    </row>
    <row r="390" spans="1:9" ht="63" x14ac:dyDescent="0.25">
      <c r="A390" s="22" t="s">
        <v>6999</v>
      </c>
      <c r="B390" s="22" t="s">
        <v>3337</v>
      </c>
      <c r="C390" s="22" t="s">
        <v>3338</v>
      </c>
      <c r="D390" s="22" t="s">
        <v>3310</v>
      </c>
      <c r="E390" s="22" t="s">
        <v>3339</v>
      </c>
      <c r="F390" s="22">
        <v>1</v>
      </c>
      <c r="G390" s="22">
        <v>88</v>
      </c>
      <c r="H390" s="22"/>
      <c r="I390" s="22"/>
    </row>
    <row r="391" spans="1:9" ht="42" x14ac:dyDescent="0.25">
      <c r="A391" s="22" t="s">
        <v>7000</v>
      </c>
      <c r="B391" s="22" t="s">
        <v>3341</v>
      </c>
      <c r="C391" s="22" t="s">
        <v>3342</v>
      </c>
      <c r="D391" s="22" t="s">
        <v>3300</v>
      </c>
      <c r="E391" s="22" t="s">
        <v>3343</v>
      </c>
      <c r="F391" s="22">
        <v>1</v>
      </c>
      <c r="G391" s="22">
        <v>46</v>
      </c>
      <c r="H391" s="22"/>
      <c r="I391" s="22"/>
    </row>
    <row r="392" spans="1:9" ht="42" x14ac:dyDescent="0.25">
      <c r="A392" s="22" t="s">
        <v>7001</v>
      </c>
      <c r="B392" s="22" t="s">
        <v>3345</v>
      </c>
      <c r="C392" s="22" t="s">
        <v>3346</v>
      </c>
      <c r="D392" s="22" t="s">
        <v>3348</v>
      </c>
      <c r="E392" s="22" t="s">
        <v>3347</v>
      </c>
      <c r="F392" s="22">
        <v>1</v>
      </c>
      <c r="G392" s="22">
        <v>52</v>
      </c>
      <c r="H392" s="22"/>
      <c r="I392" s="22"/>
    </row>
    <row r="393" spans="1:9" ht="42" x14ac:dyDescent="0.25">
      <c r="A393" s="22" t="s">
        <v>7002</v>
      </c>
      <c r="B393" s="22" t="s">
        <v>3350</v>
      </c>
      <c r="C393" s="22" t="s">
        <v>3351</v>
      </c>
      <c r="D393" s="22" t="s">
        <v>3329</v>
      </c>
      <c r="E393" s="22" t="s">
        <v>3352</v>
      </c>
      <c r="F393" s="22">
        <v>1</v>
      </c>
      <c r="G393" s="22">
        <v>19</v>
      </c>
      <c r="H393" s="22"/>
      <c r="I393" s="22"/>
    </row>
    <row r="394" spans="1:9" ht="42" x14ac:dyDescent="0.25">
      <c r="A394" s="22" t="s">
        <v>7003</v>
      </c>
      <c r="B394" s="22" t="s">
        <v>3354</v>
      </c>
      <c r="C394" s="22" t="s">
        <v>3355</v>
      </c>
      <c r="D394" s="22" t="s">
        <v>3329</v>
      </c>
      <c r="E394" s="22" t="s">
        <v>3356</v>
      </c>
      <c r="F394" s="22">
        <v>1</v>
      </c>
      <c r="G394" s="22">
        <v>13</v>
      </c>
      <c r="H394" s="22"/>
      <c r="I394" s="22"/>
    </row>
    <row r="395" spans="1:9" ht="126" x14ac:dyDescent="0.25">
      <c r="A395" s="22" t="s">
        <v>7004</v>
      </c>
      <c r="B395" s="22" t="s">
        <v>3358</v>
      </c>
      <c r="C395" s="22" t="s">
        <v>3359</v>
      </c>
      <c r="D395" s="22" t="s">
        <v>3329</v>
      </c>
      <c r="E395" s="22" t="s">
        <v>4867</v>
      </c>
      <c r="F395" s="22">
        <v>1</v>
      </c>
      <c r="G395" s="22">
        <v>111</v>
      </c>
      <c r="H395" s="22"/>
      <c r="I395" s="22"/>
    </row>
    <row r="396" spans="1:9" ht="42" x14ac:dyDescent="0.25">
      <c r="A396" s="22" t="s">
        <v>7005</v>
      </c>
      <c r="B396" s="22" t="s">
        <v>3361</v>
      </c>
      <c r="C396" s="22" t="s">
        <v>3362</v>
      </c>
      <c r="D396" s="22" t="s">
        <v>3348</v>
      </c>
      <c r="E396" s="22" t="s">
        <v>3363</v>
      </c>
      <c r="F396" s="22">
        <v>1</v>
      </c>
      <c r="G396" s="22">
        <v>179</v>
      </c>
      <c r="H396" s="22"/>
      <c r="I396" s="22"/>
    </row>
    <row r="397" spans="1:9" ht="84" x14ac:dyDescent="0.25">
      <c r="A397" s="22" t="s">
        <v>7006</v>
      </c>
      <c r="B397" s="22" t="s">
        <v>3365</v>
      </c>
      <c r="C397" s="22" t="s">
        <v>3366</v>
      </c>
      <c r="D397" s="22" t="s">
        <v>3368</v>
      </c>
      <c r="E397" s="22" t="s">
        <v>3367</v>
      </c>
      <c r="F397" s="22">
        <v>1</v>
      </c>
      <c r="G397" s="22">
        <v>15</v>
      </c>
      <c r="H397" s="22"/>
      <c r="I397" s="22"/>
    </row>
    <row r="398" spans="1:9" ht="63" x14ac:dyDescent="0.25">
      <c r="A398" s="22" t="s">
        <v>7007</v>
      </c>
      <c r="B398" s="22" t="s">
        <v>3370</v>
      </c>
      <c r="C398" s="22" t="s">
        <v>3371</v>
      </c>
      <c r="D398" s="22" t="s">
        <v>3265</v>
      </c>
      <c r="E398" s="22" t="s">
        <v>3372</v>
      </c>
      <c r="F398" s="22">
        <v>1</v>
      </c>
      <c r="G398" s="22">
        <v>36</v>
      </c>
      <c r="H398" s="22"/>
      <c r="I398" s="22"/>
    </row>
    <row r="399" spans="1:9" ht="63" x14ac:dyDescent="0.25">
      <c r="A399" s="22" t="s">
        <v>7008</v>
      </c>
      <c r="B399" s="22" t="s">
        <v>3374</v>
      </c>
      <c r="C399" s="22" t="s">
        <v>3375</v>
      </c>
      <c r="D399" s="22" t="s">
        <v>3265</v>
      </c>
      <c r="E399" s="22" t="s">
        <v>3376</v>
      </c>
      <c r="F399" s="22">
        <v>1</v>
      </c>
      <c r="G399" s="22">
        <v>38</v>
      </c>
      <c r="H399" s="22"/>
      <c r="I399" s="22"/>
    </row>
    <row r="400" spans="1:9" ht="84" x14ac:dyDescent="0.25">
      <c r="A400" s="22" t="s">
        <v>7009</v>
      </c>
      <c r="B400" s="22" t="s">
        <v>3378</v>
      </c>
      <c r="C400" s="22" t="s">
        <v>3379</v>
      </c>
      <c r="D400" s="22" t="s">
        <v>3265</v>
      </c>
      <c r="E400" s="22" t="s">
        <v>3380</v>
      </c>
      <c r="F400" s="22">
        <v>1</v>
      </c>
      <c r="G400" s="22">
        <v>46</v>
      </c>
      <c r="H400" s="22"/>
      <c r="I400" s="22"/>
    </row>
    <row r="401" spans="1:9" ht="84" x14ac:dyDescent="0.25">
      <c r="A401" s="22" t="s">
        <v>7010</v>
      </c>
      <c r="B401" s="22" t="s">
        <v>3378</v>
      </c>
      <c r="C401" s="22" t="s">
        <v>3379</v>
      </c>
      <c r="D401" s="22" t="s">
        <v>3398</v>
      </c>
      <c r="E401" s="22" t="s">
        <v>3380</v>
      </c>
      <c r="F401" s="22">
        <v>1</v>
      </c>
      <c r="G401" s="22">
        <v>46</v>
      </c>
      <c r="H401" s="22"/>
      <c r="I401" s="22"/>
    </row>
    <row r="402" spans="1:9" ht="42" x14ac:dyDescent="0.25">
      <c r="A402" s="22" t="s">
        <v>7011</v>
      </c>
      <c r="B402" s="22" t="s">
        <v>3382</v>
      </c>
      <c r="C402" s="22" t="s">
        <v>3383</v>
      </c>
      <c r="D402" s="22" t="s">
        <v>3265</v>
      </c>
      <c r="E402" s="22" t="s">
        <v>3384</v>
      </c>
      <c r="F402" s="22">
        <v>1</v>
      </c>
      <c r="G402" s="22">
        <v>49</v>
      </c>
      <c r="H402" s="22"/>
      <c r="I402" s="22"/>
    </row>
    <row r="403" spans="1:9" ht="42" x14ac:dyDescent="0.25">
      <c r="A403" s="22" t="s">
        <v>7012</v>
      </c>
      <c r="B403" s="22" t="s">
        <v>3386</v>
      </c>
      <c r="C403" s="22" t="s">
        <v>3387</v>
      </c>
      <c r="D403" s="22" t="s">
        <v>3265</v>
      </c>
      <c r="E403" s="22" t="s">
        <v>3388</v>
      </c>
      <c r="F403" s="22">
        <v>1</v>
      </c>
      <c r="G403" s="22">
        <v>167</v>
      </c>
      <c r="H403" s="22"/>
      <c r="I403" s="22"/>
    </row>
    <row r="404" spans="1:9" ht="84" x14ac:dyDescent="0.25">
      <c r="A404" s="22" t="s">
        <v>7013</v>
      </c>
      <c r="B404" s="22" t="s">
        <v>3390</v>
      </c>
      <c r="C404" s="22" t="s">
        <v>3391</v>
      </c>
      <c r="D404" s="22" t="s">
        <v>3265</v>
      </c>
      <c r="E404" s="22" t="s">
        <v>3392</v>
      </c>
      <c r="F404" s="22">
        <v>1</v>
      </c>
      <c r="G404" s="22">
        <v>50</v>
      </c>
      <c r="H404" s="22"/>
      <c r="I404" s="22"/>
    </row>
    <row r="405" spans="1:9" ht="84" x14ac:dyDescent="0.25">
      <c r="A405" s="22" t="s">
        <v>7014</v>
      </c>
      <c r="B405" s="22" t="s">
        <v>3394</v>
      </c>
      <c r="C405" s="22" t="s">
        <v>3395</v>
      </c>
      <c r="D405" s="22" t="s">
        <v>3368</v>
      </c>
      <c r="E405" s="22" t="s">
        <v>3396</v>
      </c>
      <c r="F405" s="22">
        <v>1</v>
      </c>
      <c r="G405" s="22">
        <v>23</v>
      </c>
      <c r="H405" s="22"/>
      <c r="I405" s="22"/>
    </row>
    <row r="406" spans="1:9" ht="84" x14ac:dyDescent="0.25">
      <c r="A406" s="22" t="s">
        <v>7015</v>
      </c>
      <c r="B406" s="22" t="s">
        <v>3394</v>
      </c>
      <c r="C406" s="22" t="s">
        <v>3395</v>
      </c>
      <c r="D406" s="22" t="s">
        <v>3417</v>
      </c>
      <c r="E406" s="22" t="s">
        <v>3396</v>
      </c>
      <c r="F406" s="22">
        <v>1</v>
      </c>
      <c r="G406" s="22">
        <v>23</v>
      </c>
      <c r="H406" s="22"/>
      <c r="I406" s="22"/>
    </row>
    <row r="407" spans="1:9" ht="105" x14ac:dyDescent="0.25">
      <c r="A407" s="22" t="s">
        <v>7016</v>
      </c>
      <c r="B407" s="22" t="s">
        <v>3400</v>
      </c>
      <c r="C407" s="22" t="s">
        <v>3401</v>
      </c>
      <c r="D407" s="22" t="s">
        <v>3368</v>
      </c>
      <c r="E407" s="22" t="s">
        <v>3402</v>
      </c>
      <c r="F407" s="22">
        <v>1</v>
      </c>
      <c r="G407" s="22">
        <v>65</v>
      </c>
      <c r="H407" s="22"/>
      <c r="I407" s="22"/>
    </row>
    <row r="408" spans="1:9" ht="42" x14ac:dyDescent="0.25">
      <c r="A408" s="22" t="s">
        <v>7017</v>
      </c>
      <c r="B408" s="22" t="s">
        <v>3405</v>
      </c>
      <c r="C408" s="22" t="s">
        <v>3406</v>
      </c>
      <c r="D408" s="22" t="s">
        <v>4900</v>
      </c>
      <c r="E408" s="22" t="s">
        <v>3407</v>
      </c>
      <c r="F408" s="22">
        <v>1</v>
      </c>
      <c r="G408" s="22">
        <v>59</v>
      </c>
      <c r="H408" s="22"/>
      <c r="I408" s="22"/>
    </row>
    <row r="409" spans="1:9" ht="63" x14ac:dyDescent="0.25">
      <c r="A409" s="22" t="s">
        <v>7018</v>
      </c>
      <c r="B409" s="22" t="s">
        <v>3413</v>
      </c>
      <c r="C409" s="22" t="s">
        <v>3414</v>
      </c>
      <c r="D409" s="22" t="s">
        <v>3368</v>
      </c>
      <c r="E409" s="22" t="s">
        <v>3415</v>
      </c>
      <c r="F409" s="22">
        <v>1</v>
      </c>
      <c r="G409" s="22">
        <v>59</v>
      </c>
      <c r="H409" s="22"/>
      <c r="I409" s="22"/>
    </row>
    <row r="410" spans="1:9" ht="63" x14ac:dyDescent="0.25">
      <c r="A410" s="22" t="s">
        <v>7019</v>
      </c>
      <c r="B410" s="22" t="s">
        <v>3413</v>
      </c>
      <c r="C410" s="22" t="s">
        <v>3414</v>
      </c>
      <c r="D410" s="22" t="s">
        <v>3436</v>
      </c>
      <c r="E410" s="22" t="s">
        <v>3415</v>
      </c>
      <c r="F410" s="22">
        <v>1</v>
      </c>
      <c r="G410" s="22">
        <v>59</v>
      </c>
      <c r="H410" s="22"/>
      <c r="I410" s="22"/>
    </row>
    <row r="411" spans="1:9" ht="42" x14ac:dyDescent="0.25">
      <c r="A411" s="22" t="s">
        <v>7020</v>
      </c>
      <c r="B411" s="22" t="s">
        <v>3422</v>
      </c>
      <c r="C411" s="22" t="s">
        <v>3423</v>
      </c>
      <c r="D411" s="22" t="s">
        <v>3420</v>
      </c>
      <c r="E411" s="22" t="s">
        <v>3424</v>
      </c>
      <c r="F411" s="22">
        <v>1</v>
      </c>
      <c r="G411" s="22">
        <v>53</v>
      </c>
      <c r="H411" s="22"/>
      <c r="I411" s="22"/>
    </row>
    <row r="412" spans="1:9" ht="63" x14ac:dyDescent="0.25">
      <c r="A412" s="22" t="s">
        <v>7021</v>
      </c>
      <c r="B412" s="22" t="s">
        <v>3426</v>
      </c>
      <c r="C412" s="22" t="s">
        <v>3427</v>
      </c>
      <c r="D412" s="22" t="s">
        <v>3404</v>
      </c>
      <c r="E412" s="22" t="s">
        <v>3428</v>
      </c>
      <c r="F412" s="22">
        <v>1</v>
      </c>
      <c r="G412" s="22">
        <v>92</v>
      </c>
      <c r="H412" s="22"/>
      <c r="I412" s="22"/>
    </row>
    <row r="413" spans="1:9" ht="42" x14ac:dyDescent="0.25">
      <c r="A413" s="22" t="s">
        <v>7022</v>
      </c>
      <c r="B413" s="22" t="s">
        <v>3430</v>
      </c>
      <c r="C413" s="22" t="s">
        <v>3431</v>
      </c>
      <c r="D413" s="22" t="s">
        <v>3420</v>
      </c>
      <c r="E413" s="22" t="s">
        <v>3432</v>
      </c>
      <c r="F413" s="22">
        <v>1</v>
      </c>
      <c r="G413" s="22">
        <v>58</v>
      </c>
      <c r="H413" s="22"/>
      <c r="I413" s="22"/>
    </row>
    <row r="414" spans="1:9" ht="42" x14ac:dyDescent="0.25">
      <c r="A414" s="22" t="s">
        <v>7023</v>
      </c>
      <c r="B414" s="22" t="s">
        <v>3434</v>
      </c>
      <c r="C414" s="22" t="s">
        <v>3435</v>
      </c>
      <c r="D414" s="22" t="s">
        <v>3436</v>
      </c>
      <c r="E414" s="22" t="s">
        <v>3388</v>
      </c>
      <c r="F414" s="22">
        <v>1</v>
      </c>
      <c r="G414" s="22">
        <v>105</v>
      </c>
      <c r="H414" s="22"/>
      <c r="I414" s="22"/>
    </row>
    <row r="415" spans="1:9" ht="63" x14ac:dyDescent="0.25">
      <c r="A415" s="22" t="s">
        <v>7024</v>
      </c>
      <c r="B415" s="22" t="s">
        <v>3438</v>
      </c>
      <c r="C415" s="22" t="s">
        <v>3439</v>
      </c>
      <c r="D415" s="22" t="s">
        <v>3420</v>
      </c>
      <c r="E415" s="22" t="s">
        <v>3440</v>
      </c>
      <c r="F415" s="22">
        <v>1</v>
      </c>
      <c r="G415" s="22">
        <v>39</v>
      </c>
      <c r="H415" s="22"/>
      <c r="I415" s="22"/>
    </row>
    <row r="416" spans="1:9" ht="63" x14ac:dyDescent="0.25">
      <c r="A416" s="22" t="s">
        <v>7025</v>
      </c>
      <c r="B416" s="22" t="s">
        <v>3451</v>
      </c>
      <c r="C416" s="22" t="s">
        <v>3452</v>
      </c>
      <c r="D416" s="22" t="s">
        <v>3420</v>
      </c>
      <c r="E416" s="22" t="s">
        <v>3453</v>
      </c>
      <c r="F416" s="22">
        <v>1</v>
      </c>
      <c r="G416" s="22">
        <v>44</v>
      </c>
      <c r="H416" s="22"/>
      <c r="I416" s="22"/>
    </row>
    <row r="417" spans="1:9" ht="105" x14ac:dyDescent="0.25">
      <c r="A417" s="22" t="s">
        <v>7026</v>
      </c>
      <c r="B417" s="22" t="s">
        <v>3455</v>
      </c>
      <c r="C417" s="22" t="s">
        <v>3456</v>
      </c>
      <c r="D417" s="22" t="s">
        <v>3420</v>
      </c>
      <c r="E417" s="22" t="s">
        <v>3457</v>
      </c>
      <c r="F417" s="22">
        <v>1</v>
      </c>
      <c r="G417" s="22">
        <v>21</v>
      </c>
      <c r="H417" s="22"/>
      <c r="I417" s="22"/>
    </row>
    <row r="418" spans="1:9" ht="84" x14ac:dyDescent="0.25">
      <c r="A418" s="22" t="s">
        <v>7027</v>
      </c>
      <c r="B418" s="22" t="s">
        <v>3459</v>
      </c>
      <c r="C418" s="22" t="s">
        <v>3460</v>
      </c>
      <c r="D418" s="22" t="s">
        <v>3420</v>
      </c>
      <c r="E418" s="22" t="s">
        <v>3461</v>
      </c>
      <c r="F418" s="22">
        <v>1</v>
      </c>
      <c r="G418" s="22">
        <v>22</v>
      </c>
      <c r="H418" s="22"/>
      <c r="I418" s="22"/>
    </row>
    <row r="419" spans="1:9" ht="63" x14ac:dyDescent="0.25">
      <c r="A419" s="22" t="s">
        <v>7028</v>
      </c>
      <c r="B419" s="22" t="s">
        <v>3463</v>
      </c>
      <c r="C419" s="22" t="s">
        <v>3464</v>
      </c>
      <c r="D419" s="22" t="s">
        <v>3420</v>
      </c>
      <c r="E419" s="22" t="s">
        <v>3465</v>
      </c>
      <c r="F419" s="22">
        <v>1</v>
      </c>
      <c r="G419" s="22">
        <v>39</v>
      </c>
      <c r="H419" s="22"/>
      <c r="I419" s="22"/>
    </row>
    <row r="420" spans="1:9" ht="63" x14ac:dyDescent="0.25">
      <c r="A420" s="22" t="s">
        <v>7029</v>
      </c>
      <c r="B420" s="22" t="s">
        <v>3467</v>
      </c>
      <c r="C420" s="22" t="s">
        <v>3468</v>
      </c>
      <c r="D420" s="22" t="s">
        <v>3420</v>
      </c>
      <c r="E420" s="22" t="s">
        <v>3469</v>
      </c>
      <c r="F420" s="22">
        <v>1</v>
      </c>
      <c r="G420" s="22">
        <v>26</v>
      </c>
      <c r="H420" s="22"/>
      <c r="I420" s="22"/>
    </row>
    <row r="421" spans="1:9" ht="63" x14ac:dyDescent="0.25">
      <c r="A421" s="22" t="s">
        <v>7030</v>
      </c>
      <c r="B421" s="22" t="s">
        <v>3467</v>
      </c>
      <c r="C421" s="22" t="s">
        <v>3468</v>
      </c>
      <c r="D421" s="22" t="s">
        <v>3420</v>
      </c>
      <c r="E421" s="22" t="s">
        <v>3469</v>
      </c>
      <c r="F421" s="22">
        <v>1</v>
      </c>
      <c r="G421" s="22">
        <v>26</v>
      </c>
      <c r="H421" s="22"/>
      <c r="I421" s="22"/>
    </row>
    <row r="422" spans="1:9" ht="63" x14ac:dyDescent="0.25">
      <c r="A422" s="22" t="s">
        <v>7031</v>
      </c>
      <c r="B422" s="22" t="s">
        <v>3473</v>
      </c>
      <c r="C422" s="22" t="s">
        <v>3474</v>
      </c>
      <c r="D422" s="22" t="s">
        <v>3417</v>
      </c>
      <c r="E422" s="22" t="s">
        <v>3277</v>
      </c>
      <c r="F422" s="22">
        <v>1</v>
      </c>
      <c r="G422" s="22">
        <v>105</v>
      </c>
      <c r="H422" s="22"/>
      <c r="I422" s="22"/>
    </row>
    <row r="423" spans="1:9" ht="42" x14ac:dyDescent="0.25">
      <c r="A423" s="22" t="s">
        <v>7032</v>
      </c>
      <c r="B423" s="22" t="s">
        <v>3478</v>
      </c>
      <c r="C423" s="22" t="s">
        <v>3479</v>
      </c>
      <c r="D423" s="22" t="s">
        <v>3481</v>
      </c>
      <c r="E423" s="22" t="s">
        <v>3480</v>
      </c>
      <c r="F423" s="22">
        <v>1</v>
      </c>
      <c r="G423" s="22">
        <v>87</v>
      </c>
      <c r="H423" s="22"/>
      <c r="I423" s="22"/>
    </row>
    <row r="424" spans="1:9" ht="42" x14ac:dyDescent="0.25">
      <c r="A424" s="22" t="s">
        <v>7033</v>
      </c>
      <c r="B424" s="22" t="s">
        <v>3483</v>
      </c>
      <c r="C424" s="22" t="s">
        <v>3484</v>
      </c>
      <c r="D424" s="22" t="s">
        <v>3481</v>
      </c>
      <c r="E424" s="22" t="s">
        <v>3485</v>
      </c>
      <c r="F424" s="22">
        <v>1</v>
      </c>
      <c r="G424" s="22">
        <v>40</v>
      </c>
      <c r="H424" s="22"/>
      <c r="I424" s="22"/>
    </row>
    <row r="425" spans="1:9" ht="42" x14ac:dyDescent="0.25">
      <c r="A425" s="22" t="s">
        <v>7034</v>
      </c>
      <c r="B425" s="22" t="s">
        <v>3487</v>
      </c>
      <c r="C425" s="22" t="s">
        <v>3488</v>
      </c>
      <c r="D425" s="22" t="s">
        <v>3418</v>
      </c>
      <c r="E425" s="22" t="s">
        <v>3489</v>
      </c>
      <c r="F425" s="22">
        <v>1</v>
      </c>
      <c r="G425" s="22">
        <v>173</v>
      </c>
      <c r="H425" s="22"/>
      <c r="I425" s="22"/>
    </row>
    <row r="426" spans="1:9" ht="63" x14ac:dyDescent="0.25">
      <c r="A426" s="22" t="s">
        <v>7035</v>
      </c>
      <c r="B426" s="22" t="s">
        <v>3491</v>
      </c>
      <c r="C426" s="22" t="s">
        <v>3492</v>
      </c>
      <c r="D426" s="22" t="s">
        <v>3418</v>
      </c>
      <c r="E426" s="22" t="s">
        <v>3493</v>
      </c>
      <c r="F426" s="22">
        <v>1</v>
      </c>
      <c r="G426" s="22">
        <v>51</v>
      </c>
      <c r="H426" s="22"/>
      <c r="I426" s="22"/>
    </row>
    <row r="427" spans="1:9" ht="63" x14ac:dyDescent="0.25">
      <c r="A427" s="22" t="s">
        <v>7036</v>
      </c>
      <c r="B427" s="22" t="s">
        <v>3495</v>
      </c>
      <c r="C427" s="22" t="s">
        <v>3496</v>
      </c>
      <c r="D427" s="22" t="s">
        <v>3418</v>
      </c>
      <c r="E427" s="22" t="s">
        <v>3497</v>
      </c>
      <c r="F427" s="22">
        <v>1</v>
      </c>
      <c r="G427" s="22">
        <v>37</v>
      </c>
      <c r="H427" s="22"/>
      <c r="I427" s="22"/>
    </row>
    <row r="428" spans="1:9" ht="63" x14ac:dyDescent="0.25">
      <c r="A428" s="22" t="s">
        <v>7037</v>
      </c>
      <c r="B428" s="22" t="s">
        <v>3495</v>
      </c>
      <c r="C428" s="22" t="s">
        <v>3496</v>
      </c>
      <c r="D428" s="22" t="s">
        <v>3418</v>
      </c>
      <c r="E428" s="22" t="s">
        <v>3497</v>
      </c>
      <c r="F428" s="22">
        <v>1</v>
      </c>
      <c r="G428" s="22">
        <v>37</v>
      </c>
      <c r="H428" s="22"/>
      <c r="I428" s="22"/>
    </row>
    <row r="429" spans="1:9" ht="42" x14ac:dyDescent="0.25">
      <c r="A429" s="22" t="s">
        <v>7038</v>
      </c>
      <c r="B429" s="22" t="s">
        <v>3499</v>
      </c>
      <c r="C429" s="22" t="s">
        <v>3500</v>
      </c>
      <c r="D429" s="22" t="s">
        <v>3418</v>
      </c>
      <c r="E429" s="22" t="s">
        <v>3501</v>
      </c>
      <c r="F429" s="22">
        <v>1</v>
      </c>
      <c r="G429" s="22">
        <v>57</v>
      </c>
      <c r="H429" s="22"/>
      <c r="I429" s="22"/>
    </row>
    <row r="430" spans="1:9" ht="63" x14ac:dyDescent="0.25">
      <c r="A430" s="22" t="s">
        <v>7039</v>
      </c>
      <c r="B430" s="22" t="s">
        <v>3503</v>
      </c>
      <c r="C430" s="22" t="s">
        <v>3504</v>
      </c>
      <c r="D430" s="22" t="s">
        <v>3418</v>
      </c>
      <c r="E430" s="22" t="s">
        <v>3505</v>
      </c>
      <c r="F430" s="22">
        <v>1</v>
      </c>
      <c r="G430" s="22">
        <v>23</v>
      </c>
      <c r="H430" s="22"/>
      <c r="I430" s="22"/>
    </row>
    <row r="431" spans="1:9" ht="63" x14ac:dyDescent="0.25">
      <c r="A431" s="22" t="s">
        <v>7040</v>
      </c>
      <c r="B431" s="22" t="s">
        <v>3507</v>
      </c>
      <c r="C431" s="22" t="s">
        <v>3508</v>
      </c>
      <c r="D431" s="22" t="s">
        <v>3418</v>
      </c>
      <c r="E431" s="22" t="s">
        <v>3509</v>
      </c>
      <c r="F431" s="22">
        <v>1</v>
      </c>
      <c r="G431" s="22">
        <v>46</v>
      </c>
      <c r="H431" s="22"/>
      <c r="I431" s="22"/>
    </row>
    <row r="432" spans="1:9" ht="63" x14ac:dyDescent="0.25">
      <c r="A432" s="22" t="s">
        <v>7041</v>
      </c>
      <c r="B432" s="22" t="s">
        <v>3514</v>
      </c>
      <c r="C432" s="22" t="s">
        <v>3515</v>
      </c>
      <c r="D432" s="22" t="s">
        <v>3418</v>
      </c>
      <c r="E432" s="22" t="s">
        <v>3516</v>
      </c>
      <c r="F432" s="22">
        <v>1</v>
      </c>
      <c r="G432" s="22">
        <v>52</v>
      </c>
      <c r="H432" s="22"/>
      <c r="I432" s="22"/>
    </row>
    <row r="433" spans="1:9" ht="63" x14ac:dyDescent="0.25">
      <c r="A433" s="22" t="s">
        <v>7042</v>
      </c>
      <c r="B433" s="22" t="s">
        <v>3518</v>
      </c>
      <c r="C433" s="22" t="s">
        <v>3519</v>
      </c>
      <c r="D433" s="22" t="s">
        <v>3418</v>
      </c>
      <c r="E433" s="22" t="s">
        <v>3520</v>
      </c>
      <c r="F433" s="22">
        <v>1</v>
      </c>
      <c r="G433" s="22">
        <v>45</v>
      </c>
      <c r="H433" s="22"/>
      <c r="I433" s="22"/>
    </row>
    <row r="434" spans="1:9" ht="42" x14ac:dyDescent="0.25">
      <c r="A434" s="22" t="s">
        <v>7043</v>
      </c>
      <c r="B434" s="22" t="s">
        <v>3523</v>
      </c>
      <c r="C434" s="22" t="s">
        <v>3524</v>
      </c>
      <c r="D434" s="22" t="s">
        <v>3418</v>
      </c>
      <c r="E434" s="22" t="s">
        <v>3525</v>
      </c>
      <c r="F434" s="22">
        <v>1</v>
      </c>
      <c r="G434" s="22">
        <v>72</v>
      </c>
      <c r="H434" s="22"/>
      <c r="I434" s="22"/>
    </row>
    <row r="435" spans="1:9" ht="63" x14ac:dyDescent="0.25">
      <c r="A435" s="22" t="s">
        <v>7044</v>
      </c>
      <c r="B435" s="22" t="s">
        <v>3528</v>
      </c>
      <c r="C435" s="22" t="s">
        <v>3529</v>
      </c>
      <c r="D435" s="22" t="s">
        <v>3526</v>
      </c>
      <c r="E435" s="22" t="s">
        <v>3530</v>
      </c>
      <c r="F435" s="22">
        <v>1</v>
      </c>
      <c r="G435" s="22">
        <v>25</v>
      </c>
      <c r="H435" s="22"/>
      <c r="I435" s="22"/>
    </row>
    <row r="436" spans="1:9" ht="84" x14ac:dyDescent="0.25">
      <c r="A436" s="22" t="s">
        <v>7045</v>
      </c>
      <c r="B436" s="22" t="s">
        <v>3532</v>
      </c>
      <c r="C436" s="22" t="s">
        <v>3533</v>
      </c>
      <c r="D436" s="22" t="s">
        <v>3404</v>
      </c>
      <c r="E436" s="22" t="s">
        <v>3534</v>
      </c>
      <c r="F436" s="22">
        <v>1</v>
      </c>
      <c r="G436" s="22">
        <v>73</v>
      </c>
      <c r="H436" s="22"/>
      <c r="I436" s="22"/>
    </row>
    <row r="437" spans="1:9" ht="63" x14ac:dyDescent="0.25">
      <c r="A437" s="22" t="s">
        <v>7046</v>
      </c>
      <c r="B437" s="22" t="s">
        <v>3540</v>
      </c>
      <c r="C437" s="22" t="s">
        <v>3541</v>
      </c>
      <c r="D437" s="22" t="s">
        <v>3404</v>
      </c>
      <c r="E437" s="22" t="s">
        <v>3542</v>
      </c>
      <c r="F437" s="22">
        <v>1</v>
      </c>
      <c r="G437" s="22">
        <v>84</v>
      </c>
      <c r="H437" s="22"/>
      <c r="I437" s="22"/>
    </row>
    <row r="438" spans="1:9" ht="63" x14ac:dyDescent="0.25">
      <c r="A438" s="22" t="s">
        <v>7047</v>
      </c>
      <c r="B438" s="22" t="s">
        <v>3543</v>
      </c>
      <c r="C438" s="22" t="s">
        <v>3544</v>
      </c>
      <c r="D438" s="22" t="s">
        <v>3647</v>
      </c>
      <c r="E438" s="22" t="s">
        <v>3545</v>
      </c>
      <c r="F438" s="22">
        <v>1</v>
      </c>
      <c r="G438" s="22">
        <v>46</v>
      </c>
      <c r="H438" s="22"/>
      <c r="I438" s="22"/>
    </row>
    <row r="439" spans="1:9" ht="105" x14ac:dyDescent="0.25">
      <c r="A439" s="22" t="s">
        <v>7048</v>
      </c>
      <c r="B439" s="22" t="s">
        <v>3547</v>
      </c>
      <c r="C439" s="22" t="s">
        <v>3548</v>
      </c>
      <c r="D439" s="22" t="s">
        <v>3436</v>
      </c>
      <c r="E439" s="22" t="s">
        <v>3549</v>
      </c>
      <c r="F439" s="22">
        <v>1</v>
      </c>
      <c r="G439" s="22">
        <v>24</v>
      </c>
      <c r="H439" s="22"/>
      <c r="I439" s="22"/>
    </row>
    <row r="440" spans="1:9" ht="105" x14ac:dyDescent="0.25">
      <c r="A440" s="22" t="s">
        <v>7049</v>
      </c>
      <c r="B440" s="22" t="s">
        <v>3547</v>
      </c>
      <c r="C440" s="22" t="s">
        <v>3548</v>
      </c>
      <c r="D440" s="22" t="s">
        <v>3436</v>
      </c>
      <c r="E440" s="22" t="s">
        <v>3549</v>
      </c>
      <c r="F440" s="22">
        <v>1</v>
      </c>
      <c r="G440" s="22">
        <v>24</v>
      </c>
      <c r="H440" s="22"/>
      <c r="I440" s="22"/>
    </row>
    <row r="441" spans="1:9" ht="63" x14ac:dyDescent="0.25">
      <c r="A441" s="22" t="s">
        <v>7050</v>
      </c>
      <c r="B441" s="22" t="s">
        <v>3552</v>
      </c>
      <c r="C441" s="22" t="s">
        <v>3553</v>
      </c>
      <c r="D441" s="22" t="s">
        <v>3436</v>
      </c>
      <c r="E441" s="22" t="s">
        <v>3554</v>
      </c>
      <c r="F441" s="22">
        <v>1</v>
      </c>
      <c r="G441" s="22">
        <v>46</v>
      </c>
      <c r="H441" s="22"/>
      <c r="I441" s="22"/>
    </row>
    <row r="442" spans="1:9" ht="63" x14ac:dyDescent="0.25">
      <c r="A442" s="22" t="s">
        <v>7051</v>
      </c>
      <c r="B442" s="22" t="s">
        <v>3552</v>
      </c>
      <c r="C442" s="22" t="s">
        <v>3553</v>
      </c>
      <c r="D442" s="22" t="s">
        <v>3771</v>
      </c>
      <c r="E442" s="22" t="s">
        <v>3554</v>
      </c>
      <c r="F442" s="22">
        <v>1</v>
      </c>
      <c r="G442" s="22">
        <v>46</v>
      </c>
      <c r="H442" s="22"/>
      <c r="I442" s="22"/>
    </row>
    <row r="443" spans="1:9" ht="42" x14ac:dyDescent="0.25">
      <c r="A443" s="22" t="s">
        <v>7052</v>
      </c>
      <c r="B443" s="22" t="s">
        <v>3555</v>
      </c>
      <c r="C443" s="22" t="s">
        <v>3556</v>
      </c>
      <c r="D443" s="22" t="s">
        <v>3771</v>
      </c>
      <c r="E443" s="22" t="s">
        <v>3535</v>
      </c>
      <c r="F443" s="22">
        <v>1</v>
      </c>
      <c r="G443" s="22">
        <v>46</v>
      </c>
      <c r="H443" s="22"/>
      <c r="I443" s="22"/>
    </row>
    <row r="444" spans="1:9" ht="42" x14ac:dyDescent="0.25">
      <c r="A444" s="22" t="s">
        <v>7053</v>
      </c>
      <c r="B444" s="22" t="s">
        <v>3555</v>
      </c>
      <c r="C444" s="22" t="s">
        <v>3556</v>
      </c>
      <c r="D444" s="22" t="s">
        <v>3771</v>
      </c>
      <c r="E444" s="22" t="s">
        <v>3535</v>
      </c>
      <c r="F444" s="22">
        <v>1</v>
      </c>
      <c r="G444" s="22">
        <v>46</v>
      </c>
      <c r="H444" s="22"/>
      <c r="I444" s="22"/>
    </row>
    <row r="445" spans="1:9" ht="63" x14ac:dyDescent="0.25">
      <c r="A445" s="22" t="s">
        <v>7054</v>
      </c>
      <c r="B445" s="22" t="s">
        <v>3564</v>
      </c>
      <c r="C445" s="22" t="s">
        <v>3565</v>
      </c>
      <c r="D445" s="22" t="s">
        <v>3404</v>
      </c>
      <c r="E445" s="22" t="s">
        <v>3309</v>
      </c>
      <c r="F445" s="22">
        <v>1</v>
      </c>
      <c r="G445" s="22">
        <v>54</v>
      </c>
      <c r="H445" s="22"/>
      <c r="I445" s="22"/>
    </row>
    <row r="446" spans="1:9" ht="42" x14ac:dyDescent="0.25">
      <c r="A446" s="22" t="s">
        <v>7055</v>
      </c>
      <c r="B446" s="22" t="s">
        <v>3568</v>
      </c>
      <c r="C446" s="22" t="s">
        <v>3569</v>
      </c>
      <c r="D446" s="22" t="s">
        <v>4053</v>
      </c>
      <c r="E446" s="22" t="s">
        <v>3535</v>
      </c>
      <c r="F446" s="22">
        <v>1</v>
      </c>
      <c r="G446" s="22">
        <v>46</v>
      </c>
      <c r="H446" s="22"/>
      <c r="I446" s="22"/>
    </row>
    <row r="447" spans="1:9" ht="42" x14ac:dyDescent="0.25">
      <c r="A447" s="22" t="s">
        <v>7056</v>
      </c>
      <c r="B447" s="22" t="s">
        <v>3577</v>
      </c>
      <c r="C447" s="22" t="s">
        <v>3578</v>
      </c>
      <c r="D447" s="22" t="s">
        <v>3436</v>
      </c>
      <c r="E447" s="22" t="s">
        <v>3579</v>
      </c>
      <c r="F447" s="22">
        <v>1</v>
      </c>
      <c r="G447" s="22">
        <v>54</v>
      </c>
      <c r="H447" s="22"/>
      <c r="I447" s="22"/>
    </row>
    <row r="448" spans="1:9" ht="42" x14ac:dyDescent="0.25">
      <c r="A448" s="22" t="s">
        <v>7057</v>
      </c>
      <c r="B448" s="22" t="s">
        <v>3581</v>
      </c>
      <c r="C448" s="22" t="s">
        <v>3582</v>
      </c>
      <c r="D448" s="22" t="s">
        <v>3436</v>
      </c>
      <c r="E448" s="22" t="s">
        <v>3583</v>
      </c>
      <c r="F448" s="22">
        <v>1</v>
      </c>
      <c r="G448" s="22">
        <v>105</v>
      </c>
      <c r="H448" s="22"/>
      <c r="I448" s="22"/>
    </row>
    <row r="449" spans="1:9" ht="42" x14ac:dyDescent="0.25">
      <c r="A449" s="22" t="s">
        <v>7058</v>
      </c>
      <c r="B449" s="22" t="s">
        <v>3589</v>
      </c>
      <c r="C449" s="22" t="s">
        <v>3590</v>
      </c>
      <c r="D449" s="22" t="s">
        <v>3436</v>
      </c>
      <c r="E449" s="22" t="s">
        <v>3591</v>
      </c>
      <c r="F449" s="22">
        <v>1</v>
      </c>
      <c r="G449" s="22">
        <v>75</v>
      </c>
      <c r="H449" s="22"/>
      <c r="I449" s="22"/>
    </row>
    <row r="450" spans="1:9" ht="63" x14ac:dyDescent="0.25">
      <c r="A450" s="22" t="s">
        <v>7059</v>
      </c>
      <c r="B450" s="22" t="s">
        <v>3592</v>
      </c>
      <c r="C450" s="22" t="s">
        <v>3593</v>
      </c>
      <c r="D450" s="22" t="s">
        <v>3771</v>
      </c>
      <c r="E450" s="22" t="s">
        <v>3594</v>
      </c>
      <c r="F450" s="22">
        <v>1</v>
      </c>
      <c r="G450" s="22">
        <v>53</v>
      </c>
      <c r="H450" s="22"/>
      <c r="I450" s="22"/>
    </row>
    <row r="451" spans="1:9" ht="42" x14ac:dyDescent="0.25">
      <c r="A451" s="22" t="s">
        <v>7060</v>
      </c>
      <c r="B451" s="22" t="s">
        <v>3596</v>
      </c>
      <c r="C451" s="22" t="s">
        <v>3597</v>
      </c>
      <c r="D451" s="22" t="s">
        <v>3436</v>
      </c>
      <c r="E451" s="22" t="s">
        <v>3598</v>
      </c>
      <c r="F451" s="22">
        <v>1</v>
      </c>
      <c r="G451" s="22">
        <v>114</v>
      </c>
      <c r="H451" s="22"/>
      <c r="I451" s="22"/>
    </row>
    <row r="452" spans="1:9" ht="84" x14ac:dyDescent="0.25">
      <c r="A452" s="22" t="s">
        <v>7061</v>
      </c>
      <c r="B452" s="22" t="s">
        <v>3600</v>
      </c>
      <c r="C452" s="22" t="s">
        <v>3601</v>
      </c>
      <c r="D452" s="22" t="s">
        <v>3436</v>
      </c>
      <c r="E452" s="22" t="s">
        <v>3602</v>
      </c>
      <c r="F452" s="22">
        <v>1</v>
      </c>
      <c r="G452" s="22">
        <v>24</v>
      </c>
      <c r="H452" s="22"/>
      <c r="I452" s="22"/>
    </row>
    <row r="453" spans="1:9" ht="42" x14ac:dyDescent="0.25">
      <c r="A453" s="22" t="s">
        <v>7062</v>
      </c>
      <c r="B453" s="22" t="s">
        <v>3604</v>
      </c>
      <c r="C453" s="22" t="s">
        <v>3605</v>
      </c>
      <c r="D453" s="22" t="s">
        <v>3436</v>
      </c>
      <c r="E453" s="22" t="s">
        <v>3606</v>
      </c>
      <c r="F453" s="22">
        <v>1</v>
      </c>
      <c r="G453" s="22">
        <v>61</v>
      </c>
      <c r="H453" s="22"/>
      <c r="I453" s="22"/>
    </row>
    <row r="454" spans="1:9" ht="42" x14ac:dyDescent="0.25">
      <c r="A454" s="22" t="s">
        <v>7063</v>
      </c>
      <c r="B454" s="22" t="s">
        <v>3607</v>
      </c>
      <c r="C454" s="22" t="s">
        <v>3608</v>
      </c>
      <c r="D454" s="22" t="s">
        <v>4900</v>
      </c>
      <c r="E454" s="22" t="s">
        <v>3609</v>
      </c>
      <c r="F454" s="22">
        <v>1</v>
      </c>
      <c r="G454" s="22">
        <v>22</v>
      </c>
      <c r="H454" s="22"/>
      <c r="I454" s="22"/>
    </row>
    <row r="455" spans="1:9" ht="84" x14ac:dyDescent="0.25">
      <c r="A455" s="22" t="s">
        <v>7064</v>
      </c>
      <c r="B455" s="22" t="s">
        <v>3611</v>
      </c>
      <c r="C455" s="22" t="s">
        <v>3612</v>
      </c>
      <c r="D455" s="22" t="s">
        <v>3436</v>
      </c>
      <c r="E455" s="22" t="s">
        <v>3613</v>
      </c>
      <c r="F455" s="22">
        <v>1</v>
      </c>
      <c r="G455" s="22">
        <v>77</v>
      </c>
      <c r="H455" s="22"/>
      <c r="I455" s="22"/>
    </row>
    <row r="456" spans="1:9" ht="63" x14ac:dyDescent="0.25">
      <c r="A456" s="22" t="s">
        <v>7065</v>
      </c>
      <c r="B456" s="22" t="s">
        <v>3616</v>
      </c>
      <c r="C456" s="22" t="s">
        <v>3617</v>
      </c>
      <c r="D456" s="22" t="s">
        <v>3436</v>
      </c>
      <c r="E456" s="22" t="s">
        <v>3618</v>
      </c>
      <c r="F456" s="22">
        <v>1</v>
      </c>
      <c r="G456" s="22">
        <v>46</v>
      </c>
      <c r="H456" s="22"/>
      <c r="I456" s="22"/>
    </row>
    <row r="457" spans="1:9" ht="42" x14ac:dyDescent="0.25">
      <c r="A457" s="22" t="s">
        <v>7066</v>
      </c>
      <c r="B457" s="22" t="s">
        <v>3620</v>
      </c>
      <c r="C457" s="22" t="s">
        <v>3621</v>
      </c>
      <c r="D457" s="22" t="s">
        <v>3436</v>
      </c>
      <c r="E457" s="22" t="s">
        <v>3622</v>
      </c>
      <c r="F457" s="22">
        <v>1</v>
      </c>
      <c r="G457" s="22">
        <v>179</v>
      </c>
      <c r="H457" s="22"/>
      <c r="I457" s="22"/>
    </row>
    <row r="458" spans="1:9" ht="84" x14ac:dyDescent="0.25">
      <c r="A458" s="22" t="s">
        <v>7067</v>
      </c>
      <c r="B458" s="22" t="s">
        <v>3624</v>
      </c>
      <c r="C458" s="22" t="s">
        <v>3625</v>
      </c>
      <c r="D458" s="22" t="s">
        <v>3436</v>
      </c>
      <c r="E458" s="22" t="s">
        <v>3613</v>
      </c>
      <c r="F458" s="22">
        <v>1</v>
      </c>
      <c r="G458" s="22">
        <v>77</v>
      </c>
      <c r="H458" s="22"/>
      <c r="I458" s="22"/>
    </row>
    <row r="459" spans="1:9" ht="84" x14ac:dyDescent="0.25">
      <c r="A459" s="22" t="s">
        <v>7068</v>
      </c>
      <c r="B459" s="22" t="s">
        <v>3624</v>
      </c>
      <c r="C459" s="22" t="s">
        <v>3625</v>
      </c>
      <c r="D459" s="22" t="s">
        <v>3663</v>
      </c>
      <c r="E459" s="22" t="s">
        <v>3613</v>
      </c>
      <c r="F459" s="22">
        <v>1</v>
      </c>
      <c r="G459" s="22">
        <v>77</v>
      </c>
      <c r="H459" s="22"/>
      <c r="I459" s="22"/>
    </row>
    <row r="460" spans="1:9" ht="84" x14ac:dyDescent="0.25">
      <c r="A460" s="22" t="s">
        <v>7069</v>
      </c>
      <c r="B460" s="22" t="s">
        <v>3627</v>
      </c>
      <c r="C460" s="22" t="s">
        <v>3628</v>
      </c>
      <c r="D460" s="22" t="s">
        <v>3436</v>
      </c>
      <c r="E460" s="22" t="s">
        <v>3629</v>
      </c>
      <c r="F460" s="22">
        <v>1</v>
      </c>
      <c r="G460" s="22">
        <v>77</v>
      </c>
      <c r="H460" s="22"/>
      <c r="I460" s="22"/>
    </row>
    <row r="461" spans="1:9" ht="84" x14ac:dyDescent="0.25">
      <c r="A461" s="22" t="s">
        <v>7070</v>
      </c>
      <c r="B461" s="22" t="s">
        <v>3631</v>
      </c>
      <c r="C461" s="22" t="s">
        <v>3632</v>
      </c>
      <c r="D461" s="22" t="s">
        <v>3436</v>
      </c>
      <c r="E461" s="22" t="s">
        <v>3633</v>
      </c>
      <c r="F461" s="22">
        <v>1</v>
      </c>
      <c r="G461" s="22">
        <v>77</v>
      </c>
      <c r="H461" s="22"/>
      <c r="I461" s="22"/>
    </row>
    <row r="462" spans="1:9" ht="63" x14ac:dyDescent="0.25">
      <c r="A462" s="22" t="s">
        <v>7071</v>
      </c>
      <c r="B462" s="22" t="s">
        <v>3635</v>
      </c>
      <c r="C462" s="22" t="s">
        <v>3636</v>
      </c>
      <c r="D462" s="22" t="s">
        <v>3436</v>
      </c>
      <c r="E462" s="22" t="s">
        <v>3637</v>
      </c>
      <c r="F462" s="22">
        <v>1</v>
      </c>
      <c r="G462" s="22">
        <v>51</v>
      </c>
      <c r="H462" s="22"/>
      <c r="I462" s="22"/>
    </row>
    <row r="463" spans="1:9" ht="63" x14ac:dyDescent="0.25">
      <c r="A463" s="22" t="s">
        <v>7072</v>
      </c>
      <c r="B463" s="22" t="s">
        <v>3639</v>
      </c>
      <c r="C463" s="22" t="s">
        <v>3640</v>
      </c>
      <c r="D463" s="22" t="s">
        <v>3436</v>
      </c>
      <c r="E463" s="22" t="s">
        <v>3641</v>
      </c>
      <c r="F463" s="22">
        <v>1</v>
      </c>
      <c r="G463" s="22">
        <v>36</v>
      </c>
      <c r="H463" s="22"/>
      <c r="I463" s="22"/>
    </row>
    <row r="464" spans="1:9" ht="63" x14ac:dyDescent="0.25">
      <c r="A464" s="22" t="s">
        <v>7073</v>
      </c>
      <c r="B464" s="22" t="s">
        <v>3639</v>
      </c>
      <c r="C464" s="22" t="s">
        <v>3640</v>
      </c>
      <c r="D464" s="22" t="s">
        <v>3771</v>
      </c>
      <c r="E464" s="22" t="s">
        <v>3641</v>
      </c>
      <c r="F464" s="22">
        <v>1</v>
      </c>
      <c r="G464" s="22">
        <v>36</v>
      </c>
      <c r="H464" s="22"/>
      <c r="I464" s="22"/>
    </row>
    <row r="465" spans="1:9" ht="63" x14ac:dyDescent="0.25">
      <c r="A465" s="22" t="s">
        <v>7074</v>
      </c>
      <c r="B465" s="22" t="s">
        <v>3643</v>
      </c>
      <c r="C465" s="22" t="s">
        <v>3644</v>
      </c>
      <c r="D465" s="22" t="s">
        <v>3436</v>
      </c>
      <c r="E465" s="22" t="s">
        <v>3645</v>
      </c>
      <c r="F465" s="22">
        <v>1</v>
      </c>
      <c r="G465" s="22">
        <v>75</v>
      </c>
      <c r="H465" s="22"/>
      <c r="I465" s="22"/>
    </row>
    <row r="466" spans="1:9" ht="84" x14ac:dyDescent="0.25">
      <c r="A466" s="22" t="s">
        <v>7075</v>
      </c>
      <c r="B466" s="22" t="s">
        <v>3649</v>
      </c>
      <c r="C466" s="22" t="s">
        <v>3650</v>
      </c>
      <c r="D466" s="22" t="s">
        <v>3436</v>
      </c>
      <c r="E466" s="22" t="s">
        <v>3651</v>
      </c>
      <c r="F466" s="22">
        <v>1</v>
      </c>
      <c r="G466" s="22">
        <v>24</v>
      </c>
      <c r="H466" s="22"/>
      <c r="I466" s="22"/>
    </row>
    <row r="467" spans="1:9" ht="42" x14ac:dyDescent="0.25">
      <c r="A467" s="22" t="s">
        <v>7076</v>
      </c>
      <c r="B467" s="22" t="s">
        <v>3653</v>
      </c>
      <c r="C467" s="22" t="s">
        <v>3654</v>
      </c>
      <c r="D467" s="22" t="s">
        <v>3436</v>
      </c>
      <c r="E467" s="22" t="s">
        <v>3535</v>
      </c>
      <c r="F467" s="22">
        <v>1</v>
      </c>
      <c r="G467" s="22">
        <v>46</v>
      </c>
      <c r="H467" s="22"/>
      <c r="I467" s="22"/>
    </row>
    <row r="468" spans="1:9" ht="42" x14ac:dyDescent="0.25">
      <c r="A468" s="22" t="s">
        <v>7077</v>
      </c>
      <c r="B468" s="22" t="s">
        <v>3653</v>
      </c>
      <c r="C468" s="22" t="s">
        <v>3654</v>
      </c>
      <c r="D468" s="22" t="s">
        <v>3696</v>
      </c>
      <c r="E468" s="22" t="s">
        <v>3535</v>
      </c>
      <c r="F468" s="22">
        <v>1</v>
      </c>
      <c r="G468" s="22">
        <v>46</v>
      </c>
      <c r="H468" s="22"/>
      <c r="I468" s="22"/>
    </row>
    <row r="469" spans="1:9" ht="42" x14ac:dyDescent="0.25">
      <c r="A469" s="22" t="s">
        <v>7078</v>
      </c>
      <c r="B469" s="22" t="s">
        <v>3655</v>
      </c>
      <c r="C469" s="22" t="s">
        <v>3656</v>
      </c>
      <c r="D469" s="22" t="s">
        <v>3771</v>
      </c>
      <c r="E469" s="22" t="s">
        <v>3558</v>
      </c>
      <c r="F469" s="22">
        <v>1</v>
      </c>
      <c r="G469" s="22">
        <v>54</v>
      </c>
      <c r="H469" s="22"/>
      <c r="I469" s="22"/>
    </row>
    <row r="470" spans="1:9" ht="42" x14ac:dyDescent="0.25">
      <c r="A470" s="22" t="s">
        <v>7079</v>
      </c>
      <c r="B470" s="22" t="s">
        <v>3655</v>
      </c>
      <c r="C470" s="22" t="s">
        <v>3656</v>
      </c>
      <c r="D470" s="22" t="s">
        <v>3811</v>
      </c>
      <c r="E470" s="22" t="s">
        <v>3558</v>
      </c>
      <c r="F470" s="22">
        <v>1</v>
      </c>
      <c r="G470" s="22">
        <v>54</v>
      </c>
      <c r="H470" s="22"/>
      <c r="I470" s="22"/>
    </row>
    <row r="471" spans="1:9" ht="42" x14ac:dyDescent="0.25">
      <c r="A471" s="22" t="s">
        <v>7080</v>
      </c>
      <c r="B471" s="22" t="s">
        <v>3657</v>
      </c>
      <c r="C471" s="22" t="s">
        <v>3658</v>
      </c>
      <c r="D471" s="22" t="s">
        <v>3771</v>
      </c>
      <c r="E471" s="22" t="s">
        <v>3557</v>
      </c>
      <c r="F471" s="22">
        <v>1</v>
      </c>
      <c r="G471" s="22">
        <v>53</v>
      </c>
      <c r="H471" s="22"/>
      <c r="I471" s="22"/>
    </row>
    <row r="472" spans="1:9" ht="42" x14ac:dyDescent="0.25">
      <c r="A472" s="22" t="s">
        <v>7081</v>
      </c>
      <c r="B472" s="22" t="s">
        <v>3657</v>
      </c>
      <c r="C472" s="22" t="s">
        <v>3658</v>
      </c>
      <c r="D472" s="22" t="s">
        <v>4900</v>
      </c>
      <c r="E472" s="22" t="s">
        <v>3557</v>
      </c>
      <c r="F472" s="22">
        <v>1</v>
      </c>
      <c r="G472" s="22">
        <v>53</v>
      </c>
      <c r="H472" s="22"/>
      <c r="I472" s="22"/>
    </row>
    <row r="473" spans="1:9" ht="42" x14ac:dyDescent="0.25">
      <c r="A473" s="22" t="s">
        <v>7082</v>
      </c>
      <c r="B473" s="22" t="s">
        <v>3657</v>
      </c>
      <c r="C473" s="22" t="s">
        <v>3658</v>
      </c>
      <c r="D473" s="22" t="s">
        <v>4900</v>
      </c>
      <c r="E473" s="22" t="s">
        <v>3557</v>
      </c>
      <c r="F473" s="22">
        <v>1</v>
      </c>
      <c r="G473" s="22">
        <v>53</v>
      </c>
      <c r="H473" s="22"/>
      <c r="I473" s="22"/>
    </row>
    <row r="474" spans="1:9" ht="42" x14ac:dyDescent="0.25">
      <c r="A474" s="22" t="s">
        <v>7083</v>
      </c>
      <c r="B474" s="22" t="s">
        <v>3657</v>
      </c>
      <c r="C474" s="22" t="s">
        <v>3658</v>
      </c>
      <c r="D474" s="22" t="s">
        <v>4900</v>
      </c>
      <c r="E474" s="22" t="s">
        <v>3557</v>
      </c>
      <c r="F474" s="22">
        <v>1</v>
      </c>
      <c r="G474" s="22">
        <v>53</v>
      </c>
      <c r="H474" s="22"/>
      <c r="I474" s="22"/>
    </row>
    <row r="475" spans="1:9" ht="42" x14ac:dyDescent="0.25">
      <c r="A475" s="22" t="s">
        <v>7084</v>
      </c>
      <c r="B475" s="22" t="s">
        <v>3660</v>
      </c>
      <c r="C475" s="22" t="s">
        <v>3661</v>
      </c>
      <c r="D475" s="22" t="s">
        <v>3436</v>
      </c>
      <c r="E475" s="22" t="s">
        <v>3598</v>
      </c>
      <c r="F475" s="22">
        <v>1</v>
      </c>
      <c r="G475" s="22">
        <v>107</v>
      </c>
      <c r="H475" s="22"/>
      <c r="I475" s="22"/>
    </row>
    <row r="476" spans="1:9" ht="126" x14ac:dyDescent="0.25">
      <c r="A476" s="22" t="s">
        <v>7085</v>
      </c>
      <c r="B476" s="22" t="s">
        <v>3667</v>
      </c>
      <c r="C476" s="22" t="s">
        <v>3668</v>
      </c>
      <c r="D476" s="22" t="s">
        <v>3436</v>
      </c>
      <c r="E476" s="22" t="s">
        <v>3669</v>
      </c>
      <c r="F476" s="22">
        <v>1</v>
      </c>
      <c r="G476" s="22">
        <v>15</v>
      </c>
      <c r="H476" s="22"/>
      <c r="I476" s="22"/>
    </row>
    <row r="477" spans="1:9" ht="42" x14ac:dyDescent="0.25">
      <c r="A477" s="22" t="s">
        <v>7086</v>
      </c>
      <c r="B477" s="22" t="s">
        <v>3670</v>
      </c>
      <c r="C477" s="22" t="s">
        <v>3671</v>
      </c>
      <c r="D477" s="22" t="s">
        <v>4053</v>
      </c>
      <c r="E477" s="22" t="s">
        <v>3662</v>
      </c>
      <c r="F477" s="22">
        <v>1</v>
      </c>
      <c r="G477" s="22">
        <v>88</v>
      </c>
      <c r="H477" s="22"/>
      <c r="I477" s="22"/>
    </row>
    <row r="478" spans="1:9" ht="84" x14ac:dyDescent="0.25">
      <c r="A478" s="22" t="s">
        <v>7087</v>
      </c>
      <c r="B478" s="22" t="s">
        <v>3680</v>
      </c>
      <c r="C478" s="22" t="s">
        <v>3681</v>
      </c>
      <c r="D478" s="22" t="s">
        <v>3647</v>
      </c>
      <c r="E478" s="22" t="s">
        <v>3682</v>
      </c>
      <c r="F478" s="22">
        <v>1</v>
      </c>
      <c r="G478" s="22">
        <v>24</v>
      </c>
      <c r="H478" s="22"/>
      <c r="I478" s="22"/>
    </row>
    <row r="479" spans="1:9" ht="84" x14ac:dyDescent="0.25">
      <c r="A479" s="22" t="s">
        <v>7088</v>
      </c>
      <c r="B479" s="22" t="s">
        <v>3680</v>
      </c>
      <c r="C479" s="22" t="s">
        <v>3681</v>
      </c>
      <c r="D479" s="22" t="s">
        <v>3663</v>
      </c>
      <c r="E479" s="22" t="s">
        <v>3682</v>
      </c>
      <c r="F479" s="22">
        <v>1</v>
      </c>
      <c r="G479" s="22">
        <v>24</v>
      </c>
      <c r="H479" s="22"/>
      <c r="I479" s="22"/>
    </row>
    <row r="480" spans="1:9" ht="84" x14ac:dyDescent="0.25">
      <c r="A480" s="22" t="s">
        <v>7089</v>
      </c>
      <c r="B480" s="22" t="s">
        <v>3680</v>
      </c>
      <c r="C480" s="22" t="s">
        <v>3681</v>
      </c>
      <c r="D480" s="22" t="s">
        <v>4900</v>
      </c>
      <c r="E480" s="22" t="s">
        <v>3682</v>
      </c>
      <c r="F480" s="22">
        <v>1</v>
      </c>
      <c r="G480" s="22">
        <v>24</v>
      </c>
      <c r="H480" s="22"/>
      <c r="I480" s="22"/>
    </row>
    <row r="481" spans="1:9" ht="42" x14ac:dyDescent="0.25">
      <c r="A481" s="22" t="s">
        <v>7090</v>
      </c>
      <c r="B481" s="22" t="s">
        <v>3683</v>
      </c>
      <c r="C481" s="22" t="s">
        <v>3684</v>
      </c>
      <c r="D481" s="22" t="s">
        <v>4900</v>
      </c>
      <c r="E481" s="22" t="s">
        <v>3575</v>
      </c>
      <c r="F481" s="22">
        <v>1</v>
      </c>
      <c r="G481" s="22">
        <v>46</v>
      </c>
      <c r="H481" s="22"/>
      <c r="I481" s="22"/>
    </row>
    <row r="482" spans="1:9" ht="42" x14ac:dyDescent="0.25">
      <c r="A482" s="22" t="s">
        <v>7091</v>
      </c>
      <c r="B482" s="22" t="s">
        <v>3683</v>
      </c>
      <c r="C482" s="22" t="s">
        <v>3684</v>
      </c>
      <c r="D482" s="22" t="s">
        <v>4900</v>
      </c>
      <c r="E482" s="22" t="s">
        <v>3575</v>
      </c>
      <c r="F482" s="22">
        <v>1</v>
      </c>
      <c r="G482" s="22">
        <v>46</v>
      </c>
      <c r="H482" s="22"/>
      <c r="I482" s="22"/>
    </row>
    <row r="483" spans="1:9" ht="105" x14ac:dyDescent="0.25">
      <c r="A483" s="22" t="s">
        <v>7092</v>
      </c>
      <c r="B483" s="22" t="s">
        <v>3688</v>
      </c>
      <c r="C483" s="22" t="s">
        <v>3689</v>
      </c>
      <c r="D483" s="22" t="s">
        <v>3672</v>
      </c>
      <c r="E483" s="22" t="s">
        <v>3690</v>
      </c>
      <c r="F483" s="22">
        <v>1</v>
      </c>
      <c r="G483" s="22">
        <v>18</v>
      </c>
      <c r="H483" s="22"/>
      <c r="I483" s="22"/>
    </row>
    <row r="484" spans="1:9" ht="105" x14ac:dyDescent="0.25">
      <c r="A484" s="22" t="s">
        <v>7093</v>
      </c>
      <c r="B484" s="22" t="s">
        <v>3688</v>
      </c>
      <c r="C484" s="22" t="s">
        <v>3689</v>
      </c>
      <c r="D484" s="22" t="s">
        <v>3672</v>
      </c>
      <c r="E484" s="22" t="s">
        <v>3690</v>
      </c>
      <c r="F484" s="22">
        <v>1</v>
      </c>
      <c r="G484" s="22">
        <v>18</v>
      </c>
      <c r="H484" s="22"/>
      <c r="I484" s="22"/>
    </row>
    <row r="485" spans="1:9" ht="105" x14ac:dyDescent="0.25">
      <c r="A485" s="22" t="s">
        <v>7094</v>
      </c>
      <c r="B485" s="22" t="s">
        <v>3688</v>
      </c>
      <c r="C485" s="22" t="s">
        <v>3689</v>
      </c>
      <c r="D485" s="22" t="s">
        <v>3672</v>
      </c>
      <c r="E485" s="22" t="s">
        <v>3690</v>
      </c>
      <c r="F485" s="22">
        <v>1</v>
      </c>
      <c r="G485" s="22">
        <v>18</v>
      </c>
      <c r="H485" s="22"/>
      <c r="I485" s="22"/>
    </row>
    <row r="486" spans="1:9" ht="42" x14ac:dyDescent="0.25">
      <c r="A486" s="22" t="s">
        <v>7095</v>
      </c>
      <c r="B486" s="22" t="s">
        <v>3693</v>
      </c>
      <c r="C486" s="22" t="s">
        <v>3694</v>
      </c>
      <c r="D486" s="22" t="s">
        <v>3771</v>
      </c>
      <c r="E486" s="22" t="s">
        <v>3536</v>
      </c>
      <c r="F486" s="22">
        <v>1</v>
      </c>
      <c r="G486" s="22">
        <v>53</v>
      </c>
      <c r="H486" s="22"/>
      <c r="I486" s="22"/>
    </row>
    <row r="487" spans="1:9" ht="84" x14ac:dyDescent="0.25">
      <c r="A487" s="22" t="s">
        <v>7096</v>
      </c>
      <c r="B487" s="22" t="s">
        <v>3704</v>
      </c>
      <c r="C487" s="22" t="s">
        <v>3705</v>
      </c>
      <c r="D487" s="22" t="s">
        <v>3647</v>
      </c>
      <c r="E487" s="22" t="s">
        <v>3613</v>
      </c>
      <c r="F487" s="22">
        <v>1</v>
      </c>
      <c r="G487" s="22">
        <v>77</v>
      </c>
      <c r="H487" s="22"/>
      <c r="I487" s="22"/>
    </row>
    <row r="488" spans="1:9" ht="42" x14ac:dyDescent="0.25">
      <c r="A488" s="22" t="s">
        <v>7097</v>
      </c>
      <c r="B488" s="22" t="s">
        <v>3708</v>
      </c>
      <c r="C488" s="22" t="s">
        <v>3709</v>
      </c>
      <c r="D488" s="22" t="s">
        <v>3647</v>
      </c>
      <c r="E488" s="22" t="s">
        <v>3710</v>
      </c>
      <c r="F488" s="22">
        <v>1</v>
      </c>
      <c r="G488" s="22">
        <v>69</v>
      </c>
      <c r="H488" s="22"/>
      <c r="I488" s="22"/>
    </row>
    <row r="489" spans="1:9" ht="42" x14ac:dyDescent="0.25">
      <c r="A489" s="22" t="s">
        <v>7098</v>
      </c>
      <c r="B489" s="22" t="s">
        <v>3711</v>
      </c>
      <c r="C489" s="22" t="s">
        <v>3712</v>
      </c>
      <c r="D489" s="22" t="s">
        <v>5091</v>
      </c>
      <c r="E489" s="22" t="s">
        <v>3713</v>
      </c>
      <c r="F489" s="22">
        <v>1</v>
      </c>
      <c r="G489" s="22">
        <v>22</v>
      </c>
      <c r="H489" s="22"/>
      <c r="I489" s="22"/>
    </row>
    <row r="490" spans="1:9" ht="105" x14ac:dyDescent="0.25">
      <c r="A490" s="22" t="s">
        <v>7099</v>
      </c>
      <c r="B490" s="22" t="s">
        <v>3714</v>
      </c>
      <c r="C490" s="22" t="s">
        <v>3715</v>
      </c>
      <c r="D490" s="22" t="s">
        <v>3647</v>
      </c>
      <c r="E490" s="22" t="s">
        <v>3716</v>
      </c>
      <c r="F490" s="22">
        <v>1</v>
      </c>
      <c r="G490" s="22">
        <v>26</v>
      </c>
      <c r="H490" s="22"/>
      <c r="I490" s="22"/>
    </row>
    <row r="491" spans="1:9" ht="105" x14ac:dyDescent="0.25">
      <c r="A491" s="22" t="s">
        <v>7100</v>
      </c>
      <c r="B491" s="22" t="s">
        <v>3714</v>
      </c>
      <c r="C491" s="22" t="s">
        <v>3715</v>
      </c>
      <c r="D491" s="22" t="s">
        <v>4900</v>
      </c>
      <c r="E491" s="22" t="s">
        <v>3716</v>
      </c>
      <c r="F491" s="22">
        <v>1</v>
      </c>
      <c r="G491" s="22">
        <v>26</v>
      </c>
      <c r="H491" s="22"/>
      <c r="I491" s="22"/>
    </row>
    <row r="492" spans="1:9" ht="84" x14ac:dyDescent="0.25">
      <c r="A492" s="22" t="s">
        <v>7101</v>
      </c>
      <c r="B492" s="22" t="s">
        <v>3720</v>
      </c>
      <c r="C492" s="22" t="s">
        <v>3721</v>
      </c>
      <c r="D492" s="22" t="s">
        <v>4053</v>
      </c>
      <c r="E492" s="22" t="s">
        <v>3722</v>
      </c>
      <c r="F492" s="22">
        <v>1</v>
      </c>
      <c r="G492" s="22">
        <v>32</v>
      </c>
      <c r="H492" s="22"/>
      <c r="I492" s="22"/>
    </row>
    <row r="493" spans="1:9" ht="84" x14ac:dyDescent="0.25">
      <c r="A493" s="22" t="s">
        <v>7102</v>
      </c>
      <c r="B493" s="22" t="s">
        <v>3720</v>
      </c>
      <c r="C493" s="22" t="s">
        <v>3721</v>
      </c>
      <c r="D493" s="22" t="s">
        <v>4900</v>
      </c>
      <c r="E493" s="22" t="s">
        <v>3722</v>
      </c>
      <c r="F493" s="22">
        <v>1</v>
      </c>
      <c r="G493" s="22">
        <v>32</v>
      </c>
      <c r="H493" s="22"/>
      <c r="I493" s="22"/>
    </row>
    <row r="494" spans="1:9" ht="84" x14ac:dyDescent="0.25">
      <c r="A494" s="22" t="s">
        <v>7103</v>
      </c>
      <c r="B494" s="22" t="s">
        <v>3720</v>
      </c>
      <c r="C494" s="22" t="s">
        <v>3721</v>
      </c>
      <c r="D494" s="22" t="s">
        <v>4900</v>
      </c>
      <c r="E494" s="22" t="s">
        <v>3722</v>
      </c>
      <c r="F494" s="22">
        <v>1</v>
      </c>
      <c r="G494" s="22">
        <v>32</v>
      </c>
      <c r="H494" s="22"/>
      <c r="I494" s="22"/>
    </row>
    <row r="495" spans="1:9" ht="84" x14ac:dyDescent="0.25">
      <c r="A495" s="22" t="s">
        <v>7104</v>
      </c>
      <c r="B495" s="22" t="s">
        <v>3723</v>
      </c>
      <c r="C495" s="22" t="s">
        <v>3724</v>
      </c>
      <c r="D495" s="22" t="s">
        <v>4900</v>
      </c>
      <c r="E495" s="22" t="s">
        <v>3725</v>
      </c>
      <c r="F495" s="22">
        <v>1</v>
      </c>
      <c r="G495" s="22">
        <v>32</v>
      </c>
      <c r="H495" s="22"/>
      <c r="I495" s="22"/>
    </row>
    <row r="496" spans="1:9" ht="63" x14ac:dyDescent="0.25">
      <c r="A496" s="22" t="s">
        <v>7105</v>
      </c>
      <c r="B496" s="22" t="s">
        <v>3727</v>
      </c>
      <c r="C496" s="22" t="s">
        <v>3728</v>
      </c>
      <c r="D496" s="22" t="s">
        <v>3647</v>
      </c>
      <c r="E496" s="22" t="s">
        <v>3729</v>
      </c>
      <c r="F496" s="22">
        <v>1</v>
      </c>
      <c r="G496" s="22">
        <v>62</v>
      </c>
      <c r="H496" s="22"/>
      <c r="I496" s="22"/>
    </row>
    <row r="497" spans="1:9" ht="42" x14ac:dyDescent="0.25">
      <c r="A497" s="22" t="s">
        <v>7106</v>
      </c>
      <c r="B497" s="22" t="s">
        <v>3731</v>
      </c>
      <c r="C497" s="22" t="s">
        <v>3732</v>
      </c>
      <c r="D497" s="22" t="s">
        <v>3647</v>
      </c>
      <c r="E497" s="22" t="s">
        <v>3733</v>
      </c>
      <c r="F497" s="22">
        <v>1</v>
      </c>
      <c r="G497" s="22">
        <v>62</v>
      </c>
      <c r="H497" s="22"/>
      <c r="I497" s="22"/>
    </row>
    <row r="498" spans="1:9" ht="84" x14ac:dyDescent="0.25">
      <c r="A498" s="22" t="s">
        <v>7107</v>
      </c>
      <c r="B498" s="22" t="s">
        <v>3740</v>
      </c>
      <c r="C498" s="22" t="s">
        <v>3741</v>
      </c>
      <c r="D498" s="22" t="s">
        <v>3647</v>
      </c>
      <c r="E498" s="22" t="s">
        <v>3742</v>
      </c>
      <c r="F498" s="22">
        <v>1</v>
      </c>
      <c r="G498" s="22">
        <v>77</v>
      </c>
      <c r="H498" s="22"/>
      <c r="I498" s="22"/>
    </row>
    <row r="499" spans="1:9" ht="84" x14ac:dyDescent="0.25">
      <c r="A499" s="22" t="s">
        <v>7108</v>
      </c>
      <c r="B499" s="22" t="s">
        <v>3744</v>
      </c>
      <c r="C499" s="22" t="s">
        <v>3745</v>
      </c>
      <c r="D499" s="22" t="s">
        <v>3647</v>
      </c>
      <c r="E499" s="22" t="s">
        <v>3613</v>
      </c>
      <c r="F499" s="22">
        <v>1</v>
      </c>
      <c r="G499" s="22">
        <v>55</v>
      </c>
      <c r="H499" s="22"/>
      <c r="I499" s="22"/>
    </row>
    <row r="500" spans="1:9" ht="84" x14ac:dyDescent="0.25">
      <c r="A500" s="22" t="s">
        <v>7109</v>
      </c>
      <c r="B500" s="22" t="s">
        <v>3746</v>
      </c>
      <c r="C500" s="22" t="s">
        <v>3747</v>
      </c>
      <c r="D500" s="22" t="s">
        <v>3771</v>
      </c>
      <c r="E500" s="22" t="s">
        <v>3748</v>
      </c>
      <c r="F500" s="22">
        <v>1</v>
      </c>
      <c r="G500" s="22">
        <v>26</v>
      </c>
      <c r="H500" s="22"/>
      <c r="I500" s="22"/>
    </row>
    <row r="501" spans="1:9" ht="84" x14ac:dyDescent="0.25">
      <c r="A501" s="22" t="s">
        <v>7110</v>
      </c>
      <c r="B501" s="22" t="s">
        <v>3746</v>
      </c>
      <c r="C501" s="22" t="s">
        <v>3747</v>
      </c>
      <c r="D501" s="22" t="s">
        <v>4900</v>
      </c>
      <c r="E501" s="22" t="s">
        <v>3748</v>
      </c>
      <c r="F501" s="22">
        <v>1</v>
      </c>
      <c r="G501" s="22">
        <v>26</v>
      </c>
      <c r="H501" s="22"/>
      <c r="I501" s="22"/>
    </row>
    <row r="502" spans="1:9" ht="42" x14ac:dyDescent="0.25">
      <c r="A502" s="22" t="s">
        <v>7111</v>
      </c>
      <c r="B502" s="22" t="s">
        <v>3749</v>
      </c>
      <c r="C502" s="22" t="s">
        <v>3750</v>
      </c>
      <c r="D502" s="22" t="s">
        <v>5091</v>
      </c>
      <c r="E502" s="22" t="s">
        <v>3614</v>
      </c>
      <c r="F502" s="22">
        <v>1</v>
      </c>
      <c r="G502" s="22">
        <v>23</v>
      </c>
      <c r="H502" s="22"/>
      <c r="I502" s="22"/>
    </row>
    <row r="503" spans="1:9" ht="63" x14ac:dyDescent="0.25">
      <c r="A503" s="22" t="s">
        <v>7112</v>
      </c>
      <c r="B503" s="22" t="s">
        <v>3752</v>
      </c>
      <c r="C503" s="22" t="s">
        <v>3753</v>
      </c>
      <c r="D503" s="22" t="s">
        <v>3647</v>
      </c>
      <c r="E503" s="22" t="s">
        <v>3754</v>
      </c>
      <c r="F503" s="22">
        <v>1</v>
      </c>
      <c r="G503" s="22">
        <v>13</v>
      </c>
      <c r="H503" s="22"/>
      <c r="I503" s="22"/>
    </row>
    <row r="504" spans="1:9" ht="63" x14ac:dyDescent="0.25">
      <c r="A504" s="22" t="s">
        <v>7113</v>
      </c>
      <c r="B504" s="22" t="s">
        <v>3752</v>
      </c>
      <c r="C504" s="22" t="s">
        <v>3753</v>
      </c>
      <c r="D504" s="22" t="s">
        <v>4900</v>
      </c>
      <c r="E504" s="22" t="s">
        <v>3754</v>
      </c>
      <c r="F504" s="22">
        <v>1</v>
      </c>
      <c r="G504" s="22">
        <v>13</v>
      </c>
      <c r="H504" s="22"/>
      <c r="I504" s="22"/>
    </row>
    <row r="505" spans="1:9" ht="105" x14ac:dyDescent="0.25">
      <c r="A505" s="22" t="s">
        <v>7114</v>
      </c>
      <c r="B505" s="22" t="s">
        <v>3755</v>
      </c>
      <c r="C505" s="22" t="s">
        <v>3756</v>
      </c>
      <c r="D505" s="22" t="s">
        <v>4053</v>
      </c>
      <c r="E505" s="22" t="s">
        <v>3757</v>
      </c>
      <c r="F505" s="22">
        <v>1</v>
      </c>
      <c r="G505" s="22">
        <v>18</v>
      </c>
      <c r="H505" s="22"/>
      <c r="I505" s="22"/>
    </row>
    <row r="506" spans="1:9" ht="84" x14ac:dyDescent="0.25">
      <c r="A506" s="22" t="s">
        <v>7115</v>
      </c>
      <c r="B506" s="22" t="s">
        <v>3758</v>
      </c>
      <c r="C506" s="22" t="s">
        <v>3759</v>
      </c>
      <c r="D506" s="22" t="s">
        <v>4900</v>
      </c>
      <c r="E506" s="22" t="s">
        <v>3760</v>
      </c>
      <c r="F506" s="22">
        <v>1</v>
      </c>
      <c r="G506" s="22">
        <v>50</v>
      </c>
      <c r="H506" s="22"/>
      <c r="I506" s="22"/>
    </row>
    <row r="507" spans="1:9" ht="42" x14ac:dyDescent="0.25">
      <c r="A507" s="22" t="s">
        <v>7116</v>
      </c>
      <c r="B507" s="22" t="s">
        <v>3765</v>
      </c>
      <c r="C507" s="22" t="s">
        <v>3766</v>
      </c>
      <c r="D507" s="22" t="s">
        <v>4900</v>
      </c>
      <c r="E507" s="22" t="s">
        <v>3324</v>
      </c>
      <c r="F507" s="22">
        <v>1</v>
      </c>
      <c r="G507" s="22">
        <v>45</v>
      </c>
      <c r="H507" s="22"/>
      <c r="I507" s="22"/>
    </row>
    <row r="508" spans="1:9" ht="63" x14ac:dyDescent="0.25">
      <c r="A508" s="22" t="s">
        <v>7117</v>
      </c>
      <c r="B508" s="22" t="s">
        <v>3767</v>
      </c>
      <c r="C508" s="22" t="s">
        <v>3768</v>
      </c>
      <c r="D508" s="22" t="s">
        <v>4900</v>
      </c>
      <c r="E508" s="22" t="s">
        <v>3769</v>
      </c>
      <c r="F508" s="22">
        <v>1</v>
      </c>
      <c r="G508" s="22">
        <v>74</v>
      </c>
      <c r="H508" s="22"/>
      <c r="I508" s="22"/>
    </row>
    <row r="509" spans="1:9" ht="63" x14ac:dyDescent="0.25">
      <c r="A509" s="22" t="s">
        <v>7118</v>
      </c>
      <c r="B509" s="22" t="s">
        <v>3793</v>
      </c>
      <c r="C509" s="22" t="s">
        <v>3794</v>
      </c>
      <c r="D509" s="22" t="s">
        <v>3647</v>
      </c>
      <c r="E509" s="22" t="s">
        <v>3795</v>
      </c>
      <c r="F509" s="22">
        <v>1</v>
      </c>
      <c r="G509" s="22">
        <v>46</v>
      </c>
      <c r="H509" s="22"/>
      <c r="I509" s="22"/>
    </row>
    <row r="510" spans="1:9" ht="42" x14ac:dyDescent="0.25">
      <c r="A510" s="22" t="s">
        <v>7119</v>
      </c>
      <c r="B510" s="22" t="s">
        <v>3797</v>
      </c>
      <c r="C510" s="22" t="s">
        <v>3798</v>
      </c>
      <c r="D510" s="22" t="s">
        <v>4900</v>
      </c>
      <c r="E510" s="22" t="s">
        <v>3799</v>
      </c>
      <c r="F510" s="22">
        <v>1</v>
      </c>
      <c r="G510" s="22">
        <v>41</v>
      </c>
      <c r="H510" s="22"/>
      <c r="I510" s="22"/>
    </row>
    <row r="511" spans="1:9" ht="42" x14ac:dyDescent="0.25">
      <c r="A511" s="22" t="s">
        <v>7120</v>
      </c>
      <c r="B511" s="22" t="s">
        <v>3801</v>
      </c>
      <c r="C511" s="22" t="s">
        <v>3802</v>
      </c>
      <c r="D511" s="22" t="s">
        <v>3771</v>
      </c>
      <c r="E511" s="22" t="s">
        <v>3803</v>
      </c>
      <c r="F511" s="22">
        <v>1</v>
      </c>
      <c r="G511" s="22">
        <v>55</v>
      </c>
      <c r="H511" s="22"/>
      <c r="I511" s="22"/>
    </row>
    <row r="512" spans="1:9" ht="42" x14ac:dyDescent="0.25">
      <c r="A512" s="22" t="s">
        <v>7121</v>
      </c>
      <c r="B512" s="22" t="s">
        <v>3801</v>
      </c>
      <c r="C512" s="22" t="s">
        <v>3802</v>
      </c>
      <c r="D512" s="22" t="s">
        <v>3771</v>
      </c>
      <c r="E512" s="22" t="s">
        <v>3803</v>
      </c>
      <c r="F512" s="22">
        <v>1</v>
      </c>
      <c r="G512" s="22">
        <v>55</v>
      </c>
      <c r="H512" s="22"/>
      <c r="I512" s="22"/>
    </row>
    <row r="513" spans="1:9" ht="84" x14ac:dyDescent="0.25">
      <c r="A513" s="22" t="s">
        <v>7122</v>
      </c>
      <c r="B513" s="22" t="s">
        <v>3805</v>
      </c>
      <c r="C513" s="22" t="s">
        <v>3806</v>
      </c>
      <c r="D513" s="22" t="s">
        <v>3735</v>
      </c>
      <c r="E513" s="22" t="s">
        <v>3807</v>
      </c>
      <c r="F513" s="22">
        <v>1</v>
      </c>
      <c r="G513" s="22">
        <v>27</v>
      </c>
      <c r="H513" s="22"/>
      <c r="I513" s="22"/>
    </row>
    <row r="514" spans="1:9" ht="42" x14ac:dyDescent="0.25">
      <c r="A514" s="22" t="s">
        <v>7123</v>
      </c>
      <c r="B514" s="22" t="s">
        <v>3809</v>
      </c>
      <c r="C514" s="22" t="s">
        <v>3810</v>
      </c>
      <c r="D514" s="22" t="s">
        <v>3811</v>
      </c>
      <c r="E514" s="22" t="s">
        <v>3575</v>
      </c>
      <c r="F514" s="22">
        <v>1</v>
      </c>
      <c r="G514" s="22">
        <v>46</v>
      </c>
      <c r="H514" s="22"/>
      <c r="I514" s="22"/>
    </row>
    <row r="515" spans="1:9" ht="63" x14ac:dyDescent="0.25">
      <c r="A515" s="22" t="s">
        <v>7124</v>
      </c>
      <c r="B515" s="22" t="s">
        <v>3834</v>
      </c>
      <c r="C515" s="22" t="s">
        <v>3835</v>
      </c>
      <c r="D515" s="22" t="s">
        <v>3771</v>
      </c>
      <c r="E515" s="22" t="s">
        <v>3836</v>
      </c>
      <c r="F515" s="22">
        <v>1</v>
      </c>
      <c r="G515" s="22">
        <v>32</v>
      </c>
      <c r="H515" s="22"/>
      <c r="I515" s="22"/>
    </row>
    <row r="516" spans="1:9" ht="63" x14ac:dyDescent="0.25">
      <c r="A516" s="22" t="s">
        <v>7125</v>
      </c>
      <c r="B516" s="22" t="s">
        <v>3838</v>
      </c>
      <c r="C516" s="22" t="s">
        <v>3839</v>
      </c>
      <c r="D516" s="22" t="s">
        <v>3771</v>
      </c>
      <c r="E516" s="22" t="s">
        <v>3587</v>
      </c>
      <c r="F516" s="22">
        <v>1</v>
      </c>
      <c r="G516" s="22">
        <v>36</v>
      </c>
      <c r="H516" s="22"/>
      <c r="I516" s="22"/>
    </row>
    <row r="517" spans="1:9" ht="63" x14ac:dyDescent="0.25">
      <c r="A517" s="22" t="s">
        <v>7126</v>
      </c>
      <c r="B517" s="22" t="s">
        <v>3842</v>
      </c>
      <c r="C517" s="22" t="s">
        <v>3843</v>
      </c>
      <c r="D517" s="22" t="s">
        <v>3771</v>
      </c>
      <c r="E517" s="22" t="s">
        <v>4883</v>
      </c>
      <c r="F517" s="22">
        <v>1</v>
      </c>
      <c r="G517" s="22">
        <v>71</v>
      </c>
      <c r="H517" s="22"/>
      <c r="I517" s="22"/>
    </row>
    <row r="518" spans="1:9" ht="42" x14ac:dyDescent="0.25">
      <c r="A518" s="22" t="s">
        <v>7127</v>
      </c>
      <c r="B518" s="22" t="s">
        <v>3850</v>
      </c>
      <c r="C518" s="22" t="s">
        <v>3851</v>
      </c>
      <c r="D518" s="22" t="s">
        <v>3771</v>
      </c>
      <c r="E518" s="22" t="s">
        <v>3852</v>
      </c>
      <c r="F518" s="22">
        <v>1</v>
      </c>
      <c r="G518" s="22">
        <v>119</v>
      </c>
      <c r="H518" s="22"/>
      <c r="I518" s="22"/>
    </row>
    <row r="519" spans="1:9" ht="42" x14ac:dyDescent="0.25">
      <c r="A519" s="22" t="s">
        <v>7128</v>
      </c>
      <c r="B519" s="22" t="s">
        <v>3854</v>
      </c>
      <c r="C519" s="22" t="s">
        <v>3855</v>
      </c>
      <c r="D519" s="22" t="s">
        <v>3771</v>
      </c>
      <c r="E519" s="22" t="s">
        <v>3856</v>
      </c>
      <c r="F519" s="22">
        <v>1</v>
      </c>
      <c r="G519" s="22">
        <v>96</v>
      </c>
      <c r="H519" s="22"/>
      <c r="I519" s="22"/>
    </row>
    <row r="520" spans="1:9" ht="84" x14ac:dyDescent="0.25">
      <c r="A520" s="22" t="s">
        <v>7129</v>
      </c>
      <c r="B520" s="22" t="s">
        <v>3858</v>
      </c>
      <c r="C520" s="22" t="s">
        <v>3859</v>
      </c>
      <c r="D520" s="22" t="s">
        <v>3771</v>
      </c>
      <c r="E520" s="22" t="s">
        <v>3860</v>
      </c>
      <c r="F520" s="22">
        <v>1</v>
      </c>
      <c r="G520" s="22">
        <v>107</v>
      </c>
      <c r="H520" s="22"/>
      <c r="I520" s="22"/>
    </row>
    <row r="521" spans="1:9" ht="84" x14ac:dyDescent="0.25">
      <c r="A521" s="22" t="s">
        <v>7130</v>
      </c>
      <c r="B521" s="22" t="s">
        <v>3874</v>
      </c>
      <c r="C521" s="22" t="s">
        <v>3875</v>
      </c>
      <c r="D521" s="22" t="s">
        <v>3771</v>
      </c>
      <c r="E521" s="22" t="s">
        <v>3613</v>
      </c>
      <c r="F521" s="22">
        <v>1</v>
      </c>
      <c r="G521" s="22">
        <v>77</v>
      </c>
      <c r="H521" s="22"/>
      <c r="I521" s="22"/>
    </row>
    <row r="522" spans="1:9" ht="63" x14ac:dyDescent="0.25">
      <c r="A522" s="22" t="s">
        <v>7131</v>
      </c>
      <c r="B522" s="22" t="s">
        <v>3882</v>
      </c>
      <c r="C522" s="22" t="s">
        <v>3883</v>
      </c>
      <c r="D522" s="22" t="s">
        <v>3771</v>
      </c>
      <c r="E522" s="22" t="s">
        <v>3884</v>
      </c>
      <c r="F522" s="22">
        <v>1</v>
      </c>
      <c r="G522" s="22">
        <v>59</v>
      </c>
      <c r="H522" s="22"/>
      <c r="I522" s="22"/>
    </row>
    <row r="523" spans="1:9" ht="84" x14ac:dyDescent="0.25">
      <c r="A523" s="22" t="s">
        <v>7132</v>
      </c>
      <c r="B523" s="22" t="s">
        <v>3890</v>
      </c>
      <c r="C523" s="22" t="s">
        <v>3891</v>
      </c>
      <c r="D523" s="22" t="s">
        <v>3771</v>
      </c>
      <c r="E523" s="22" t="s">
        <v>3892</v>
      </c>
      <c r="F523" s="22">
        <v>1</v>
      </c>
      <c r="G523" s="22">
        <v>77</v>
      </c>
      <c r="H523" s="22"/>
      <c r="I523" s="22"/>
    </row>
    <row r="524" spans="1:9" ht="42" x14ac:dyDescent="0.25">
      <c r="A524" s="22" t="s">
        <v>7133</v>
      </c>
      <c r="B524" s="22" t="s">
        <v>3894</v>
      </c>
      <c r="C524" s="22" t="s">
        <v>3895</v>
      </c>
      <c r="D524" s="22" t="s">
        <v>3771</v>
      </c>
      <c r="E524" s="22" t="s">
        <v>3614</v>
      </c>
      <c r="F524" s="22">
        <v>1</v>
      </c>
      <c r="G524" s="22">
        <v>22</v>
      </c>
      <c r="H524" s="22"/>
      <c r="I524" s="22"/>
    </row>
    <row r="525" spans="1:9" ht="42" x14ac:dyDescent="0.25">
      <c r="A525" s="22" t="s">
        <v>7134</v>
      </c>
      <c r="B525" s="22" t="s">
        <v>3897</v>
      </c>
      <c r="C525" s="22" t="s">
        <v>3898</v>
      </c>
      <c r="D525" s="22" t="s">
        <v>3771</v>
      </c>
      <c r="E525" s="22" t="s">
        <v>3899</v>
      </c>
      <c r="F525" s="22">
        <v>1</v>
      </c>
      <c r="G525" s="22">
        <v>54</v>
      </c>
      <c r="H525" s="22"/>
      <c r="I525" s="22"/>
    </row>
    <row r="526" spans="1:9" ht="42" x14ac:dyDescent="0.25">
      <c r="A526" s="22" t="s">
        <v>7135</v>
      </c>
      <c r="B526" s="22" t="s">
        <v>3897</v>
      </c>
      <c r="C526" s="22" t="s">
        <v>3898</v>
      </c>
      <c r="D526" s="22" t="s">
        <v>4900</v>
      </c>
      <c r="E526" s="22" t="s">
        <v>3899</v>
      </c>
      <c r="F526" s="22">
        <v>1</v>
      </c>
      <c r="G526" s="22">
        <v>54</v>
      </c>
      <c r="H526" s="22"/>
      <c r="I526" s="22"/>
    </row>
    <row r="527" spans="1:9" ht="42" x14ac:dyDescent="0.25">
      <c r="A527" s="22" t="s">
        <v>7136</v>
      </c>
      <c r="B527" s="22" t="s">
        <v>3902</v>
      </c>
      <c r="C527" s="22" t="s">
        <v>3903</v>
      </c>
      <c r="D527" s="22" t="s">
        <v>3771</v>
      </c>
      <c r="E527" s="22" t="s">
        <v>3904</v>
      </c>
      <c r="F527" s="22">
        <v>1</v>
      </c>
      <c r="G527" s="22">
        <v>41</v>
      </c>
      <c r="H527" s="22"/>
      <c r="I527" s="22"/>
    </row>
    <row r="528" spans="1:9" ht="42" x14ac:dyDescent="0.25">
      <c r="A528" s="22" t="s">
        <v>7137</v>
      </c>
      <c r="B528" s="22" t="s">
        <v>3906</v>
      </c>
      <c r="C528" s="22" t="s">
        <v>3907</v>
      </c>
      <c r="D528" s="22" t="s">
        <v>3771</v>
      </c>
      <c r="E528" s="22" t="s">
        <v>3274</v>
      </c>
      <c r="F528" s="22">
        <v>1</v>
      </c>
      <c r="G528" s="22">
        <v>52</v>
      </c>
      <c r="H528" s="22"/>
      <c r="I528" s="22"/>
    </row>
    <row r="529" spans="1:9" ht="42" x14ac:dyDescent="0.25">
      <c r="A529" s="22" t="s">
        <v>7138</v>
      </c>
      <c r="B529" s="22" t="s">
        <v>3909</v>
      </c>
      <c r="C529" s="22" t="s">
        <v>3910</v>
      </c>
      <c r="D529" s="22" t="s">
        <v>3771</v>
      </c>
      <c r="E529" s="22" t="s">
        <v>3911</v>
      </c>
      <c r="F529" s="22">
        <v>1</v>
      </c>
      <c r="G529" s="22">
        <v>100</v>
      </c>
      <c r="H529" s="22"/>
      <c r="I529" s="22"/>
    </row>
    <row r="530" spans="1:9" ht="42" x14ac:dyDescent="0.25">
      <c r="A530" s="22" t="s">
        <v>7139</v>
      </c>
      <c r="B530" s="22" t="s">
        <v>3914</v>
      </c>
      <c r="C530" s="22" t="s">
        <v>3915</v>
      </c>
      <c r="D530" s="22" t="s">
        <v>3771</v>
      </c>
      <c r="E530" s="22" t="s">
        <v>3916</v>
      </c>
      <c r="F530" s="22">
        <v>1</v>
      </c>
      <c r="G530" s="22">
        <v>64</v>
      </c>
      <c r="H530" s="22"/>
      <c r="I530" s="22"/>
    </row>
    <row r="531" spans="1:9" ht="63" x14ac:dyDescent="0.25">
      <c r="A531" s="22" t="s">
        <v>7140</v>
      </c>
      <c r="B531" s="22" t="s">
        <v>3918</v>
      </c>
      <c r="C531" s="22" t="s">
        <v>3919</v>
      </c>
      <c r="D531" s="22" t="s">
        <v>3771</v>
      </c>
      <c r="E531" s="22" t="s">
        <v>3920</v>
      </c>
      <c r="F531" s="22">
        <v>1</v>
      </c>
      <c r="G531" s="22">
        <v>69</v>
      </c>
      <c r="H531" s="22"/>
      <c r="I531" s="22"/>
    </row>
    <row r="532" spans="1:9" ht="42" x14ac:dyDescent="0.25">
      <c r="A532" s="22" t="s">
        <v>7141</v>
      </c>
      <c r="B532" s="22" t="s">
        <v>3922</v>
      </c>
      <c r="C532" s="22" t="s">
        <v>3923</v>
      </c>
      <c r="D532" s="22" t="s">
        <v>3771</v>
      </c>
      <c r="E532" s="22" t="s">
        <v>3737</v>
      </c>
      <c r="F532" s="22">
        <v>1</v>
      </c>
      <c r="G532" s="22">
        <v>41</v>
      </c>
      <c r="H532" s="22"/>
      <c r="I532" s="22"/>
    </row>
    <row r="533" spans="1:9" ht="63" x14ac:dyDescent="0.25">
      <c r="A533" s="22" t="s">
        <v>7142</v>
      </c>
      <c r="B533" s="22" t="s">
        <v>3937</v>
      </c>
      <c r="C533" s="22" t="s">
        <v>3938</v>
      </c>
      <c r="D533" s="22" t="s">
        <v>3771</v>
      </c>
      <c r="E533" s="22" t="s">
        <v>3939</v>
      </c>
      <c r="F533" s="22">
        <v>1</v>
      </c>
      <c r="G533" s="22">
        <v>46</v>
      </c>
      <c r="H533" s="22"/>
      <c r="I533" s="22"/>
    </row>
    <row r="534" spans="1:9" ht="42" x14ac:dyDescent="0.25">
      <c r="A534" s="22" t="s">
        <v>7143</v>
      </c>
      <c r="B534" s="22" t="s">
        <v>3942</v>
      </c>
      <c r="C534" s="22" t="s">
        <v>3943</v>
      </c>
      <c r="D534" s="22" t="s">
        <v>3771</v>
      </c>
      <c r="E534" s="22" t="s">
        <v>3574</v>
      </c>
      <c r="F534" s="22">
        <v>1</v>
      </c>
      <c r="G534" s="22">
        <v>41</v>
      </c>
      <c r="H534" s="22"/>
      <c r="I534" s="22"/>
    </row>
    <row r="535" spans="1:9" ht="42" x14ac:dyDescent="0.25">
      <c r="A535" s="22" t="s">
        <v>7144</v>
      </c>
      <c r="B535" s="22" t="s">
        <v>3945</v>
      </c>
      <c r="C535" s="22" t="s">
        <v>3946</v>
      </c>
      <c r="D535" s="22" t="s">
        <v>3771</v>
      </c>
      <c r="E535" s="22" t="s">
        <v>3947</v>
      </c>
      <c r="F535" s="22">
        <v>1</v>
      </c>
      <c r="G535" s="22">
        <v>54</v>
      </c>
      <c r="H535" s="22"/>
      <c r="I535" s="22"/>
    </row>
    <row r="536" spans="1:9" ht="42" x14ac:dyDescent="0.25">
      <c r="A536" s="22" t="s">
        <v>7145</v>
      </c>
      <c r="B536" s="22" t="s">
        <v>3949</v>
      </c>
      <c r="C536" s="22" t="s">
        <v>3950</v>
      </c>
      <c r="D536" s="22" t="s">
        <v>3771</v>
      </c>
      <c r="E536" s="22" t="s">
        <v>3951</v>
      </c>
      <c r="F536" s="22">
        <v>1</v>
      </c>
      <c r="G536" s="22">
        <v>53</v>
      </c>
      <c r="H536" s="22"/>
      <c r="I536" s="22"/>
    </row>
    <row r="537" spans="1:9" ht="42" x14ac:dyDescent="0.25">
      <c r="A537" s="22" t="s">
        <v>7146</v>
      </c>
      <c r="B537" s="22" t="s">
        <v>3954</v>
      </c>
      <c r="C537" s="22" t="s">
        <v>3955</v>
      </c>
      <c r="D537" s="22" t="s">
        <v>3771</v>
      </c>
      <c r="E537" s="22" t="s">
        <v>3956</v>
      </c>
      <c r="F537" s="22">
        <v>1</v>
      </c>
      <c r="G537" s="22">
        <v>42</v>
      </c>
      <c r="H537" s="22"/>
      <c r="I537" s="22"/>
    </row>
    <row r="538" spans="1:9" ht="63" x14ac:dyDescent="0.25">
      <c r="A538" s="22" t="s">
        <v>7147</v>
      </c>
      <c r="B538" s="22" t="s">
        <v>3958</v>
      </c>
      <c r="C538" s="22" t="s">
        <v>3959</v>
      </c>
      <c r="D538" s="22" t="s">
        <v>3771</v>
      </c>
      <c r="E538" s="22" t="s">
        <v>3538</v>
      </c>
      <c r="F538" s="22">
        <v>1</v>
      </c>
      <c r="G538" s="22">
        <v>41</v>
      </c>
      <c r="H538" s="22"/>
      <c r="I538" s="22"/>
    </row>
    <row r="539" spans="1:9" ht="42" x14ac:dyDescent="0.25">
      <c r="A539" s="22" t="s">
        <v>7148</v>
      </c>
      <c r="B539" s="22" t="s">
        <v>3961</v>
      </c>
      <c r="C539" s="22" t="s">
        <v>3962</v>
      </c>
      <c r="D539" s="22" t="s">
        <v>3771</v>
      </c>
      <c r="E539" s="22" t="s">
        <v>3480</v>
      </c>
      <c r="F539" s="22">
        <v>1</v>
      </c>
      <c r="G539" s="22">
        <v>22</v>
      </c>
      <c r="H539" s="22"/>
      <c r="I539" s="22"/>
    </row>
    <row r="540" spans="1:9" ht="42" x14ac:dyDescent="0.25">
      <c r="A540" s="22" t="s">
        <v>7149</v>
      </c>
      <c r="B540" s="22" t="s">
        <v>3970</v>
      </c>
      <c r="C540" s="22" t="s">
        <v>3971</v>
      </c>
      <c r="D540" s="22" t="s">
        <v>3771</v>
      </c>
      <c r="E540" s="22" t="s">
        <v>3614</v>
      </c>
      <c r="F540" s="22">
        <v>1</v>
      </c>
      <c r="G540" s="22">
        <v>23</v>
      </c>
      <c r="H540" s="22"/>
      <c r="I540" s="22"/>
    </row>
    <row r="541" spans="1:9" ht="63" x14ac:dyDescent="0.25">
      <c r="A541" s="22" t="s">
        <v>7150</v>
      </c>
      <c r="B541" s="22" t="s">
        <v>3994</v>
      </c>
      <c r="C541" s="22" t="s">
        <v>3995</v>
      </c>
      <c r="D541" s="22" t="s">
        <v>3771</v>
      </c>
      <c r="E541" s="22" t="s">
        <v>3996</v>
      </c>
      <c r="F541" s="22">
        <v>1</v>
      </c>
      <c r="G541" s="22">
        <v>85</v>
      </c>
      <c r="H541" s="22"/>
      <c r="I541" s="22"/>
    </row>
    <row r="542" spans="1:9" ht="105" x14ac:dyDescent="0.25">
      <c r="A542" s="22" t="s">
        <v>7151</v>
      </c>
      <c r="B542" s="22" t="s">
        <v>3998</v>
      </c>
      <c r="C542" s="22" t="s">
        <v>3999</v>
      </c>
      <c r="D542" s="22" t="s">
        <v>3771</v>
      </c>
      <c r="E542" s="22" t="s">
        <v>4000</v>
      </c>
      <c r="F542" s="22">
        <v>1</v>
      </c>
      <c r="G542" s="22">
        <v>54</v>
      </c>
      <c r="H542" s="22"/>
      <c r="I542" s="22"/>
    </row>
    <row r="543" spans="1:9" ht="105" x14ac:dyDescent="0.25">
      <c r="A543" s="22" t="s">
        <v>7152</v>
      </c>
      <c r="B543" s="22" t="s">
        <v>3998</v>
      </c>
      <c r="C543" s="22" t="s">
        <v>3999</v>
      </c>
      <c r="D543" s="22" t="s">
        <v>5091</v>
      </c>
      <c r="E543" s="22" t="s">
        <v>4000</v>
      </c>
      <c r="F543" s="22">
        <v>1</v>
      </c>
      <c r="G543" s="22">
        <v>54</v>
      </c>
      <c r="H543" s="22"/>
      <c r="I543" s="22"/>
    </row>
    <row r="544" spans="1:9" ht="42" x14ac:dyDescent="0.25">
      <c r="A544" s="22" t="s">
        <v>7153</v>
      </c>
      <c r="B544" s="22" t="s">
        <v>4002</v>
      </c>
      <c r="C544" s="22" t="s">
        <v>4003</v>
      </c>
      <c r="D544" s="22" t="s">
        <v>3771</v>
      </c>
      <c r="E544" s="22" t="s">
        <v>4004</v>
      </c>
      <c r="F544" s="22">
        <v>1</v>
      </c>
      <c r="G544" s="22">
        <v>87</v>
      </c>
      <c r="H544" s="22"/>
      <c r="I544" s="22"/>
    </row>
    <row r="545" spans="1:9" ht="63" x14ac:dyDescent="0.25">
      <c r="A545" s="22" t="s">
        <v>7154</v>
      </c>
      <c r="B545" s="22" t="s">
        <v>4006</v>
      </c>
      <c r="C545" s="22" t="s">
        <v>4007</v>
      </c>
      <c r="D545" s="22" t="s">
        <v>3771</v>
      </c>
      <c r="E545" s="22" t="s">
        <v>4008</v>
      </c>
      <c r="F545" s="22">
        <v>1</v>
      </c>
      <c r="G545" s="22">
        <v>18</v>
      </c>
      <c r="H545" s="22"/>
      <c r="I545" s="22"/>
    </row>
    <row r="546" spans="1:9" ht="63" x14ac:dyDescent="0.25">
      <c r="A546" s="22" t="s">
        <v>7155</v>
      </c>
      <c r="B546" s="22" t="s">
        <v>4006</v>
      </c>
      <c r="C546" s="22" t="s">
        <v>4007</v>
      </c>
      <c r="D546" s="22" t="s">
        <v>4900</v>
      </c>
      <c r="E546" s="22" t="s">
        <v>4008</v>
      </c>
      <c r="F546" s="22">
        <v>1</v>
      </c>
      <c r="G546" s="22">
        <v>18</v>
      </c>
      <c r="H546" s="22"/>
      <c r="I546" s="22"/>
    </row>
    <row r="547" spans="1:9" ht="63" x14ac:dyDescent="0.25">
      <c r="A547" s="22" t="s">
        <v>7156</v>
      </c>
      <c r="B547" s="22" t="s">
        <v>4006</v>
      </c>
      <c r="C547" s="22" t="s">
        <v>4007</v>
      </c>
      <c r="D547" s="22" t="s">
        <v>4900</v>
      </c>
      <c r="E547" s="22" t="s">
        <v>4008</v>
      </c>
      <c r="F547" s="22">
        <v>1</v>
      </c>
      <c r="G547" s="22">
        <v>18</v>
      </c>
      <c r="H547" s="22"/>
      <c r="I547" s="22"/>
    </row>
    <row r="548" spans="1:9" ht="126" x14ac:dyDescent="0.25">
      <c r="A548" s="22" t="s">
        <v>7157</v>
      </c>
      <c r="B548" s="22" t="s">
        <v>4010</v>
      </c>
      <c r="C548" s="22" t="s">
        <v>4011</v>
      </c>
      <c r="D548" s="22" t="s">
        <v>3771</v>
      </c>
      <c r="E548" s="22" t="s">
        <v>4012</v>
      </c>
      <c r="F548" s="22">
        <v>1</v>
      </c>
      <c r="G548" s="22">
        <v>24</v>
      </c>
      <c r="H548" s="22"/>
      <c r="I548" s="22"/>
    </row>
    <row r="549" spans="1:9" ht="126" x14ac:dyDescent="0.25">
      <c r="A549" s="22" t="s">
        <v>7158</v>
      </c>
      <c r="B549" s="22" t="s">
        <v>4010</v>
      </c>
      <c r="C549" s="22" t="s">
        <v>4011</v>
      </c>
      <c r="D549" s="22" t="s">
        <v>4900</v>
      </c>
      <c r="E549" s="22" t="s">
        <v>4012</v>
      </c>
      <c r="F549" s="22">
        <v>1</v>
      </c>
      <c r="G549" s="22">
        <v>24</v>
      </c>
      <c r="H549" s="22"/>
      <c r="I549" s="22"/>
    </row>
    <row r="550" spans="1:9" ht="42" x14ac:dyDescent="0.25">
      <c r="A550" s="22" t="s">
        <v>7159</v>
      </c>
      <c r="B550" s="22" t="s">
        <v>4020</v>
      </c>
      <c r="C550" s="22" t="s">
        <v>4021</v>
      </c>
      <c r="D550" s="22" t="s">
        <v>3771</v>
      </c>
      <c r="E550" s="22" t="s">
        <v>4022</v>
      </c>
      <c r="F550" s="22">
        <v>1</v>
      </c>
      <c r="G550" s="22">
        <v>50</v>
      </c>
      <c r="H550" s="22"/>
      <c r="I550" s="22"/>
    </row>
    <row r="551" spans="1:9" ht="63" x14ac:dyDescent="0.25">
      <c r="A551" s="22" t="s">
        <v>7160</v>
      </c>
      <c r="B551" s="22" t="s">
        <v>4025</v>
      </c>
      <c r="C551" s="22" t="s">
        <v>4026</v>
      </c>
      <c r="D551" s="22" t="s">
        <v>3811</v>
      </c>
      <c r="E551" s="22" t="s">
        <v>3939</v>
      </c>
      <c r="F551" s="22">
        <v>1</v>
      </c>
      <c r="G551" s="22">
        <v>46</v>
      </c>
      <c r="H551" s="22"/>
      <c r="I551" s="22"/>
    </row>
    <row r="552" spans="1:9" ht="42" x14ac:dyDescent="0.25">
      <c r="A552" s="22" t="s">
        <v>7161</v>
      </c>
      <c r="B552" s="22" t="s">
        <v>4033</v>
      </c>
      <c r="C552" s="22" t="s">
        <v>4034</v>
      </c>
      <c r="D552" s="22" t="s">
        <v>3771</v>
      </c>
      <c r="E552" s="22" t="s">
        <v>4035</v>
      </c>
      <c r="F552" s="22">
        <v>1</v>
      </c>
      <c r="G552" s="22">
        <v>42</v>
      </c>
      <c r="H552" s="22"/>
      <c r="I552" s="22"/>
    </row>
    <row r="553" spans="1:9" ht="42" x14ac:dyDescent="0.25">
      <c r="A553" s="22" t="s">
        <v>7162</v>
      </c>
      <c r="B553" s="22" t="s">
        <v>4037</v>
      </c>
      <c r="C553" s="22" t="s">
        <v>4038</v>
      </c>
      <c r="D553" s="22" t="s">
        <v>3771</v>
      </c>
      <c r="E553" s="22" t="s">
        <v>3567</v>
      </c>
      <c r="F553" s="22">
        <v>1</v>
      </c>
      <c r="G553" s="22">
        <v>86</v>
      </c>
      <c r="H553" s="22"/>
      <c r="I553" s="22"/>
    </row>
    <row r="554" spans="1:9" ht="105" x14ac:dyDescent="0.25">
      <c r="A554" s="22" t="s">
        <v>7163</v>
      </c>
      <c r="B554" s="22" t="s">
        <v>4050</v>
      </c>
      <c r="C554" s="22" t="s">
        <v>4051</v>
      </c>
      <c r="D554" s="22" t="s">
        <v>4053</v>
      </c>
      <c r="E554" s="22" t="s">
        <v>4052</v>
      </c>
      <c r="F554" s="22">
        <v>1</v>
      </c>
      <c r="G554" s="22">
        <v>18</v>
      </c>
      <c r="H554" s="22"/>
      <c r="I554" s="22"/>
    </row>
    <row r="555" spans="1:9" ht="105" x14ac:dyDescent="0.25">
      <c r="A555" s="22" t="s">
        <v>7164</v>
      </c>
      <c r="B555" s="22" t="s">
        <v>4050</v>
      </c>
      <c r="C555" s="22" t="s">
        <v>4051</v>
      </c>
      <c r="D555" s="22" t="s">
        <v>4053</v>
      </c>
      <c r="E555" s="22" t="s">
        <v>4052</v>
      </c>
      <c r="F555" s="22">
        <v>1</v>
      </c>
      <c r="G555" s="22">
        <v>18</v>
      </c>
      <c r="H555" s="22"/>
      <c r="I555" s="22"/>
    </row>
    <row r="556" spans="1:9" ht="84" x14ac:dyDescent="0.25">
      <c r="A556" s="22" t="s">
        <v>7165</v>
      </c>
      <c r="B556" s="22" t="s">
        <v>4055</v>
      </c>
      <c r="C556" s="22" t="s">
        <v>4056</v>
      </c>
      <c r="D556" s="22" t="s">
        <v>4053</v>
      </c>
      <c r="E556" s="22" t="s">
        <v>3722</v>
      </c>
      <c r="F556" s="22">
        <v>1</v>
      </c>
      <c r="G556" s="22">
        <v>32</v>
      </c>
      <c r="H556" s="22"/>
      <c r="I556" s="22"/>
    </row>
    <row r="557" spans="1:9" ht="84" x14ac:dyDescent="0.25">
      <c r="A557" s="22" t="s">
        <v>7166</v>
      </c>
      <c r="B557" s="22" t="s">
        <v>4055</v>
      </c>
      <c r="C557" s="22" t="s">
        <v>4056</v>
      </c>
      <c r="D557" s="22" t="s">
        <v>4053</v>
      </c>
      <c r="E557" s="22" t="s">
        <v>3722</v>
      </c>
      <c r="F557" s="22">
        <v>1</v>
      </c>
      <c r="G557" s="22">
        <v>32</v>
      </c>
      <c r="H557" s="22"/>
      <c r="I557" s="22"/>
    </row>
    <row r="558" spans="1:9" ht="84" x14ac:dyDescent="0.25">
      <c r="A558" s="22" t="s">
        <v>7167</v>
      </c>
      <c r="B558" s="22" t="s">
        <v>4055</v>
      </c>
      <c r="C558" s="22" t="s">
        <v>4056</v>
      </c>
      <c r="D558" s="22" t="s">
        <v>4053</v>
      </c>
      <c r="E558" s="22" t="s">
        <v>3722</v>
      </c>
      <c r="F558" s="22">
        <v>1</v>
      </c>
      <c r="G558" s="22">
        <v>32</v>
      </c>
      <c r="H558" s="22"/>
      <c r="I558" s="22"/>
    </row>
    <row r="559" spans="1:9" ht="42" x14ac:dyDescent="0.25">
      <c r="A559" s="22" t="s">
        <v>7168</v>
      </c>
      <c r="B559" s="22" t="s">
        <v>4058</v>
      </c>
      <c r="C559" s="22" t="s">
        <v>4059</v>
      </c>
      <c r="D559" s="22" t="s">
        <v>4053</v>
      </c>
      <c r="E559" s="22" t="s">
        <v>3557</v>
      </c>
      <c r="F559" s="22">
        <v>1</v>
      </c>
      <c r="G559" s="22">
        <v>53</v>
      </c>
      <c r="H559" s="22"/>
      <c r="I559" s="22"/>
    </row>
    <row r="560" spans="1:9" ht="63" x14ac:dyDescent="0.25">
      <c r="A560" s="22" t="s">
        <v>7169</v>
      </c>
      <c r="B560" s="22" t="s">
        <v>4071</v>
      </c>
      <c r="C560" s="22" t="s">
        <v>4072</v>
      </c>
      <c r="D560" s="22" t="s">
        <v>3811</v>
      </c>
      <c r="E560" s="22" t="s">
        <v>4073</v>
      </c>
      <c r="F560" s="22">
        <v>1</v>
      </c>
      <c r="G560" s="22">
        <v>17</v>
      </c>
      <c r="H560" s="22"/>
      <c r="I560" s="22"/>
    </row>
    <row r="561" spans="1:9" ht="63" x14ac:dyDescent="0.25">
      <c r="A561" s="22" t="s">
        <v>7170</v>
      </c>
      <c r="B561" s="22" t="s">
        <v>4079</v>
      </c>
      <c r="C561" s="22" t="s">
        <v>4080</v>
      </c>
      <c r="D561" s="22" t="s">
        <v>3771</v>
      </c>
      <c r="E561" s="22" t="s">
        <v>4081</v>
      </c>
      <c r="F561" s="22">
        <v>1</v>
      </c>
      <c r="G561" s="22">
        <v>77</v>
      </c>
      <c r="H561" s="22"/>
      <c r="I561" s="22"/>
    </row>
    <row r="562" spans="1:9" ht="84" x14ac:dyDescent="0.25">
      <c r="A562" s="22" t="s">
        <v>7171</v>
      </c>
      <c r="B562" s="22" t="s">
        <v>4083</v>
      </c>
      <c r="C562" s="22" t="s">
        <v>4084</v>
      </c>
      <c r="D562" s="22" t="s">
        <v>3771</v>
      </c>
      <c r="E562" s="22" t="s">
        <v>3722</v>
      </c>
      <c r="F562" s="22">
        <v>1</v>
      </c>
      <c r="G562" s="22">
        <v>32</v>
      </c>
      <c r="H562" s="22"/>
      <c r="I562" s="22"/>
    </row>
    <row r="563" spans="1:9" ht="63" x14ac:dyDescent="0.25">
      <c r="A563" s="22" t="s">
        <v>7172</v>
      </c>
      <c r="B563" s="22" t="s">
        <v>4088</v>
      </c>
      <c r="C563" s="22" t="s">
        <v>4089</v>
      </c>
      <c r="D563" s="22" t="s">
        <v>3771</v>
      </c>
      <c r="E563" s="22" t="s">
        <v>4090</v>
      </c>
      <c r="F563" s="22">
        <v>1</v>
      </c>
      <c r="G563" s="22">
        <v>16</v>
      </c>
      <c r="H563" s="22"/>
      <c r="I563" s="22"/>
    </row>
    <row r="564" spans="1:9" ht="63" x14ac:dyDescent="0.25">
      <c r="A564" s="22" t="s">
        <v>7173</v>
      </c>
      <c r="B564" s="22" t="s">
        <v>4092</v>
      </c>
      <c r="C564" s="22" t="s">
        <v>4093</v>
      </c>
      <c r="D564" s="22" t="s">
        <v>3771</v>
      </c>
      <c r="E564" s="22" t="s">
        <v>4094</v>
      </c>
      <c r="F564" s="22">
        <v>1</v>
      </c>
      <c r="G564" s="22">
        <v>93</v>
      </c>
      <c r="H564" s="22"/>
      <c r="I564" s="22"/>
    </row>
    <row r="565" spans="1:9" ht="63" x14ac:dyDescent="0.25">
      <c r="A565" s="22" t="s">
        <v>7174</v>
      </c>
      <c r="B565" s="22" t="s">
        <v>4096</v>
      </c>
      <c r="C565" s="22" t="s">
        <v>4097</v>
      </c>
      <c r="D565" s="22" t="s">
        <v>3771</v>
      </c>
      <c r="E565" s="22" t="s">
        <v>4098</v>
      </c>
      <c r="F565" s="22">
        <v>1</v>
      </c>
      <c r="G565" s="22">
        <v>47</v>
      </c>
      <c r="H565" s="22"/>
      <c r="I565" s="22"/>
    </row>
    <row r="566" spans="1:9" ht="63" x14ac:dyDescent="0.25">
      <c r="A566" s="22" t="s">
        <v>7175</v>
      </c>
      <c r="B566" s="22" t="s">
        <v>4100</v>
      </c>
      <c r="C566" s="22" t="s">
        <v>4101</v>
      </c>
      <c r="D566" s="22" t="s">
        <v>3771</v>
      </c>
      <c r="E566" s="22" t="s">
        <v>4102</v>
      </c>
      <c r="F566" s="22">
        <v>1</v>
      </c>
      <c r="G566" s="22">
        <v>47</v>
      </c>
      <c r="H566" s="22"/>
      <c r="I566" s="22"/>
    </row>
    <row r="567" spans="1:9" ht="84" x14ac:dyDescent="0.25">
      <c r="A567" s="22" t="s">
        <v>7176</v>
      </c>
      <c r="B567" s="22" t="s">
        <v>4109</v>
      </c>
      <c r="C567" s="22" t="s">
        <v>4110</v>
      </c>
      <c r="D567" s="22" t="s">
        <v>4900</v>
      </c>
      <c r="E567" s="22" t="s">
        <v>4111</v>
      </c>
      <c r="F567" s="22">
        <v>1</v>
      </c>
      <c r="G567" s="22">
        <v>77</v>
      </c>
      <c r="H567" s="22"/>
      <c r="I567" s="22"/>
    </row>
    <row r="568" spans="1:9" ht="84" x14ac:dyDescent="0.25">
      <c r="A568" s="22" t="s">
        <v>7177</v>
      </c>
      <c r="B568" s="22" t="s">
        <v>4109</v>
      </c>
      <c r="C568" s="22" t="s">
        <v>4110</v>
      </c>
      <c r="D568" s="22" t="s">
        <v>4900</v>
      </c>
      <c r="E568" s="22" t="s">
        <v>4111</v>
      </c>
      <c r="F568" s="22">
        <v>1</v>
      </c>
      <c r="G568" s="22">
        <v>77</v>
      </c>
      <c r="H568" s="22"/>
      <c r="I568" s="22"/>
    </row>
    <row r="569" spans="1:9" ht="42" x14ac:dyDescent="0.25">
      <c r="A569" s="22" t="s">
        <v>7178</v>
      </c>
      <c r="B569" s="22" t="s">
        <v>4113</v>
      </c>
      <c r="C569" s="22" t="s">
        <v>4114</v>
      </c>
      <c r="D569" s="22" t="s">
        <v>3771</v>
      </c>
      <c r="E569" s="22" t="s">
        <v>4115</v>
      </c>
      <c r="F569" s="22">
        <v>1</v>
      </c>
      <c r="G569" s="22">
        <v>97</v>
      </c>
      <c r="H569" s="22"/>
      <c r="I569" s="22"/>
    </row>
    <row r="570" spans="1:9" ht="63" x14ac:dyDescent="0.25">
      <c r="A570" s="22" t="s">
        <v>7179</v>
      </c>
      <c r="B570" s="22" t="s">
        <v>4120</v>
      </c>
      <c r="C570" s="22" t="s">
        <v>4121</v>
      </c>
      <c r="D570" s="22" t="s">
        <v>3771</v>
      </c>
      <c r="E570" s="22" t="s">
        <v>4122</v>
      </c>
      <c r="F570" s="22">
        <v>1</v>
      </c>
      <c r="G570" s="22">
        <v>8</v>
      </c>
      <c r="H570" s="22"/>
      <c r="I570" s="22"/>
    </row>
    <row r="571" spans="1:9" ht="63" x14ac:dyDescent="0.25">
      <c r="A571" s="22" t="s">
        <v>7180</v>
      </c>
      <c r="B571" s="22" t="s">
        <v>4124</v>
      </c>
      <c r="C571" s="22" t="s">
        <v>4125</v>
      </c>
      <c r="D571" s="22" t="s">
        <v>3771</v>
      </c>
      <c r="E571" s="22" t="s">
        <v>4126</v>
      </c>
      <c r="F571" s="22">
        <v>1</v>
      </c>
      <c r="G571" s="22">
        <v>19</v>
      </c>
      <c r="H571" s="22"/>
      <c r="I571" s="22"/>
    </row>
    <row r="572" spans="1:9" ht="63" x14ac:dyDescent="0.25">
      <c r="A572" s="22" t="s">
        <v>7181</v>
      </c>
      <c r="B572" s="22" t="s">
        <v>4128</v>
      </c>
      <c r="C572" s="22" t="s">
        <v>4129</v>
      </c>
      <c r="D572" s="22" t="s">
        <v>3771</v>
      </c>
      <c r="E572" s="22" t="s">
        <v>4130</v>
      </c>
      <c r="F572" s="22">
        <v>1</v>
      </c>
      <c r="G572" s="22">
        <v>15</v>
      </c>
      <c r="H572" s="22"/>
      <c r="I572" s="22"/>
    </row>
    <row r="573" spans="1:9" ht="42" x14ac:dyDescent="0.25">
      <c r="A573" s="22" t="s">
        <v>7182</v>
      </c>
      <c r="B573" s="22" t="s">
        <v>4131</v>
      </c>
      <c r="C573" s="22" t="s">
        <v>4132</v>
      </c>
      <c r="D573" s="22" t="s">
        <v>4900</v>
      </c>
      <c r="E573" s="22" t="s">
        <v>4133</v>
      </c>
      <c r="F573" s="22">
        <v>1</v>
      </c>
      <c r="G573" s="22">
        <v>53</v>
      </c>
      <c r="H573" s="22"/>
      <c r="I573" s="22"/>
    </row>
    <row r="574" spans="1:9" ht="42" x14ac:dyDescent="0.25">
      <c r="A574" s="22" t="s">
        <v>7183</v>
      </c>
      <c r="B574" s="22" t="s">
        <v>4131</v>
      </c>
      <c r="C574" s="22" t="s">
        <v>4132</v>
      </c>
      <c r="D574" s="22" t="s">
        <v>4900</v>
      </c>
      <c r="E574" s="22" t="s">
        <v>4133</v>
      </c>
      <c r="F574" s="22">
        <v>1</v>
      </c>
      <c r="G574" s="22">
        <v>53</v>
      </c>
      <c r="H574" s="22"/>
      <c r="I574" s="22"/>
    </row>
    <row r="575" spans="1:9" ht="42" x14ac:dyDescent="0.25">
      <c r="A575" s="22" t="s">
        <v>7184</v>
      </c>
      <c r="B575" s="22" t="s">
        <v>4138</v>
      </c>
      <c r="C575" s="22" t="s">
        <v>4139</v>
      </c>
      <c r="D575" s="22" t="s">
        <v>3771</v>
      </c>
      <c r="E575" s="22" t="s">
        <v>3480</v>
      </c>
      <c r="F575" s="22">
        <v>1</v>
      </c>
      <c r="G575" s="22">
        <v>22</v>
      </c>
      <c r="H575" s="22"/>
      <c r="I575" s="22"/>
    </row>
    <row r="576" spans="1:9" ht="42" x14ac:dyDescent="0.25">
      <c r="A576" s="22" t="s">
        <v>7185</v>
      </c>
      <c r="B576" s="22" t="s">
        <v>4141</v>
      </c>
      <c r="C576" s="22" t="s">
        <v>4142</v>
      </c>
      <c r="D576" s="22" t="s">
        <v>3771</v>
      </c>
      <c r="E576" s="22" t="s">
        <v>3609</v>
      </c>
      <c r="F576" s="22">
        <v>1</v>
      </c>
      <c r="G576" s="22">
        <v>22</v>
      </c>
      <c r="H576" s="22"/>
      <c r="I576" s="22"/>
    </row>
    <row r="577" spans="1:9" ht="42" x14ac:dyDescent="0.25">
      <c r="A577" s="22" t="s">
        <v>7186</v>
      </c>
      <c r="B577" s="22" t="s">
        <v>4144</v>
      </c>
      <c r="C577" s="22" t="s">
        <v>4145</v>
      </c>
      <c r="D577" s="22" t="s">
        <v>3771</v>
      </c>
      <c r="E577" s="22" t="s">
        <v>4146</v>
      </c>
      <c r="F577" s="22">
        <v>1</v>
      </c>
      <c r="G577" s="22">
        <v>33</v>
      </c>
      <c r="H577" s="22"/>
      <c r="I577" s="22"/>
    </row>
    <row r="578" spans="1:9" ht="84" x14ac:dyDescent="0.25">
      <c r="A578" s="22" t="s">
        <v>7187</v>
      </c>
      <c r="B578" s="22" t="s">
        <v>4149</v>
      </c>
      <c r="C578" s="22" t="s">
        <v>4150</v>
      </c>
      <c r="D578" s="22" t="s">
        <v>3771</v>
      </c>
      <c r="E578" s="22" t="s">
        <v>3722</v>
      </c>
      <c r="F578" s="22">
        <v>1</v>
      </c>
      <c r="G578" s="22">
        <v>32</v>
      </c>
      <c r="H578" s="22"/>
      <c r="I578" s="22"/>
    </row>
    <row r="579" spans="1:9" ht="84" x14ac:dyDescent="0.25">
      <c r="A579" s="22" t="s">
        <v>7188</v>
      </c>
      <c r="B579" s="22" t="s">
        <v>4149</v>
      </c>
      <c r="C579" s="22" t="s">
        <v>4150</v>
      </c>
      <c r="D579" s="22" t="s">
        <v>4053</v>
      </c>
      <c r="E579" s="22" t="s">
        <v>3722</v>
      </c>
      <c r="F579" s="22">
        <v>1</v>
      </c>
      <c r="G579" s="22">
        <v>32</v>
      </c>
      <c r="H579" s="22"/>
      <c r="I579" s="22"/>
    </row>
    <row r="580" spans="1:9" ht="42" x14ac:dyDescent="0.25">
      <c r="A580" s="22" t="s">
        <v>7189</v>
      </c>
      <c r="B580" s="22" t="s">
        <v>4161</v>
      </c>
      <c r="C580" s="22" t="s">
        <v>4162</v>
      </c>
      <c r="D580" s="22" t="s">
        <v>3771</v>
      </c>
      <c r="E580" s="22" t="s">
        <v>3278</v>
      </c>
      <c r="F580" s="22">
        <v>1</v>
      </c>
      <c r="G580" s="22">
        <v>23</v>
      </c>
      <c r="H580" s="22"/>
      <c r="I580" s="22"/>
    </row>
    <row r="581" spans="1:9" ht="42" x14ac:dyDescent="0.25">
      <c r="A581" s="22" t="s">
        <v>7190</v>
      </c>
      <c r="B581" s="22" t="s">
        <v>4161</v>
      </c>
      <c r="C581" s="22" t="s">
        <v>4162</v>
      </c>
      <c r="D581" s="22" t="s">
        <v>4900</v>
      </c>
      <c r="E581" s="22" t="s">
        <v>3278</v>
      </c>
      <c r="F581" s="22">
        <v>1</v>
      </c>
      <c r="G581" s="22">
        <v>23</v>
      </c>
      <c r="H581" s="22"/>
      <c r="I581" s="22"/>
    </row>
    <row r="582" spans="1:9" ht="42" x14ac:dyDescent="0.25">
      <c r="A582" s="22" t="s">
        <v>7191</v>
      </c>
      <c r="B582" s="22" t="s">
        <v>4164</v>
      </c>
      <c r="C582" s="22" t="s">
        <v>4165</v>
      </c>
      <c r="D582" s="22" t="s">
        <v>3771</v>
      </c>
      <c r="E582" s="22" t="s">
        <v>3614</v>
      </c>
      <c r="F582" s="22">
        <v>1</v>
      </c>
      <c r="G582" s="22">
        <v>23</v>
      </c>
      <c r="H582" s="22"/>
      <c r="I582" s="22"/>
    </row>
    <row r="583" spans="1:9" ht="42" x14ac:dyDescent="0.25">
      <c r="A583" s="22" t="s">
        <v>7192</v>
      </c>
      <c r="B583" s="22" t="s">
        <v>4167</v>
      </c>
      <c r="C583" s="22" t="s">
        <v>4168</v>
      </c>
      <c r="D583" s="22" t="s">
        <v>3771</v>
      </c>
      <c r="E583" s="22" t="s">
        <v>3278</v>
      </c>
      <c r="F583" s="22">
        <v>1</v>
      </c>
      <c r="G583" s="22">
        <v>23</v>
      </c>
      <c r="H583" s="22"/>
      <c r="I583" s="22"/>
    </row>
    <row r="584" spans="1:9" ht="42" x14ac:dyDescent="0.25">
      <c r="A584" s="22" t="s">
        <v>7193</v>
      </c>
      <c r="B584" s="22" t="s">
        <v>4170</v>
      </c>
      <c r="C584" s="22" t="s">
        <v>4171</v>
      </c>
      <c r="D584" s="22" t="s">
        <v>3771</v>
      </c>
      <c r="E584" s="22" t="s">
        <v>3278</v>
      </c>
      <c r="F584" s="22">
        <v>1</v>
      </c>
      <c r="G584" s="22">
        <v>23</v>
      </c>
      <c r="H584" s="22"/>
      <c r="I584" s="22"/>
    </row>
    <row r="585" spans="1:9" ht="42" x14ac:dyDescent="0.25">
      <c r="A585" s="22" t="s">
        <v>7194</v>
      </c>
      <c r="B585" s="22" t="s">
        <v>4177</v>
      </c>
      <c r="C585" s="22" t="s">
        <v>4178</v>
      </c>
      <c r="D585" s="22" t="s">
        <v>3811</v>
      </c>
      <c r="E585" s="22" t="s">
        <v>4179</v>
      </c>
      <c r="F585" s="22">
        <v>1</v>
      </c>
      <c r="G585" s="22">
        <v>59</v>
      </c>
      <c r="H585" s="22"/>
      <c r="I585" s="22"/>
    </row>
    <row r="586" spans="1:9" ht="84" x14ac:dyDescent="0.25">
      <c r="A586" s="22" t="s">
        <v>7195</v>
      </c>
      <c r="B586" s="22" t="s">
        <v>4181</v>
      </c>
      <c r="C586" s="22" t="s">
        <v>4182</v>
      </c>
      <c r="D586" s="22" t="s">
        <v>3811</v>
      </c>
      <c r="E586" s="22" t="s">
        <v>4183</v>
      </c>
      <c r="F586" s="22">
        <v>1</v>
      </c>
      <c r="G586" s="22">
        <v>46</v>
      </c>
      <c r="H586" s="22"/>
      <c r="I586" s="22"/>
    </row>
    <row r="587" spans="1:9" ht="42" x14ac:dyDescent="0.25">
      <c r="A587" s="22" t="s">
        <v>7196</v>
      </c>
      <c r="B587" s="22" t="s">
        <v>4185</v>
      </c>
      <c r="C587" s="22" t="s">
        <v>4186</v>
      </c>
      <c r="D587" s="22" t="s">
        <v>3811</v>
      </c>
      <c r="E587" s="22" t="s">
        <v>4187</v>
      </c>
      <c r="F587" s="22">
        <v>1</v>
      </c>
      <c r="G587" s="22">
        <v>53</v>
      </c>
      <c r="H587" s="22"/>
      <c r="I587" s="22"/>
    </row>
    <row r="588" spans="1:9" ht="42" x14ac:dyDescent="0.25">
      <c r="A588" s="22" t="s">
        <v>7197</v>
      </c>
      <c r="B588" s="22" t="s">
        <v>4189</v>
      </c>
      <c r="C588" s="22" t="s">
        <v>4190</v>
      </c>
      <c r="D588" s="22" t="s">
        <v>3811</v>
      </c>
      <c r="E588" s="22" t="s">
        <v>3347</v>
      </c>
      <c r="F588" s="22">
        <v>1</v>
      </c>
      <c r="G588" s="22">
        <v>52</v>
      </c>
      <c r="H588" s="22"/>
      <c r="I588" s="22"/>
    </row>
    <row r="589" spans="1:9" ht="42" x14ac:dyDescent="0.25">
      <c r="A589" s="22" t="s">
        <v>7198</v>
      </c>
      <c r="B589" s="22" t="s">
        <v>4194</v>
      </c>
      <c r="C589" s="22" t="s">
        <v>4195</v>
      </c>
      <c r="D589" s="22" t="s">
        <v>3771</v>
      </c>
      <c r="E589" s="22" t="s">
        <v>4196</v>
      </c>
      <c r="F589" s="22">
        <v>1</v>
      </c>
      <c r="G589" s="22">
        <v>89</v>
      </c>
      <c r="H589" s="22"/>
      <c r="I589" s="22"/>
    </row>
    <row r="590" spans="1:9" ht="105" x14ac:dyDescent="0.25">
      <c r="A590" s="22" t="s">
        <v>7199</v>
      </c>
      <c r="B590" s="22" t="s">
        <v>4198</v>
      </c>
      <c r="C590" s="22" t="s">
        <v>4199</v>
      </c>
      <c r="D590" s="22" t="s">
        <v>3771</v>
      </c>
      <c r="E590" s="22" t="s">
        <v>4200</v>
      </c>
      <c r="F590" s="22">
        <v>1</v>
      </c>
      <c r="G590" s="22">
        <v>27</v>
      </c>
      <c r="H590" s="22"/>
      <c r="I590" s="22"/>
    </row>
    <row r="591" spans="1:9" ht="63" x14ac:dyDescent="0.25">
      <c r="A591" s="22" t="s">
        <v>7200</v>
      </c>
      <c r="B591" s="22" t="s">
        <v>4202</v>
      </c>
      <c r="C591" s="22" t="s">
        <v>4203</v>
      </c>
      <c r="D591" s="22" t="s">
        <v>3771</v>
      </c>
      <c r="E591" s="22" t="s">
        <v>4204</v>
      </c>
      <c r="F591" s="22">
        <v>1</v>
      </c>
      <c r="G591" s="22">
        <v>32</v>
      </c>
      <c r="H591" s="22"/>
      <c r="I591" s="22"/>
    </row>
    <row r="592" spans="1:9" ht="63" x14ac:dyDescent="0.25">
      <c r="A592" s="22" t="s">
        <v>7201</v>
      </c>
      <c r="B592" s="22" t="s">
        <v>4202</v>
      </c>
      <c r="C592" s="22" t="s">
        <v>4203</v>
      </c>
      <c r="D592" s="22" t="s">
        <v>4053</v>
      </c>
      <c r="E592" s="22" t="s">
        <v>4204</v>
      </c>
      <c r="F592" s="22">
        <v>1</v>
      </c>
      <c r="G592" s="22">
        <v>32</v>
      </c>
      <c r="H592" s="22"/>
      <c r="I592" s="22"/>
    </row>
    <row r="593" spans="1:9" ht="42" x14ac:dyDescent="0.25">
      <c r="A593" s="22" t="s">
        <v>7202</v>
      </c>
      <c r="B593" s="22" t="s">
        <v>4209</v>
      </c>
      <c r="C593" s="22" t="s">
        <v>4210</v>
      </c>
      <c r="D593" s="22" t="s">
        <v>3771</v>
      </c>
      <c r="E593" s="22" t="s">
        <v>3665</v>
      </c>
      <c r="F593" s="22">
        <v>1</v>
      </c>
      <c r="G593" s="22">
        <v>22</v>
      </c>
      <c r="H593" s="22"/>
      <c r="I593" s="22"/>
    </row>
    <row r="594" spans="1:9" ht="42" x14ac:dyDescent="0.25">
      <c r="A594" s="22" t="s">
        <v>7203</v>
      </c>
      <c r="B594" s="22" t="s">
        <v>4209</v>
      </c>
      <c r="C594" s="22" t="s">
        <v>4210</v>
      </c>
      <c r="D594" s="22" t="s">
        <v>4900</v>
      </c>
      <c r="E594" s="22" t="s">
        <v>3665</v>
      </c>
      <c r="F594" s="22">
        <v>1</v>
      </c>
      <c r="G594" s="22">
        <v>22</v>
      </c>
      <c r="H594" s="22"/>
      <c r="I594" s="22"/>
    </row>
    <row r="595" spans="1:9" ht="42" x14ac:dyDescent="0.25">
      <c r="A595" s="22" t="s">
        <v>7204</v>
      </c>
      <c r="B595" s="22" t="s">
        <v>4209</v>
      </c>
      <c r="C595" s="22" t="s">
        <v>4210</v>
      </c>
      <c r="D595" s="22" t="s">
        <v>4900</v>
      </c>
      <c r="E595" s="22" t="s">
        <v>3665</v>
      </c>
      <c r="F595" s="22">
        <v>1</v>
      </c>
      <c r="G595" s="22">
        <v>22</v>
      </c>
      <c r="H595" s="22"/>
      <c r="I595" s="22"/>
    </row>
    <row r="596" spans="1:9" ht="42" x14ac:dyDescent="0.25">
      <c r="A596" s="22" t="s">
        <v>7205</v>
      </c>
      <c r="B596" s="22" t="s">
        <v>4209</v>
      </c>
      <c r="C596" s="22" t="s">
        <v>4210</v>
      </c>
      <c r="D596" s="22" t="s">
        <v>5091</v>
      </c>
      <c r="E596" s="22" t="s">
        <v>3665</v>
      </c>
      <c r="F596" s="22">
        <v>1</v>
      </c>
      <c r="G596" s="22">
        <v>22</v>
      </c>
      <c r="H596" s="22"/>
      <c r="I596" s="22"/>
    </row>
    <row r="597" spans="1:9" ht="42" x14ac:dyDescent="0.25">
      <c r="A597" s="22" t="s">
        <v>7206</v>
      </c>
      <c r="B597" s="22" t="s">
        <v>4212</v>
      </c>
      <c r="C597" s="22" t="s">
        <v>4213</v>
      </c>
      <c r="D597" s="22" t="s">
        <v>3771</v>
      </c>
      <c r="E597" s="22" t="s">
        <v>4214</v>
      </c>
      <c r="F597" s="22">
        <v>1</v>
      </c>
      <c r="G597" s="22">
        <v>9</v>
      </c>
      <c r="H597" s="22"/>
      <c r="I597" s="22"/>
    </row>
    <row r="598" spans="1:9" ht="42" x14ac:dyDescent="0.25">
      <c r="A598" s="22" t="s">
        <v>7207</v>
      </c>
      <c r="B598" s="22" t="s">
        <v>4212</v>
      </c>
      <c r="C598" s="22" t="s">
        <v>4213</v>
      </c>
      <c r="D598" s="22" t="s">
        <v>5091</v>
      </c>
      <c r="E598" s="22" t="s">
        <v>4214</v>
      </c>
      <c r="F598" s="22">
        <v>1</v>
      </c>
      <c r="G598" s="22">
        <v>9</v>
      </c>
      <c r="H598" s="22"/>
      <c r="I598" s="22"/>
    </row>
    <row r="599" spans="1:9" ht="42" x14ac:dyDescent="0.25">
      <c r="A599" s="22" t="s">
        <v>7208</v>
      </c>
      <c r="B599" s="22" t="s">
        <v>4212</v>
      </c>
      <c r="C599" s="22" t="s">
        <v>4213</v>
      </c>
      <c r="D599" s="22" t="s">
        <v>5091</v>
      </c>
      <c r="E599" s="22" t="s">
        <v>4214</v>
      </c>
      <c r="F599" s="22">
        <v>1</v>
      </c>
      <c r="G599" s="22">
        <v>9</v>
      </c>
      <c r="H599" s="22"/>
      <c r="I599" s="22"/>
    </row>
    <row r="600" spans="1:9" ht="63" x14ac:dyDescent="0.25">
      <c r="A600" s="22" t="s">
        <v>7209</v>
      </c>
      <c r="B600" s="22" t="s">
        <v>4216</v>
      </c>
      <c r="C600" s="22" t="s">
        <v>4217</v>
      </c>
      <c r="D600" s="22" t="s">
        <v>3811</v>
      </c>
      <c r="E600" s="22" t="s">
        <v>4218</v>
      </c>
      <c r="F600" s="22">
        <v>1</v>
      </c>
      <c r="G600" s="22">
        <v>16</v>
      </c>
      <c r="H600" s="22"/>
      <c r="I600" s="22"/>
    </row>
    <row r="601" spans="1:9" ht="84" x14ac:dyDescent="0.25">
      <c r="A601" s="22" t="s">
        <v>7210</v>
      </c>
      <c r="B601" s="22" t="s">
        <v>4220</v>
      </c>
      <c r="C601" s="22" t="s">
        <v>4221</v>
      </c>
      <c r="D601" s="22" t="s">
        <v>3811</v>
      </c>
      <c r="E601" s="22" t="s">
        <v>4222</v>
      </c>
      <c r="F601" s="22">
        <v>1</v>
      </c>
      <c r="G601" s="22">
        <v>16</v>
      </c>
      <c r="H601" s="22"/>
      <c r="I601" s="22"/>
    </row>
    <row r="602" spans="1:9" ht="42" x14ac:dyDescent="0.25">
      <c r="A602" s="22" t="s">
        <v>7211</v>
      </c>
      <c r="B602" s="22" t="s">
        <v>4224</v>
      </c>
      <c r="C602" s="22" t="s">
        <v>4225</v>
      </c>
      <c r="D602" s="22" t="s">
        <v>3811</v>
      </c>
      <c r="E602" s="22" t="s">
        <v>4226</v>
      </c>
      <c r="F602" s="22">
        <v>1</v>
      </c>
      <c r="G602" s="22">
        <v>6</v>
      </c>
      <c r="H602" s="22"/>
      <c r="I602" s="22"/>
    </row>
    <row r="603" spans="1:9" ht="42" x14ac:dyDescent="0.25">
      <c r="A603" s="22" t="s">
        <v>7212</v>
      </c>
      <c r="B603" s="22" t="s">
        <v>4224</v>
      </c>
      <c r="C603" s="22" t="s">
        <v>4225</v>
      </c>
      <c r="D603" s="22" t="s">
        <v>4900</v>
      </c>
      <c r="E603" s="22" t="s">
        <v>4226</v>
      </c>
      <c r="F603" s="22">
        <v>1</v>
      </c>
      <c r="G603" s="22">
        <v>6</v>
      </c>
      <c r="H603" s="22"/>
      <c r="I603" s="22"/>
    </row>
    <row r="604" spans="1:9" ht="42" x14ac:dyDescent="0.25">
      <c r="A604" s="22" t="s">
        <v>7213</v>
      </c>
      <c r="B604" s="22" t="s">
        <v>4224</v>
      </c>
      <c r="C604" s="22" t="s">
        <v>4225</v>
      </c>
      <c r="D604" s="22" t="s">
        <v>5091</v>
      </c>
      <c r="E604" s="22" t="s">
        <v>4226</v>
      </c>
      <c r="F604" s="22">
        <v>1</v>
      </c>
      <c r="G604" s="22">
        <v>6</v>
      </c>
      <c r="H604" s="22"/>
      <c r="I604" s="22"/>
    </row>
    <row r="605" spans="1:9" ht="42" x14ac:dyDescent="0.25">
      <c r="A605" s="22" t="s">
        <v>7214</v>
      </c>
      <c r="B605" s="22" t="s">
        <v>4234</v>
      </c>
      <c r="C605" s="22" t="s">
        <v>4235</v>
      </c>
      <c r="D605" s="22" t="s">
        <v>3811</v>
      </c>
      <c r="E605" s="22" t="s">
        <v>4236</v>
      </c>
      <c r="F605" s="22">
        <v>1</v>
      </c>
      <c r="G605" s="22">
        <v>13</v>
      </c>
      <c r="H605" s="22"/>
      <c r="I605" s="22"/>
    </row>
    <row r="606" spans="1:9" ht="42" x14ac:dyDescent="0.25">
      <c r="A606" s="22" t="s">
        <v>7215</v>
      </c>
      <c r="B606" s="22" t="s">
        <v>4239</v>
      </c>
      <c r="C606" s="22" t="s">
        <v>4240</v>
      </c>
      <c r="D606" s="22" t="s">
        <v>3811</v>
      </c>
      <c r="E606" s="22" t="s">
        <v>4241</v>
      </c>
      <c r="F606" s="22">
        <v>1</v>
      </c>
      <c r="G606" s="22">
        <v>108</v>
      </c>
      <c r="H606" s="22"/>
      <c r="I606" s="22"/>
    </row>
    <row r="607" spans="1:9" ht="84" x14ac:dyDescent="0.25">
      <c r="A607" s="22" t="s">
        <v>7216</v>
      </c>
      <c r="B607" s="22" t="s">
        <v>4251</v>
      </c>
      <c r="C607" s="22" t="s">
        <v>4252</v>
      </c>
      <c r="D607" s="22" t="s">
        <v>4053</v>
      </c>
      <c r="E607" s="22" t="s">
        <v>4253</v>
      </c>
      <c r="F607" s="22">
        <v>1</v>
      </c>
      <c r="G607" s="22">
        <v>32</v>
      </c>
      <c r="H607" s="22"/>
      <c r="I607" s="22"/>
    </row>
    <row r="608" spans="1:9" ht="84" x14ac:dyDescent="0.25">
      <c r="A608" s="22" t="s">
        <v>7217</v>
      </c>
      <c r="B608" s="22" t="s">
        <v>4261</v>
      </c>
      <c r="C608" s="22" t="s">
        <v>4262</v>
      </c>
      <c r="D608" s="22" t="s">
        <v>4053</v>
      </c>
      <c r="E608" s="22" t="s">
        <v>4263</v>
      </c>
      <c r="F608" s="22">
        <v>1</v>
      </c>
      <c r="G608" s="22">
        <v>14</v>
      </c>
      <c r="H608" s="22"/>
      <c r="I608" s="22"/>
    </row>
    <row r="609" spans="1:9" ht="147" x14ac:dyDescent="0.25">
      <c r="A609" s="22" t="s">
        <v>7218</v>
      </c>
      <c r="B609" s="22" t="s">
        <v>4271</v>
      </c>
      <c r="C609" s="22" t="s">
        <v>4272</v>
      </c>
      <c r="D609" s="22" t="s">
        <v>4053</v>
      </c>
      <c r="E609" s="22" t="s">
        <v>4273</v>
      </c>
      <c r="F609" s="22">
        <v>1</v>
      </c>
      <c r="G609" s="22">
        <v>30</v>
      </c>
      <c r="H609" s="22"/>
      <c r="I609" s="22"/>
    </row>
    <row r="610" spans="1:9" ht="147" x14ac:dyDescent="0.25">
      <c r="A610" s="22" t="s">
        <v>7219</v>
      </c>
      <c r="B610" s="22" t="s">
        <v>4271</v>
      </c>
      <c r="C610" s="22" t="s">
        <v>4272</v>
      </c>
      <c r="D610" s="22" t="s">
        <v>4053</v>
      </c>
      <c r="E610" s="22" t="s">
        <v>4273</v>
      </c>
      <c r="F610" s="22">
        <v>1</v>
      </c>
      <c r="G610" s="22">
        <v>30</v>
      </c>
      <c r="H610" s="22"/>
      <c r="I610" s="22"/>
    </row>
    <row r="611" spans="1:9" ht="63" x14ac:dyDescent="0.25">
      <c r="A611" s="22" t="s">
        <v>7220</v>
      </c>
      <c r="B611" s="22" t="s">
        <v>4276</v>
      </c>
      <c r="C611" s="22" t="s">
        <v>4277</v>
      </c>
      <c r="D611" s="22" t="s">
        <v>4053</v>
      </c>
      <c r="E611" s="22" t="s">
        <v>4278</v>
      </c>
      <c r="F611" s="22">
        <v>1</v>
      </c>
      <c r="G611" s="22">
        <v>46</v>
      </c>
      <c r="H611" s="22"/>
      <c r="I611" s="22"/>
    </row>
    <row r="612" spans="1:9" ht="105" x14ac:dyDescent="0.25">
      <c r="A612" s="22" t="s">
        <v>7221</v>
      </c>
      <c r="B612" s="22" t="s">
        <v>4280</v>
      </c>
      <c r="C612" s="22" t="s">
        <v>4281</v>
      </c>
      <c r="D612" s="22" t="s">
        <v>4053</v>
      </c>
      <c r="E612" s="22" t="s">
        <v>4282</v>
      </c>
      <c r="F612" s="22">
        <v>1</v>
      </c>
      <c r="G612" s="22">
        <v>32</v>
      </c>
      <c r="H612" s="22"/>
      <c r="I612" s="22"/>
    </row>
    <row r="613" spans="1:9" ht="42" x14ac:dyDescent="0.25">
      <c r="A613" s="22" t="s">
        <v>7222</v>
      </c>
      <c r="B613" s="22" t="s">
        <v>4302</v>
      </c>
      <c r="C613" s="22" t="s">
        <v>4303</v>
      </c>
      <c r="D613" s="22" t="s">
        <v>4053</v>
      </c>
      <c r="E613" s="22" t="s">
        <v>4304</v>
      </c>
      <c r="F613" s="22">
        <v>1</v>
      </c>
      <c r="G613" s="22">
        <v>75</v>
      </c>
      <c r="H613" s="22"/>
      <c r="I613" s="22"/>
    </row>
    <row r="614" spans="1:9" ht="84" x14ac:dyDescent="0.25">
      <c r="A614" s="22" t="s">
        <v>7223</v>
      </c>
      <c r="B614" s="22" t="s">
        <v>4306</v>
      </c>
      <c r="C614" s="22" t="s">
        <v>4307</v>
      </c>
      <c r="D614" s="22" t="s">
        <v>4053</v>
      </c>
      <c r="E614" s="22" t="s">
        <v>4308</v>
      </c>
      <c r="F614" s="22">
        <v>1</v>
      </c>
      <c r="G614" s="22">
        <v>24</v>
      </c>
      <c r="H614" s="22"/>
      <c r="I614" s="22"/>
    </row>
    <row r="615" spans="1:9" ht="84" x14ac:dyDescent="0.25">
      <c r="A615" s="22" t="s">
        <v>7224</v>
      </c>
      <c r="B615" s="22" t="s">
        <v>4310</v>
      </c>
      <c r="C615" s="22" t="s">
        <v>4311</v>
      </c>
      <c r="D615" s="22" t="s">
        <v>4053</v>
      </c>
      <c r="E615" s="22" t="s">
        <v>4312</v>
      </c>
      <c r="F615" s="22">
        <v>1</v>
      </c>
      <c r="G615" s="22">
        <v>24</v>
      </c>
      <c r="H615" s="22"/>
      <c r="I615" s="22"/>
    </row>
    <row r="616" spans="1:9" ht="42" x14ac:dyDescent="0.25">
      <c r="A616" s="22" t="s">
        <v>7225</v>
      </c>
      <c r="B616" s="22" t="s">
        <v>4314</v>
      </c>
      <c r="C616" s="22" t="s">
        <v>4315</v>
      </c>
      <c r="D616" s="22" t="s">
        <v>4053</v>
      </c>
      <c r="E616" s="22" t="s">
        <v>3664</v>
      </c>
      <c r="F616" s="22">
        <v>1</v>
      </c>
      <c r="G616" s="22">
        <v>57</v>
      </c>
      <c r="H616" s="22"/>
      <c r="I616" s="22"/>
    </row>
    <row r="617" spans="1:9" ht="63" x14ac:dyDescent="0.25">
      <c r="A617" s="22" t="s">
        <v>7226</v>
      </c>
      <c r="B617" s="22" t="s">
        <v>4325</v>
      </c>
      <c r="C617" s="22" t="s">
        <v>4326</v>
      </c>
      <c r="D617" s="22" t="s">
        <v>4053</v>
      </c>
      <c r="E617" s="22" t="s">
        <v>4327</v>
      </c>
      <c r="F617" s="22">
        <v>1</v>
      </c>
      <c r="G617" s="22">
        <v>73</v>
      </c>
      <c r="H617" s="22"/>
      <c r="I617" s="22"/>
    </row>
    <row r="618" spans="1:9" ht="42" x14ac:dyDescent="0.25">
      <c r="A618" s="22" t="s">
        <v>7227</v>
      </c>
      <c r="B618" s="22" t="s">
        <v>4329</v>
      </c>
      <c r="C618" s="22" t="s">
        <v>4330</v>
      </c>
      <c r="D618" s="22" t="s">
        <v>4053</v>
      </c>
      <c r="E618" s="22" t="s">
        <v>3403</v>
      </c>
      <c r="F618" s="22">
        <v>1</v>
      </c>
      <c r="G618" s="22">
        <v>104</v>
      </c>
      <c r="H618" s="22"/>
      <c r="I618" s="22"/>
    </row>
    <row r="619" spans="1:9" ht="42" x14ac:dyDescent="0.25">
      <c r="A619" s="22" t="s">
        <v>7228</v>
      </c>
      <c r="B619" s="22" t="s">
        <v>4332</v>
      </c>
      <c r="C619" s="22" t="s">
        <v>4333</v>
      </c>
      <c r="D619" s="22" t="s">
        <v>4053</v>
      </c>
      <c r="E619" s="22" t="s">
        <v>4334</v>
      </c>
      <c r="F619" s="22">
        <v>1</v>
      </c>
      <c r="G619" s="22">
        <v>73</v>
      </c>
      <c r="H619" s="22"/>
      <c r="I619" s="22"/>
    </row>
    <row r="620" spans="1:9" ht="42" x14ac:dyDescent="0.25">
      <c r="A620" s="22" t="s">
        <v>7229</v>
      </c>
      <c r="B620" s="22" t="s">
        <v>4336</v>
      </c>
      <c r="C620" s="22" t="s">
        <v>4337</v>
      </c>
      <c r="D620" s="22" t="s">
        <v>4053</v>
      </c>
      <c r="E620" s="22" t="s">
        <v>4338</v>
      </c>
      <c r="F620" s="22">
        <v>1</v>
      </c>
      <c r="G620" s="22">
        <v>18</v>
      </c>
      <c r="H620" s="22"/>
      <c r="I620" s="22"/>
    </row>
    <row r="621" spans="1:9" ht="63" x14ac:dyDescent="0.25">
      <c r="A621" s="22" t="s">
        <v>7230</v>
      </c>
      <c r="B621" s="22" t="s">
        <v>4343</v>
      </c>
      <c r="C621" s="22" t="s">
        <v>4344</v>
      </c>
      <c r="D621" s="22" t="s">
        <v>4053</v>
      </c>
      <c r="E621" s="22" t="s">
        <v>3493</v>
      </c>
      <c r="F621" s="22">
        <v>1</v>
      </c>
      <c r="G621" s="22">
        <v>51</v>
      </c>
      <c r="H621" s="22"/>
      <c r="I621" s="22"/>
    </row>
    <row r="622" spans="1:9" ht="63" x14ac:dyDescent="0.25">
      <c r="A622" s="22" t="s">
        <v>7231</v>
      </c>
      <c r="B622" s="22" t="s">
        <v>4343</v>
      </c>
      <c r="C622" s="22" t="s">
        <v>4344</v>
      </c>
      <c r="D622" s="22" t="s">
        <v>4053</v>
      </c>
      <c r="E622" s="22" t="s">
        <v>3493</v>
      </c>
      <c r="F622" s="22">
        <v>1</v>
      </c>
      <c r="G622" s="22">
        <v>51</v>
      </c>
      <c r="H622" s="22"/>
      <c r="I622" s="22"/>
    </row>
    <row r="623" spans="1:9" ht="63" x14ac:dyDescent="0.25">
      <c r="A623" s="22" t="s">
        <v>7232</v>
      </c>
      <c r="B623" s="22" t="s">
        <v>4348</v>
      </c>
      <c r="C623" s="22" t="s">
        <v>4349</v>
      </c>
      <c r="D623" s="22" t="s">
        <v>4053</v>
      </c>
      <c r="E623" s="22" t="s">
        <v>3594</v>
      </c>
      <c r="F623" s="22">
        <v>1</v>
      </c>
      <c r="G623" s="22">
        <v>53</v>
      </c>
      <c r="H623" s="22"/>
      <c r="I623" s="22"/>
    </row>
    <row r="624" spans="1:9" ht="42" x14ac:dyDescent="0.25">
      <c r="A624" s="22" t="s">
        <v>7233</v>
      </c>
      <c r="B624" s="22" t="s">
        <v>4355</v>
      </c>
      <c r="C624" s="22" t="s">
        <v>4356</v>
      </c>
      <c r="D624" s="22" t="s">
        <v>4053</v>
      </c>
      <c r="E624" s="22" t="s">
        <v>4357</v>
      </c>
      <c r="F624" s="22">
        <v>1</v>
      </c>
      <c r="G624" s="22">
        <v>46</v>
      </c>
      <c r="H624" s="22"/>
      <c r="I624" s="22"/>
    </row>
    <row r="625" spans="1:9" ht="126" x14ac:dyDescent="0.25">
      <c r="A625" s="22" t="s">
        <v>7234</v>
      </c>
      <c r="B625" s="22" t="s">
        <v>4359</v>
      </c>
      <c r="C625" s="22" t="s">
        <v>4360</v>
      </c>
      <c r="D625" s="22" t="s">
        <v>4053</v>
      </c>
      <c r="E625" s="22" t="s">
        <v>4361</v>
      </c>
      <c r="F625" s="22">
        <v>1</v>
      </c>
      <c r="G625" s="22">
        <v>43</v>
      </c>
      <c r="H625" s="22"/>
      <c r="I625" s="22"/>
    </row>
    <row r="626" spans="1:9" ht="63" x14ac:dyDescent="0.25">
      <c r="A626" s="22" t="s">
        <v>7235</v>
      </c>
      <c r="B626" s="22" t="s">
        <v>4375</v>
      </c>
      <c r="C626" s="22" t="s">
        <v>4376</v>
      </c>
      <c r="D626" s="22" t="s">
        <v>4053</v>
      </c>
      <c r="E626" s="22" t="s">
        <v>4377</v>
      </c>
      <c r="F626" s="22">
        <v>1</v>
      </c>
      <c r="G626" s="22">
        <v>39</v>
      </c>
      <c r="H626" s="22"/>
      <c r="I626" s="22"/>
    </row>
    <row r="627" spans="1:9" ht="42" x14ac:dyDescent="0.25">
      <c r="A627" s="22" t="s">
        <v>7236</v>
      </c>
      <c r="B627" s="22" t="s">
        <v>4384</v>
      </c>
      <c r="C627" s="22" t="s">
        <v>4385</v>
      </c>
      <c r="D627" s="22" t="s">
        <v>4053</v>
      </c>
      <c r="E627" s="22" t="s">
        <v>4386</v>
      </c>
      <c r="F627" s="22">
        <v>1</v>
      </c>
      <c r="G627" s="22">
        <v>40</v>
      </c>
      <c r="H627" s="22"/>
      <c r="I627" s="22"/>
    </row>
    <row r="628" spans="1:9" ht="84" x14ac:dyDescent="0.25">
      <c r="A628" s="22" t="s">
        <v>7237</v>
      </c>
      <c r="B628" s="22" t="s">
        <v>4388</v>
      </c>
      <c r="C628" s="22" t="s">
        <v>4389</v>
      </c>
      <c r="D628" s="22" t="s">
        <v>4053</v>
      </c>
      <c r="E628" s="22" t="s">
        <v>4390</v>
      </c>
      <c r="F628" s="22">
        <v>1</v>
      </c>
      <c r="G628" s="22">
        <v>5</v>
      </c>
      <c r="H628" s="22"/>
      <c r="I628" s="22"/>
    </row>
    <row r="629" spans="1:9" ht="42" x14ac:dyDescent="0.25">
      <c r="A629" s="22" t="s">
        <v>7238</v>
      </c>
      <c r="B629" s="22" t="s">
        <v>4392</v>
      </c>
      <c r="C629" s="22" t="s">
        <v>4393</v>
      </c>
      <c r="D629" s="22" t="s">
        <v>4394</v>
      </c>
      <c r="E629" s="22" t="s">
        <v>2516</v>
      </c>
      <c r="F629" s="22">
        <v>1</v>
      </c>
      <c r="G629" s="22">
        <v>185</v>
      </c>
      <c r="H629" s="22"/>
      <c r="I629" s="22"/>
    </row>
    <row r="630" spans="1:9" ht="63" x14ac:dyDescent="0.25">
      <c r="A630" s="22" t="s">
        <v>7239</v>
      </c>
      <c r="B630" s="22" t="s">
        <v>4436</v>
      </c>
      <c r="C630" s="22" t="s">
        <v>4437</v>
      </c>
      <c r="D630" s="22" t="s">
        <v>4053</v>
      </c>
      <c r="E630" s="22" t="s">
        <v>4438</v>
      </c>
      <c r="F630" s="22">
        <v>1</v>
      </c>
      <c r="G630" s="22">
        <v>218</v>
      </c>
      <c r="H630" s="22"/>
      <c r="I630" s="22"/>
    </row>
    <row r="631" spans="1:9" ht="42" x14ac:dyDescent="0.25">
      <c r="A631" s="22" t="s">
        <v>7240</v>
      </c>
      <c r="B631" s="22" t="s">
        <v>4442</v>
      </c>
      <c r="C631" s="22" t="s">
        <v>4443</v>
      </c>
      <c r="D631" s="22" t="s">
        <v>4053</v>
      </c>
      <c r="E631" s="22" t="s">
        <v>4444</v>
      </c>
      <c r="F631" s="22">
        <v>1</v>
      </c>
      <c r="G631" s="22">
        <v>16</v>
      </c>
      <c r="H631" s="22"/>
      <c r="I631" s="22"/>
    </row>
    <row r="632" spans="1:9" ht="63" x14ac:dyDescent="0.25">
      <c r="A632" s="22" t="s">
        <v>7241</v>
      </c>
      <c r="B632" s="22" t="s">
        <v>4474</v>
      </c>
      <c r="C632" s="22" t="s">
        <v>4475</v>
      </c>
      <c r="D632" s="22" t="s">
        <v>4053</v>
      </c>
      <c r="E632" s="22" t="s">
        <v>4476</v>
      </c>
      <c r="F632" s="22">
        <v>1</v>
      </c>
      <c r="G632" s="22">
        <v>55</v>
      </c>
      <c r="H632" s="22"/>
      <c r="I632" s="22"/>
    </row>
    <row r="633" spans="1:9" ht="42" x14ac:dyDescent="0.25">
      <c r="A633" s="22" t="s">
        <v>7242</v>
      </c>
      <c r="B633" s="22" t="s">
        <v>4478</v>
      </c>
      <c r="C633" s="22" t="s">
        <v>4479</v>
      </c>
      <c r="D633" s="22" t="s">
        <v>4053</v>
      </c>
      <c r="E633" s="22" t="s">
        <v>4480</v>
      </c>
      <c r="F633" s="22">
        <v>1</v>
      </c>
      <c r="G633" s="22">
        <v>9</v>
      </c>
      <c r="H633" s="22"/>
      <c r="I633" s="22"/>
    </row>
    <row r="634" spans="1:9" ht="42" x14ac:dyDescent="0.25">
      <c r="A634" s="22" t="s">
        <v>7243</v>
      </c>
      <c r="B634" s="22" t="s">
        <v>4482</v>
      </c>
      <c r="C634" s="22" t="s">
        <v>4483</v>
      </c>
      <c r="D634" s="22" t="s">
        <v>4053</v>
      </c>
      <c r="E634" s="22" t="s">
        <v>4484</v>
      </c>
      <c r="F634" s="22">
        <v>1</v>
      </c>
      <c r="G634" s="22">
        <v>25</v>
      </c>
      <c r="H634" s="22"/>
      <c r="I634" s="22"/>
    </row>
    <row r="635" spans="1:9" ht="42" x14ac:dyDescent="0.25">
      <c r="A635" s="22" t="s">
        <v>7244</v>
      </c>
      <c r="B635" s="22" t="s">
        <v>4482</v>
      </c>
      <c r="C635" s="22" t="s">
        <v>4483</v>
      </c>
      <c r="D635" s="22" t="s">
        <v>4900</v>
      </c>
      <c r="E635" s="22" t="s">
        <v>4484</v>
      </c>
      <c r="F635" s="22">
        <v>1</v>
      </c>
      <c r="G635" s="22">
        <v>25</v>
      </c>
      <c r="H635" s="22"/>
      <c r="I635" s="22"/>
    </row>
    <row r="636" spans="1:9" ht="42" x14ac:dyDescent="0.25">
      <c r="A636" s="22" t="s">
        <v>7245</v>
      </c>
      <c r="B636" s="22" t="s">
        <v>4487</v>
      </c>
      <c r="C636" s="22" t="s">
        <v>4488</v>
      </c>
      <c r="D636" s="22" t="s">
        <v>4053</v>
      </c>
      <c r="E636" s="22" t="s">
        <v>4489</v>
      </c>
      <c r="F636" s="22">
        <v>1</v>
      </c>
      <c r="G636" s="22">
        <v>47</v>
      </c>
      <c r="H636" s="22"/>
      <c r="I636" s="22"/>
    </row>
    <row r="637" spans="1:9" ht="42" x14ac:dyDescent="0.25">
      <c r="A637" s="22" t="s">
        <v>7246</v>
      </c>
      <c r="B637" s="22" t="s">
        <v>4491</v>
      </c>
      <c r="C637" s="22" t="s">
        <v>4492</v>
      </c>
      <c r="D637" s="22" t="s">
        <v>4053</v>
      </c>
      <c r="E637" s="22" t="s">
        <v>4493</v>
      </c>
      <c r="F637" s="22">
        <v>1</v>
      </c>
      <c r="G637" s="22">
        <v>52</v>
      </c>
      <c r="H637" s="22"/>
      <c r="I637" s="22"/>
    </row>
    <row r="638" spans="1:9" ht="84" x14ac:dyDescent="0.25">
      <c r="A638" s="22" t="s">
        <v>7247</v>
      </c>
      <c r="B638" s="22" t="s">
        <v>4495</v>
      </c>
      <c r="C638" s="22" t="s">
        <v>4496</v>
      </c>
      <c r="D638" s="22" t="s">
        <v>4053</v>
      </c>
      <c r="E638" s="22" t="s">
        <v>4497</v>
      </c>
      <c r="F638" s="22">
        <v>1</v>
      </c>
      <c r="G638" s="22">
        <v>27</v>
      </c>
      <c r="H638" s="22"/>
      <c r="I638" s="22"/>
    </row>
    <row r="639" spans="1:9" ht="63" x14ac:dyDescent="0.25">
      <c r="A639" s="22" t="s">
        <v>7248</v>
      </c>
      <c r="B639" s="22" t="s">
        <v>4500</v>
      </c>
      <c r="C639" s="22" t="s">
        <v>4501</v>
      </c>
      <c r="D639" s="22" t="s">
        <v>4053</v>
      </c>
      <c r="E639" s="22" t="s">
        <v>4502</v>
      </c>
      <c r="F639" s="22">
        <v>1</v>
      </c>
      <c r="G639" s="22">
        <v>19</v>
      </c>
      <c r="H639" s="22"/>
      <c r="I639" s="22"/>
    </row>
    <row r="640" spans="1:9" ht="105" x14ac:dyDescent="0.25">
      <c r="A640" s="22" t="s">
        <v>7249</v>
      </c>
      <c r="B640" s="22" t="s">
        <v>4520</v>
      </c>
      <c r="C640" s="22" t="s">
        <v>4521</v>
      </c>
      <c r="D640" s="22" t="s">
        <v>4053</v>
      </c>
      <c r="E640" s="22" t="s">
        <v>4522</v>
      </c>
      <c r="F640" s="22">
        <v>1</v>
      </c>
      <c r="G640" s="22">
        <v>70</v>
      </c>
      <c r="H640" s="22"/>
      <c r="I640" s="22"/>
    </row>
    <row r="641" spans="1:9" ht="63" x14ac:dyDescent="0.25">
      <c r="A641" s="22" t="s">
        <v>7250</v>
      </c>
      <c r="B641" s="22" t="s">
        <v>4529</v>
      </c>
      <c r="C641" s="22" t="s">
        <v>4530</v>
      </c>
      <c r="D641" s="22" t="s">
        <v>4053</v>
      </c>
      <c r="E641" s="22" t="s">
        <v>4531</v>
      </c>
      <c r="F641" s="22">
        <v>1</v>
      </c>
      <c r="G641" s="22">
        <v>25</v>
      </c>
      <c r="H641" s="22"/>
      <c r="I641" s="22"/>
    </row>
    <row r="642" spans="1:9" ht="42" x14ac:dyDescent="0.25">
      <c r="A642" s="22" t="s">
        <v>7251</v>
      </c>
      <c r="B642" s="22" t="s">
        <v>4533</v>
      </c>
      <c r="C642" s="22" t="s">
        <v>4534</v>
      </c>
      <c r="D642" s="22" t="s">
        <v>4053</v>
      </c>
      <c r="E642" s="22" t="s">
        <v>4535</v>
      </c>
      <c r="F642" s="22">
        <v>1</v>
      </c>
      <c r="G642" s="22">
        <v>11</v>
      </c>
      <c r="H642" s="22"/>
      <c r="I642" s="22"/>
    </row>
    <row r="643" spans="1:9" ht="84" x14ac:dyDescent="0.25">
      <c r="A643" s="22" t="s">
        <v>7252</v>
      </c>
      <c r="B643" s="22" t="s">
        <v>4537</v>
      </c>
      <c r="C643" s="22" t="s">
        <v>4538</v>
      </c>
      <c r="D643" s="22" t="s">
        <v>4053</v>
      </c>
      <c r="E643" s="22" t="s">
        <v>4539</v>
      </c>
      <c r="F643" s="22">
        <v>1</v>
      </c>
      <c r="G643" s="22">
        <v>11</v>
      </c>
      <c r="H643" s="22"/>
      <c r="I643" s="22"/>
    </row>
    <row r="644" spans="1:9" ht="84" x14ac:dyDescent="0.25">
      <c r="A644" s="22" t="s">
        <v>7253</v>
      </c>
      <c r="B644" s="22" t="s">
        <v>4542</v>
      </c>
      <c r="C644" s="22" t="s">
        <v>4543</v>
      </c>
      <c r="D644" s="22" t="s">
        <v>4053</v>
      </c>
      <c r="E644" s="22" t="s">
        <v>3725</v>
      </c>
      <c r="F644" s="22">
        <v>1</v>
      </c>
      <c r="G644" s="22">
        <v>32</v>
      </c>
      <c r="H644" s="22"/>
      <c r="I644" s="22"/>
    </row>
    <row r="645" spans="1:9" ht="42" x14ac:dyDescent="0.25">
      <c r="A645" s="22" t="s">
        <v>7254</v>
      </c>
      <c r="B645" s="22" t="s">
        <v>4545</v>
      </c>
      <c r="C645" s="22" t="s">
        <v>4546</v>
      </c>
      <c r="D645" s="22" t="s">
        <v>4053</v>
      </c>
      <c r="E645" s="22" t="s">
        <v>4022</v>
      </c>
      <c r="F645" s="22">
        <v>1</v>
      </c>
      <c r="G645" s="22">
        <v>50</v>
      </c>
      <c r="H645" s="22"/>
      <c r="I645" s="22"/>
    </row>
    <row r="646" spans="1:9" ht="63" x14ac:dyDescent="0.25">
      <c r="A646" s="22" t="s">
        <v>7255</v>
      </c>
      <c r="B646" s="22" t="s">
        <v>4548</v>
      </c>
      <c r="C646" s="22" t="s">
        <v>4549</v>
      </c>
      <c r="D646" s="22" t="s">
        <v>4053</v>
      </c>
      <c r="E646" s="22" t="s">
        <v>3939</v>
      </c>
      <c r="F646" s="22">
        <v>1</v>
      </c>
      <c r="G646" s="22">
        <v>46</v>
      </c>
      <c r="H646" s="22"/>
      <c r="I646" s="22"/>
    </row>
    <row r="647" spans="1:9" ht="42" x14ac:dyDescent="0.25">
      <c r="A647" s="22" t="s">
        <v>7256</v>
      </c>
      <c r="B647" s="22" t="s">
        <v>4551</v>
      </c>
      <c r="C647" s="22" t="s">
        <v>4552</v>
      </c>
      <c r="D647" s="22" t="s">
        <v>4053</v>
      </c>
      <c r="E647" s="22" t="s">
        <v>4553</v>
      </c>
      <c r="F647" s="22">
        <v>1</v>
      </c>
      <c r="G647" s="22">
        <v>39</v>
      </c>
      <c r="H647" s="22"/>
      <c r="I647" s="22"/>
    </row>
    <row r="648" spans="1:9" ht="42" x14ac:dyDescent="0.25">
      <c r="A648" s="22" t="s">
        <v>7257</v>
      </c>
      <c r="B648" s="22" t="s">
        <v>4555</v>
      </c>
      <c r="C648" s="22" t="s">
        <v>4556</v>
      </c>
      <c r="D648" s="22" t="s">
        <v>4053</v>
      </c>
      <c r="E648" s="22" t="s">
        <v>3812</v>
      </c>
      <c r="F648" s="22">
        <v>1</v>
      </c>
      <c r="G648" s="22">
        <v>39</v>
      </c>
      <c r="H648" s="22"/>
      <c r="I648" s="22"/>
    </row>
    <row r="649" spans="1:9" ht="63" x14ac:dyDescent="0.25">
      <c r="A649" s="22" t="s">
        <v>7258</v>
      </c>
      <c r="B649" s="22" t="s">
        <v>4564</v>
      </c>
      <c r="C649" s="22" t="s">
        <v>4565</v>
      </c>
      <c r="D649" s="22" t="s">
        <v>4053</v>
      </c>
      <c r="E649" s="22" t="s">
        <v>4566</v>
      </c>
      <c r="F649" s="22">
        <v>1</v>
      </c>
      <c r="G649" s="22">
        <v>22</v>
      </c>
      <c r="H649" s="22"/>
      <c r="I649" s="22"/>
    </row>
    <row r="650" spans="1:9" ht="63" x14ac:dyDescent="0.25">
      <c r="A650" s="22" t="s">
        <v>7259</v>
      </c>
      <c r="B650" s="22" t="s">
        <v>4568</v>
      </c>
      <c r="C650" s="22" t="s">
        <v>4569</v>
      </c>
      <c r="D650" s="22" t="s">
        <v>4053</v>
      </c>
      <c r="E650" s="22" t="s">
        <v>4570</v>
      </c>
      <c r="F650" s="22">
        <v>1</v>
      </c>
      <c r="G650" s="22">
        <v>28</v>
      </c>
      <c r="H650" s="22"/>
      <c r="I650" s="22"/>
    </row>
    <row r="651" spans="1:9" ht="42" x14ac:dyDescent="0.25">
      <c r="A651" s="22" t="s">
        <v>7260</v>
      </c>
      <c r="B651" s="22" t="s">
        <v>4572</v>
      </c>
      <c r="C651" s="22" t="s">
        <v>4573</v>
      </c>
      <c r="D651" s="22" t="s">
        <v>4053</v>
      </c>
      <c r="E651" s="22" t="s">
        <v>4574</v>
      </c>
      <c r="F651" s="22">
        <v>1</v>
      </c>
      <c r="G651" s="22">
        <v>15</v>
      </c>
      <c r="H651" s="22"/>
      <c r="I651" s="22"/>
    </row>
    <row r="652" spans="1:9" ht="63" x14ac:dyDescent="0.25">
      <c r="A652" s="22" t="s">
        <v>7261</v>
      </c>
      <c r="B652" s="22" t="s">
        <v>4747</v>
      </c>
      <c r="C652" s="22" t="s">
        <v>4748</v>
      </c>
      <c r="D652" s="22" t="s">
        <v>4750</v>
      </c>
      <c r="E652" s="22" t="s">
        <v>4749</v>
      </c>
      <c r="F652" s="22">
        <v>1</v>
      </c>
      <c r="G652" s="22">
        <v>25</v>
      </c>
      <c r="H652" s="22"/>
      <c r="I652" s="22"/>
    </row>
    <row r="653" spans="1:9" ht="63" x14ac:dyDescent="0.25">
      <c r="A653" s="22" t="s">
        <v>7262</v>
      </c>
      <c r="B653" s="22" t="s">
        <v>4752</v>
      </c>
      <c r="C653" s="22" t="s">
        <v>4753</v>
      </c>
      <c r="D653" s="22" t="s">
        <v>4750</v>
      </c>
      <c r="E653" s="22" t="s">
        <v>4754</v>
      </c>
      <c r="F653" s="22">
        <v>1</v>
      </c>
      <c r="G653" s="22">
        <v>10</v>
      </c>
      <c r="H653" s="22"/>
      <c r="I653" s="22"/>
    </row>
    <row r="654" spans="1:9" ht="84" x14ac:dyDescent="0.25">
      <c r="A654" s="22" t="s">
        <v>7263</v>
      </c>
      <c r="B654" s="22" t="s">
        <v>4778</v>
      </c>
      <c r="C654" s="22" t="s">
        <v>4779</v>
      </c>
      <c r="D654" s="22" t="s">
        <v>4750</v>
      </c>
      <c r="E654" s="22" t="s">
        <v>4780</v>
      </c>
      <c r="F654" s="22">
        <v>1</v>
      </c>
      <c r="G654" s="22">
        <v>106</v>
      </c>
      <c r="H654" s="22"/>
      <c r="I654" s="22"/>
    </row>
    <row r="655" spans="1:9" ht="63" x14ac:dyDescent="0.25">
      <c r="A655" s="22" t="s">
        <v>7264</v>
      </c>
      <c r="B655" s="22" t="s">
        <v>4784</v>
      </c>
      <c r="C655" s="22" t="s">
        <v>4785</v>
      </c>
      <c r="D655" s="22" t="s">
        <v>4750</v>
      </c>
      <c r="E655" s="22" t="s">
        <v>4786</v>
      </c>
      <c r="F655" s="22">
        <v>1</v>
      </c>
      <c r="G655" s="22">
        <v>22</v>
      </c>
      <c r="H655" s="22"/>
      <c r="I655" s="22"/>
    </row>
    <row r="656" spans="1:9" ht="42" x14ac:dyDescent="0.25">
      <c r="A656" s="22" t="s">
        <v>7265</v>
      </c>
      <c r="B656" s="22" t="s">
        <v>4788</v>
      </c>
      <c r="C656" s="22" t="s">
        <v>4789</v>
      </c>
      <c r="D656" s="22" t="s">
        <v>4750</v>
      </c>
      <c r="E656" s="22" t="s">
        <v>4790</v>
      </c>
      <c r="F656" s="22">
        <v>1</v>
      </c>
      <c r="G656" s="22">
        <v>7</v>
      </c>
      <c r="H656" s="22"/>
      <c r="I656" s="22"/>
    </row>
    <row r="657" spans="1:9" ht="42" x14ac:dyDescent="0.25">
      <c r="A657" s="22" t="s">
        <v>7266</v>
      </c>
      <c r="B657" s="22" t="s">
        <v>4792</v>
      </c>
      <c r="C657" s="22" t="s">
        <v>4793</v>
      </c>
      <c r="D657" s="22" t="s">
        <v>4750</v>
      </c>
      <c r="E657" s="22" t="s">
        <v>4794</v>
      </c>
      <c r="F657" s="22">
        <v>1</v>
      </c>
      <c r="G657" s="22">
        <v>43</v>
      </c>
      <c r="H657" s="22"/>
      <c r="I657" s="22"/>
    </row>
    <row r="658" spans="1:9" ht="63" x14ac:dyDescent="0.25">
      <c r="A658" s="22" t="s">
        <v>7267</v>
      </c>
      <c r="B658" s="22" t="s">
        <v>4801</v>
      </c>
      <c r="C658" s="22" t="s">
        <v>4802</v>
      </c>
      <c r="D658" s="22" t="s">
        <v>4750</v>
      </c>
      <c r="E658" s="22" t="s">
        <v>4803</v>
      </c>
      <c r="F658" s="22">
        <v>1</v>
      </c>
      <c r="G658" s="22">
        <v>10</v>
      </c>
      <c r="H658" s="22"/>
      <c r="I658" s="22"/>
    </row>
    <row r="659" spans="1:9" ht="63" x14ac:dyDescent="0.25">
      <c r="A659" s="22" t="s">
        <v>7268</v>
      </c>
      <c r="B659" s="22" t="s">
        <v>4825</v>
      </c>
      <c r="C659" s="22" t="s">
        <v>4826</v>
      </c>
      <c r="D659" s="22" t="s">
        <v>4750</v>
      </c>
      <c r="E659" s="22" t="s">
        <v>4827</v>
      </c>
      <c r="F659" s="22">
        <v>1</v>
      </c>
      <c r="G659" s="22">
        <v>19</v>
      </c>
      <c r="H659" s="22"/>
      <c r="I659" s="22"/>
    </row>
    <row r="660" spans="1:9" ht="63" x14ac:dyDescent="0.25">
      <c r="A660" s="22" t="s">
        <v>7269</v>
      </c>
      <c r="B660" s="22" t="s">
        <v>4825</v>
      </c>
      <c r="C660" s="22" t="s">
        <v>4826</v>
      </c>
      <c r="D660" s="22" t="s">
        <v>4848</v>
      </c>
      <c r="E660" s="22" t="s">
        <v>4827</v>
      </c>
      <c r="F660" s="22">
        <v>1</v>
      </c>
      <c r="G660" s="22">
        <v>18</v>
      </c>
      <c r="H660" s="22"/>
      <c r="I660" s="22"/>
    </row>
    <row r="661" spans="1:9" ht="63" x14ac:dyDescent="0.25">
      <c r="A661" s="22" t="s">
        <v>7270</v>
      </c>
      <c r="B661" s="22" t="s">
        <v>4825</v>
      </c>
      <c r="C661" s="22" t="s">
        <v>4826</v>
      </c>
      <c r="D661" s="22" t="s">
        <v>4900</v>
      </c>
      <c r="E661" s="22" t="s">
        <v>4827</v>
      </c>
      <c r="F661" s="22">
        <v>1</v>
      </c>
      <c r="G661" s="22">
        <v>18</v>
      </c>
      <c r="H661" s="22"/>
      <c r="I661" s="22"/>
    </row>
    <row r="662" spans="1:9" ht="42" x14ac:dyDescent="0.25">
      <c r="A662" s="22" t="s">
        <v>7271</v>
      </c>
      <c r="B662" s="22" t="s">
        <v>4845</v>
      </c>
      <c r="C662" s="22" t="s">
        <v>4846</v>
      </c>
      <c r="D662" s="22" t="s">
        <v>4848</v>
      </c>
      <c r="E662" s="22" t="s">
        <v>4847</v>
      </c>
      <c r="F662" s="22">
        <v>1</v>
      </c>
      <c r="G662" s="22">
        <v>57</v>
      </c>
      <c r="H662" s="22"/>
      <c r="I662" s="22"/>
    </row>
    <row r="663" spans="1:9" ht="42" x14ac:dyDescent="0.25">
      <c r="A663" s="22" t="s">
        <v>7272</v>
      </c>
      <c r="B663" s="22" t="s">
        <v>4851</v>
      </c>
      <c r="C663" s="22" t="s">
        <v>4852</v>
      </c>
      <c r="D663" s="22" t="s">
        <v>4848</v>
      </c>
      <c r="E663" s="22" t="s">
        <v>3289</v>
      </c>
      <c r="F663" s="22">
        <v>1</v>
      </c>
      <c r="G663" s="22">
        <v>63</v>
      </c>
      <c r="H663" s="22"/>
      <c r="I663" s="22"/>
    </row>
    <row r="664" spans="1:9" ht="42" x14ac:dyDescent="0.25">
      <c r="A664" s="22" t="s">
        <v>7273</v>
      </c>
      <c r="B664" s="22" t="s">
        <v>4854</v>
      </c>
      <c r="C664" s="22" t="s">
        <v>4855</v>
      </c>
      <c r="D664" s="22" t="s">
        <v>4848</v>
      </c>
      <c r="E664" s="22" t="s">
        <v>4856</v>
      </c>
      <c r="F664" s="22">
        <v>1</v>
      </c>
      <c r="G664" s="22">
        <v>56</v>
      </c>
      <c r="H664" s="22"/>
      <c r="I664" s="22"/>
    </row>
    <row r="665" spans="1:9" ht="42" x14ac:dyDescent="0.25">
      <c r="A665" s="22" t="s">
        <v>7274</v>
      </c>
      <c r="B665" s="22" t="s">
        <v>4897</v>
      </c>
      <c r="C665" s="22" t="s">
        <v>4898</v>
      </c>
      <c r="D665" s="22" t="s">
        <v>4900</v>
      </c>
      <c r="E665" s="22" t="s">
        <v>4899</v>
      </c>
      <c r="F665" s="22">
        <v>1</v>
      </c>
      <c r="G665" s="22">
        <v>12</v>
      </c>
      <c r="H665" s="22"/>
      <c r="I665" s="22"/>
    </row>
    <row r="666" spans="1:9" ht="42" x14ac:dyDescent="0.25">
      <c r="A666" s="22" t="s">
        <v>7275</v>
      </c>
      <c r="B666" s="22" t="s">
        <v>4897</v>
      </c>
      <c r="C666" s="22" t="s">
        <v>4898</v>
      </c>
      <c r="D666" s="22" t="s">
        <v>4900</v>
      </c>
      <c r="E666" s="22" t="s">
        <v>4899</v>
      </c>
      <c r="F666" s="22">
        <v>1</v>
      </c>
      <c r="G666" s="22">
        <v>12</v>
      </c>
      <c r="H666" s="22"/>
      <c r="I666" s="22"/>
    </row>
    <row r="667" spans="1:9" ht="42" x14ac:dyDescent="0.25">
      <c r="A667" s="22" t="s">
        <v>7276</v>
      </c>
      <c r="B667" s="22" t="s">
        <v>4903</v>
      </c>
      <c r="C667" s="22" t="s">
        <v>4904</v>
      </c>
      <c r="D667" s="22" t="s">
        <v>4900</v>
      </c>
      <c r="E667" s="22" t="s">
        <v>4905</v>
      </c>
      <c r="F667" s="22">
        <v>1</v>
      </c>
      <c r="G667" s="22">
        <v>12</v>
      </c>
      <c r="H667" s="22"/>
      <c r="I667" s="22"/>
    </row>
    <row r="668" spans="1:9" ht="63" x14ac:dyDescent="0.25">
      <c r="A668" s="22" t="s">
        <v>7277</v>
      </c>
      <c r="B668" s="22" t="s">
        <v>4907</v>
      </c>
      <c r="C668" s="22" t="s">
        <v>4908</v>
      </c>
      <c r="D668" s="22" t="s">
        <v>4900</v>
      </c>
      <c r="E668" s="22" t="s">
        <v>4909</v>
      </c>
      <c r="F668" s="22">
        <v>1</v>
      </c>
      <c r="G668" s="22">
        <v>21</v>
      </c>
      <c r="H668" s="22"/>
      <c r="I668" s="22"/>
    </row>
    <row r="669" spans="1:9" ht="42" x14ac:dyDescent="0.25">
      <c r="A669" s="22" t="s">
        <v>7278</v>
      </c>
      <c r="B669" s="22" t="s">
        <v>4987</v>
      </c>
      <c r="C669" s="22" t="s">
        <v>4988</v>
      </c>
      <c r="D669" s="22" t="s">
        <v>4900</v>
      </c>
      <c r="E669" s="22" t="s">
        <v>4989</v>
      </c>
      <c r="F669" s="22">
        <v>1</v>
      </c>
      <c r="G669" s="22">
        <v>59</v>
      </c>
      <c r="H669" s="22"/>
      <c r="I669" s="22"/>
    </row>
    <row r="670" spans="1:9" ht="42" x14ac:dyDescent="0.25">
      <c r="A670" s="22" t="s">
        <v>7279</v>
      </c>
      <c r="B670" s="22" t="s">
        <v>4993</v>
      </c>
      <c r="C670" s="22" t="s">
        <v>4994</v>
      </c>
      <c r="D670" s="22" t="s">
        <v>4900</v>
      </c>
      <c r="E670" s="22" t="s">
        <v>4232</v>
      </c>
      <c r="F670" s="22">
        <v>1</v>
      </c>
      <c r="G670" s="22">
        <v>77</v>
      </c>
      <c r="H670" s="22"/>
      <c r="I670" s="22"/>
    </row>
    <row r="671" spans="1:9" ht="42" x14ac:dyDescent="0.25">
      <c r="A671" s="22" t="s">
        <v>7280</v>
      </c>
      <c r="B671" s="22" t="s">
        <v>4997</v>
      </c>
      <c r="C671" s="22" t="s">
        <v>4998</v>
      </c>
      <c r="D671" s="22" t="s">
        <v>4900</v>
      </c>
      <c r="E671" s="22" t="s">
        <v>4999</v>
      </c>
      <c r="F671" s="22">
        <v>1</v>
      </c>
      <c r="G671" s="22">
        <v>94</v>
      </c>
      <c r="H671" s="22"/>
      <c r="I671" s="22"/>
    </row>
    <row r="672" spans="1:9" ht="63" x14ac:dyDescent="0.25">
      <c r="A672" s="22" t="s">
        <v>7281</v>
      </c>
      <c r="B672" s="22" t="s">
        <v>5011</v>
      </c>
      <c r="C672" s="22" t="s">
        <v>5012</v>
      </c>
      <c r="D672" s="22" t="s">
        <v>4900</v>
      </c>
      <c r="E672" s="22" t="s">
        <v>5013</v>
      </c>
      <c r="F672" s="22">
        <v>1</v>
      </c>
      <c r="G672" s="22">
        <v>48</v>
      </c>
      <c r="H672" s="22"/>
      <c r="I672" s="22"/>
    </row>
    <row r="673" spans="1:9" ht="63" x14ac:dyDescent="0.25">
      <c r="A673" s="22" t="s">
        <v>7282</v>
      </c>
      <c r="B673" s="22" t="s">
        <v>5011</v>
      </c>
      <c r="C673" s="22" t="s">
        <v>5012</v>
      </c>
      <c r="D673" s="22" t="s">
        <v>4900</v>
      </c>
      <c r="E673" s="22" t="s">
        <v>5013</v>
      </c>
      <c r="F673" s="22">
        <v>1</v>
      </c>
      <c r="G673" s="22">
        <v>48</v>
      </c>
      <c r="H673" s="22"/>
      <c r="I673" s="22"/>
    </row>
    <row r="674" spans="1:9" ht="63" x14ac:dyDescent="0.25">
      <c r="A674" s="22" t="s">
        <v>7283</v>
      </c>
      <c r="B674" s="22" t="s">
        <v>5011</v>
      </c>
      <c r="C674" s="22" t="s">
        <v>5012</v>
      </c>
      <c r="D674" s="22" t="s">
        <v>4900</v>
      </c>
      <c r="E674" s="22" t="s">
        <v>5013</v>
      </c>
      <c r="F674" s="22">
        <v>1</v>
      </c>
      <c r="G674" s="22">
        <v>48</v>
      </c>
      <c r="H674" s="22"/>
      <c r="I674" s="22"/>
    </row>
    <row r="675" spans="1:9" ht="42" x14ac:dyDescent="0.25">
      <c r="A675" s="22" t="s">
        <v>7284</v>
      </c>
      <c r="B675" s="22" t="s">
        <v>5017</v>
      </c>
      <c r="C675" s="22" t="s">
        <v>5018</v>
      </c>
      <c r="D675" s="22" t="s">
        <v>4900</v>
      </c>
      <c r="E675" s="22" t="s">
        <v>5019</v>
      </c>
      <c r="F675" s="22">
        <v>1</v>
      </c>
      <c r="G675" s="22">
        <v>36</v>
      </c>
      <c r="H675" s="22"/>
      <c r="I675" s="22"/>
    </row>
    <row r="676" spans="1:9" ht="42" x14ac:dyDescent="0.25">
      <c r="A676" s="22" t="s">
        <v>7285</v>
      </c>
      <c r="B676" s="22" t="s">
        <v>5021</v>
      </c>
      <c r="C676" s="22" t="s">
        <v>5022</v>
      </c>
      <c r="D676" s="22" t="s">
        <v>4900</v>
      </c>
      <c r="E676" s="22" t="s">
        <v>5023</v>
      </c>
      <c r="F676" s="22">
        <v>1</v>
      </c>
      <c r="G676" s="22">
        <v>55</v>
      </c>
      <c r="H676" s="22"/>
      <c r="I676" s="22"/>
    </row>
    <row r="677" spans="1:9" ht="63" x14ac:dyDescent="0.25">
      <c r="A677" s="22" t="s">
        <v>7286</v>
      </c>
      <c r="B677" s="22" t="s">
        <v>5025</v>
      </c>
      <c r="C677" s="22" t="s">
        <v>5026</v>
      </c>
      <c r="D677" s="22" t="s">
        <v>4900</v>
      </c>
      <c r="E677" s="22" t="s">
        <v>5027</v>
      </c>
      <c r="F677" s="22">
        <v>1</v>
      </c>
      <c r="G677" s="22">
        <v>59</v>
      </c>
      <c r="H677" s="22"/>
      <c r="I677" s="22"/>
    </row>
    <row r="678" spans="1:9" ht="63" x14ac:dyDescent="0.25">
      <c r="A678" s="22" t="s">
        <v>7287</v>
      </c>
      <c r="B678" s="22" t="s">
        <v>5030</v>
      </c>
      <c r="C678" s="22" t="s">
        <v>5031</v>
      </c>
      <c r="D678" s="22" t="s">
        <v>4900</v>
      </c>
      <c r="E678" s="22" t="s">
        <v>5032</v>
      </c>
      <c r="F678" s="22">
        <v>1</v>
      </c>
      <c r="G678" s="22">
        <v>61</v>
      </c>
      <c r="H678" s="22"/>
      <c r="I678" s="22"/>
    </row>
    <row r="679" spans="1:9" ht="42" x14ac:dyDescent="0.25">
      <c r="A679" s="22" t="s">
        <v>7288</v>
      </c>
      <c r="B679" s="22" t="s">
        <v>5034</v>
      </c>
      <c r="C679" s="22" t="s">
        <v>5035</v>
      </c>
      <c r="D679" s="22" t="s">
        <v>4900</v>
      </c>
      <c r="E679" s="22" t="s">
        <v>5036</v>
      </c>
      <c r="F679" s="22">
        <v>1</v>
      </c>
      <c r="G679" s="22">
        <v>28</v>
      </c>
      <c r="H679" s="22"/>
      <c r="I679" s="22"/>
    </row>
    <row r="680" spans="1:9" ht="63" x14ac:dyDescent="0.25">
      <c r="A680" s="22" t="s">
        <v>7289</v>
      </c>
      <c r="B680" s="22" t="s">
        <v>5038</v>
      </c>
      <c r="C680" s="22" t="s">
        <v>5039</v>
      </c>
      <c r="D680" s="22" t="s">
        <v>4900</v>
      </c>
      <c r="E680" s="22" t="s">
        <v>5040</v>
      </c>
      <c r="F680" s="22">
        <v>1</v>
      </c>
      <c r="G680" s="22">
        <v>59</v>
      </c>
      <c r="H680" s="22"/>
      <c r="I680" s="22"/>
    </row>
    <row r="681" spans="1:9" ht="84" x14ac:dyDescent="0.25">
      <c r="A681" s="22" t="s">
        <v>7290</v>
      </c>
      <c r="B681" s="22" t="s">
        <v>5043</v>
      </c>
      <c r="C681" s="22" t="s">
        <v>5044</v>
      </c>
      <c r="D681" s="22" t="s">
        <v>4900</v>
      </c>
      <c r="E681" s="22" t="s">
        <v>5045</v>
      </c>
      <c r="F681" s="22">
        <v>1</v>
      </c>
      <c r="G681" s="22">
        <v>35</v>
      </c>
      <c r="H681" s="22"/>
      <c r="I681" s="22"/>
    </row>
    <row r="682" spans="1:9" ht="42" x14ac:dyDescent="0.25">
      <c r="A682" s="22" t="s">
        <v>7291</v>
      </c>
      <c r="B682" s="22" t="s">
        <v>5047</v>
      </c>
      <c r="C682" s="22" t="s">
        <v>5048</v>
      </c>
      <c r="D682" s="22" t="s">
        <v>4900</v>
      </c>
      <c r="E682" s="22" t="s">
        <v>5049</v>
      </c>
      <c r="F682" s="22">
        <v>1</v>
      </c>
      <c r="G682" s="22">
        <v>16</v>
      </c>
      <c r="H682" s="22"/>
      <c r="I682" s="22"/>
    </row>
    <row r="683" spans="1:9" ht="63" x14ac:dyDescent="0.25">
      <c r="A683" s="22" t="s">
        <v>7292</v>
      </c>
      <c r="B683" s="22" t="s">
        <v>5051</v>
      </c>
      <c r="C683" s="22" t="s">
        <v>5052</v>
      </c>
      <c r="D683" s="22" t="s">
        <v>4900</v>
      </c>
      <c r="E683" s="22" t="s">
        <v>5053</v>
      </c>
      <c r="F683" s="22">
        <v>1</v>
      </c>
      <c r="G683" s="22">
        <v>34</v>
      </c>
      <c r="H683" s="22"/>
      <c r="I683" s="22"/>
    </row>
    <row r="684" spans="1:9" ht="42" x14ac:dyDescent="0.25">
      <c r="A684" s="22" t="s">
        <v>7293</v>
      </c>
      <c r="B684" s="22" t="s">
        <v>5055</v>
      </c>
      <c r="C684" s="22" t="s">
        <v>5056</v>
      </c>
      <c r="D684" s="22" t="s">
        <v>4900</v>
      </c>
      <c r="E684" s="22" t="s">
        <v>5057</v>
      </c>
      <c r="F684" s="22">
        <v>1</v>
      </c>
      <c r="G684" s="22">
        <v>17</v>
      </c>
      <c r="H684" s="22"/>
      <c r="I684" s="22"/>
    </row>
    <row r="685" spans="1:9" ht="84" x14ac:dyDescent="0.25">
      <c r="A685" s="22" t="s">
        <v>7294</v>
      </c>
      <c r="B685" s="22" t="s">
        <v>5059</v>
      </c>
      <c r="C685" s="22" t="s">
        <v>5060</v>
      </c>
      <c r="D685" s="22" t="s">
        <v>4900</v>
      </c>
      <c r="E685" s="22" t="s">
        <v>5061</v>
      </c>
      <c r="F685" s="22">
        <v>1</v>
      </c>
      <c r="G685" s="22">
        <v>24</v>
      </c>
      <c r="H685" s="22"/>
      <c r="I685" s="22"/>
    </row>
    <row r="686" spans="1:9" ht="84" x14ac:dyDescent="0.25">
      <c r="A686" s="22" t="s">
        <v>7295</v>
      </c>
      <c r="B686" s="22" t="s">
        <v>5059</v>
      </c>
      <c r="C686" s="22" t="s">
        <v>5060</v>
      </c>
      <c r="D686" s="22" t="s">
        <v>4900</v>
      </c>
      <c r="E686" s="22" t="s">
        <v>5061</v>
      </c>
      <c r="F686" s="22">
        <v>1</v>
      </c>
      <c r="G686" s="22">
        <v>24</v>
      </c>
      <c r="H686" s="22"/>
      <c r="I686" s="22"/>
    </row>
    <row r="687" spans="1:9" ht="84" x14ac:dyDescent="0.25">
      <c r="A687" s="22" t="s">
        <v>7296</v>
      </c>
      <c r="B687" s="22" t="s">
        <v>5059</v>
      </c>
      <c r="C687" s="22" t="s">
        <v>5060</v>
      </c>
      <c r="D687" s="22" t="s">
        <v>4900</v>
      </c>
      <c r="E687" s="22" t="s">
        <v>5061</v>
      </c>
      <c r="F687" s="22">
        <v>1</v>
      </c>
      <c r="G687" s="22">
        <v>24</v>
      </c>
      <c r="H687" s="22"/>
      <c r="I687" s="22"/>
    </row>
    <row r="688" spans="1:9" ht="63" x14ac:dyDescent="0.25">
      <c r="A688" s="22" t="s">
        <v>7297</v>
      </c>
      <c r="B688" s="22" t="s">
        <v>5064</v>
      </c>
      <c r="C688" s="22" t="s">
        <v>5065</v>
      </c>
      <c r="D688" s="22" t="s">
        <v>4900</v>
      </c>
      <c r="E688" s="22" t="s">
        <v>5066</v>
      </c>
      <c r="F688" s="22">
        <v>1</v>
      </c>
      <c r="G688" s="22">
        <v>37</v>
      </c>
      <c r="H688" s="22"/>
      <c r="I688" s="22"/>
    </row>
    <row r="689" spans="1:9" ht="63" x14ac:dyDescent="0.25">
      <c r="A689" s="22" t="s">
        <v>7298</v>
      </c>
      <c r="B689" s="22" t="s">
        <v>5068</v>
      </c>
      <c r="C689" s="22" t="s">
        <v>5069</v>
      </c>
      <c r="D689" s="22" t="s">
        <v>4900</v>
      </c>
      <c r="E689" s="22" t="s">
        <v>5070</v>
      </c>
      <c r="F689" s="22">
        <v>1</v>
      </c>
      <c r="G689" s="22">
        <v>38</v>
      </c>
      <c r="H689" s="22"/>
      <c r="I689" s="22"/>
    </row>
    <row r="690" spans="1:9" ht="84" x14ac:dyDescent="0.25">
      <c r="A690" s="22" t="s">
        <v>7299</v>
      </c>
      <c r="B690" s="22" t="s">
        <v>5072</v>
      </c>
      <c r="C690" s="22" t="s">
        <v>5073</v>
      </c>
      <c r="D690" s="22" t="s">
        <v>4900</v>
      </c>
      <c r="E690" s="22" t="s">
        <v>5074</v>
      </c>
      <c r="F690" s="22">
        <v>1</v>
      </c>
      <c r="G690" s="22">
        <v>46</v>
      </c>
      <c r="H690" s="22"/>
      <c r="I690" s="22"/>
    </row>
    <row r="691" spans="1:9" ht="42" x14ac:dyDescent="0.25">
      <c r="A691" s="22" t="s">
        <v>7300</v>
      </c>
      <c r="B691" s="22" t="s">
        <v>5076</v>
      </c>
      <c r="C691" s="22" t="s">
        <v>5077</v>
      </c>
      <c r="D691" s="22" t="s">
        <v>4900</v>
      </c>
      <c r="E691" s="22" t="s">
        <v>3772</v>
      </c>
      <c r="F691" s="22">
        <v>1</v>
      </c>
      <c r="G691" s="22">
        <v>92</v>
      </c>
      <c r="H691" s="22"/>
      <c r="I691" s="22"/>
    </row>
    <row r="692" spans="1:9" ht="42" x14ac:dyDescent="0.25">
      <c r="A692" s="22" t="s">
        <v>7301</v>
      </c>
      <c r="B692" s="22" t="s">
        <v>5080</v>
      </c>
      <c r="C692" s="22" t="s">
        <v>5081</v>
      </c>
      <c r="D692" s="22" t="s">
        <v>4900</v>
      </c>
      <c r="E692" s="22" t="s">
        <v>5082</v>
      </c>
      <c r="F692" s="22">
        <v>1</v>
      </c>
      <c r="G692" s="22">
        <v>53</v>
      </c>
      <c r="H692" s="22"/>
      <c r="I692" s="22"/>
    </row>
    <row r="693" spans="1:9" ht="84" x14ac:dyDescent="0.25">
      <c r="A693" s="22" t="s">
        <v>7302</v>
      </c>
      <c r="B693" s="22" t="s">
        <v>5094</v>
      </c>
      <c r="C693" s="22" t="s">
        <v>5095</v>
      </c>
      <c r="D693" s="22" t="s">
        <v>4900</v>
      </c>
      <c r="E693" s="22" t="s">
        <v>5096</v>
      </c>
      <c r="F693" s="22">
        <v>1</v>
      </c>
      <c r="G693" s="22">
        <v>26</v>
      </c>
      <c r="H693" s="22"/>
      <c r="I693" s="22"/>
    </row>
    <row r="694" spans="1:9" ht="42" x14ac:dyDescent="0.25">
      <c r="A694" s="22" t="s">
        <v>7303</v>
      </c>
      <c r="B694" s="22" t="s">
        <v>5106</v>
      </c>
      <c r="C694" s="22" t="s">
        <v>5107</v>
      </c>
      <c r="D694" s="22" t="s">
        <v>4900</v>
      </c>
      <c r="E694" s="22" t="s">
        <v>3710</v>
      </c>
      <c r="F694" s="22">
        <v>1</v>
      </c>
      <c r="G694" s="22">
        <v>69</v>
      </c>
      <c r="H694" s="22"/>
      <c r="I694" s="22"/>
    </row>
    <row r="695" spans="1:9" ht="63" x14ac:dyDescent="0.25">
      <c r="A695" s="22" t="s">
        <v>7304</v>
      </c>
      <c r="B695" s="22" t="s">
        <v>5109</v>
      </c>
      <c r="C695" s="22" t="s">
        <v>5110</v>
      </c>
      <c r="D695" s="22" t="s">
        <v>4900</v>
      </c>
      <c r="E695" s="22" t="s">
        <v>5111</v>
      </c>
      <c r="F695" s="22">
        <v>1</v>
      </c>
      <c r="G695" s="22">
        <v>10</v>
      </c>
      <c r="H695" s="22"/>
      <c r="I695" s="22"/>
    </row>
    <row r="696" spans="1:9" ht="63" x14ac:dyDescent="0.25">
      <c r="A696" s="22" t="s">
        <v>7305</v>
      </c>
      <c r="B696" s="22" t="s">
        <v>5113</v>
      </c>
      <c r="C696" s="22" t="s">
        <v>5114</v>
      </c>
      <c r="D696" s="22" t="s">
        <v>4900</v>
      </c>
      <c r="E696" s="22" t="s">
        <v>5115</v>
      </c>
      <c r="F696" s="22">
        <v>1</v>
      </c>
      <c r="G696" s="22">
        <v>14</v>
      </c>
      <c r="H696" s="22"/>
      <c r="I696" s="22"/>
    </row>
    <row r="697" spans="1:9" ht="84" x14ac:dyDescent="0.25">
      <c r="A697" s="22" t="s">
        <v>7306</v>
      </c>
      <c r="B697" s="22" t="s">
        <v>5117</v>
      </c>
      <c r="C697" s="22" t="s">
        <v>5118</v>
      </c>
      <c r="D697" s="22" t="s">
        <v>4900</v>
      </c>
      <c r="E697" s="22" t="s">
        <v>5119</v>
      </c>
      <c r="F697" s="22">
        <v>1</v>
      </c>
      <c r="G697" s="22">
        <v>18</v>
      </c>
      <c r="H697" s="22"/>
      <c r="I697" s="22"/>
    </row>
    <row r="698" spans="1:9" ht="42" x14ac:dyDescent="0.25">
      <c r="A698" s="22" t="s">
        <v>7307</v>
      </c>
      <c r="B698" s="22" t="s">
        <v>5121</v>
      </c>
      <c r="C698" s="22" t="s">
        <v>5122</v>
      </c>
      <c r="D698" s="22" t="s">
        <v>4900</v>
      </c>
      <c r="E698" s="22" t="s">
        <v>3575</v>
      </c>
      <c r="F698" s="22">
        <v>1</v>
      </c>
      <c r="G698" s="22">
        <v>43</v>
      </c>
      <c r="H698" s="22"/>
      <c r="I698" s="22"/>
    </row>
    <row r="699" spans="1:9" ht="63" x14ac:dyDescent="0.25">
      <c r="A699" s="22" t="s">
        <v>7308</v>
      </c>
      <c r="B699" s="22" t="s">
        <v>5124</v>
      </c>
      <c r="C699" s="22" t="s">
        <v>5125</v>
      </c>
      <c r="D699" s="22" t="s">
        <v>4900</v>
      </c>
      <c r="E699" s="22" t="s">
        <v>5126</v>
      </c>
      <c r="F699" s="22">
        <v>1</v>
      </c>
      <c r="G699" s="22">
        <v>52</v>
      </c>
      <c r="H699" s="22"/>
      <c r="I699" s="22"/>
    </row>
    <row r="700" spans="1:9" ht="42" x14ac:dyDescent="0.25">
      <c r="A700" s="22" t="s">
        <v>7309</v>
      </c>
      <c r="B700" s="22" t="s">
        <v>5129</v>
      </c>
      <c r="C700" s="22" t="s">
        <v>5130</v>
      </c>
      <c r="D700" s="22" t="s">
        <v>4900</v>
      </c>
      <c r="E700" s="22" t="s">
        <v>5131</v>
      </c>
      <c r="F700" s="22">
        <v>1</v>
      </c>
      <c r="G700" s="22">
        <v>58</v>
      </c>
      <c r="H700" s="22"/>
      <c r="I700" s="22"/>
    </row>
    <row r="701" spans="1:9" ht="42" x14ac:dyDescent="0.25">
      <c r="A701" s="22" t="s">
        <v>7310</v>
      </c>
      <c r="B701" s="22" t="s">
        <v>5133</v>
      </c>
      <c r="C701" s="22" t="s">
        <v>5134</v>
      </c>
      <c r="D701" s="22" t="s">
        <v>4900</v>
      </c>
      <c r="E701" s="22" t="s">
        <v>4133</v>
      </c>
      <c r="F701" s="22">
        <v>1</v>
      </c>
      <c r="G701" s="22">
        <v>53</v>
      </c>
      <c r="H701" s="22"/>
      <c r="I701" s="22"/>
    </row>
    <row r="702" spans="1:9" ht="42" x14ac:dyDescent="0.25">
      <c r="A702" s="22" t="s">
        <v>7311</v>
      </c>
      <c r="B702" s="22" t="s">
        <v>5140</v>
      </c>
      <c r="C702" s="22" t="s">
        <v>5141</v>
      </c>
      <c r="D702" s="22" t="s">
        <v>4900</v>
      </c>
      <c r="E702" s="22" t="s">
        <v>4108</v>
      </c>
      <c r="F702" s="22">
        <v>1</v>
      </c>
      <c r="G702" s="22">
        <v>59</v>
      </c>
      <c r="H702" s="22"/>
      <c r="I702" s="22"/>
    </row>
    <row r="703" spans="1:9" ht="84" x14ac:dyDescent="0.25">
      <c r="A703" s="22" t="s">
        <v>7312</v>
      </c>
      <c r="B703" s="22" t="s">
        <v>5143</v>
      </c>
      <c r="C703" s="22" t="s">
        <v>5144</v>
      </c>
      <c r="D703" s="22" t="s">
        <v>4900</v>
      </c>
      <c r="E703" s="22" t="s">
        <v>5145</v>
      </c>
      <c r="F703" s="22">
        <v>1</v>
      </c>
      <c r="G703" s="22">
        <v>83</v>
      </c>
      <c r="H703" s="22"/>
      <c r="I703" s="22"/>
    </row>
    <row r="704" spans="1:9" ht="63" x14ac:dyDescent="0.25">
      <c r="A704" s="22" t="s">
        <v>7313</v>
      </c>
      <c r="B704" s="22" t="s">
        <v>5147</v>
      </c>
      <c r="C704" s="22" t="s">
        <v>5148</v>
      </c>
      <c r="D704" s="22" t="s">
        <v>4900</v>
      </c>
      <c r="E704" s="22" t="s">
        <v>5149</v>
      </c>
      <c r="F704" s="22">
        <v>1</v>
      </c>
      <c r="G704" s="22">
        <v>12</v>
      </c>
      <c r="H704" s="22"/>
      <c r="I704" s="22"/>
    </row>
    <row r="705" spans="1:9" ht="63" x14ac:dyDescent="0.25">
      <c r="A705" s="22" t="s">
        <v>7314</v>
      </c>
      <c r="B705" s="22" t="s">
        <v>5147</v>
      </c>
      <c r="C705" s="22" t="s">
        <v>5148</v>
      </c>
      <c r="D705" s="22" t="s">
        <v>4900</v>
      </c>
      <c r="E705" s="22" t="s">
        <v>5149</v>
      </c>
      <c r="F705" s="22">
        <v>1</v>
      </c>
      <c r="G705" s="22">
        <v>12</v>
      </c>
      <c r="H705" s="22"/>
      <c r="I705" s="22"/>
    </row>
    <row r="706" spans="1:9" ht="63" x14ac:dyDescent="0.25">
      <c r="A706" s="22" t="s">
        <v>7315</v>
      </c>
      <c r="B706" s="22" t="s">
        <v>5147</v>
      </c>
      <c r="C706" s="22" t="s">
        <v>5148</v>
      </c>
      <c r="D706" s="22" t="s">
        <v>5091</v>
      </c>
      <c r="E706" s="22" t="s">
        <v>5149</v>
      </c>
      <c r="F706" s="22">
        <v>1</v>
      </c>
      <c r="G706" s="22">
        <v>12</v>
      </c>
      <c r="H706" s="22"/>
      <c r="I706" s="22"/>
    </row>
    <row r="707" spans="1:9" ht="42" x14ac:dyDescent="0.25">
      <c r="A707" s="22" t="s">
        <v>7316</v>
      </c>
      <c r="B707" s="22" t="s">
        <v>5151</v>
      </c>
      <c r="C707" s="22" t="s">
        <v>5152</v>
      </c>
      <c r="D707" s="22" t="s">
        <v>4900</v>
      </c>
      <c r="E707" s="22" t="s">
        <v>3343</v>
      </c>
      <c r="F707" s="22">
        <v>1</v>
      </c>
      <c r="G707" s="22">
        <v>46</v>
      </c>
      <c r="H707" s="22"/>
      <c r="I707" s="22"/>
    </row>
    <row r="708" spans="1:9" ht="63" x14ac:dyDescent="0.25">
      <c r="A708" s="22" t="s">
        <v>7317</v>
      </c>
      <c r="B708" s="22" t="s">
        <v>5158</v>
      </c>
      <c r="C708" s="22" t="s">
        <v>5159</v>
      </c>
      <c r="D708" s="22" t="s">
        <v>4900</v>
      </c>
      <c r="E708" s="22" t="s">
        <v>5160</v>
      </c>
      <c r="F708" s="22">
        <v>1</v>
      </c>
      <c r="G708" s="22">
        <v>20</v>
      </c>
      <c r="H708" s="22"/>
      <c r="I708" s="22"/>
    </row>
    <row r="709" spans="1:9" ht="63" x14ac:dyDescent="0.25">
      <c r="A709" s="22" t="s">
        <v>7318</v>
      </c>
      <c r="B709" s="22" t="s">
        <v>5162</v>
      </c>
      <c r="C709" s="22" t="s">
        <v>5163</v>
      </c>
      <c r="D709" s="22" t="s">
        <v>4900</v>
      </c>
      <c r="E709" s="22" t="s">
        <v>5164</v>
      </c>
      <c r="F709" s="22">
        <v>1</v>
      </c>
      <c r="G709" s="22">
        <v>32</v>
      </c>
      <c r="H709" s="22"/>
      <c r="I709" s="22"/>
    </row>
    <row r="710" spans="1:9" ht="42" x14ac:dyDescent="0.25">
      <c r="A710" s="22" t="s">
        <v>7319</v>
      </c>
      <c r="B710" s="22" t="s">
        <v>5166</v>
      </c>
      <c r="C710" s="22" t="s">
        <v>5167</v>
      </c>
      <c r="D710" s="22" t="s">
        <v>4900</v>
      </c>
      <c r="E710" s="22" t="s">
        <v>5168</v>
      </c>
      <c r="F710" s="22">
        <v>1</v>
      </c>
      <c r="G710" s="22">
        <v>32</v>
      </c>
      <c r="H710" s="22"/>
      <c r="I710" s="22"/>
    </row>
    <row r="711" spans="1:9" ht="42" x14ac:dyDescent="0.25">
      <c r="A711" s="22" t="s">
        <v>7320</v>
      </c>
      <c r="B711" s="22" t="s">
        <v>5170</v>
      </c>
      <c r="C711" s="22" t="s">
        <v>5171</v>
      </c>
      <c r="D711" s="22" t="s">
        <v>4900</v>
      </c>
      <c r="E711" s="22" t="s">
        <v>5172</v>
      </c>
      <c r="F711" s="22">
        <v>1</v>
      </c>
      <c r="G711" s="22">
        <v>21</v>
      </c>
      <c r="H711" s="22"/>
      <c r="I711" s="22"/>
    </row>
    <row r="712" spans="1:9" ht="42" x14ac:dyDescent="0.25">
      <c r="A712" s="22" t="s">
        <v>7321</v>
      </c>
      <c r="B712" s="22" t="s">
        <v>5174</v>
      </c>
      <c r="C712" s="22" t="s">
        <v>5175</v>
      </c>
      <c r="D712" s="22" t="s">
        <v>4900</v>
      </c>
      <c r="E712" s="22" t="s">
        <v>5176</v>
      </c>
      <c r="F712" s="22">
        <v>1</v>
      </c>
      <c r="G712" s="22">
        <v>100</v>
      </c>
      <c r="H712" s="22"/>
      <c r="I712" s="22"/>
    </row>
    <row r="713" spans="1:9" ht="42" x14ac:dyDescent="0.25">
      <c r="A713" s="22" t="s">
        <v>7322</v>
      </c>
      <c r="B713" s="22" t="s">
        <v>5178</v>
      </c>
      <c r="C713" s="22" t="s">
        <v>5179</v>
      </c>
      <c r="D713" s="22" t="s">
        <v>4900</v>
      </c>
      <c r="E713" s="22" t="s">
        <v>5180</v>
      </c>
      <c r="F713" s="22">
        <v>1</v>
      </c>
      <c r="G713" s="22">
        <v>47</v>
      </c>
      <c r="H713" s="22"/>
      <c r="I713" s="22"/>
    </row>
    <row r="714" spans="1:9" ht="84" x14ac:dyDescent="0.25">
      <c r="A714" s="22" t="s">
        <v>7323</v>
      </c>
      <c r="B714" s="22" t="s">
        <v>5182</v>
      </c>
      <c r="C714" s="22" t="s">
        <v>5183</v>
      </c>
      <c r="D714" s="22" t="s">
        <v>4900</v>
      </c>
      <c r="E714" s="22" t="s">
        <v>5184</v>
      </c>
      <c r="F714" s="22">
        <v>1</v>
      </c>
      <c r="G714" s="22">
        <v>22</v>
      </c>
      <c r="H714" s="22"/>
      <c r="I714" s="22"/>
    </row>
    <row r="715" spans="1:9" ht="63" x14ac:dyDescent="0.25">
      <c r="A715" s="22" t="s">
        <v>7324</v>
      </c>
      <c r="B715" s="22" t="s">
        <v>5188</v>
      </c>
      <c r="C715" s="22" t="s">
        <v>5189</v>
      </c>
      <c r="D715" s="22" t="s">
        <v>4900</v>
      </c>
      <c r="E715" s="22" t="s">
        <v>5190</v>
      </c>
      <c r="F715" s="22">
        <v>1</v>
      </c>
      <c r="G715" s="22">
        <v>134</v>
      </c>
      <c r="H715" s="22"/>
      <c r="I715" s="22"/>
    </row>
    <row r="716" spans="1:9" ht="63" x14ac:dyDescent="0.25">
      <c r="A716" s="22" t="s">
        <v>7325</v>
      </c>
      <c r="B716" s="22" t="s">
        <v>5192</v>
      </c>
      <c r="C716" s="22" t="s">
        <v>5193</v>
      </c>
      <c r="D716" s="22" t="s">
        <v>4900</v>
      </c>
      <c r="E716" s="22" t="s">
        <v>5194</v>
      </c>
      <c r="F716" s="22">
        <v>1</v>
      </c>
      <c r="G716" s="22">
        <v>36</v>
      </c>
      <c r="H716" s="22"/>
      <c r="I716" s="22"/>
    </row>
    <row r="717" spans="1:9" ht="84" x14ac:dyDescent="0.25">
      <c r="A717" s="22" t="s">
        <v>7326</v>
      </c>
      <c r="B717" s="22" t="s">
        <v>5201</v>
      </c>
      <c r="C717" s="22" t="s">
        <v>5202</v>
      </c>
      <c r="D717" s="22" t="s">
        <v>4900</v>
      </c>
      <c r="E717" s="22" t="s">
        <v>5203</v>
      </c>
      <c r="F717" s="22">
        <v>1</v>
      </c>
      <c r="G717" s="22">
        <v>32</v>
      </c>
      <c r="H717" s="22"/>
      <c r="I717" s="22"/>
    </row>
    <row r="718" spans="1:9" ht="84" x14ac:dyDescent="0.25">
      <c r="A718" s="22" t="s">
        <v>7327</v>
      </c>
      <c r="B718" s="22" t="s">
        <v>5201</v>
      </c>
      <c r="C718" s="22" t="s">
        <v>5202</v>
      </c>
      <c r="D718" s="22" t="s">
        <v>4900</v>
      </c>
      <c r="E718" s="22" t="s">
        <v>5203</v>
      </c>
      <c r="F718" s="22">
        <v>1</v>
      </c>
      <c r="G718" s="22">
        <v>32</v>
      </c>
      <c r="H718" s="22"/>
      <c r="I718" s="22"/>
    </row>
    <row r="719" spans="1:9" ht="84" x14ac:dyDescent="0.25">
      <c r="A719" s="22" t="s">
        <v>7328</v>
      </c>
      <c r="B719" s="22" t="s">
        <v>5201</v>
      </c>
      <c r="C719" s="22" t="s">
        <v>5202</v>
      </c>
      <c r="D719" s="22" t="s">
        <v>5091</v>
      </c>
      <c r="E719" s="22" t="s">
        <v>5203</v>
      </c>
      <c r="F719" s="22">
        <v>1</v>
      </c>
      <c r="G719" s="22">
        <v>32</v>
      </c>
      <c r="H719" s="22"/>
      <c r="I719" s="22"/>
    </row>
    <row r="720" spans="1:9" ht="84" x14ac:dyDescent="0.25">
      <c r="A720" s="22" t="s">
        <v>7329</v>
      </c>
      <c r="B720" s="22" t="s">
        <v>5210</v>
      </c>
      <c r="C720" s="22" t="s">
        <v>5211</v>
      </c>
      <c r="D720" s="22" t="s">
        <v>4900</v>
      </c>
      <c r="E720" s="22" t="s">
        <v>3613</v>
      </c>
      <c r="F720" s="22">
        <v>1</v>
      </c>
      <c r="G720" s="22">
        <v>77</v>
      </c>
      <c r="H720" s="22"/>
      <c r="I720" s="22"/>
    </row>
    <row r="721" spans="1:9" ht="42" x14ac:dyDescent="0.25">
      <c r="A721" s="22" t="s">
        <v>7330</v>
      </c>
      <c r="B721" s="22" t="s">
        <v>5220</v>
      </c>
      <c r="C721" s="22" t="s">
        <v>5221</v>
      </c>
      <c r="D721" s="22" t="s">
        <v>4900</v>
      </c>
      <c r="E721" s="22" t="s">
        <v>5222</v>
      </c>
      <c r="F721" s="22">
        <v>1</v>
      </c>
      <c r="G721" s="22">
        <v>18</v>
      </c>
      <c r="H721" s="22"/>
      <c r="I721" s="22"/>
    </row>
    <row r="722" spans="1:9" ht="42" x14ac:dyDescent="0.25">
      <c r="A722" s="22" t="s">
        <v>7331</v>
      </c>
      <c r="B722" s="22" t="s">
        <v>5224</v>
      </c>
      <c r="C722" s="22" t="s">
        <v>5225</v>
      </c>
      <c r="D722" s="22" t="s">
        <v>4900</v>
      </c>
      <c r="E722" s="22" t="s">
        <v>5226</v>
      </c>
      <c r="F722" s="22">
        <v>1</v>
      </c>
      <c r="G722" s="22">
        <v>73</v>
      </c>
      <c r="H722" s="22"/>
      <c r="I722" s="22"/>
    </row>
    <row r="723" spans="1:9" ht="42" x14ac:dyDescent="0.25">
      <c r="A723" s="22" t="s">
        <v>7332</v>
      </c>
      <c r="B723" s="22" t="s">
        <v>5232</v>
      </c>
      <c r="C723" s="22" t="s">
        <v>5233</v>
      </c>
      <c r="D723" s="22" t="s">
        <v>4900</v>
      </c>
      <c r="E723" s="22" t="s">
        <v>3557</v>
      </c>
      <c r="F723" s="22">
        <v>1</v>
      </c>
      <c r="G723" s="22">
        <v>53</v>
      </c>
      <c r="H723" s="22"/>
      <c r="I723" s="22"/>
    </row>
    <row r="724" spans="1:9" ht="42" x14ac:dyDescent="0.25">
      <c r="A724" s="22" t="s">
        <v>7333</v>
      </c>
      <c r="B724" s="22" t="s">
        <v>5232</v>
      </c>
      <c r="C724" s="22" t="s">
        <v>5233</v>
      </c>
      <c r="D724" s="22" t="s">
        <v>4900</v>
      </c>
      <c r="E724" s="22" t="s">
        <v>3557</v>
      </c>
      <c r="F724" s="22">
        <v>1</v>
      </c>
      <c r="G724" s="22">
        <v>53</v>
      </c>
      <c r="H724" s="22"/>
      <c r="I724" s="22"/>
    </row>
    <row r="725" spans="1:9" ht="42" x14ac:dyDescent="0.25">
      <c r="A725" s="22" t="s">
        <v>7334</v>
      </c>
      <c r="B725" s="22" t="s">
        <v>5232</v>
      </c>
      <c r="C725" s="22" t="s">
        <v>5233</v>
      </c>
      <c r="D725" s="22" t="s">
        <v>4900</v>
      </c>
      <c r="E725" s="22" t="s">
        <v>3557</v>
      </c>
      <c r="F725" s="22">
        <v>1</v>
      </c>
      <c r="G725" s="22">
        <v>53</v>
      </c>
      <c r="H725" s="22"/>
      <c r="I725" s="22"/>
    </row>
    <row r="726" spans="1:9" ht="105" x14ac:dyDescent="0.25">
      <c r="A726" s="22" t="s">
        <v>7335</v>
      </c>
      <c r="B726" s="22" t="s">
        <v>5240</v>
      </c>
      <c r="C726" s="22" t="s">
        <v>5241</v>
      </c>
      <c r="D726" s="22" t="s">
        <v>5091</v>
      </c>
      <c r="E726" s="22" t="s">
        <v>5242</v>
      </c>
      <c r="F726" s="22">
        <v>1</v>
      </c>
      <c r="G726" s="22">
        <v>69</v>
      </c>
      <c r="H726" s="22"/>
      <c r="I726" s="22"/>
    </row>
    <row r="727" spans="1:9" ht="105" x14ac:dyDescent="0.25">
      <c r="A727" s="22" t="s">
        <v>7336</v>
      </c>
      <c r="B727" s="22" t="s">
        <v>5240</v>
      </c>
      <c r="C727" s="22" t="s">
        <v>5241</v>
      </c>
      <c r="D727" s="22" t="s">
        <v>5091</v>
      </c>
      <c r="E727" s="22" t="s">
        <v>5242</v>
      </c>
      <c r="F727" s="22">
        <v>1</v>
      </c>
      <c r="G727" s="22">
        <v>69</v>
      </c>
      <c r="H727" s="22"/>
      <c r="I727" s="22"/>
    </row>
    <row r="728" spans="1:9" ht="105" x14ac:dyDescent="0.25">
      <c r="A728" s="22" t="s">
        <v>7337</v>
      </c>
      <c r="B728" s="22" t="s">
        <v>5244</v>
      </c>
      <c r="C728" s="22" t="s">
        <v>5245</v>
      </c>
      <c r="D728" s="22" t="s">
        <v>4900</v>
      </c>
      <c r="E728" s="22" t="s">
        <v>5246</v>
      </c>
      <c r="F728" s="22">
        <v>1</v>
      </c>
      <c r="G728" s="22">
        <v>11</v>
      </c>
      <c r="H728" s="22"/>
      <c r="I728" s="22"/>
    </row>
    <row r="729" spans="1:9" ht="63" x14ac:dyDescent="0.25">
      <c r="A729" s="22" t="s">
        <v>7338</v>
      </c>
      <c r="B729" s="22" t="s">
        <v>5248</v>
      </c>
      <c r="C729" s="22" t="s">
        <v>5249</v>
      </c>
      <c r="D729" s="22" t="s">
        <v>4900</v>
      </c>
      <c r="E729" s="22" t="s">
        <v>5250</v>
      </c>
      <c r="F729" s="22">
        <v>1</v>
      </c>
      <c r="G729" s="22">
        <v>7</v>
      </c>
      <c r="H729" s="22"/>
      <c r="I729" s="22"/>
    </row>
    <row r="730" spans="1:9" ht="42" x14ac:dyDescent="0.25">
      <c r="A730" s="22" t="s">
        <v>7339</v>
      </c>
      <c r="B730" s="22" t="s">
        <v>5264</v>
      </c>
      <c r="C730" s="22" t="s">
        <v>5265</v>
      </c>
      <c r="D730" s="22" t="s">
        <v>4900</v>
      </c>
      <c r="E730" s="22" t="s">
        <v>5266</v>
      </c>
      <c r="F730" s="22">
        <v>1</v>
      </c>
      <c r="G730" s="22">
        <v>113</v>
      </c>
      <c r="H730" s="22"/>
      <c r="I730" s="22"/>
    </row>
    <row r="731" spans="1:9" ht="42" x14ac:dyDescent="0.25">
      <c r="A731" s="22" t="s">
        <v>7340</v>
      </c>
      <c r="B731" s="22" t="s">
        <v>5270</v>
      </c>
      <c r="C731" s="22" t="s">
        <v>5271</v>
      </c>
      <c r="D731" s="22" t="s">
        <v>4900</v>
      </c>
      <c r="E731" s="22" t="s">
        <v>3799</v>
      </c>
      <c r="F731" s="22">
        <v>1</v>
      </c>
      <c r="G731" s="22">
        <v>41</v>
      </c>
      <c r="H731" s="22"/>
      <c r="I731" s="22"/>
    </row>
    <row r="732" spans="1:9" ht="42" x14ac:dyDescent="0.25">
      <c r="A732" s="22" t="s">
        <v>7341</v>
      </c>
      <c r="B732" s="22" t="s">
        <v>5273</v>
      </c>
      <c r="C732" s="22" t="s">
        <v>5274</v>
      </c>
      <c r="D732" s="22" t="s">
        <v>4900</v>
      </c>
      <c r="E732" s="22" t="s">
        <v>5275</v>
      </c>
      <c r="F732" s="22">
        <v>1</v>
      </c>
      <c r="G732" s="22">
        <v>59</v>
      </c>
      <c r="H732" s="22"/>
      <c r="I732" s="22"/>
    </row>
    <row r="733" spans="1:9" ht="84" x14ac:dyDescent="0.25">
      <c r="A733" s="22" t="s">
        <v>7342</v>
      </c>
      <c r="B733" s="22" t="s">
        <v>5277</v>
      </c>
      <c r="C733" s="22" t="s">
        <v>5278</v>
      </c>
      <c r="D733" s="22" t="s">
        <v>4900</v>
      </c>
      <c r="E733" s="22" t="s">
        <v>5279</v>
      </c>
      <c r="F733" s="22">
        <v>1</v>
      </c>
      <c r="G733" s="22">
        <v>27</v>
      </c>
      <c r="H733" s="22"/>
      <c r="I733" s="22"/>
    </row>
    <row r="734" spans="1:9" ht="42" x14ac:dyDescent="0.25">
      <c r="A734" s="22" t="s">
        <v>7343</v>
      </c>
      <c r="B734" s="22" t="s">
        <v>5281</v>
      </c>
      <c r="C734" s="22" t="s">
        <v>5282</v>
      </c>
      <c r="D734" s="22" t="s">
        <v>4900</v>
      </c>
      <c r="E734" s="22" t="s">
        <v>5283</v>
      </c>
      <c r="F734" s="22">
        <v>1</v>
      </c>
      <c r="G734" s="22">
        <v>57</v>
      </c>
      <c r="H734" s="22"/>
      <c r="I734" s="22"/>
    </row>
    <row r="735" spans="1:9" ht="63" x14ac:dyDescent="0.25">
      <c r="A735" s="22" t="s">
        <v>7344</v>
      </c>
      <c r="B735" s="22" t="s">
        <v>5285</v>
      </c>
      <c r="C735" s="22" t="s">
        <v>5286</v>
      </c>
      <c r="D735" s="22" t="s">
        <v>4900</v>
      </c>
      <c r="E735" s="22" t="s">
        <v>5287</v>
      </c>
      <c r="F735" s="22">
        <v>1</v>
      </c>
      <c r="G735" s="22">
        <v>77</v>
      </c>
      <c r="H735" s="22"/>
      <c r="I735" s="22"/>
    </row>
    <row r="736" spans="1:9" ht="105" x14ac:dyDescent="0.25">
      <c r="A736" s="22" t="s">
        <v>7345</v>
      </c>
      <c r="B736" s="22" t="s">
        <v>5295</v>
      </c>
      <c r="C736" s="22" t="s">
        <v>5296</v>
      </c>
      <c r="D736" s="22" t="s">
        <v>4900</v>
      </c>
      <c r="E736" s="22" t="s">
        <v>5297</v>
      </c>
      <c r="F736" s="22">
        <v>1</v>
      </c>
      <c r="G736" s="22">
        <v>35</v>
      </c>
      <c r="H736" s="22"/>
      <c r="I736" s="22"/>
    </row>
    <row r="737" spans="1:9" ht="42" x14ac:dyDescent="0.25">
      <c r="A737" s="22" t="s">
        <v>7346</v>
      </c>
      <c r="B737" s="22" t="s">
        <v>5316</v>
      </c>
      <c r="C737" s="22" t="s">
        <v>5317</v>
      </c>
      <c r="D737" s="22" t="s">
        <v>4900</v>
      </c>
      <c r="E737" s="22" t="s">
        <v>3501</v>
      </c>
      <c r="F737" s="22">
        <v>1</v>
      </c>
      <c r="G737" s="22">
        <v>57</v>
      </c>
      <c r="H737" s="22"/>
      <c r="I737" s="22"/>
    </row>
    <row r="738" spans="1:9" ht="105" x14ac:dyDescent="0.25">
      <c r="A738" s="22" t="s">
        <v>7347</v>
      </c>
      <c r="B738" s="22" t="s">
        <v>5319</v>
      </c>
      <c r="C738" s="22" t="s">
        <v>5320</v>
      </c>
      <c r="D738" s="22" t="s">
        <v>4900</v>
      </c>
      <c r="E738" s="22" t="s">
        <v>5321</v>
      </c>
      <c r="F738" s="22">
        <v>1</v>
      </c>
      <c r="G738" s="22">
        <v>7</v>
      </c>
      <c r="H738" s="22"/>
      <c r="I738" s="22"/>
    </row>
    <row r="739" spans="1:9" ht="105" x14ac:dyDescent="0.25">
      <c r="A739" s="22" t="s">
        <v>7348</v>
      </c>
      <c r="B739" s="22" t="s">
        <v>5323</v>
      </c>
      <c r="C739" s="22" t="s">
        <v>5324</v>
      </c>
      <c r="D739" s="22" t="s">
        <v>4900</v>
      </c>
      <c r="E739" s="22" t="s">
        <v>5325</v>
      </c>
      <c r="F739" s="22">
        <v>1</v>
      </c>
      <c r="G739" s="22">
        <v>161</v>
      </c>
      <c r="H739" s="22"/>
      <c r="I739" s="22"/>
    </row>
    <row r="740" spans="1:9" ht="105" x14ac:dyDescent="0.25">
      <c r="A740" s="22" t="s">
        <v>7349</v>
      </c>
      <c r="B740" s="22" t="s">
        <v>5327</v>
      </c>
      <c r="C740" s="22" t="s">
        <v>5328</v>
      </c>
      <c r="D740" s="22" t="s">
        <v>4900</v>
      </c>
      <c r="E740" s="22" t="s">
        <v>5329</v>
      </c>
      <c r="F740" s="22">
        <v>1</v>
      </c>
      <c r="G740" s="22">
        <v>25</v>
      </c>
      <c r="H740" s="22"/>
      <c r="I740" s="22"/>
    </row>
    <row r="741" spans="1:9" ht="105" x14ac:dyDescent="0.25">
      <c r="A741" s="22" t="s">
        <v>7350</v>
      </c>
      <c r="B741" s="22" t="s">
        <v>5327</v>
      </c>
      <c r="C741" s="22" t="s">
        <v>5328</v>
      </c>
      <c r="D741" s="22" t="s">
        <v>4900</v>
      </c>
      <c r="E741" s="22" t="s">
        <v>5329</v>
      </c>
      <c r="F741" s="22">
        <v>1</v>
      </c>
      <c r="G741" s="22">
        <v>25</v>
      </c>
      <c r="H741" s="22"/>
      <c r="I741" s="22"/>
    </row>
    <row r="742" spans="1:9" ht="84" x14ac:dyDescent="0.25">
      <c r="A742" s="22" t="s">
        <v>7351</v>
      </c>
      <c r="B742" s="22" t="s">
        <v>5331</v>
      </c>
      <c r="C742" s="22" t="s">
        <v>5332</v>
      </c>
      <c r="D742" s="22" t="s">
        <v>4900</v>
      </c>
      <c r="E742" s="22" t="s">
        <v>5333</v>
      </c>
      <c r="F742" s="22">
        <v>1</v>
      </c>
      <c r="G742" s="22">
        <v>23</v>
      </c>
      <c r="H742" s="22"/>
      <c r="I742" s="22"/>
    </row>
    <row r="743" spans="1:9" ht="42" x14ac:dyDescent="0.25">
      <c r="A743" s="22" t="s">
        <v>7352</v>
      </c>
      <c r="B743" s="22" t="s">
        <v>5340</v>
      </c>
      <c r="C743" s="22" t="s">
        <v>5341</v>
      </c>
      <c r="D743" s="22" t="s">
        <v>4900</v>
      </c>
      <c r="E743" s="22" t="s">
        <v>5342</v>
      </c>
      <c r="F743" s="22">
        <v>1</v>
      </c>
      <c r="G743" s="22">
        <v>59</v>
      </c>
      <c r="H743" s="22"/>
      <c r="I743" s="22"/>
    </row>
    <row r="744" spans="1:9" ht="42" x14ac:dyDescent="0.25">
      <c r="A744" s="22" t="s">
        <v>7353</v>
      </c>
      <c r="B744" s="22" t="s">
        <v>5344</v>
      </c>
      <c r="C744" s="22" t="s">
        <v>5345</v>
      </c>
      <c r="D744" s="22" t="s">
        <v>4900</v>
      </c>
      <c r="E744" s="22" t="s">
        <v>4108</v>
      </c>
      <c r="F744" s="22">
        <v>1</v>
      </c>
      <c r="G744" s="22">
        <v>59</v>
      </c>
      <c r="H744" s="22"/>
      <c r="I744" s="22"/>
    </row>
    <row r="745" spans="1:9" ht="42" x14ac:dyDescent="0.25">
      <c r="A745" s="22" t="s">
        <v>7354</v>
      </c>
      <c r="B745" s="22" t="s">
        <v>5353</v>
      </c>
      <c r="C745" s="22" t="s">
        <v>5354</v>
      </c>
      <c r="D745" s="22" t="s">
        <v>4900</v>
      </c>
      <c r="E745" s="22" t="s">
        <v>3665</v>
      </c>
      <c r="F745" s="22">
        <v>1</v>
      </c>
      <c r="G745" s="22">
        <v>22</v>
      </c>
      <c r="H745" s="22"/>
      <c r="I745" s="22"/>
    </row>
    <row r="746" spans="1:9" ht="84" x14ac:dyDescent="0.25">
      <c r="A746" s="22" t="s">
        <v>7355</v>
      </c>
      <c r="B746" s="22" t="s">
        <v>5357</v>
      </c>
      <c r="C746" s="22" t="s">
        <v>5358</v>
      </c>
      <c r="D746" s="22" t="s">
        <v>4900</v>
      </c>
      <c r="E746" s="22" t="s">
        <v>5359</v>
      </c>
      <c r="F746" s="22">
        <v>1</v>
      </c>
      <c r="G746" s="22">
        <v>26</v>
      </c>
      <c r="H746" s="22"/>
      <c r="I746" s="22"/>
    </row>
    <row r="747" spans="1:9" ht="63" x14ac:dyDescent="0.25">
      <c r="A747" s="22" t="s">
        <v>7356</v>
      </c>
      <c r="B747" s="22" t="s">
        <v>5361</v>
      </c>
      <c r="C747" s="22" t="s">
        <v>5362</v>
      </c>
      <c r="D747" s="22" t="s">
        <v>4900</v>
      </c>
      <c r="E747" s="22" t="s">
        <v>5363</v>
      </c>
      <c r="F747" s="22">
        <v>1</v>
      </c>
      <c r="G747" s="22">
        <v>39</v>
      </c>
      <c r="H747" s="22"/>
      <c r="I747" s="22"/>
    </row>
    <row r="748" spans="1:9" ht="63" x14ac:dyDescent="0.25">
      <c r="A748" s="22" t="s">
        <v>7357</v>
      </c>
      <c r="B748" s="22" t="s">
        <v>5374</v>
      </c>
      <c r="C748" s="22" t="s">
        <v>5375</v>
      </c>
      <c r="D748" s="22" t="s">
        <v>4900</v>
      </c>
      <c r="E748" s="22" t="s">
        <v>3493</v>
      </c>
      <c r="F748" s="22">
        <v>1</v>
      </c>
      <c r="G748" s="22">
        <v>51</v>
      </c>
      <c r="H748" s="22"/>
      <c r="I748" s="22"/>
    </row>
    <row r="749" spans="1:9" ht="42" x14ac:dyDescent="0.25">
      <c r="A749" s="22" t="s">
        <v>7358</v>
      </c>
      <c r="B749" s="22" t="s">
        <v>5382</v>
      </c>
      <c r="C749" s="22" t="s">
        <v>5383</v>
      </c>
      <c r="D749" s="22" t="s">
        <v>4900</v>
      </c>
      <c r="E749" s="22" t="s">
        <v>5384</v>
      </c>
      <c r="F749" s="22">
        <v>1</v>
      </c>
      <c r="G749" s="22">
        <v>35</v>
      </c>
      <c r="H749" s="22"/>
      <c r="I749" s="22"/>
    </row>
    <row r="750" spans="1:9" ht="42" x14ac:dyDescent="0.25">
      <c r="A750" s="22" t="s">
        <v>7359</v>
      </c>
      <c r="B750" s="22" t="s">
        <v>5386</v>
      </c>
      <c r="C750" s="22" t="s">
        <v>5387</v>
      </c>
      <c r="D750" s="22" t="s">
        <v>4900</v>
      </c>
      <c r="E750" s="22" t="s">
        <v>5388</v>
      </c>
      <c r="F750" s="22">
        <v>1</v>
      </c>
      <c r="G750" s="22">
        <v>83</v>
      </c>
      <c r="H750" s="22"/>
      <c r="I750" s="22"/>
    </row>
    <row r="751" spans="1:9" ht="42" x14ac:dyDescent="0.25">
      <c r="A751" s="22" t="s">
        <v>7360</v>
      </c>
      <c r="B751" s="22" t="s">
        <v>5390</v>
      </c>
      <c r="C751" s="22" t="s">
        <v>5391</v>
      </c>
      <c r="D751" s="22" t="s">
        <v>4900</v>
      </c>
      <c r="E751" s="22" t="s">
        <v>5392</v>
      </c>
      <c r="F751" s="22">
        <v>1</v>
      </c>
      <c r="G751" s="22">
        <v>102</v>
      </c>
      <c r="H751" s="22"/>
      <c r="I751" s="22"/>
    </row>
    <row r="752" spans="1:9" ht="42" x14ac:dyDescent="0.25">
      <c r="A752" s="22" t="s">
        <v>7361</v>
      </c>
      <c r="B752" s="22" t="s">
        <v>5403</v>
      </c>
      <c r="C752" s="22" t="s">
        <v>5404</v>
      </c>
      <c r="D752" s="22" t="s">
        <v>4900</v>
      </c>
      <c r="E752" s="22" t="s">
        <v>5405</v>
      </c>
      <c r="F752" s="22">
        <v>1</v>
      </c>
      <c r="G752" s="22">
        <v>22</v>
      </c>
      <c r="H752" s="22"/>
      <c r="I752" s="22"/>
    </row>
    <row r="753" spans="1:9" ht="42" x14ac:dyDescent="0.25">
      <c r="A753" s="22" t="s">
        <v>7362</v>
      </c>
      <c r="B753" s="22" t="s">
        <v>5403</v>
      </c>
      <c r="C753" s="22" t="s">
        <v>5404</v>
      </c>
      <c r="D753" s="22" t="s">
        <v>4900</v>
      </c>
      <c r="E753" s="22" t="s">
        <v>5405</v>
      </c>
      <c r="F753" s="22">
        <v>1</v>
      </c>
      <c r="G753" s="22">
        <v>22</v>
      </c>
      <c r="H753" s="22"/>
      <c r="I753" s="22"/>
    </row>
    <row r="754" spans="1:9" ht="42" x14ac:dyDescent="0.25">
      <c r="A754" s="22" t="s">
        <v>7363</v>
      </c>
      <c r="B754" s="22" t="s">
        <v>5403</v>
      </c>
      <c r="C754" s="22" t="s">
        <v>5404</v>
      </c>
      <c r="D754" s="22" t="s">
        <v>5091</v>
      </c>
      <c r="E754" s="22" t="s">
        <v>5405</v>
      </c>
      <c r="F754" s="22">
        <v>1</v>
      </c>
      <c r="G754" s="22">
        <v>22</v>
      </c>
      <c r="H754" s="22"/>
      <c r="I754" s="22"/>
    </row>
    <row r="755" spans="1:9" ht="63" x14ac:dyDescent="0.25">
      <c r="A755" s="22" t="s">
        <v>7364</v>
      </c>
      <c r="B755" s="22" t="s">
        <v>5426</v>
      </c>
      <c r="C755" s="22" t="s">
        <v>5427</v>
      </c>
      <c r="D755" s="22" t="s">
        <v>4900</v>
      </c>
      <c r="E755" s="22" t="s">
        <v>5428</v>
      </c>
      <c r="F755" s="22">
        <v>1</v>
      </c>
      <c r="G755" s="22">
        <v>22</v>
      </c>
      <c r="H755" s="22"/>
      <c r="I755" s="22"/>
    </row>
    <row r="756" spans="1:9" ht="42" x14ac:dyDescent="0.25">
      <c r="A756" s="22" t="s">
        <v>7365</v>
      </c>
      <c r="B756" s="22" t="s">
        <v>5430</v>
      </c>
      <c r="C756" s="22" t="s">
        <v>5431</v>
      </c>
      <c r="D756" s="22" t="s">
        <v>4900</v>
      </c>
      <c r="E756" s="22" t="s">
        <v>5432</v>
      </c>
      <c r="F756" s="22">
        <v>1</v>
      </c>
      <c r="G756" s="22">
        <v>76</v>
      </c>
      <c r="H756" s="22"/>
      <c r="I756" s="22"/>
    </row>
    <row r="757" spans="1:9" ht="42" x14ac:dyDescent="0.25">
      <c r="A757" s="22" t="s">
        <v>7366</v>
      </c>
      <c r="B757" s="22" t="s">
        <v>5430</v>
      </c>
      <c r="C757" s="22" t="s">
        <v>5431</v>
      </c>
      <c r="D757" s="22" t="s">
        <v>4900</v>
      </c>
      <c r="E757" s="22" t="s">
        <v>5432</v>
      </c>
      <c r="F757" s="22">
        <v>1</v>
      </c>
      <c r="G757" s="22">
        <v>76</v>
      </c>
      <c r="H757" s="22"/>
      <c r="I757" s="22"/>
    </row>
    <row r="758" spans="1:9" ht="42" x14ac:dyDescent="0.25">
      <c r="A758" s="22" t="s">
        <v>7367</v>
      </c>
      <c r="B758" s="22" t="s">
        <v>5435</v>
      </c>
      <c r="C758" s="22" t="s">
        <v>5436</v>
      </c>
      <c r="D758" s="22" t="s">
        <v>4900</v>
      </c>
      <c r="E758" s="22" t="s">
        <v>3471</v>
      </c>
      <c r="F758" s="22">
        <v>1</v>
      </c>
      <c r="G758" s="22">
        <v>48</v>
      </c>
      <c r="H758" s="22"/>
      <c r="I758" s="22"/>
    </row>
    <row r="759" spans="1:9" ht="63" x14ac:dyDescent="0.25">
      <c r="A759" s="22" t="s">
        <v>7368</v>
      </c>
      <c r="B759" s="22" t="s">
        <v>5438</v>
      </c>
      <c r="C759" s="22" t="s">
        <v>5439</v>
      </c>
      <c r="D759" s="22" t="s">
        <v>4900</v>
      </c>
      <c r="E759" s="22" t="s">
        <v>5440</v>
      </c>
      <c r="F759" s="22">
        <v>1</v>
      </c>
      <c r="G759" s="22">
        <v>81</v>
      </c>
      <c r="H759" s="22"/>
      <c r="I759" s="22"/>
    </row>
    <row r="760" spans="1:9" ht="42" x14ac:dyDescent="0.25">
      <c r="A760" s="22" t="s">
        <v>7369</v>
      </c>
      <c r="B760" s="22" t="s">
        <v>5446</v>
      </c>
      <c r="C760" s="22" t="s">
        <v>5447</v>
      </c>
      <c r="D760" s="22" t="s">
        <v>5091</v>
      </c>
      <c r="E760" s="22" t="s">
        <v>5448</v>
      </c>
      <c r="F760" s="22">
        <v>1</v>
      </c>
      <c r="G760" s="22">
        <v>25</v>
      </c>
      <c r="H760" s="22"/>
      <c r="I760" s="22"/>
    </row>
    <row r="761" spans="1:9" ht="84" x14ac:dyDescent="0.25">
      <c r="A761" s="22" t="s">
        <v>7370</v>
      </c>
      <c r="B761" s="22" t="s">
        <v>5451</v>
      </c>
      <c r="C761" s="22" t="s">
        <v>5452</v>
      </c>
      <c r="D761" s="22" t="s">
        <v>4900</v>
      </c>
      <c r="E761" s="22" t="s">
        <v>5453</v>
      </c>
      <c r="F761" s="22">
        <v>1</v>
      </c>
      <c r="G761" s="22">
        <v>134</v>
      </c>
      <c r="H761" s="22"/>
      <c r="I761" s="22"/>
    </row>
    <row r="762" spans="1:9" ht="63" x14ac:dyDescent="0.25">
      <c r="A762" s="22" t="s">
        <v>7371</v>
      </c>
      <c r="B762" s="22" t="s">
        <v>5455</v>
      </c>
      <c r="C762" s="22" t="s">
        <v>5456</v>
      </c>
      <c r="D762" s="22" t="s">
        <v>4900</v>
      </c>
      <c r="E762" s="22" t="s">
        <v>5457</v>
      </c>
      <c r="F762" s="22">
        <v>1</v>
      </c>
      <c r="G762" s="22">
        <v>482</v>
      </c>
      <c r="H762" s="22"/>
      <c r="I762" s="22"/>
    </row>
    <row r="763" spans="1:9" ht="63" x14ac:dyDescent="0.25">
      <c r="A763" s="22" t="s">
        <v>7372</v>
      </c>
      <c r="B763" s="22" t="s">
        <v>5468</v>
      </c>
      <c r="C763" s="22" t="s">
        <v>5469</v>
      </c>
      <c r="D763" s="22" t="s">
        <v>4900</v>
      </c>
      <c r="E763" s="22" t="s">
        <v>5470</v>
      </c>
      <c r="F763" s="22">
        <v>1</v>
      </c>
      <c r="G763" s="22">
        <v>15</v>
      </c>
      <c r="H763" s="22"/>
      <c r="I763" s="22"/>
    </row>
    <row r="764" spans="1:9" ht="42" x14ac:dyDescent="0.25">
      <c r="A764" s="22" t="s">
        <v>7373</v>
      </c>
      <c r="B764" s="22" t="s">
        <v>5473</v>
      </c>
      <c r="C764" s="22" t="s">
        <v>5474</v>
      </c>
      <c r="D764" s="22" t="s">
        <v>4900</v>
      </c>
      <c r="E764" s="22" t="s">
        <v>3940</v>
      </c>
      <c r="F764" s="22">
        <v>1</v>
      </c>
      <c r="G764" s="22">
        <v>128</v>
      </c>
      <c r="H764" s="22"/>
      <c r="I764" s="22"/>
    </row>
    <row r="765" spans="1:9" ht="42" x14ac:dyDescent="0.25">
      <c r="A765" s="22" t="s">
        <v>7374</v>
      </c>
      <c r="B765" s="22" t="s">
        <v>5476</v>
      </c>
      <c r="C765" s="22" t="s">
        <v>5477</v>
      </c>
      <c r="D765" s="22" t="s">
        <v>4900</v>
      </c>
      <c r="E765" s="22" t="s">
        <v>3929</v>
      </c>
      <c r="F765" s="22">
        <v>1</v>
      </c>
      <c r="G765" s="22">
        <v>25</v>
      </c>
      <c r="H765" s="22"/>
      <c r="I765" s="22"/>
    </row>
    <row r="766" spans="1:9" ht="42" x14ac:dyDescent="0.25">
      <c r="A766" s="22" t="s">
        <v>7375</v>
      </c>
      <c r="B766" s="22" t="s">
        <v>5479</v>
      </c>
      <c r="C766" s="22" t="s">
        <v>5480</v>
      </c>
      <c r="D766" s="22" t="s">
        <v>4900</v>
      </c>
      <c r="E766" s="22" t="s">
        <v>5481</v>
      </c>
      <c r="F766" s="22">
        <v>1</v>
      </c>
      <c r="G766" s="22">
        <v>25</v>
      </c>
      <c r="H766" s="22"/>
      <c r="I766" s="22"/>
    </row>
    <row r="767" spans="1:9" ht="42" x14ac:dyDescent="0.25">
      <c r="A767" s="22" t="s">
        <v>7376</v>
      </c>
      <c r="B767" s="22" t="s">
        <v>5483</v>
      </c>
      <c r="C767" s="22" t="s">
        <v>5484</v>
      </c>
      <c r="D767" s="22" t="s">
        <v>4900</v>
      </c>
      <c r="E767" s="22" t="s">
        <v>5485</v>
      </c>
      <c r="F767" s="22">
        <v>1</v>
      </c>
      <c r="G767" s="22">
        <v>25</v>
      </c>
      <c r="H767" s="22"/>
      <c r="I767" s="22"/>
    </row>
    <row r="768" spans="1:9" ht="63" x14ac:dyDescent="0.25">
      <c r="A768" s="22" t="s">
        <v>7377</v>
      </c>
      <c r="B768" s="22" t="s">
        <v>5487</v>
      </c>
      <c r="C768" s="22" t="s">
        <v>5488</v>
      </c>
      <c r="D768" s="22" t="s">
        <v>4900</v>
      </c>
      <c r="E768" s="22" t="s">
        <v>5489</v>
      </c>
      <c r="F768" s="22">
        <v>1</v>
      </c>
      <c r="G768" s="22">
        <v>25</v>
      </c>
      <c r="H768" s="22"/>
      <c r="I768" s="22"/>
    </row>
    <row r="769" spans="1:9" ht="84" x14ac:dyDescent="0.25">
      <c r="A769" s="22" t="s">
        <v>7378</v>
      </c>
      <c r="B769" s="22" t="s">
        <v>5491</v>
      </c>
      <c r="C769" s="22" t="s">
        <v>5492</v>
      </c>
      <c r="D769" s="22" t="s">
        <v>4900</v>
      </c>
      <c r="E769" s="22" t="s">
        <v>5493</v>
      </c>
      <c r="F769" s="22">
        <v>1</v>
      </c>
      <c r="G769" s="22">
        <v>21</v>
      </c>
      <c r="H769" s="22"/>
      <c r="I769" s="22"/>
    </row>
    <row r="770" spans="1:9" ht="84" x14ac:dyDescent="0.25">
      <c r="A770" s="22" t="s">
        <v>7379</v>
      </c>
      <c r="B770" s="22" t="s">
        <v>5491</v>
      </c>
      <c r="C770" s="22" t="s">
        <v>5492</v>
      </c>
      <c r="D770" s="22" t="s">
        <v>4900</v>
      </c>
      <c r="E770" s="22" t="s">
        <v>5493</v>
      </c>
      <c r="F770" s="22">
        <v>1</v>
      </c>
      <c r="G770" s="22">
        <v>21</v>
      </c>
      <c r="H770" s="22"/>
      <c r="I770" s="22"/>
    </row>
    <row r="771" spans="1:9" ht="63" x14ac:dyDescent="0.25">
      <c r="A771" s="22" t="s">
        <v>7380</v>
      </c>
      <c r="B771" s="22" t="s">
        <v>5497</v>
      </c>
      <c r="C771" s="22" t="s">
        <v>5498</v>
      </c>
      <c r="D771" s="22" t="s">
        <v>5091</v>
      </c>
      <c r="E771" s="22" t="s">
        <v>5499</v>
      </c>
      <c r="F771" s="22">
        <v>1</v>
      </c>
      <c r="G771" s="22">
        <v>29</v>
      </c>
      <c r="H771" s="22"/>
      <c r="I771" s="22"/>
    </row>
    <row r="772" spans="1:9" ht="84" x14ac:dyDescent="0.25">
      <c r="A772" s="22" t="s">
        <v>7381</v>
      </c>
      <c r="B772" s="22" t="s">
        <v>5511</v>
      </c>
      <c r="C772" s="22" t="s">
        <v>5512</v>
      </c>
      <c r="D772" s="22" t="s">
        <v>4900</v>
      </c>
      <c r="E772" s="22" t="s">
        <v>5513</v>
      </c>
      <c r="F772" s="22">
        <v>1</v>
      </c>
      <c r="G772" s="22">
        <v>37</v>
      </c>
      <c r="H772" s="22"/>
      <c r="I772" s="22"/>
    </row>
    <row r="773" spans="1:9" ht="63" x14ac:dyDescent="0.25">
      <c r="A773" s="22" t="s">
        <v>7382</v>
      </c>
      <c r="B773" s="22" t="s">
        <v>5535</v>
      </c>
      <c r="C773" s="22" t="s">
        <v>5536</v>
      </c>
      <c r="D773" s="22" t="s">
        <v>4900</v>
      </c>
      <c r="E773" s="22" t="s">
        <v>5537</v>
      </c>
      <c r="F773" s="22">
        <v>1</v>
      </c>
      <c r="G773" s="22">
        <v>16</v>
      </c>
      <c r="H773" s="22"/>
      <c r="I773" s="22"/>
    </row>
    <row r="774" spans="1:9" ht="42" x14ac:dyDescent="0.25">
      <c r="A774" s="22" t="s">
        <v>7383</v>
      </c>
      <c r="B774" s="22" t="s">
        <v>5539</v>
      </c>
      <c r="C774" s="22" t="s">
        <v>5540</v>
      </c>
      <c r="D774" s="22" t="s">
        <v>4900</v>
      </c>
      <c r="E774" s="22" t="s">
        <v>5541</v>
      </c>
      <c r="F774" s="22">
        <v>1</v>
      </c>
      <c r="G774" s="22">
        <v>14</v>
      </c>
      <c r="H774" s="22"/>
      <c r="I774" s="22"/>
    </row>
    <row r="775" spans="1:9" ht="42" x14ac:dyDescent="0.25">
      <c r="A775" s="22" t="s">
        <v>7384</v>
      </c>
      <c r="B775" s="22" t="s">
        <v>5539</v>
      </c>
      <c r="C775" s="22" t="s">
        <v>5540</v>
      </c>
      <c r="D775" s="22" t="s">
        <v>4900</v>
      </c>
      <c r="E775" s="22" t="s">
        <v>5541</v>
      </c>
      <c r="F775" s="22">
        <v>1</v>
      </c>
      <c r="G775" s="22">
        <v>14</v>
      </c>
      <c r="H775" s="22"/>
      <c r="I775" s="22"/>
    </row>
    <row r="776" spans="1:9" ht="63" x14ac:dyDescent="0.25">
      <c r="A776" s="22" t="s">
        <v>7385</v>
      </c>
      <c r="B776" s="22" t="s">
        <v>5545</v>
      </c>
      <c r="C776" s="22" t="s">
        <v>5546</v>
      </c>
      <c r="D776" s="22" t="s">
        <v>4900</v>
      </c>
      <c r="E776" s="22" t="s">
        <v>5547</v>
      </c>
      <c r="F776" s="22">
        <v>1</v>
      </c>
      <c r="G776" s="22">
        <v>37</v>
      </c>
      <c r="H776" s="22"/>
      <c r="I776" s="22"/>
    </row>
    <row r="777" spans="1:9" ht="63" x14ac:dyDescent="0.25">
      <c r="A777" s="22" t="s">
        <v>7386</v>
      </c>
      <c r="B777" s="22" t="s">
        <v>5549</v>
      </c>
      <c r="C777" s="22" t="s">
        <v>5550</v>
      </c>
      <c r="D777" s="22" t="s">
        <v>4900</v>
      </c>
      <c r="E777" s="22" t="s">
        <v>5551</v>
      </c>
      <c r="F777" s="22">
        <v>1</v>
      </c>
      <c r="G777" s="22">
        <v>39</v>
      </c>
      <c r="H777" s="22"/>
      <c r="I777" s="22"/>
    </row>
    <row r="778" spans="1:9" ht="63" x14ac:dyDescent="0.25">
      <c r="A778" s="22" t="s">
        <v>7387</v>
      </c>
      <c r="B778" s="22" t="s">
        <v>5561</v>
      </c>
      <c r="C778" s="22" t="s">
        <v>5562</v>
      </c>
      <c r="D778" s="22" t="s">
        <v>5091</v>
      </c>
      <c r="E778" s="22" t="s">
        <v>5563</v>
      </c>
      <c r="F778" s="22">
        <v>1</v>
      </c>
      <c r="G778" s="22">
        <v>5</v>
      </c>
      <c r="H778" s="22"/>
      <c r="I778" s="22"/>
    </row>
    <row r="779" spans="1:9" ht="105" x14ac:dyDescent="0.25">
      <c r="A779" s="22" t="s">
        <v>7388</v>
      </c>
      <c r="B779" s="22" t="s">
        <v>5565</v>
      </c>
      <c r="C779" s="22" t="s">
        <v>5566</v>
      </c>
      <c r="D779" s="22" t="s">
        <v>5091</v>
      </c>
      <c r="E779" s="22" t="s">
        <v>5567</v>
      </c>
      <c r="F779" s="22">
        <v>1</v>
      </c>
      <c r="G779" s="22">
        <v>8</v>
      </c>
      <c r="H779" s="22"/>
      <c r="I779" s="22"/>
    </row>
    <row r="780" spans="1:9" ht="63" x14ac:dyDescent="0.25">
      <c r="A780" s="22" t="s">
        <v>7389</v>
      </c>
      <c r="B780" s="22" t="s">
        <v>5569</v>
      </c>
      <c r="C780" s="22" t="s">
        <v>5570</v>
      </c>
      <c r="D780" s="22" t="s">
        <v>5091</v>
      </c>
      <c r="E780" s="22" t="s">
        <v>5571</v>
      </c>
      <c r="F780" s="22">
        <v>1</v>
      </c>
      <c r="G780" s="22">
        <v>25</v>
      </c>
      <c r="H780" s="22"/>
      <c r="I780" s="22"/>
    </row>
    <row r="781" spans="1:9" ht="63" x14ac:dyDescent="0.25">
      <c r="A781" s="22" t="s">
        <v>7390</v>
      </c>
      <c r="B781" s="22" t="s">
        <v>5569</v>
      </c>
      <c r="C781" s="22" t="s">
        <v>5570</v>
      </c>
      <c r="D781" s="22" t="s">
        <v>5091</v>
      </c>
      <c r="E781" s="22" t="s">
        <v>5571</v>
      </c>
      <c r="F781" s="22">
        <v>1</v>
      </c>
      <c r="G781" s="22">
        <v>25</v>
      </c>
      <c r="H781" s="22"/>
      <c r="I781" s="22"/>
    </row>
    <row r="782" spans="1:9" ht="84" x14ac:dyDescent="0.25">
      <c r="A782" s="22" t="s">
        <v>7391</v>
      </c>
      <c r="B782" s="22" t="s">
        <v>5573</v>
      </c>
      <c r="C782" s="22" t="s">
        <v>5574</v>
      </c>
      <c r="D782" s="22" t="s">
        <v>5091</v>
      </c>
      <c r="E782" s="22" t="s">
        <v>5575</v>
      </c>
      <c r="F782" s="22">
        <v>1</v>
      </c>
      <c r="G782" s="22">
        <v>21</v>
      </c>
      <c r="H782" s="22"/>
      <c r="I782" s="22"/>
    </row>
    <row r="783" spans="1:9" ht="84" x14ac:dyDescent="0.25">
      <c r="A783" s="22" t="s">
        <v>7392</v>
      </c>
      <c r="B783" s="22" t="s">
        <v>5578</v>
      </c>
      <c r="C783" s="22" t="s">
        <v>5579</v>
      </c>
      <c r="D783" s="22" t="s">
        <v>4900</v>
      </c>
      <c r="E783" s="22" t="s">
        <v>5580</v>
      </c>
      <c r="F783" s="22">
        <v>1</v>
      </c>
      <c r="G783" s="22">
        <v>23</v>
      </c>
      <c r="H783" s="22"/>
      <c r="I783" s="22"/>
    </row>
    <row r="784" spans="1:9" ht="42" x14ac:dyDescent="0.25">
      <c r="A784" s="22" t="s">
        <v>7393</v>
      </c>
      <c r="B784" s="22" t="s">
        <v>5593</v>
      </c>
      <c r="C784" s="22" t="s">
        <v>5594</v>
      </c>
      <c r="D784" s="22" t="s">
        <v>4900</v>
      </c>
      <c r="E784" s="22" t="s">
        <v>5595</v>
      </c>
      <c r="F784" s="22">
        <v>1</v>
      </c>
      <c r="G784" s="22">
        <v>78</v>
      </c>
      <c r="H784" s="22"/>
      <c r="I784" s="22"/>
    </row>
    <row r="785" spans="1:9" ht="42" x14ac:dyDescent="0.25">
      <c r="A785" s="22" t="s">
        <v>7394</v>
      </c>
      <c r="B785" s="22" t="s">
        <v>5593</v>
      </c>
      <c r="C785" s="22" t="s">
        <v>5594</v>
      </c>
      <c r="D785" s="22" t="s">
        <v>4900</v>
      </c>
      <c r="E785" s="22" t="s">
        <v>5595</v>
      </c>
      <c r="F785" s="22">
        <v>1</v>
      </c>
      <c r="G785" s="22">
        <v>78</v>
      </c>
      <c r="H785" s="22"/>
      <c r="I785" s="22"/>
    </row>
    <row r="786" spans="1:9" ht="63" x14ac:dyDescent="0.25">
      <c r="A786" s="22" t="s">
        <v>7395</v>
      </c>
      <c r="B786" s="22" t="s">
        <v>5598</v>
      </c>
      <c r="C786" s="22" t="s">
        <v>5599</v>
      </c>
      <c r="D786" s="22" t="s">
        <v>5091</v>
      </c>
      <c r="E786" s="22" t="s">
        <v>5600</v>
      </c>
      <c r="F786" s="22">
        <v>1</v>
      </c>
      <c r="G786" s="22">
        <v>9</v>
      </c>
      <c r="H786" s="22"/>
      <c r="I786" s="22"/>
    </row>
    <row r="787" spans="1:9" ht="84" x14ac:dyDescent="0.25">
      <c r="A787" s="22" t="s">
        <v>7396</v>
      </c>
      <c r="B787" s="22" t="s">
        <v>5610</v>
      </c>
      <c r="C787" s="22" t="s">
        <v>5611</v>
      </c>
      <c r="D787" s="22" t="s">
        <v>4900</v>
      </c>
      <c r="E787" s="22" t="s">
        <v>5612</v>
      </c>
      <c r="F787" s="22">
        <v>1</v>
      </c>
      <c r="G787" s="22">
        <v>38</v>
      </c>
      <c r="H787" s="22"/>
      <c r="I787" s="22"/>
    </row>
    <row r="788" spans="1:9" ht="84" x14ac:dyDescent="0.25">
      <c r="A788" s="22" t="s">
        <v>7397</v>
      </c>
      <c r="B788" s="22" t="s">
        <v>5610</v>
      </c>
      <c r="C788" s="22" t="s">
        <v>5611</v>
      </c>
      <c r="D788" s="22" t="s">
        <v>4900</v>
      </c>
      <c r="E788" s="22" t="s">
        <v>5612</v>
      </c>
      <c r="F788" s="22">
        <v>1</v>
      </c>
      <c r="G788" s="22">
        <v>38</v>
      </c>
      <c r="H788" s="22"/>
      <c r="I788" s="22"/>
    </row>
    <row r="789" spans="1:9" ht="105" x14ac:dyDescent="0.25">
      <c r="A789" s="22" t="s">
        <v>7398</v>
      </c>
      <c r="B789" s="22" t="s">
        <v>5615</v>
      </c>
      <c r="C789" s="22" t="s">
        <v>5616</v>
      </c>
      <c r="D789" s="22" t="s">
        <v>4900</v>
      </c>
      <c r="E789" s="22" t="s">
        <v>5617</v>
      </c>
      <c r="F789" s="22">
        <v>1</v>
      </c>
      <c r="G789" s="22">
        <v>18</v>
      </c>
      <c r="H789" s="22"/>
      <c r="I789" s="22"/>
    </row>
    <row r="790" spans="1:9" ht="63" x14ac:dyDescent="0.25">
      <c r="A790" s="22" t="s">
        <v>7399</v>
      </c>
      <c r="B790" s="22" t="s">
        <v>5619</v>
      </c>
      <c r="C790" s="22" t="s">
        <v>5620</v>
      </c>
      <c r="D790" s="22" t="s">
        <v>4900</v>
      </c>
      <c r="E790" s="22" t="s">
        <v>5621</v>
      </c>
      <c r="F790" s="22">
        <v>1</v>
      </c>
      <c r="G790" s="22">
        <v>16</v>
      </c>
      <c r="H790" s="22"/>
      <c r="I790" s="22"/>
    </row>
    <row r="791" spans="1:9" ht="63" x14ac:dyDescent="0.25">
      <c r="A791" s="22" t="s">
        <v>7400</v>
      </c>
      <c r="B791" s="22" t="s">
        <v>5634</v>
      </c>
      <c r="C791" s="22" t="s">
        <v>5635</v>
      </c>
      <c r="D791" s="22" t="s">
        <v>4900</v>
      </c>
      <c r="E791" s="22" t="s">
        <v>5636</v>
      </c>
      <c r="F791" s="22">
        <v>1</v>
      </c>
      <c r="G791" s="22">
        <v>91</v>
      </c>
      <c r="H791" s="22"/>
      <c r="I791" s="22"/>
    </row>
    <row r="792" spans="1:9" ht="42" x14ac:dyDescent="0.25">
      <c r="A792" s="22" t="s">
        <v>7401</v>
      </c>
      <c r="B792" s="22" t="s">
        <v>5638</v>
      </c>
      <c r="C792" s="22" t="s">
        <v>5639</v>
      </c>
      <c r="D792" s="22" t="s">
        <v>4900</v>
      </c>
      <c r="E792" s="22" t="s">
        <v>5640</v>
      </c>
      <c r="F792" s="22">
        <v>1</v>
      </c>
      <c r="G792" s="22">
        <v>89</v>
      </c>
      <c r="H792" s="22"/>
      <c r="I792" s="22"/>
    </row>
    <row r="793" spans="1:9" ht="42" x14ac:dyDescent="0.25">
      <c r="A793" s="22" t="s">
        <v>7402</v>
      </c>
      <c r="B793" s="22" t="s">
        <v>5651</v>
      </c>
      <c r="C793" s="22" t="s">
        <v>5652</v>
      </c>
      <c r="D793" s="22" t="s">
        <v>4900</v>
      </c>
      <c r="E793" s="22" t="s">
        <v>5653</v>
      </c>
      <c r="F793" s="22">
        <v>1</v>
      </c>
      <c r="G793" s="22">
        <v>17</v>
      </c>
      <c r="H793" s="22"/>
      <c r="I793" s="22"/>
    </row>
    <row r="794" spans="1:9" ht="105" x14ac:dyDescent="0.25">
      <c r="A794" s="22" t="s">
        <v>7403</v>
      </c>
      <c r="B794" s="22" t="s">
        <v>5684</v>
      </c>
      <c r="C794" s="22" t="s">
        <v>5685</v>
      </c>
      <c r="D794" s="22" t="s">
        <v>4900</v>
      </c>
      <c r="E794" s="22" t="s">
        <v>5686</v>
      </c>
      <c r="F794" s="22">
        <v>1</v>
      </c>
      <c r="G794" s="22">
        <v>16</v>
      </c>
      <c r="H794" s="22"/>
      <c r="I794" s="22"/>
    </row>
    <row r="795" spans="1:9" ht="105" x14ac:dyDescent="0.25">
      <c r="A795" s="22" t="s">
        <v>7404</v>
      </c>
      <c r="B795" s="22" t="s">
        <v>5688</v>
      </c>
      <c r="C795" s="22" t="s">
        <v>5689</v>
      </c>
      <c r="D795" s="22" t="s">
        <v>4900</v>
      </c>
      <c r="E795" s="22" t="s">
        <v>5690</v>
      </c>
      <c r="F795" s="22">
        <v>1</v>
      </c>
      <c r="G795" s="22">
        <v>16</v>
      </c>
      <c r="H795" s="22"/>
      <c r="I795" s="22"/>
    </row>
    <row r="796" spans="1:9" ht="84" x14ac:dyDescent="0.25">
      <c r="A796" s="22" t="s">
        <v>7405</v>
      </c>
      <c r="B796" s="22" t="s">
        <v>5692</v>
      </c>
      <c r="C796" s="22" t="s">
        <v>5693</v>
      </c>
      <c r="D796" s="22" t="s">
        <v>4900</v>
      </c>
      <c r="E796" s="22" t="s">
        <v>5694</v>
      </c>
      <c r="F796" s="22">
        <v>1</v>
      </c>
      <c r="G796" s="22">
        <v>16</v>
      </c>
      <c r="H796" s="22"/>
      <c r="I796" s="22"/>
    </row>
    <row r="797" spans="1:9" ht="84" x14ac:dyDescent="0.25">
      <c r="A797" s="22" t="s">
        <v>7406</v>
      </c>
      <c r="B797" s="22" t="s">
        <v>5696</v>
      </c>
      <c r="C797" s="22" t="s">
        <v>5697</v>
      </c>
      <c r="D797" s="22" t="s">
        <v>4900</v>
      </c>
      <c r="E797" s="22" t="s">
        <v>5698</v>
      </c>
      <c r="F797" s="22">
        <v>1</v>
      </c>
      <c r="G797" s="22">
        <v>25</v>
      </c>
      <c r="H797" s="22"/>
      <c r="I797" s="22"/>
    </row>
    <row r="798" spans="1:9" ht="42" x14ac:dyDescent="0.25">
      <c r="A798" s="22" t="s">
        <v>7407</v>
      </c>
      <c r="B798" s="22" t="s">
        <v>5700</v>
      </c>
      <c r="C798" s="22" t="s">
        <v>5701</v>
      </c>
      <c r="D798" s="22" t="s">
        <v>4900</v>
      </c>
      <c r="E798" s="22" t="s">
        <v>5702</v>
      </c>
      <c r="F798" s="22">
        <v>1</v>
      </c>
      <c r="G798" s="22">
        <v>33</v>
      </c>
      <c r="H798" s="22"/>
      <c r="I798" s="22"/>
    </row>
    <row r="799" spans="1:9" ht="105" x14ac:dyDescent="0.25">
      <c r="A799" s="22" t="s">
        <v>7408</v>
      </c>
      <c r="B799" s="22" t="s">
        <v>5715</v>
      </c>
      <c r="C799" s="22" t="s">
        <v>5716</v>
      </c>
      <c r="D799" s="22" t="s">
        <v>4900</v>
      </c>
      <c r="E799" s="22" t="s">
        <v>5717</v>
      </c>
      <c r="F799" s="22">
        <v>1</v>
      </c>
      <c r="G799" s="22">
        <v>29</v>
      </c>
      <c r="H799" s="22"/>
      <c r="I799" s="22"/>
    </row>
    <row r="800" spans="1:9" ht="42" x14ac:dyDescent="0.25">
      <c r="A800" s="22" t="s">
        <v>7409</v>
      </c>
      <c r="B800" s="22" t="s">
        <v>5724</v>
      </c>
      <c r="C800" s="22" t="s">
        <v>5725</v>
      </c>
      <c r="D800" s="22" t="s">
        <v>5091</v>
      </c>
      <c r="E800" s="22" t="s">
        <v>5726</v>
      </c>
      <c r="F800" s="22">
        <v>1</v>
      </c>
      <c r="G800" s="22">
        <v>16</v>
      </c>
      <c r="H800" s="22"/>
      <c r="I800" s="22"/>
    </row>
    <row r="801" spans="1:9" ht="42" x14ac:dyDescent="0.25">
      <c r="A801" s="22" t="s">
        <v>7410</v>
      </c>
      <c r="B801" s="22" t="s">
        <v>5724</v>
      </c>
      <c r="C801" s="22" t="s">
        <v>5725</v>
      </c>
      <c r="D801" s="22" t="s">
        <v>5091</v>
      </c>
      <c r="E801" s="22" t="s">
        <v>5726</v>
      </c>
      <c r="F801" s="22">
        <v>1</v>
      </c>
      <c r="G801" s="22">
        <v>16</v>
      </c>
      <c r="H801" s="22"/>
      <c r="I801" s="22"/>
    </row>
    <row r="802" spans="1:9" ht="63" x14ac:dyDescent="0.25">
      <c r="A802" s="22" t="s">
        <v>7411</v>
      </c>
      <c r="B802" s="22" t="s">
        <v>5734</v>
      </c>
      <c r="C802" s="22" t="s">
        <v>5735</v>
      </c>
      <c r="D802" s="22" t="s">
        <v>4900</v>
      </c>
      <c r="E802" s="22" t="s">
        <v>3884</v>
      </c>
      <c r="F802" s="22">
        <v>1</v>
      </c>
      <c r="G802" s="22">
        <v>59</v>
      </c>
      <c r="H802" s="22"/>
      <c r="I802" s="22"/>
    </row>
    <row r="803" spans="1:9" ht="42" x14ac:dyDescent="0.25">
      <c r="A803" s="22" t="s">
        <v>7412</v>
      </c>
      <c r="B803" s="22" t="s">
        <v>5737</v>
      </c>
      <c r="C803" s="22" t="s">
        <v>5738</v>
      </c>
      <c r="D803" s="22" t="s">
        <v>4900</v>
      </c>
      <c r="E803" s="22" t="s">
        <v>5739</v>
      </c>
      <c r="F803" s="22">
        <v>1</v>
      </c>
      <c r="G803" s="22">
        <v>47</v>
      </c>
      <c r="H803" s="22"/>
      <c r="I803" s="22"/>
    </row>
    <row r="804" spans="1:9" ht="42" x14ac:dyDescent="0.25">
      <c r="A804" s="22" t="s">
        <v>7413</v>
      </c>
      <c r="B804" s="22" t="s">
        <v>5741</v>
      </c>
      <c r="C804" s="22" t="s">
        <v>5742</v>
      </c>
      <c r="D804" s="22" t="s">
        <v>4900</v>
      </c>
      <c r="E804" s="22" t="s">
        <v>5275</v>
      </c>
      <c r="F804" s="22">
        <v>1</v>
      </c>
      <c r="G804" s="22">
        <v>59</v>
      </c>
      <c r="H804" s="22"/>
      <c r="I804" s="22"/>
    </row>
    <row r="805" spans="1:9" ht="42" x14ac:dyDescent="0.25">
      <c r="A805" s="22" t="s">
        <v>7414</v>
      </c>
      <c r="B805" s="22" t="s">
        <v>5744</v>
      </c>
      <c r="C805" s="22" t="s">
        <v>5745</v>
      </c>
      <c r="D805" s="22" t="s">
        <v>4900</v>
      </c>
      <c r="E805" s="22" t="s">
        <v>5746</v>
      </c>
      <c r="F805" s="22">
        <v>1</v>
      </c>
      <c r="G805" s="22">
        <v>47</v>
      </c>
      <c r="H805" s="22"/>
      <c r="I805" s="22"/>
    </row>
    <row r="806" spans="1:9" ht="42" x14ac:dyDescent="0.25">
      <c r="A806" s="22" t="s">
        <v>7415</v>
      </c>
      <c r="B806" s="22" t="s">
        <v>5753</v>
      </c>
      <c r="C806" s="22" t="s">
        <v>5754</v>
      </c>
      <c r="D806" s="22" t="s">
        <v>4900</v>
      </c>
      <c r="E806" s="22" t="s">
        <v>5755</v>
      </c>
      <c r="F806" s="22">
        <v>1</v>
      </c>
      <c r="G806" s="22">
        <v>24</v>
      </c>
      <c r="H806" s="22"/>
      <c r="I806" s="22"/>
    </row>
    <row r="807" spans="1:9" ht="42" x14ac:dyDescent="0.25">
      <c r="A807" s="22" t="s">
        <v>7416</v>
      </c>
      <c r="B807" s="22" t="s">
        <v>5761</v>
      </c>
      <c r="C807" s="22" t="s">
        <v>5762</v>
      </c>
      <c r="D807" s="22" t="s">
        <v>4900</v>
      </c>
      <c r="E807" s="22" t="s">
        <v>5763</v>
      </c>
      <c r="F807" s="22">
        <v>1</v>
      </c>
      <c r="G807" s="22">
        <v>53</v>
      </c>
      <c r="H807" s="22"/>
      <c r="I807" s="22"/>
    </row>
    <row r="808" spans="1:9" ht="42" x14ac:dyDescent="0.25">
      <c r="A808" s="22" t="s">
        <v>7417</v>
      </c>
      <c r="B808" s="22" t="s">
        <v>5765</v>
      </c>
      <c r="C808" s="22" t="s">
        <v>5766</v>
      </c>
      <c r="D808" s="22" t="s">
        <v>4900</v>
      </c>
      <c r="E808" s="22" t="s">
        <v>5767</v>
      </c>
      <c r="F808" s="22">
        <v>1</v>
      </c>
      <c r="G808" s="22">
        <v>34</v>
      </c>
      <c r="H808" s="22"/>
      <c r="I808" s="22"/>
    </row>
    <row r="809" spans="1:9" ht="63" x14ac:dyDescent="0.25">
      <c r="A809" s="22" t="s">
        <v>7418</v>
      </c>
      <c r="B809" s="22" t="s">
        <v>5769</v>
      </c>
      <c r="C809" s="22" t="s">
        <v>5770</v>
      </c>
      <c r="D809" s="22" t="s">
        <v>4900</v>
      </c>
      <c r="E809" s="22" t="s">
        <v>5771</v>
      </c>
      <c r="F809" s="22">
        <v>1</v>
      </c>
      <c r="G809" s="22">
        <v>5</v>
      </c>
      <c r="H809" s="22"/>
      <c r="I809" s="22"/>
    </row>
    <row r="810" spans="1:9" ht="63" x14ac:dyDescent="0.25">
      <c r="A810" s="22" t="s">
        <v>7419</v>
      </c>
      <c r="B810" s="22" t="s">
        <v>5777</v>
      </c>
      <c r="C810" s="22" t="s">
        <v>5778</v>
      </c>
      <c r="D810" s="22" t="s">
        <v>5091</v>
      </c>
      <c r="E810" s="22" t="s">
        <v>5779</v>
      </c>
      <c r="F810" s="22">
        <v>1</v>
      </c>
      <c r="G810" s="22">
        <v>14</v>
      </c>
      <c r="H810" s="22"/>
      <c r="I810" s="22"/>
    </row>
    <row r="811" spans="1:9" ht="63" x14ac:dyDescent="0.25">
      <c r="A811" s="22" t="s">
        <v>7420</v>
      </c>
      <c r="B811" s="22" t="s">
        <v>5783</v>
      </c>
      <c r="C811" s="22" t="s">
        <v>5784</v>
      </c>
      <c r="D811" s="22" t="s">
        <v>4900</v>
      </c>
      <c r="E811" s="22" t="s">
        <v>3415</v>
      </c>
      <c r="F811" s="22">
        <v>1</v>
      </c>
      <c r="G811" s="22">
        <v>59</v>
      </c>
      <c r="H811" s="22"/>
      <c r="I811" s="22"/>
    </row>
    <row r="812" spans="1:9" ht="105" x14ac:dyDescent="0.25">
      <c r="A812" s="22" t="s">
        <v>7421</v>
      </c>
      <c r="B812" s="22" t="s">
        <v>5786</v>
      </c>
      <c r="C812" s="22" t="s">
        <v>5787</v>
      </c>
      <c r="D812" s="22" t="s">
        <v>4900</v>
      </c>
      <c r="E812" s="22" t="s">
        <v>5788</v>
      </c>
      <c r="F812" s="22">
        <v>1</v>
      </c>
      <c r="G812" s="22">
        <v>131</v>
      </c>
      <c r="H812" s="22"/>
      <c r="I812" s="22"/>
    </row>
    <row r="813" spans="1:9" ht="42" x14ac:dyDescent="0.25">
      <c r="A813" s="22" t="s">
        <v>7422</v>
      </c>
      <c r="B813" s="22" t="s">
        <v>5790</v>
      </c>
      <c r="C813" s="22" t="s">
        <v>5791</v>
      </c>
      <c r="D813" s="22" t="s">
        <v>4900</v>
      </c>
      <c r="E813" s="22" t="s">
        <v>5763</v>
      </c>
      <c r="F813" s="22">
        <v>1</v>
      </c>
      <c r="G813" s="22">
        <v>53</v>
      </c>
      <c r="H813" s="22"/>
      <c r="I813" s="22"/>
    </row>
    <row r="814" spans="1:9" ht="42" x14ac:dyDescent="0.25">
      <c r="A814" s="22" t="s">
        <v>7423</v>
      </c>
      <c r="B814" s="22" t="s">
        <v>5795</v>
      </c>
      <c r="C814" s="22" t="s">
        <v>5796</v>
      </c>
      <c r="D814" s="22" t="s">
        <v>4900</v>
      </c>
      <c r="E814" s="22" t="s">
        <v>5797</v>
      </c>
      <c r="F814" s="22">
        <v>1</v>
      </c>
      <c r="G814" s="22">
        <v>16</v>
      </c>
      <c r="H814" s="22"/>
      <c r="I814" s="22"/>
    </row>
    <row r="815" spans="1:9" ht="63" x14ac:dyDescent="0.25">
      <c r="A815" s="22" t="s">
        <v>7424</v>
      </c>
      <c r="B815" s="22" t="s">
        <v>5801</v>
      </c>
      <c r="C815" s="22" t="s">
        <v>5802</v>
      </c>
      <c r="D815" s="22" t="s">
        <v>4900</v>
      </c>
      <c r="E815" s="22" t="s">
        <v>5803</v>
      </c>
      <c r="F815" s="22">
        <v>1</v>
      </c>
      <c r="G815" s="22">
        <v>11</v>
      </c>
      <c r="H815" s="22"/>
      <c r="I815" s="22"/>
    </row>
    <row r="816" spans="1:9" ht="63" x14ac:dyDescent="0.25">
      <c r="A816" s="22" t="s">
        <v>7425</v>
      </c>
      <c r="B816" s="22" t="s">
        <v>5806</v>
      </c>
      <c r="C816" s="22" t="s">
        <v>5807</v>
      </c>
      <c r="D816" s="22" t="s">
        <v>4900</v>
      </c>
      <c r="E816" s="22" t="s">
        <v>5808</v>
      </c>
      <c r="F816" s="22">
        <v>1</v>
      </c>
      <c r="G816" s="22">
        <v>25</v>
      </c>
      <c r="H816" s="22"/>
      <c r="I816" s="22"/>
    </row>
    <row r="817" spans="1:9" ht="63" x14ac:dyDescent="0.25">
      <c r="A817" s="22" t="s">
        <v>7426</v>
      </c>
      <c r="B817" s="22" t="s">
        <v>5810</v>
      </c>
      <c r="C817" s="22" t="s">
        <v>5811</v>
      </c>
      <c r="D817" s="22" t="s">
        <v>4900</v>
      </c>
      <c r="E817" s="22" t="s">
        <v>5812</v>
      </c>
      <c r="F817" s="22">
        <v>1</v>
      </c>
      <c r="G817" s="22">
        <v>16</v>
      </c>
      <c r="H817" s="22"/>
      <c r="I817" s="22"/>
    </row>
    <row r="818" spans="1:9" ht="63" x14ac:dyDescent="0.25">
      <c r="A818" s="22" t="s">
        <v>7427</v>
      </c>
      <c r="B818" s="22" t="s">
        <v>5814</v>
      </c>
      <c r="C818" s="22" t="s">
        <v>5815</v>
      </c>
      <c r="D818" s="22" t="s">
        <v>4900</v>
      </c>
      <c r="E818" s="22" t="s">
        <v>5816</v>
      </c>
      <c r="F818" s="22">
        <v>1</v>
      </c>
      <c r="G818" s="22">
        <v>9</v>
      </c>
      <c r="H818" s="22"/>
      <c r="I818" s="22"/>
    </row>
    <row r="819" spans="1:9" ht="42" x14ac:dyDescent="0.25">
      <c r="A819" s="22" t="s">
        <v>7428</v>
      </c>
      <c r="B819" s="22" t="s">
        <v>5822</v>
      </c>
      <c r="C819" s="22" t="s">
        <v>5823</v>
      </c>
      <c r="D819" s="22" t="s">
        <v>4900</v>
      </c>
      <c r="E819" s="22" t="s">
        <v>5824</v>
      </c>
      <c r="F819" s="22">
        <v>1</v>
      </c>
      <c r="G819" s="22">
        <v>23</v>
      </c>
      <c r="H819" s="22"/>
      <c r="I819" s="22"/>
    </row>
    <row r="820" spans="1:9" ht="42" x14ac:dyDescent="0.25">
      <c r="A820" s="22" t="s">
        <v>7429</v>
      </c>
      <c r="B820" s="22" t="s">
        <v>5831</v>
      </c>
      <c r="C820" s="22" t="s">
        <v>5832</v>
      </c>
      <c r="D820" s="22" t="s">
        <v>4900</v>
      </c>
      <c r="E820" s="22" t="s">
        <v>5824</v>
      </c>
      <c r="F820" s="22">
        <v>1</v>
      </c>
      <c r="G820" s="22">
        <v>23</v>
      </c>
      <c r="H820" s="22"/>
      <c r="I820" s="22"/>
    </row>
    <row r="821" spans="1:9" ht="42" x14ac:dyDescent="0.25">
      <c r="A821" s="22" t="s">
        <v>7430</v>
      </c>
      <c r="B821" s="22" t="s">
        <v>5836</v>
      </c>
      <c r="C821" s="22" t="s">
        <v>5837</v>
      </c>
      <c r="D821" s="22" t="s">
        <v>4900</v>
      </c>
      <c r="E821" s="22" t="s">
        <v>5838</v>
      </c>
      <c r="F821" s="22">
        <v>1</v>
      </c>
      <c r="G821" s="22">
        <v>86</v>
      </c>
      <c r="H821" s="22"/>
      <c r="I821" s="22"/>
    </row>
    <row r="822" spans="1:9" ht="42" x14ac:dyDescent="0.25">
      <c r="A822" s="22" t="s">
        <v>7431</v>
      </c>
      <c r="B822" s="22" t="s">
        <v>5840</v>
      </c>
      <c r="C822" s="22" t="s">
        <v>5841</v>
      </c>
      <c r="D822" s="22" t="s">
        <v>4900</v>
      </c>
      <c r="E822" s="22" t="s">
        <v>5842</v>
      </c>
      <c r="F822" s="22">
        <v>1</v>
      </c>
      <c r="G822" s="22">
        <v>16</v>
      </c>
      <c r="H822" s="22"/>
      <c r="I822" s="22"/>
    </row>
    <row r="823" spans="1:9" ht="84" x14ac:dyDescent="0.25">
      <c r="A823" s="22" t="s">
        <v>7432</v>
      </c>
      <c r="B823" s="22" t="s">
        <v>5844</v>
      </c>
      <c r="C823" s="22" t="s">
        <v>5845</v>
      </c>
      <c r="D823" s="22" t="s">
        <v>4900</v>
      </c>
      <c r="E823" s="22" t="s">
        <v>5846</v>
      </c>
      <c r="F823" s="22">
        <v>1</v>
      </c>
      <c r="G823" s="22">
        <v>31</v>
      </c>
      <c r="H823" s="22"/>
      <c r="I823" s="22"/>
    </row>
    <row r="824" spans="1:9" ht="42" x14ac:dyDescent="0.25">
      <c r="A824" s="22" t="s">
        <v>7433</v>
      </c>
      <c r="B824" s="22" t="s">
        <v>5855</v>
      </c>
      <c r="C824" s="22" t="s">
        <v>5856</v>
      </c>
      <c r="D824" s="22" t="s">
        <v>4900</v>
      </c>
      <c r="E824" s="22" t="s">
        <v>3480</v>
      </c>
      <c r="F824" s="22">
        <v>1</v>
      </c>
      <c r="G824" s="22">
        <v>22</v>
      </c>
      <c r="H824" s="22"/>
      <c r="I824" s="22"/>
    </row>
    <row r="825" spans="1:9" ht="63" x14ac:dyDescent="0.25">
      <c r="A825" s="22" t="s">
        <v>7434</v>
      </c>
      <c r="B825" s="22" t="s">
        <v>5858</v>
      </c>
      <c r="C825" s="22" t="s">
        <v>5859</v>
      </c>
      <c r="D825" s="22" t="s">
        <v>4900</v>
      </c>
      <c r="E825" s="22" t="s">
        <v>5860</v>
      </c>
      <c r="F825" s="22">
        <v>1</v>
      </c>
      <c r="G825" s="22">
        <v>22</v>
      </c>
      <c r="H825" s="22"/>
      <c r="I825" s="22"/>
    </row>
    <row r="826" spans="1:9" ht="42" x14ac:dyDescent="0.25">
      <c r="A826" s="22" t="s">
        <v>7435</v>
      </c>
      <c r="B826" s="22" t="s">
        <v>5862</v>
      </c>
      <c r="C826" s="22" t="s">
        <v>5863</v>
      </c>
      <c r="D826" s="22" t="s">
        <v>4900</v>
      </c>
      <c r="E826" s="22" t="s">
        <v>3419</v>
      </c>
      <c r="F826" s="22">
        <v>1</v>
      </c>
      <c r="G826" s="22">
        <v>31</v>
      </c>
      <c r="H826" s="22"/>
      <c r="I826" s="22"/>
    </row>
    <row r="827" spans="1:9" ht="63" x14ac:dyDescent="0.25">
      <c r="A827" s="22" t="s">
        <v>7436</v>
      </c>
      <c r="B827" s="22" t="s">
        <v>5869</v>
      </c>
      <c r="C827" s="22" t="s">
        <v>5870</v>
      </c>
      <c r="D827" s="22" t="s">
        <v>4900</v>
      </c>
      <c r="E827" s="22" t="s">
        <v>3566</v>
      </c>
      <c r="F827" s="22">
        <v>1</v>
      </c>
      <c r="G827" s="22">
        <v>73</v>
      </c>
      <c r="H827" s="22"/>
      <c r="I827" s="22"/>
    </row>
    <row r="828" spans="1:9" ht="42" x14ac:dyDescent="0.25">
      <c r="A828" s="22" t="s">
        <v>7437</v>
      </c>
      <c r="B828" s="22" t="s">
        <v>5875</v>
      </c>
      <c r="C828" s="22" t="s">
        <v>5876</v>
      </c>
      <c r="D828" s="22" t="s">
        <v>4900</v>
      </c>
      <c r="E828" s="22" t="s">
        <v>5877</v>
      </c>
      <c r="F828" s="22">
        <v>1</v>
      </c>
      <c r="G828" s="22">
        <v>32</v>
      </c>
      <c r="H828" s="22"/>
      <c r="I828" s="22"/>
    </row>
    <row r="829" spans="1:9" ht="42" x14ac:dyDescent="0.25">
      <c r="A829" s="22" t="s">
        <v>7438</v>
      </c>
      <c r="B829" s="22" t="s">
        <v>5880</v>
      </c>
      <c r="C829" s="22" t="s">
        <v>5881</v>
      </c>
      <c r="D829" s="22" t="s">
        <v>4900</v>
      </c>
      <c r="E829" s="22" t="s">
        <v>5882</v>
      </c>
      <c r="F829" s="22">
        <v>1</v>
      </c>
      <c r="G829" s="22">
        <v>62</v>
      </c>
      <c r="H829" s="22"/>
      <c r="I829" s="22"/>
    </row>
    <row r="830" spans="1:9" ht="42" x14ac:dyDescent="0.25">
      <c r="A830" s="22" t="s">
        <v>7439</v>
      </c>
      <c r="B830" s="22" t="s">
        <v>5897</v>
      </c>
      <c r="C830" s="22" t="s">
        <v>5898</v>
      </c>
      <c r="D830" s="22" t="s">
        <v>5091</v>
      </c>
      <c r="E830" s="22" t="s">
        <v>5899</v>
      </c>
      <c r="F830" s="22">
        <v>1</v>
      </c>
      <c r="G830" s="22">
        <v>16</v>
      </c>
      <c r="H830" s="22"/>
      <c r="I830" s="22"/>
    </row>
    <row r="831" spans="1:9" ht="42" x14ac:dyDescent="0.25">
      <c r="A831" s="22" t="s">
        <v>7440</v>
      </c>
      <c r="B831" s="22" t="s">
        <v>5902</v>
      </c>
      <c r="C831" s="22" t="s">
        <v>5903</v>
      </c>
      <c r="D831" s="22" t="s">
        <v>5091</v>
      </c>
      <c r="E831" s="22" t="s">
        <v>3278</v>
      </c>
      <c r="F831" s="22">
        <v>1</v>
      </c>
      <c r="G831" s="22">
        <v>23</v>
      </c>
      <c r="H831" s="22"/>
      <c r="I831" s="22"/>
    </row>
    <row r="832" spans="1:9" ht="42" x14ac:dyDescent="0.25">
      <c r="A832" s="22" t="s">
        <v>7441</v>
      </c>
      <c r="B832" s="22" t="s">
        <v>5905</v>
      </c>
      <c r="C832" s="22" t="s">
        <v>5906</v>
      </c>
      <c r="D832" s="22" t="s">
        <v>5091</v>
      </c>
      <c r="E832" s="22" t="s">
        <v>5824</v>
      </c>
      <c r="F832" s="22">
        <v>1</v>
      </c>
      <c r="G832" s="22">
        <v>23</v>
      </c>
      <c r="H832" s="22"/>
      <c r="I832" s="22"/>
    </row>
    <row r="833" spans="1:9" ht="84" x14ac:dyDescent="0.25">
      <c r="A833" s="22" t="s">
        <v>7442</v>
      </c>
      <c r="B833" s="22" t="s">
        <v>5938</v>
      </c>
      <c r="C833" s="22" t="s">
        <v>5939</v>
      </c>
      <c r="D833" s="22" t="s">
        <v>5091</v>
      </c>
      <c r="E833" s="22" t="s">
        <v>5940</v>
      </c>
      <c r="F833" s="22">
        <v>1</v>
      </c>
      <c r="G833" s="22">
        <v>35</v>
      </c>
      <c r="H833" s="22"/>
      <c r="I833" s="22"/>
    </row>
    <row r="834" spans="1:9" ht="42" x14ac:dyDescent="0.25">
      <c r="A834" s="22" t="s">
        <v>7443</v>
      </c>
      <c r="B834" s="22" t="s">
        <v>5946</v>
      </c>
      <c r="C834" s="22" t="s">
        <v>5947</v>
      </c>
      <c r="D834" s="22" t="s">
        <v>5091</v>
      </c>
      <c r="E834" s="22" t="s">
        <v>3598</v>
      </c>
      <c r="F834" s="22">
        <v>1</v>
      </c>
      <c r="G834" s="22">
        <v>114</v>
      </c>
      <c r="H834" s="22"/>
      <c r="I834" s="22"/>
    </row>
    <row r="835" spans="1:9" ht="42" x14ac:dyDescent="0.25">
      <c r="A835" s="22" t="s">
        <v>7444</v>
      </c>
      <c r="B835" s="22" t="s">
        <v>5954</v>
      </c>
      <c r="C835" s="22" t="s">
        <v>5955</v>
      </c>
      <c r="D835" s="22" t="s">
        <v>5091</v>
      </c>
      <c r="E835" s="22" t="s">
        <v>5956</v>
      </c>
      <c r="F835" s="22">
        <v>1</v>
      </c>
      <c r="G835" s="22">
        <v>64</v>
      </c>
      <c r="H835" s="22"/>
      <c r="I835" s="22"/>
    </row>
    <row r="836" spans="1:9" ht="63" x14ac:dyDescent="0.25">
      <c r="A836" s="22" t="s">
        <v>7445</v>
      </c>
      <c r="B836" s="22" t="s">
        <v>5968</v>
      </c>
      <c r="C836" s="22" t="s">
        <v>5969</v>
      </c>
      <c r="D836" s="22" t="s">
        <v>5091</v>
      </c>
      <c r="E836" s="22" t="s">
        <v>3587</v>
      </c>
      <c r="F836" s="22">
        <v>1</v>
      </c>
      <c r="G836" s="22">
        <v>36</v>
      </c>
      <c r="H836" s="22"/>
      <c r="I836" s="22"/>
    </row>
    <row r="837" spans="1:9" ht="63" x14ac:dyDescent="0.25">
      <c r="A837" s="22" t="s">
        <v>7446</v>
      </c>
      <c r="B837" s="22" t="s">
        <v>5981</v>
      </c>
      <c r="C837" s="22" t="s">
        <v>5982</v>
      </c>
      <c r="D837" s="22" t="s">
        <v>5091</v>
      </c>
      <c r="E837" s="22" t="s">
        <v>5983</v>
      </c>
      <c r="F837" s="22">
        <v>1</v>
      </c>
      <c r="G837" s="22">
        <v>11</v>
      </c>
      <c r="H837" s="22"/>
      <c r="I837" s="22"/>
    </row>
    <row r="838" spans="1:9" ht="63" x14ac:dyDescent="0.25">
      <c r="A838" s="22" t="s">
        <v>7447</v>
      </c>
      <c r="B838" s="22" t="s">
        <v>5993</v>
      </c>
      <c r="C838" s="22" t="s">
        <v>5994</v>
      </c>
      <c r="D838" s="22" t="s">
        <v>5091</v>
      </c>
      <c r="E838" s="22" t="s">
        <v>5995</v>
      </c>
      <c r="F838" s="22">
        <v>1</v>
      </c>
      <c r="G838" s="22">
        <v>29</v>
      </c>
      <c r="H838" s="22"/>
      <c r="I838" s="22"/>
    </row>
    <row r="839" spans="1:9" ht="84" x14ac:dyDescent="0.25">
      <c r="A839" s="22" t="s">
        <v>7448</v>
      </c>
      <c r="B839" s="22" t="s">
        <v>5997</v>
      </c>
      <c r="C839" s="22" t="s">
        <v>5998</v>
      </c>
      <c r="D839" s="22" t="s">
        <v>5091</v>
      </c>
      <c r="E839" s="22" t="s">
        <v>5999</v>
      </c>
      <c r="F839" s="22">
        <v>1</v>
      </c>
      <c r="G839" s="22">
        <v>34</v>
      </c>
      <c r="H839" s="22"/>
      <c r="I839" s="22"/>
    </row>
    <row r="840" spans="1:9" ht="126" x14ac:dyDescent="0.25">
      <c r="A840" s="22" t="s">
        <v>7449</v>
      </c>
      <c r="B840" s="22" t="s">
        <v>6001</v>
      </c>
      <c r="C840" s="22" t="s">
        <v>6002</v>
      </c>
      <c r="D840" s="22" t="s">
        <v>5091</v>
      </c>
      <c r="E840" s="22" t="s">
        <v>6003</v>
      </c>
      <c r="F840" s="22">
        <v>1</v>
      </c>
      <c r="G840" s="22">
        <v>27</v>
      </c>
      <c r="H840" s="22"/>
      <c r="I840" s="22"/>
    </row>
    <row r="841" spans="1:9" ht="63" x14ac:dyDescent="0.25">
      <c r="A841" s="22" t="s">
        <v>7450</v>
      </c>
      <c r="B841" s="22" t="s">
        <v>6016</v>
      </c>
      <c r="C841" s="22" t="s">
        <v>6017</v>
      </c>
      <c r="D841" s="22" t="s">
        <v>5091</v>
      </c>
      <c r="E841" s="22" t="s">
        <v>6018</v>
      </c>
      <c r="F841" s="22">
        <v>1</v>
      </c>
      <c r="G841" s="22">
        <v>10</v>
      </c>
      <c r="H841" s="22"/>
      <c r="I841" s="22"/>
    </row>
    <row r="842" spans="1:9" ht="63" x14ac:dyDescent="0.25">
      <c r="A842" s="22" t="s">
        <v>7451</v>
      </c>
      <c r="B842" s="22" t="s">
        <v>6027</v>
      </c>
      <c r="C842" s="22" t="s">
        <v>6028</v>
      </c>
      <c r="D842" s="22" t="s">
        <v>5091</v>
      </c>
      <c r="E842" s="22" t="s">
        <v>6029</v>
      </c>
      <c r="F842" s="22">
        <v>1</v>
      </c>
      <c r="G842" s="22">
        <v>58</v>
      </c>
      <c r="H842" s="22"/>
      <c r="I842" s="22"/>
    </row>
    <row r="843" spans="1:9" ht="63" x14ac:dyDescent="0.25">
      <c r="A843" s="22" t="s">
        <v>7452</v>
      </c>
      <c r="B843" s="22" t="s">
        <v>6031</v>
      </c>
      <c r="C843" s="22" t="s">
        <v>6032</v>
      </c>
      <c r="D843" s="22" t="s">
        <v>5091</v>
      </c>
      <c r="E843" s="22" t="s">
        <v>6033</v>
      </c>
      <c r="F843" s="22">
        <v>1</v>
      </c>
      <c r="G843" s="22">
        <v>71</v>
      </c>
      <c r="H843" s="22"/>
      <c r="I843" s="22"/>
    </row>
    <row r="844" spans="1:9" ht="63" x14ac:dyDescent="0.25">
      <c r="A844" s="22" t="s">
        <v>7453</v>
      </c>
      <c r="B844" s="22" t="s">
        <v>6035</v>
      </c>
      <c r="C844" s="22" t="s">
        <v>6036</v>
      </c>
      <c r="D844" s="22" t="s">
        <v>5091</v>
      </c>
      <c r="E844" s="22" t="s">
        <v>6037</v>
      </c>
      <c r="F844" s="22">
        <v>1</v>
      </c>
      <c r="G844" s="22">
        <v>51</v>
      </c>
      <c r="H844" s="22"/>
      <c r="I844" s="22"/>
    </row>
    <row r="845" spans="1:9" ht="63" x14ac:dyDescent="0.25">
      <c r="A845" s="22" t="s">
        <v>7454</v>
      </c>
      <c r="B845" s="22" t="s">
        <v>6048</v>
      </c>
      <c r="C845" s="22" t="s">
        <v>6049</v>
      </c>
      <c r="D845" s="22" t="s">
        <v>5091</v>
      </c>
      <c r="E845" s="22" t="s">
        <v>6050</v>
      </c>
      <c r="F845" s="22">
        <v>1</v>
      </c>
      <c r="G845" s="22">
        <v>60</v>
      </c>
      <c r="H845" s="22"/>
      <c r="I845" s="22"/>
    </row>
    <row r="846" spans="1:9" ht="63" x14ac:dyDescent="0.25">
      <c r="A846" s="22" t="s">
        <v>7455</v>
      </c>
      <c r="B846" s="22" t="s">
        <v>6048</v>
      </c>
      <c r="C846" s="22" t="s">
        <v>6049</v>
      </c>
      <c r="D846" s="22" t="s">
        <v>5091</v>
      </c>
      <c r="E846" s="22" t="s">
        <v>6050</v>
      </c>
      <c r="F846" s="22">
        <v>1</v>
      </c>
      <c r="G846" s="22">
        <v>60</v>
      </c>
      <c r="H846" s="22"/>
      <c r="I846" s="22"/>
    </row>
    <row r="847" spans="1:9" ht="63" x14ac:dyDescent="0.25">
      <c r="A847" s="22" t="s">
        <v>7456</v>
      </c>
      <c r="B847" s="22" t="s">
        <v>6056</v>
      </c>
      <c r="C847" s="22" t="s">
        <v>6057</v>
      </c>
      <c r="D847" s="22" t="s">
        <v>5091</v>
      </c>
      <c r="E847" s="22" t="s">
        <v>6058</v>
      </c>
      <c r="F847" s="22">
        <v>1</v>
      </c>
      <c r="G847" s="22">
        <v>43</v>
      </c>
      <c r="H847" s="22"/>
      <c r="I847" s="22"/>
    </row>
    <row r="848" spans="1:9" ht="42" x14ac:dyDescent="0.25">
      <c r="A848" s="22" t="s">
        <v>7457</v>
      </c>
      <c r="B848" s="22" t="s">
        <v>6061</v>
      </c>
      <c r="C848" s="22" t="s">
        <v>6062</v>
      </c>
      <c r="D848" s="22" t="s">
        <v>5091</v>
      </c>
      <c r="E848" s="22" t="s">
        <v>3598</v>
      </c>
      <c r="F848" s="22">
        <v>1</v>
      </c>
      <c r="G848" s="22">
        <v>114</v>
      </c>
      <c r="H848" s="22"/>
      <c r="I848" s="22"/>
    </row>
    <row r="849" spans="1:9" ht="42" x14ac:dyDescent="0.25">
      <c r="A849" s="22" t="s">
        <v>7458</v>
      </c>
      <c r="B849" s="22" t="s">
        <v>6064</v>
      </c>
      <c r="C849" s="22" t="s">
        <v>6065</v>
      </c>
      <c r="D849" s="22" t="s">
        <v>5091</v>
      </c>
      <c r="E849" s="22" t="s">
        <v>6066</v>
      </c>
      <c r="F849" s="22">
        <v>1</v>
      </c>
      <c r="G849" s="22">
        <v>107</v>
      </c>
      <c r="H849" s="22"/>
      <c r="I849" s="22"/>
    </row>
    <row r="850" spans="1:9" ht="105" x14ac:dyDescent="0.25">
      <c r="A850" s="22" t="s">
        <v>7459</v>
      </c>
      <c r="B850" s="22" t="s">
        <v>6068</v>
      </c>
      <c r="C850" s="22" t="s">
        <v>6069</v>
      </c>
      <c r="D850" s="22" t="s">
        <v>5091</v>
      </c>
      <c r="E850" s="22" t="s">
        <v>6070</v>
      </c>
      <c r="F850" s="22">
        <v>1</v>
      </c>
      <c r="G850" s="22">
        <v>25</v>
      </c>
      <c r="H850" s="22"/>
      <c r="I850" s="22"/>
    </row>
    <row r="851" spans="1:9" ht="84" x14ac:dyDescent="0.25">
      <c r="A851" s="22" t="s">
        <v>7460</v>
      </c>
      <c r="B851" s="22" t="s">
        <v>6102</v>
      </c>
      <c r="C851" s="22" t="s">
        <v>6103</v>
      </c>
      <c r="D851" s="22" t="s">
        <v>5091</v>
      </c>
      <c r="E851" s="22" t="s">
        <v>6104</v>
      </c>
      <c r="F851" s="22">
        <v>1</v>
      </c>
      <c r="G851" s="22">
        <v>11</v>
      </c>
      <c r="H851" s="22"/>
      <c r="I851" s="22"/>
    </row>
    <row r="852" spans="1:9" ht="42" x14ac:dyDescent="0.25">
      <c r="A852" s="22" t="s">
        <v>7461</v>
      </c>
      <c r="B852" s="22" t="s">
        <v>6113</v>
      </c>
      <c r="C852" s="22" t="s">
        <v>6114</v>
      </c>
      <c r="D852" s="22" t="s">
        <v>5091</v>
      </c>
      <c r="E852" s="22" t="s">
        <v>6115</v>
      </c>
      <c r="F852" s="22">
        <v>1</v>
      </c>
      <c r="G852" s="22">
        <v>37</v>
      </c>
      <c r="H852" s="22"/>
      <c r="I852" s="22"/>
    </row>
    <row r="853" spans="1:9" ht="42" x14ac:dyDescent="0.25">
      <c r="A853" s="22" t="s">
        <v>7462</v>
      </c>
      <c r="B853" s="22" t="s">
        <v>6172</v>
      </c>
      <c r="C853" s="22" t="s">
        <v>6173</v>
      </c>
      <c r="D853" s="22" t="s">
        <v>5091</v>
      </c>
      <c r="E853" s="22" t="s">
        <v>6174</v>
      </c>
      <c r="F853" s="22">
        <v>1</v>
      </c>
      <c r="G853" s="22">
        <v>25</v>
      </c>
      <c r="H853" s="22"/>
      <c r="I853" s="22"/>
    </row>
    <row r="854" spans="1:9" ht="63" x14ac:dyDescent="0.25">
      <c r="A854" s="22" t="s">
        <v>7463</v>
      </c>
      <c r="B854" s="22" t="s">
        <v>6176</v>
      </c>
      <c r="C854" s="22" t="s">
        <v>6177</v>
      </c>
      <c r="D854" s="22" t="s">
        <v>5091</v>
      </c>
      <c r="E854" s="22" t="s">
        <v>6178</v>
      </c>
      <c r="F854" s="22">
        <v>1</v>
      </c>
      <c r="G854" s="22">
        <v>11</v>
      </c>
      <c r="H854" s="22"/>
      <c r="I854" s="22"/>
    </row>
    <row r="855" spans="1:9" ht="42" x14ac:dyDescent="0.25">
      <c r="A855" s="22" t="s">
        <v>7464</v>
      </c>
      <c r="B855" s="22" t="s">
        <v>6190</v>
      </c>
      <c r="C855" s="22" t="s">
        <v>6191</v>
      </c>
      <c r="D855" s="22" t="s">
        <v>5091</v>
      </c>
      <c r="E855" s="22" t="s">
        <v>6192</v>
      </c>
      <c r="F855" s="22">
        <v>1</v>
      </c>
      <c r="G855" s="22">
        <v>11</v>
      </c>
      <c r="H855" s="22"/>
      <c r="I855" s="22"/>
    </row>
    <row r="856" spans="1:9" ht="84" x14ac:dyDescent="0.25">
      <c r="A856" s="22" t="s">
        <v>7465</v>
      </c>
      <c r="B856" s="22" t="s">
        <v>6207</v>
      </c>
      <c r="C856" s="22" t="s">
        <v>6208</v>
      </c>
      <c r="D856" s="22" t="s">
        <v>5091</v>
      </c>
      <c r="E856" s="22" t="s">
        <v>3180</v>
      </c>
      <c r="F856" s="22">
        <v>1</v>
      </c>
      <c r="G856" s="22">
        <v>55</v>
      </c>
      <c r="H856" s="22"/>
      <c r="I856" s="22"/>
    </row>
    <row r="857" spans="1:9" ht="84" x14ac:dyDescent="0.25">
      <c r="A857" s="22" t="s">
        <v>7466</v>
      </c>
      <c r="B857" s="22" t="s">
        <v>6210</v>
      </c>
      <c r="C857" s="22" t="s">
        <v>6211</v>
      </c>
      <c r="D857" s="22" t="s">
        <v>5091</v>
      </c>
      <c r="E857" s="22" t="s">
        <v>6212</v>
      </c>
      <c r="F857" s="22">
        <v>1</v>
      </c>
      <c r="G857" s="22">
        <v>63</v>
      </c>
      <c r="H857" s="22"/>
      <c r="I857" s="22"/>
    </row>
    <row r="858" spans="1:9" ht="84" x14ac:dyDescent="0.25">
      <c r="A858" s="22" t="s">
        <v>7467</v>
      </c>
      <c r="B858" s="22" t="s">
        <v>6214</v>
      </c>
      <c r="C858" s="22" t="s">
        <v>6215</v>
      </c>
      <c r="D858" s="22" t="s">
        <v>5091</v>
      </c>
      <c r="E858" s="22" t="s">
        <v>6216</v>
      </c>
      <c r="F858" s="22">
        <v>1</v>
      </c>
      <c r="G858" s="22">
        <v>13</v>
      </c>
      <c r="H858" s="22"/>
      <c r="I858" s="22"/>
    </row>
    <row r="859" spans="1:9" ht="63" x14ac:dyDescent="0.25">
      <c r="A859" s="22" t="s">
        <v>7468</v>
      </c>
      <c r="B859" s="22" t="s">
        <v>6218</v>
      </c>
      <c r="C859" s="22" t="s">
        <v>6219</v>
      </c>
      <c r="D859" s="22" t="s">
        <v>5091</v>
      </c>
      <c r="E859" s="22" t="s">
        <v>6220</v>
      </c>
      <c r="F859" s="22">
        <v>1</v>
      </c>
      <c r="G859" s="22">
        <v>7</v>
      </c>
      <c r="H859" s="22"/>
      <c r="I859" s="22"/>
    </row>
    <row r="860" spans="1:9" ht="63" x14ac:dyDescent="0.25">
      <c r="A860" s="22" t="s">
        <v>7469</v>
      </c>
      <c r="B860" s="22" t="s">
        <v>6232</v>
      </c>
      <c r="C860" s="22" t="s">
        <v>6233</v>
      </c>
      <c r="D860" s="22" t="s">
        <v>5091</v>
      </c>
      <c r="E860" s="22" t="s">
        <v>6234</v>
      </c>
      <c r="F860" s="22">
        <v>1</v>
      </c>
      <c r="G860" s="22">
        <v>27</v>
      </c>
      <c r="H860" s="22"/>
      <c r="I860" s="22"/>
    </row>
    <row r="861" spans="1:9" ht="42" x14ac:dyDescent="0.25">
      <c r="A861" s="22" t="s">
        <v>7470</v>
      </c>
      <c r="B861" s="22" t="s">
        <v>6248</v>
      </c>
      <c r="C861" s="22" t="s">
        <v>6249</v>
      </c>
      <c r="D861" s="22" t="s">
        <v>5091</v>
      </c>
      <c r="E861" s="22" t="s">
        <v>6250</v>
      </c>
      <c r="F861" s="22">
        <v>1</v>
      </c>
      <c r="G861" s="22">
        <v>15</v>
      </c>
      <c r="H861" s="22"/>
      <c r="I861" s="22"/>
    </row>
    <row r="862" spans="1:9" ht="63" x14ac:dyDescent="0.25">
      <c r="A862" s="22" t="s">
        <v>7471</v>
      </c>
      <c r="B862" s="22" t="s">
        <v>6305</v>
      </c>
      <c r="C862" s="22" t="s">
        <v>6306</v>
      </c>
      <c r="D862" s="22" t="s">
        <v>5091</v>
      </c>
      <c r="E862" s="22" t="s">
        <v>6307</v>
      </c>
      <c r="F862" s="22">
        <v>1</v>
      </c>
      <c r="G862" s="22">
        <v>43</v>
      </c>
      <c r="H862" s="22"/>
      <c r="I862" s="22"/>
    </row>
    <row r="863" spans="1:9" ht="63" x14ac:dyDescent="0.25">
      <c r="A863" s="22" t="s">
        <v>7472</v>
      </c>
      <c r="B863" s="22" t="s">
        <v>6311</v>
      </c>
      <c r="C863" s="22" t="s">
        <v>6312</v>
      </c>
      <c r="D863" s="22" t="s">
        <v>5091</v>
      </c>
      <c r="E863" s="22" t="s">
        <v>6313</v>
      </c>
      <c r="F863" s="22">
        <v>1</v>
      </c>
      <c r="G863" s="22">
        <v>36</v>
      </c>
      <c r="H863" s="22"/>
      <c r="I863" s="22"/>
    </row>
    <row r="864" spans="1:9" ht="63" x14ac:dyDescent="0.25">
      <c r="A864" s="22" t="s">
        <v>7473</v>
      </c>
      <c r="B864" s="22" t="s">
        <v>6323</v>
      </c>
      <c r="C864" s="22" t="s">
        <v>6324</v>
      </c>
      <c r="D864" s="22" t="s">
        <v>5091</v>
      </c>
      <c r="E864" s="22" t="s">
        <v>6325</v>
      </c>
      <c r="F864" s="22">
        <v>1</v>
      </c>
      <c r="G864" s="22">
        <v>32</v>
      </c>
      <c r="H864" s="22"/>
      <c r="I864" s="22"/>
    </row>
    <row r="865" spans="1:9" ht="42" x14ac:dyDescent="0.25">
      <c r="A865" s="22" t="s">
        <v>7474</v>
      </c>
      <c r="B865" s="22" t="s">
        <v>6415</v>
      </c>
      <c r="C865" s="22" t="s">
        <v>6416</v>
      </c>
      <c r="D865" s="22" t="s">
        <v>5091</v>
      </c>
      <c r="E865" s="22" t="s">
        <v>6066</v>
      </c>
      <c r="F865" s="22">
        <v>1</v>
      </c>
      <c r="G865" s="22">
        <v>107</v>
      </c>
      <c r="H865" s="22"/>
      <c r="I865" s="22"/>
    </row>
    <row r="866" spans="1:9" ht="63" x14ac:dyDescent="0.25">
      <c r="A866" s="22" t="s">
        <v>7475</v>
      </c>
      <c r="B866" s="22" t="s">
        <v>6418</v>
      </c>
      <c r="C866" s="22" t="s">
        <v>6419</v>
      </c>
      <c r="D866" s="22" t="s">
        <v>5091</v>
      </c>
      <c r="E866" s="22" t="s">
        <v>6420</v>
      </c>
      <c r="F866" s="22">
        <v>1</v>
      </c>
      <c r="G866" s="22">
        <v>35</v>
      </c>
      <c r="H866" s="22"/>
      <c r="I866" s="22"/>
    </row>
    <row r="867" spans="1:9" ht="63" x14ac:dyDescent="0.25">
      <c r="A867" s="22" t="s">
        <v>7476</v>
      </c>
      <c r="B867" s="22" t="s">
        <v>6422</v>
      </c>
      <c r="C867" s="22" t="s">
        <v>6423</v>
      </c>
      <c r="D867" s="22" t="s">
        <v>5091</v>
      </c>
      <c r="E867" s="22" t="s">
        <v>3786</v>
      </c>
      <c r="F867" s="22">
        <v>1</v>
      </c>
      <c r="G867" s="22">
        <v>37</v>
      </c>
      <c r="H867" s="22"/>
      <c r="I867" s="22"/>
    </row>
    <row r="868" spans="1:9" ht="63" x14ac:dyDescent="0.25">
      <c r="A868" s="22" t="s">
        <v>7477</v>
      </c>
      <c r="B868" s="22" t="s">
        <v>6425</v>
      </c>
      <c r="C868" s="22" t="s">
        <v>6426</v>
      </c>
      <c r="D868" s="22" t="s">
        <v>5091</v>
      </c>
      <c r="E868" s="22" t="s">
        <v>6427</v>
      </c>
      <c r="F868" s="22">
        <v>1</v>
      </c>
      <c r="G868" s="22">
        <v>19</v>
      </c>
      <c r="H868" s="22"/>
      <c r="I868" s="22"/>
    </row>
    <row r="869" spans="1:9" ht="42" x14ac:dyDescent="0.25">
      <c r="A869" s="22" t="s">
        <v>7478</v>
      </c>
      <c r="B869" s="22" t="s">
        <v>6456</v>
      </c>
      <c r="C869" s="22" t="s">
        <v>6457</v>
      </c>
      <c r="D869" s="22" t="s">
        <v>5091</v>
      </c>
      <c r="E869" s="22" t="s">
        <v>6458</v>
      </c>
      <c r="F869" s="22">
        <v>1</v>
      </c>
      <c r="G869" s="22">
        <v>9</v>
      </c>
      <c r="H869" s="22"/>
      <c r="I869" s="22"/>
    </row>
    <row r="870" spans="1:9" ht="84" x14ac:dyDescent="0.25">
      <c r="A870" s="22" t="s">
        <v>7479</v>
      </c>
      <c r="B870" s="22" t="s">
        <v>6464</v>
      </c>
      <c r="C870" s="22" t="s">
        <v>6465</v>
      </c>
      <c r="D870" s="22" t="s">
        <v>5091</v>
      </c>
      <c r="E870" s="22" t="s">
        <v>6466</v>
      </c>
      <c r="F870" s="22">
        <v>1</v>
      </c>
      <c r="G870" s="22">
        <v>27</v>
      </c>
      <c r="H870" s="22"/>
      <c r="I870" s="22"/>
    </row>
    <row r="871" spans="1:9" ht="63" x14ac:dyDescent="0.25">
      <c r="A871" s="22" t="s">
        <v>7480</v>
      </c>
      <c r="B871" s="22" t="s">
        <v>6468</v>
      </c>
      <c r="C871" s="22" t="s">
        <v>6469</v>
      </c>
      <c r="D871" s="22" t="s">
        <v>5091</v>
      </c>
      <c r="E871" s="22" t="s">
        <v>6470</v>
      </c>
      <c r="F871" s="22">
        <v>1</v>
      </c>
      <c r="G871" s="22">
        <v>19</v>
      </c>
      <c r="H871" s="22"/>
      <c r="I871" s="22"/>
    </row>
    <row r="872" spans="1:9" ht="42" x14ac:dyDescent="0.25">
      <c r="A872" s="22" t="s">
        <v>7481</v>
      </c>
      <c r="B872" s="22" t="s">
        <v>6486</v>
      </c>
      <c r="C872" s="22" t="s">
        <v>6487</v>
      </c>
      <c r="D872" s="22" t="s">
        <v>5091</v>
      </c>
      <c r="E872" s="22" t="s">
        <v>6488</v>
      </c>
      <c r="F872" s="22">
        <v>1</v>
      </c>
      <c r="G872" s="22">
        <v>198</v>
      </c>
      <c r="H872" s="22"/>
      <c r="I872" s="22"/>
    </row>
    <row r="873" spans="1:9" ht="42" x14ac:dyDescent="0.25">
      <c r="A873" s="22" t="s">
        <v>7482</v>
      </c>
      <c r="B873" s="22" t="s">
        <v>6490</v>
      </c>
      <c r="C873" s="22" t="s">
        <v>6491</v>
      </c>
      <c r="D873" s="22" t="s">
        <v>5091</v>
      </c>
      <c r="E873" s="22" t="s">
        <v>6492</v>
      </c>
      <c r="F873" s="22">
        <v>1</v>
      </c>
      <c r="G873" s="22">
        <v>154</v>
      </c>
      <c r="H873" s="22"/>
      <c r="I873" s="22"/>
    </row>
    <row r="874" spans="1:9" ht="42" x14ac:dyDescent="0.25">
      <c r="A874" s="22" t="s">
        <v>7483</v>
      </c>
      <c r="B874" s="22" t="s">
        <v>6520</v>
      </c>
      <c r="C874" s="22" t="s">
        <v>6521</v>
      </c>
      <c r="D874" s="22" t="s">
        <v>5091</v>
      </c>
      <c r="E874" s="22" t="s">
        <v>6522</v>
      </c>
      <c r="F874" s="22">
        <v>1</v>
      </c>
      <c r="G874" s="22">
        <v>86</v>
      </c>
      <c r="H874" s="22"/>
      <c r="I874" s="22"/>
    </row>
    <row r="875" spans="1:9" ht="63" x14ac:dyDescent="0.25">
      <c r="A875" s="22" t="s">
        <v>7484</v>
      </c>
      <c r="B875" s="22" t="s">
        <v>6561</v>
      </c>
      <c r="C875" s="22" t="s">
        <v>6562</v>
      </c>
      <c r="D875" s="22" t="s">
        <v>5091</v>
      </c>
      <c r="E875" s="22" t="s">
        <v>6563</v>
      </c>
      <c r="F875" s="22">
        <v>1</v>
      </c>
      <c r="G875" s="22">
        <v>17</v>
      </c>
      <c r="H875" s="22"/>
      <c r="I875" s="22"/>
    </row>
    <row r="876" spans="1:9" ht="63" x14ac:dyDescent="0.25">
      <c r="A876" s="22" t="s">
        <v>7485</v>
      </c>
      <c r="B876" s="22" t="s">
        <v>6565</v>
      </c>
      <c r="C876" s="22" t="s">
        <v>6566</v>
      </c>
      <c r="D876" s="22" t="s">
        <v>5091</v>
      </c>
      <c r="E876" s="22" t="s">
        <v>6567</v>
      </c>
      <c r="F876" s="22">
        <v>1</v>
      </c>
      <c r="G876" s="22">
        <v>17</v>
      </c>
      <c r="H876" s="22"/>
      <c r="I876" s="22"/>
    </row>
    <row r="877" spans="1:9" ht="63" x14ac:dyDescent="0.25">
      <c r="A877" s="22" t="s">
        <v>7486</v>
      </c>
      <c r="B877" s="22" t="s">
        <v>6571</v>
      </c>
      <c r="C877" s="22" t="s">
        <v>6572</v>
      </c>
      <c r="D877" s="22" t="s">
        <v>5091</v>
      </c>
      <c r="E877" s="22" t="s">
        <v>6573</v>
      </c>
      <c r="F877" s="22">
        <v>1</v>
      </c>
      <c r="G877" s="22">
        <v>11</v>
      </c>
      <c r="H877" s="22"/>
      <c r="I877" s="22"/>
    </row>
    <row r="878" spans="1:9" ht="63" x14ac:dyDescent="0.25">
      <c r="A878" s="22" t="s">
        <v>7487</v>
      </c>
      <c r="B878" s="22" t="s">
        <v>6575</v>
      </c>
      <c r="C878" s="22" t="s">
        <v>6576</v>
      </c>
      <c r="D878" s="22" t="s">
        <v>5091</v>
      </c>
      <c r="E878" s="22" t="s">
        <v>6577</v>
      </c>
      <c r="F878" s="22">
        <v>1</v>
      </c>
      <c r="G878" s="22">
        <v>11</v>
      </c>
      <c r="H878" s="22"/>
      <c r="I878" s="22"/>
    </row>
    <row r="879" spans="1:9" ht="105" x14ac:dyDescent="0.25">
      <c r="A879" s="22" t="s">
        <v>7488</v>
      </c>
      <c r="B879" s="22" t="s">
        <v>6579</v>
      </c>
      <c r="C879" s="22" t="s">
        <v>6580</v>
      </c>
      <c r="D879" s="22" t="s">
        <v>5091</v>
      </c>
      <c r="E879" s="22" t="s">
        <v>6581</v>
      </c>
      <c r="F879" s="22">
        <v>1</v>
      </c>
      <c r="G879" s="22">
        <v>185</v>
      </c>
      <c r="H879" s="22"/>
      <c r="I879" s="22"/>
    </row>
    <row r="880" spans="1:9" ht="84" x14ac:dyDescent="0.25">
      <c r="A880" s="22" t="s">
        <v>7489</v>
      </c>
      <c r="B880" s="22" t="s">
        <v>6583</v>
      </c>
      <c r="C880" s="22" t="s">
        <v>6584</v>
      </c>
      <c r="D880" s="22" t="s">
        <v>5091</v>
      </c>
      <c r="E880" s="22" t="s">
        <v>6585</v>
      </c>
      <c r="F880" s="22">
        <v>1</v>
      </c>
      <c r="G880" s="22">
        <v>69</v>
      </c>
      <c r="H880" s="22"/>
      <c r="I880" s="22"/>
    </row>
    <row r="881" spans="1:9" ht="105" x14ac:dyDescent="0.25">
      <c r="A881" s="22" t="s">
        <v>7490</v>
      </c>
      <c r="B881" s="22" t="s">
        <v>6656</v>
      </c>
      <c r="C881" s="22" t="s">
        <v>6657</v>
      </c>
      <c r="D881" s="22" t="s">
        <v>5091</v>
      </c>
      <c r="E881" s="22" t="s">
        <v>6658</v>
      </c>
      <c r="F881" s="22">
        <v>1</v>
      </c>
      <c r="G881" s="22">
        <v>51</v>
      </c>
      <c r="H881" s="22"/>
      <c r="I881" s="22"/>
    </row>
    <row r="882" spans="1:9" ht="84" x14ac:dyDescent="0.25">
      <c r="A882" s="22" t="s">
        <v>7491</v>
      </c>
      <c r="B882" s="22" t="s">
        <v>6669</v>
      </c>
      <c r="C882" s="22" t="s">
        <v>6670</v>
      </c>
      <c r="D882" s="22" t="s">
        <v>5091</v>
      </c>
      <c r="E882" s="22" t="s">
        <v>6671</v>
      </c>
      <c r="F882" s="22">
        <v>1</v>
      </c>
      <c r="G882" s="22">
        <v>57</v>
      </c>
      <c r="H882" s="22"/>
      <c r="I882" s="22"/>
    </row>
    <row r="883" spans="1:9" ht="42" x14ac:dyDescent="0.25">
      <c r="A883" s="22" t="s">
        <v>7492</v>
      </c>
      <c r="B883" s="22" t="s">
        <v>6673</v>
      </c>
      <c r="C883" s="22" t="s">
        <v>6674</v>
      </c>
      <c r="D883" s="22" t="s">
        <v>5091</v>
      </c>
      <c r="E883" s="22" t="s">
        <v>6675</v>
      </c>
      <c r="F883" s="22">
        <v>1</v>
      </c>
      <c r="G883" s="22">
        <v>12</v>
      </c>
      <c r="H883" s="22"/>
      <c r="I883" s="22"/>
    </row>
    <row r="890" spans="1:9" ht="42" x14ac:dyDescent="0.25">
      <c r="A890" s="6" t="s">
        <v>2971</v>
      </c>
      <c r="H890" s="6" t="s">
        <v>2972</v>
      </c>
    </row>
    <row r="892" spans="1:9" ht="126" x14ac:dyDescent="0.25">
      <c r="A892" s="6" t="s">
        <v>31</v>
      </c>
      <c r="B892" s="6" t="s">
        <v>2691</v>
      </c>
      <c r="D892" s="6" t="s">
        <v>2982</v>
      </c>
      <c r="G892" s="6" t="s">
        <v>2961</v>
      </c>
      <c r="H892" s="6" t="str">
        <f>IFERROR(VLOOKUP(B892,Seller_Details!A:C,3,0),"Not Found")</f>
        <v>M-28B, Computer plaza, Al-Ain Centre, Al Mankhool St., P.O. Box: 51369, Bur Dubai, UAE</v>
      </c>
    </row>
    <row r="893" spans="1:9" x14ac:dyDescent="0.25">
      <c r="A893" s="6" t="s">
        <v>13</v>
      </c>
      <c r="B893" s="6" t="str">
        <f>IFERROR(VLOOKUP(B892,Seller_Details!A:C,2,0),"Not Found")</f>
        <v>V00840</v>
      </c>
      <c r="G893" s="6" t="s">
        <v>2962</v>
      </c>
      <c r="H893" s="24">
        <v>42819</v>
      </c>
    </row>
    <row r="896" spans="1:9" ht="42" x14ac:dyDescent="0.25">
      <c r="A896" s="22" t="s">
        <v>2963</v>
      </c>
      <c r="B896" s="22" t="s">
        <v>2964</v>
      </c>
      <c r="C896" s="22" t="s">
        <v>2965</v>
      </c>
      <c r="D896" s="22" t="s">
        <v>2966</v>
      </c>
      <c r="E896" s="22" t="s">
        <v>2967</v>
      </c>
      <c r="F896" s="22" t="s">
        <v>6</v>
      </c>
      <c r="G896" s="22" t="s">
        <v>2968</v>
      </c>
      <c r="H896" s="22" t="s">
        <v>2969</v>
      </c>
      <c r="I896" s="22" t="s">
        <v>2970</v>
      </c>
    </row>
    <row r="897" spans="1:9" ht="105" x14ac:dyDescent="0.25">
      <c r="A897" s="22" t="s">
        <v>7493</v>
      </c>
      <c r="B897" s="22" t="s">
        <v>2958</v>
      </c>
      <c r="C897" s="22" t="s">
        <v>2959</v>
      </c>
      <c r="D897" s="22" t="s">
        <v>3830</v>
      </c>
      <c r="E897" s="22" t="s">
        <v>4877</v>
      </c>
      <c r="F897" s="22">
        <v>1</v>
      </c>
      <c r="G897" s="22">
        <v>27</v>
      </c>
      <c r="H897" s="22"/>
      <c r="I897" s="22"/>
    </row>
    <row r="898" spans="1:9" ht="105" x14ac:dyDescent="0.25">
      <c r="A898" s="22" t="s">
        <v>7494</v>
      </c>
      <c r="B898" s="22" t="s">
        <v>2958</v>
      </c>
      <c r="C898" s="22" t="s">
        <v>2959</v>
      </c>
      <c r="D898" s="22" t="s">
        <v>5377</v>
      </c>
      <c r="E898" s="22" t="s">
        <v>4877</v>
      </c>
      <c r="F898" s="22">
        <v>1</v>
      </c>
      <c r="G898" s="22">
        <v>27</v>
      </c>
      <c r="H898" s="22"/>
      <c r="I898" s="22"/>
    </row>
    <row r="899" spans="1:9" ht="84" x14ac:dyDescent="0.25">
      <c r="A899" s="22" t="s">
        <v>7495</v>
      </c>
      <c r="B899" s="22" t="s">
        <v>4247</v>
      </c>
      <c r="C899" s="22" t="s">
        <v>4248</v>
      </c>
      <c r="D899" s="22" t="s">
        <v>5377</v>
      </c>
      <c r="E899" s="22" t="s">
        <v>4249</v>
      </c>
      <c r="F899" s="22">
        <v>1</v>
      </c>
      <c r="G899" s="22">
        <v>282</v>
      </c>
      <c r="H899" s="22"/>
      <c r="I899" s="22"/>
    </row>
    <row r="900" spans="1:9" ht="84" x14ac:dyDescent="0.25">
      <c r="A900" s="22" t="s">
        <v>7496</v>
      </c>
      <c r="B900" s="22" t="s">
        <v>4247</v>
      </c>
      <c r="C900" s="22" t="s">
        <v>4248</v>
      </c>
      <c r="D900" s="22" t="s">
        <v>5377</v>
      </c>
      <c r="E900" s="22" t="s">
        <v>4249</v>
      </c>
      <c r="F900" s="22">
        <v>1</v>
      </c>
      <c r="G900" s="22">
        <v>282</v>
      </c>
      <c r="H900" s="22"/>
      <c r="I900" s="22"/>
    </row>
    <row r="907" spans="1:9" ht="42" x14ac:dyDescent="0.25">
      <c r="A907" s="6" t="s">
        <v>2971</v>
      </c>
      <c r="H907" s="6" t="s">
        <v>2972</v>
      </c>
    </row>
    <row r="909" spans="1:9" ht="147" x14ac:dyDescent="0.25">
      <c r="A909" s="6" t="s">
        <v>31</v>
      </c>
      <c r="B909" s="6" t="s">
        <v>184</v>
      </c>
      <c r="D909" s="6" t="s">
        <v>2983</v>
      </c>
      <c r="G909" s="6" t="s">
        <v>2961</v>
      </c>
      <c r="H909" s="6" t="str">
        <f>IFERROR(VLOOKUP(B909,Seller_Details!A:C,3,0),"Not Found")</f>
        <v>AL JABAR OPTICAL CENTER ;AL KHABAISI AREA ; AL MURRAQQABAT ;DEIRA ;DUBAI ; UAE</v>
      </c>
    </row>
    <row r="910" spans="1:9" x14ac:dyDescent="0.25">
      <c r="A910" s="6" t="s">
        <v>13</v>
      </c>
      <c r="B910" s="6" t="str">
        <f>IFERROR(VLOOKUP(B909,Seller_Details!A:C,2,0),"Not Found")</f>
        <v>V00021</v>
      </c>
      <c r="G910" s="6" t="s">
        <v>2962</v>
      </c>
      <c r="H910" s="24">
        <v>42819</v>
      </c>
    </row>
    <row r="913" spans="1:9" ht="42" x14ac:dyDescent="0.25">
      <c r="A913" s="22" t="s">
        <v>2963</v>
      </c>
      <c r="B913" s="22" t="s">
        <v>2964</v>
      </c>
      <c r="C913" s="22" t="s">
        <v>2965</v>
      </c>
      <c r="D913" s="22" t="s">
        <v>2966</v>
      </c>
      <c r="E913" s="22" t="s">
        <v>2967</v>
      </c>
      <c r="F913" s="22" t="s">
        <v>6</v>
      </c>
      <c r="G913" s="22" t="s">
        <v>2968</v>
      </c>
      <c r="H913" s="22" t="s">
        <v>2969</v>
      </c>
      <c r="I913" s="22" t="s">
        <v>2970</v>
      </c>
    </row>
    <row r="914" spans="1:9" ht="105" x14ac:dyDescent="0.25">
      <c r="A914" s="22" t="s">
        <v>7497</v>
      </c>
      <c r="B914" s="22" t="s">
        <v>3207</v>
      </c>
      <c r="C914" s="22" t="s">
        <v>3208</v>
      </c>
      <c r="D914" s="22" t="s">
        <v>3210</v>
      </c>
      <c r="E914" s="22" t="s">
        <v>3209</v>
      </c>
      <c r="F914" s="22">
        <v>1</v>
      </c>
      <c r="G914" s="22">
        <v>399</v>
      </c>
      <c r="H914" s="22"/>
      <c r="I914" s="22"/>
    </row>
    <row r="915" spans="1:9" ht="147" x14ac:dyDescent="0.25">
      <c r="A915" s="22" t="s">
        <v>7498</v>
      </c>
      <c r="B915" s="22" t="s">
        <v>3238</v>
      </c>
      <c r="C915" s="22" t="s">
        <v>3239</v>
      </c>
      <c r="D915" s="22" t="s">
        <v>5962</v>
      </c>
      <c r="E915" s="22" t="s">
        <v>3240</v>
      </c>
      <c r="F915" s="22">
        <v>1</v>
      </c>
      <c r="G915" s="22">
        <v>399</v>
      </c>
      <c r="H915" s="22"/>
      <c r="I915" s="22"/>
    </row>
    <row r="916" spans="1:9" ht="126" x14ac:dyDescent="0.25">
      <c r="A916" s="22" t="s">
        <v>7499</v>
      </c>
      <c r="B916" s="22" t="s">
        <v>3788</v>
      </c>
      <c r="C916" s="22" t="s">
        <v>3789</v>
      </c>
      <c r="D916" s="22" t="s">
        <v>3791</v>
      </c>
      <c r="E916" s="22" t="s">
        <v>3790</v>
      </c>
      <c r="F916" s="22">
        <v>1</v>
      </c>
      <c r="G916" s="22">
        <v>399</v>
      </c>
      <c r="H916" s="22"/>
      <c r="I916" s="22"/>
    </row>
    <row r="917" spans="1:9" ht="126" x14ac:dyDescent="0.25">
      <c r="A917" s="22" t="s">
        <v>7500</v>
      </c>
      <c r="B917" s="22" t="s">
        <v>4629</v>
      </c>
      <c r="C917" s="22" t="s">
        <v>4630</v>
      </c>
      <c r="D917" s="22" t="s">
        <v>4782</v>
      </c>
      <c r="E917" s="22" t="s">
        <v>4631</v>
      </c>
      <c r="F917" s="22">
        <v>1</v>
      </c>
      <c r="G917" s="22">
        <v>399</v>
      </c>
      <c r="H917" s="22"/>
      <c r="I917" s="22"/>
    </row>
    <row r="918" spans="1:9" ht="126" x14ac:dyDescent="0.25">
      <c r="A918" s="22" t="s">
        <v>7501</v>
      </c>
      <c r="B918" s="22" t="s">
        <v>4629</v>
      </c>
      <c r="C918" s="22" t="s">
        <v>4630</v>
      </c>
      <c r="D918" s="22" t="s">
        <v>5962</v>
      </c>
      <c r="E918" s="22" t="s">
        <v>4631</v>
      </c>
      <c r="F918" s="22">
        <v>1</v>
      </c>
      <c r="G918" s="22">
        <v>399</v>
      </c>
      <c r="H918" s="22"/>
      <c r="I918" s="22"/>
    </row>
    <row r="919" spans="1:9" ht="105" x14ac:dyDescent="0.25">
      <c r="A919" s="22" t="s">
        <v>7502</v>
      </c>
      <c r="B919" s="22" t="s">
        <v>6400</v>
      </c>
      <c r="C919" s="22" t="s">
        <v>6401</v>
      </c>
      <c r="D919" s="22" t="s">
        <v>6403</v>
      </c>
      <c r="E919" s="22" t="s">
        <v>6402</v>
      </c>
      <c r="F919" s="22">
        <v>1</v>
      </c>
      <c r="G919" s="22">
        <v>399</v>
      </c>
      <c r="H919" s="22"/>
      <c r="I919" s="22"/>
    </row>
    <row r="920" spans="1:9" ht="105" x14ac:dyDescent="0.25">
      <c r="A920" s="22" t="s">
        <v>7503</v>
      </c>
      <c r="B920" s="22" t="s">
        <v>6450</v>
      </c>
      <c r="C920" s="22" t="s">
        <v>6451</v>
      </c>
      <c r="D920" s="22" t="s">
        <v>6403</v>
      </c>
      <c r="E920" s="22" t="s">
        <v>6452</v>
      </c>
      <c r="F920" s="22">
        <v>1</v>
      </c>
      <c r="G920" s="22">
        <v>1197</v>
      </c>
      <c r="H920" s="22"/>
      <c r="I920" s="22"/>
    </row>
    <row r="921" spans="1:9" ht="126" x14ac:dyDescent="0.25">
      <c r="A921" s="22" t="s">
        <v>7504</v>
      </c>
      <c r="B921" s="22" t="s">
        <v>6660</v>
      </c>
      <c r="C921" s="22" t="s">
        <v>6661</v>
      </c>
      <c r="D921" s="22" t="s">
        <v>6663</v>
      </c>
      <c r="E921" s="22" t="s">
        <v>6662</v>
      </c>
      <c r="F921" s="22">
        <v>1</v>
      </c>
      <c r="G921" s="22">
        <v>399</v>
      </c>
      <c r="H921" s="22"/>
      <c r="I921" s="22"/>
    </row>
    <row r="928" spans="1:9" ht="42" x14ac:dyDescent="0.25">
      <c r="A928" s="6" t="s">
        <v>2971</v>
      </c>
      <c r="H928" s="6" t="s">
        <v>2972</v>
      </c>
    </row>
    <row r="930" spans="1:9" ht="168" x14ac:dyDescent="0.25">
      <c r="A930" s="6" t="s">
        <v>31</v>
      </c>
      <c r="B930" s="6" t="s">
        <v>54</v>
      </c>
      <c r="D930" s="6" t="s">
        <v>2984</v>
      </c>
      <c r="G930" s="6" t="s">
        <v>2961</v>
      </c>
      <c r="H930" s="6" t="str">
        <f>IFERROR(VLOOKUP(B930,Seller_Details!A:C,3,0),"Not Found")</f>
        <v>TRIZONE ELECTRONICS TRADING LLC ; M:03 AYAL NASSER STREET ; NEAR HAWAR HOTEL ;DEIRA; DUBAI ; UAE</v>
      </c>
    </row>
    <row r="931" spans="1:9" x14ac:dyDescent="0.25">
      <c r="A931" s="6" t="s">
        <v>13</v>
      </c>
      <c r="B931" s="6" t="str">
        <f>IFERROR(VLOOKUP(B930,Seller_Details!A:C,2,0),"Not Found")</f>
        <v>V00012</v>
      </c>
      <c r="G931" s="6" t="s">
        <v>2962</v>
      </c>
      <c r="H931" s="24">
        <v>42819</v>
      </c>
    </row>
    <row r="934" spans="1:9" ht="42" x14ac:dyDescent="0.25">
      <c r="A934" s="22" t="s">
        <v>2963</v>
      </c>
      <c r="B934" s="22" t="s">
        <v>2964</v>
      </c>
      <c r="C934" s="22" t="s">
        <v>2965</v>
      </c>
      <c r="D934" s="22" t="s">
        <v>2966</v>
      </c>
      <c r="E934" s="22" t="s">
        <v>2967</v>
      </c>
      <c r="F934" s="22" t="s">
        <v>6</v>
      </c>
      <c r="G934" s="22" t="s">
        <v>2968</v>
      </c>
      <c r="H934" s="22" t="s">
        <v>2969</v>
      </c>
      <c r="I934" s="22" t="s">
        <v>2970</v>
      </c>
    </row>
    <row r="935" spans="1:9" ht="105" x14ac:dyDescent="0.25">
      <c r="A935" s="22" t="s">
        <v>7505</v>
      </c>
      <c r="B935" s="22" t="s">
        <v>4820</v>
      </c>
      <c r="C935" s="22" t="s">
        <v>4821</v>
      </c>
      <c r="D935" s="22" t="s">
        <v>4823</v>
      </c>
      <c r="E935" s="22" t="s">
        <v>4822</v>
      </c>
      <c r="F935" s="22">
        <v>1</v>
      </c>
      <c r="G935" s="22">
        <v>4370</v>
      </c>
      <c r="H935" s="22"/>
      <c r="I935" s="22"/>
    </row>
    <row r="942" spans="1:9" ht="42" x14ac:dyDescent="0.25">
      <c r="A942" s="6" t="s">
        <v>2971</v>
      </c>
      <c r="H942" s="6" t="s">
        <v>2972</v>
      </c>
    </row>
    <row r="944" spans="1:9" ht="63" x14ac:dyDescent="0.25">
      <c r="A944" s="6" t="s">
        <v>31</v>
      </c>
      <c r="B944" s="6" t="s">
        <v>1264</v>
      </c>
      <c r="D944" s="6" t="s">
        <v>2985</v>
      </c>
      <c r="G944" s="6" t="s">
        <v>2961</v>
      </c>
      <c r="H944" s="6" t="str">
        <f>IFERROR(VLOOKUP(B944,Seller_Details!A:C,3,0),"Not Found")</f>
        <v>Ayal Nasir ; Al Zabbi Building Deira Dubai</v>
      </c>
    </row>
    <row r="945" spans="1:9" x14ac:dyDescent="0.25">
      <c r="A945" s="6" t="s">
        <v>13</v>
      </c>
      <c r="B945" s="6" t="str">
        <f>IFERROR(VLOOKUP(B944,Seller_Details!A:C,2,0),"Not Found")</f>
        <v>V00504</v>
      </c>
      <c r="G945" s="6" t="s">
        <v>2962</v>
      </c>
      <c r="H945" s="24">
        <v>42819</v>
      </c>
    </row>
    <row r="948" spans="1:9" ht="42" x14ac:dyDescent="0.25">
      <c r="A948" s="22" t="s">
        <v>2963</v>
      </c>
      <c r="B948" s="22" t="s">
        <v>2964</v>
      </c>
      <c r="C948" s="22" t="s">
        <v>2965</v>
      </c>
      <c r="D948" s="22" t="s">
        <v>2966</v>
      </c>
      <c r="E948" s="22" t="s">
        <v>2967</v>
      </c>
      <c r="F948" s="22" t="s">
        <v>6</v>
      </c>
      <c r="G948" s="22" t="s">
        <v>2968</v>
      </c>
      <c r="H948" s="22" t="s">
        <v>2969</v>
      </c>
      <c r="I948" s="22" t="s">
        <v>2970</v>
      </c>
    </row>
    <row r="949" spans="1:9" ht="63" x14ac:dyDescent="0.25">
      <c r="A949" s="22" t="s">
        <v>7506</v>
      </c>
      <c r="B949" s="22" t="s">
        <v>4015</v>
      </c>
      <c r="C949" s="22" t="s">
        <v>4016</v>
      </c>
      <c r="D949" s="22" t="s">
        <v>4018</v>
      </c>
      <c r="E949" s="22" t="s">
        <v>4017</v>
      </c>
      <c r="F949" s="22">
        <v>1</v>
      </c>
      <c r="G949" s="22">
        <v>1490</v>
      </c>
      <c r="H949" s="22"/>
      <c r="I949" s="22"/>
    </row>
    <row r="950" spans="1:9" ht="84" x14ac:dyDescent="0.25">
      <c r="A950" s="22" t="s">
        <v>7507</v>
      </c>
      <c r="B950" s="22" t="s">
        <v>4974</v>
      </c>
      <c r="C950" s="22" t="s">
        <v>4975</v>
      </c>
      <c r="D950" s="22" t="s">
        <v>4977</v>
      </c>
      <c r="E950" s="22" t="s">
        <v>4976</v>
      </c>
      <c r="F950" s="22">
        <v>1</v>
      </c>
      <c r="G950" s="22">
        <v>425</v>
      </c>
      <c r="H950" s="22"/>
      <c r="I950" s="22"/>
    </row>
    <row r="951" spans="1:9" ht="84" x14ac:dyDescent="0.25">
      <c r="A951" s="22" t="s">
        <v>7508</v>
      </c>
      <c r="B951" s="22" t="s">
        <v>6160</v>
      </c>
      <c r="C951" s="22" t="s">
        <v>6161</v>
      </c>
      <c r="D951" s="22" t="s">
        <v>6163</v>
      </c>
      <c r="E951" s="22" t="s">
        <v>6162</v>
      </c>
      <c r="F951" s="22">
        <v>1</v>
      </c>
      <c r="G951" s="22">
        <v>235</v>
      </c>
      <c r="H951" s="22"/>
      <c r="I951" s="22"/>
    </row>
    <row r="952" spans="1:9" ht="84" x14ac:dyDescent="0.25">
      <c r="A952" s="22" t="s">
        <v>7509</v>
      </c>
      <c r="B952" s="22" t="s">
        <v>6294</v>
      </c>
      <c r="C952" s="22" t="s">
        <v>6295</v>
      </c>
      <c r="D952" s="22" t="s">
        <v>6297</v>
      </c>
      <c r="E952" s="22" t="s">
        <v>6296</v>
      </c>
      <c r="F952" s="22">
        <v>1</v>
      </c>
      <c r="G952" s="22">
        <v>405</v>
      </c>
      <c r="H952" s="22"/>
      <c r="I952" s="22"/>
    </row>
    <row r="953" spans="1:9" ht="63" x14ac:dyDescent="0.25">
      <c r="A953" s="22" t="s">
        <v>7510</v>
      </c>
      <c r="B953" s="22" t="s">
        <v>6593</v>
      </c>
      <c r="C953" s="22" t="s">
        <v>6594</v>
      </c>
      <c r="D953" s="22" t="s">
        <v>6596</v>
      </c>
      <c r="E953" s="22" t="s">
        <v>6595</v>
      </c>
      <c r="F953" s="22">
        <v>1</v>
      </c>
      <c r="G953" s="22">
        <v>610</v>
      </c>
      <c r="H953" s="22"/>
      <c r="I953" s="22"/>
    </row>
    <row r="954" spans="1:9" ht="84" x14ac:dyDescent="0.25">
      <c r="A954" s="22" t="s">
        <v>7511</v>
      </c>
      <c r="B954" s="22" t="s">
        <v>6619</v>
      </c>
      <c r="C954" s="22" t="s">
        <v>6620</v>
      </c>
      <c r="D954" s="22" t="s">
        <v>6596</v>
      </c>
      <c r="E954" s="22" t="s">
        <v>6621</v>
      </c>
      <c r="F954" s="22">
        <v>1</v>
      </c>
      <c r="G954" s="22">
        <v>500</v>
      </c>
      <c r="H954" s="22"/>
      <c r="I954" s="22"/>
    </row>
    <row r="961" spans="1:9" ht="42" x14ac:dyDescent="0.25">
      <c r="A961" s="6" t="s">
        <v>2971</v>
      </c>
      <c r="H961" s="6" t="s">
        <v>2972</v>
      </c>
    </row>
    <row r="963" spans="1:9" ht="189" x14ac:dyDescent="0.25">
      <c r="A963" s="6" t="s">
        <v>31</v>
      </c>
      <c r="B963" s="6" t="s">
        <v>1277</v>
      </c>
      <c r="D963" s="6" t="s">
        <v>2986</v>
      </c>
      <c r="G963" s="6" t="s">
        <v>2961</v>
      </c>
      <c r="H963" s="6" t="str">
        <f>IFERROR(VLOOKUP(B963,Seller_Details!A:C,3,0),"Not Found")</f>
        <v>Near Al Badie Travel Agency &amp; Tourism Land Mark : Sufyan Ibn Al-Harith Mosque Al Nasser Street,Al Markaziyah Area - Abu Dhabi</v>
      </c>
    </row>
    <row r="964" spans="1:9" x14ac:dyDescent="0.25">
      <c r="A964" s="6" t="s">
        <v>13</v>
      </c>
      <c r="B964" s="6" t="str">
        <f>IFERROR(VLOOKUP(B963,Seller_Details!A:C,2,0),"Not Found")</f>
        <v>V00487</v>
      </c>
      <c r="G964" s="6" t="s">
        <v>2962</v>
      </c>
      <c r="H964" s="24">
        <v>42819</v>
      </c>
    </row>
    <row r="967" spans="1:9" ht="42" x14ac:dyDescent="0.25">
      <c r="A967" s="22" t="s">
        <v>2963</v>
      </c>
      <c r="B967" s="22" t="s">
        <v>2964</v>
      </c>
      <c r="C967" s="22" t="s">
        <v>2965</v>
      </c>
      <c r="D967" s="22" t="s">
        <v>2966</v>
      </c>
      <c r="E967" s="22" t="s">
        <v>2967</v>
      </c>
      <c r="F967" s="22" t="s">
        <v>6</v>
      </c>
      <c r="G967" s="22" t="s">
        <v>2968</v>
      </c>
      <c r="H967" s="22" t="s">
        <v>2969</v>
      </c>
      <c r="I967" s="22" t="s">
        <v>2970</v>
      </c>
    </row>
    <row r="968" spans="1:9" ht="84" x14ac:dyDescent="0.25">
      <c r="A968" s="22" t="s">
        <v>7512</v>
      </c>
      <c r="B968" s="22" t="s">
        <v>3285</v>
      </c>
      <c r="C968" s="22" t="s">
        <v>3286</v>
      </c>
      <c r="D968" s="22" t="s">
        <v>3288</v>
      </c>
      <c r="E968" s="22" t="s">
        <v>3287</v>
      </c>
      <c r="F968" s="22">
        <v>1</v>
      </c>
      <c r="G968" s="22">
        <v>188</v>
      </c>
      <c r="H968" s="22"/>
      <c r="I968" s="22"/>
    </row>
    <row r="969" spans="1:9" ht="84" x14ac:dyDescent="0.25">
      <c r="A969" s="22" t="s">
        <v>7513</v>
      </c>
      <c r="B969" s="22" t="s">
        <v>3571</v>
      </c>
      <c r="C969" s="22" t="s">
        <v>3572</v>
      </c>
      <c r="D969" s="22" t="s">
        <v>3559</v>
      </c>
      <c r="E969" s="22" t="s">
        <v>3573</v>
      </c>
      <c r="F969" s="22">
        <v>1</v>
      </c>
      <c r="G969" s="22">
        <v>828</v>
      </c>
      <c r="H969" s="22"/>
      <c r="I969" s="22"/>
    </row>
    <row r="970" spans="1:9" ht="84" x14ac:dyDescent="0.25">
      <c r="A970" s="22" t="s">
        <v>7514</v>
      </c>
      <c r="B970" s="22" t="s">
        <v>3762</v>
      </c>
      <c r="C970" s="22" t="s">
        <v>3763</v>
      </c>
      <c r="D970" s="22" t="s">
        <v>3734</v>
      </c>
      <c r="E970" s="22" t="s">
        <v>3764</v>
      </c>
      <c r="F970" s="22">
        <v>1</v>
      </c>
      <c r="G970" s="22">
        <v>289</v>
      </c>
      <c r="H970" s="22"/>
      <c r="I970" s="22"/>
    </row>
    <row r="971" spans="1:9" ht="63" x14ac:dyDescent="0.25">
      <c r="A971" s="22" t="s">
        <v>7515</v>
      </c>
      <c r="B971" s="22" t="s">
        <v>3980</v>
      </c>
      <c r="C971" s="22" t="s">
        <v>3981</v>
      </c>
      <c r="D971" s="22" t="s">
        <v>3808</v>
      </c>
      <c r="E971" s="22" t="s">
        <v>3982</v>
      </c>
      <c r="F971" s="22">
        <v>1</v>
      </c>
      <c r="G971" s="22">
        <v>466</v>
      </c>
      <c r="H971" s="22"/>
      <c r="I971" s="22"/>
    </row>
    <row r="972" spans="1:9" ht="105" x14ac:dyDescent="0.25">
      <c r="A972" s="22" t="s">
        <v>7516</v>
      </c>
      <c r="B972" s="22" t="s">
        <v>4062</v>
      </c>
      <c r="C972" s="22" t="s">
        <v>4063</v>
      </c>
      <c r="D972" s="22" t="s">
        <v>6281</v>
      </c>
      <c r="E972" s="22" t="s">
        <v>4064</v>
      </c>
      <c r="F972" s="22">
        <v>1</v>
      </c>
      <c r="G972" s="22">
        <v>415</v>
      </c>
      <c r="H972" s="22"/>
      <c r="I972" s="22"/>
    </row>
    <row r="973" spans="1:9" ht="63" x14ac:dyDescent="0.25">
      <c r="A973" s="22" t="s">
        <v>7517</v>
      </c>
      <c r="B973" s="22" t="s">
        <v>4761</v>
      </c>
      <c r="C973" s="22" t="s">
        <v>4762</v>
      </c>
      <c r="D973" s="22" t="s">
        <v>4764</v>
      </c>
      <c r="E973" s="22" t="s">
        <v>4763</v>
      </c>
      <c r="F973" s="22">
        <v>1</v>
      </c>
      <c r="G973" s="22">
        <v>781</v>
      </c>
      <c r="H973" s="22"/>
      <c r="I973" s="22"/>
    </row>
    <row r="974" spans="1:9" ht="63" x14ac:dyDescent="0.25">
      <c r="A974" s="22" t="s">
        <v>7518</v>
      </c>
      <c r="B974" s="22" t="s">
        <v>4863</v>
      </c>
      <c r="C974" s="22" t="s">
        <v>4864</v>
      </c>
      <c r="D974" s="22" t="s">
        <v>4866</v>
      </c>
      <c r="E974" s="22" t="s">
        <v>4865</v>
      </c>
      <c r="F974" s="22">
        <v>1</v>
      </c>
      <c r="G974" s="22">
        <v>1548</v>
      </c>
      <c r="H974" s="22"/>
      <c r="I974" s="22"/>
    </row>
    <row r="975" spans="1:9" ht="84" x14ac:dyDescent="0.25">
      <c r="A975" s="22" t="s">
        <v>7519</v>
      </c>
      <c r="B975" s="22" t="s">
        <v>4874</v>
      </c>
      <c r="C975" s="22" t="s">
        <v>4875</v>
      </c>
      <c r="D975" s="22" t="s">
        <v>4866</v>
      </c>
      <c r="E975" s="22" t="s">
        <v>4876</v>
      </c>
      <c r="F975" s="22">
        <v>1</v>
      </c>
      <c r="G975" s="22">
        <v>533</v>
      </c>
      <c r="H975" s="22"/>
      <c r="I975" s="22"/>
    </row>
    <row r="976" spans="1:9" ht="84" x14ac:dyDescent="0.25">
      <c r="A976" s="22" t="s">
        <v>7520</v>
      </c>
      <c r="B976" s="22" t="s">
        <v>4923</v>
      </c>
      <c r="C976" s="22" t="s">
        <v>4924</v>
      </c>
      <c r="D976" s="22" t="s">
        <v>4866</v>
      </c>
      <c r="E976" s="22" t="s">
        <v>4925</v>
      </c>
      <c r="F976" s="22">
        <v>1</v>
      </c>
      <c r="G976" s="22">
        <v>489</v>
      </c>
      <c r="H976" s="22"/>
      <c r="I976" s="22"/>
    </row>
    <row r="977" spans="1:9" ht="63" x14ac:dyDescent="0.25">
      <c r="A977" s="22" t="s">
        <v>7521</v>
      </c>
      <c r="B977" s="22" t="s">
        <v>4935</v>
      </c>
      <c r="C977" s="22" t="s">
        <v>4936</v>
      </c>
      <c r="D977" s="22" t="s">
        <v>4938</v>
      </c>
      <c r="E977" s="22" t="s">
        <v>4937</v>
      </c>
      <c r="F977" s="22">
        <v>1</v>
      </c>
      <c r="G977" s="22">
        <v>1740</v>
      </c>
      <c r="H977" s="22"/>
      <c r="I977" s="22"/>
    </row>
    <row r="978" spans="1:9" ht="84" x14ac:dyDescent="0.25">
      <c r="A978" s="22" t="s">
        <v>7522</v>
      </c>
      <c r="B978" s="22" t="s">
        <v>5460</v>
      </c>
      <c r="C978" s="22" t="s">
        <v>5461</v>
      </c>
      <c r="D978" s="22" t="s">
        <v>4866</v>
      </c>
      <c r="E978" s="22" t="s">
        <v>5462</v>
      </c>
      <c r="F978" s="22">
        <v>1</v>
      </c>
      <c r="G978" s="22">
        <v>741</v>
      </c>
      <c r="H978" s="22"/>
      <c r="I978" s="22"/>
    </row>
    <row r="979" spans="1:9" ht="84" x14ac:dyDescent="0.25">
      <c r="A979" s="22" t="s">
        <v>7523</v>
      </c>
      <c r="B979" s="22" t="s">
        <v>5464</v>
      </c>
      <c r="C979" s="22" t="s">
        <v>5465</v>
      </c>
      <c r="D979" s="22" t="s">
        <v>4866</v>
      </c>
      <c r="E979" s="22" t="s">
        <v>5466</v>
      </c>
      <c r="F979" s="22">
        <v>1</v>
      </c>
      <c r="G979" s="22">
        <v>709</v>
      </c>
      <c r="H979" s="22"/>
      <c r="I979" s="22"/>
    </row>
    <row r="980" spans="1:9" ht="105" x14ac:dyDescent="0.25">
      <c r="A980" s="22" t="s">
        <v>7524</v>
      </c>
      <c r="B980" s="22" t="s">
        <v>5502</v>
      </c>
      <c r="C980" s="22" t="s">
        <v>5503</v>
      </c>
      <c r="D980" s="22" t="s">
        <v>4866</v>
      </c>
      <c r="E980" s="22" t="s">
        <v>5504</v>
      </c>
      <c r="F980" s="22">
        <v>1</v>
      </c>
      <c r="G980" s="22">
        <v>1301</v>
      </c>
      <c r="H980" s="22"/>
      <c r="I980" s="22"/>
    </row>
    <row r="981" spans="1:9" ht="84" x14ac:dyDescent="0.25">
      <c r="A981" s="22" t="s">
        <v>7525</v>
      </c>
      <c r="B981" s="22" t="s">
        <v>5660</v>
      </c>
      <c r="C981" s="22" t="s">
        <v>5661</v>
      </c>
      <c r="D981" s="22" t="s">
        <v>4938</v>
      </c>
      <c r="E981" s="22" t="s">
        <v>5662</v>
      </c>
      <c r="F981" s="22">
        <v>1</v>
      </c>
      <c r="G981" s="22">
        <v>138</v>
      </c>
      <c r="H981" s="22"/>
      <c r="I981" s="22"/>
    </row>
    <row r="982" spans="1:9" ht="105" x14ac:dyDescent="0.25">
      <c r="A982" s="22" t="s">
        <v>7526</v>
      </c>
      <c r="B982" s="22" t="s">
        <v>5728</v>
      </c>
      <c r="C982" s="22" t="s">
        <v>5729</v>
      </c>
      <c r="D982" s="22" t="s">
        <v>4866</v>
      </c>
      <c r="E982" s="22" t="s">
        <v>5730</v>
      </c>
      <c r="F982" s="22">
        <v>1</v>
      </c>
      <c r="G982" s="22">
        <v>549</v>
      </c>
      <c r="H982" s="22"/>
      <c r="I982" s="22"/>
    </row>
    <row r="983" spans="1:9" ht="105" x14ac:dyDescent="0.25">
      <c r="A983" s="22" t="s">
        <v>7527</v>
      </c>
      <c r="B983" s="22" t="s">
        <v>5773</v>
      </c>
      <c r="C983" s="22" t="s">
        <v>5774</v>
      </c>
      <c r="D983" s="22" t="s">
        <v>4866</v>
      </c>
      <c r="E983" s="22" t="s">
        <v>5775</v>
      </c>
      <c r="F983" s="22">
        <v>1</v>
      </c>
      <c r="G983" s="22">
        <v>699</v>
      </c>
      <c r="H983" s="22"/>
      <c r="I983" s="22"/>
    </row>
    <row r="984" spans="1:9" ht="105" x14ac:dyDescent="0.25">
      <c r="A984" s="22" t="s">
        <v>7528</v>
      </c>
      <c r="B984" s="22" t="s">
        <v>5827</v>
      </c>
      <c r="C984" s="22" t="s">
        <v>5828</v>
      </c>
      <c r="D984" s="22" t="s">
        <v>4866</v>
      </c>
      <c r="E984" s="22" t="s">
        <v>5829</v>
      </c>
      <c r="F984" s="22">
        <v>1</v>
      </c>
      <c r="G984" s="22">
        <v>589</v>
      </c>
      <c r="H984" s="22"/>
      <c r="I984" s="22"/>
    </row>
    <row r="985" spans="1:9" ht="84" x14ac:dyDescent="0.25">
      <c r="A985" s="22" t="s">
        <v>7529</v>
      </c>
      <c r="B985" s="22" t="s">
        <v>5977</v>
      </c>
      <c r="C985" s="22" t="s">
        <v>5978</v>
      </c>
      <c r="D985" s="22" t="s">
        <v>4938</v>
      </c>
      <c r="E985" s="22" t="s">
        <v>5979</v>
      </c>
      <c r="F985" s="22">
        <v>1</v>
      </c>
      <c r="G985" s="22">
        <v>1130</v>
      </c>
      <c r="H985" s="22"/>
      <c r="I985" s="22"/>
    </row>
    <row r="986" spans="1:9" ht="84" x14ac:dyDescent="0.25">
      <c r="A986" s="22" t="s">
        <v>7530</v>
      </c>
      <c r="B986" s="22" t="s">
        <v>5977</v>
      </c>
      <c r="C986" s="22" t="s">
        <v>5978</v>
      </c>
      <c r="D986" s="22" t="s">
        <v>4938</v>
      </c>
      <c r="E986" s="22" t="s">
        <v>5979</v>
      </c>
      <c r="F986" s="22">
        <v>1</v>
      </c>
      <c r="G986" s="22">
        <v>1130</v>
      </c>
      <c r="H986" s="22"/>
      <c r="I986" s="22"/>
    </row>
    <row r="987" spans="1:9" ht="63" x14ac:dyDescent="0.25">
      <c r="A987" s="22" t="s">
        <v>7531</v>
      </c>
      <c r="B987" s="22" t="s">
        <v>5989</v>
      </c>
      <c r="C987" s="22" t="s">
        <v>5990</v>
      </c>
      <c r="D987" s="22" t="s">
        <v>4938</v>
      </c>
      <c r="E987" s="22" t="s">
        <v>5991</v>
      </c>
      <c r="F987" s="22">
        <v>1</v>
      </c>
      <c r="G987" s="22">
        <v>729</v>
      </c>
      <c r="H987" s="22"/>
      <c r="I987" s="22"/>
    </row>
    <row r="988" spans="1:9" ht="63" x14ac:dyDescent="0.25">
      <c r="A988" s="22" t="s">
        <v>7532</v>
      </c>
      <c r="B988" s="22" t="s">
        <v>6278</v>
      </c>
      <c r="C988" s="22" t="s">
        <v>6279</v>
      </c>
      <c r="D988" s="22" t="s">
        <v>6281</v>
      </c>
      <c r="E988" s="22" t="s">
        <v>6280</v>
      </c>
      <c r="F988" s="22">
        <v>1</v>
      </c>
      <c r="G988" s="22">
        <v>1605</v>
      </c>
      <c r="H988" s="22"/>
      <c r="I988" s="22"/>
    </row>
    <row r="995" spans="1:9" ht="42" x14ac:dyDescent="0.25">
      <c r="A995" s="6" t="s">
        <v>2971</v>
      </c>
      <c r="H995" s="6" t="s">
        <v>2972</v>
      </c>
    </row>
    <row r="997" spans="1:9" ht="147" x14ac:dyDescent="0.25">
      <c r="A997" s="6" t="s">
        <v>31</v>
      </c>
      <c r="B997" s="6" t="s">
        <v>216</v>
      </c>
      <c r="D997" s="6" t="s">
        <v>2987</v>
      </c>
      <c r="G997" s="6" t="s">
        <v>2961</v>
      </c>
      <c r="H997" s="6" t="str">
        <f>IFERROR(VLOOKUP(B997,Seller_Details!A:C,3,0),"Not Found")</f>
        <v>PO Box 51305 ;Dubai UAE; AL fardan Building (opp. choithrams) meena bazar dubai</v>
      </c>
    </row>
    <row r="998" spans="1:9" x14ac:dyDescent="0.25">
      <c r="A998" s="6" t="s">
        <v>13</v>
      </c>
      <c r="B998" s="6" t="str">
        <f>IFERROR(VLOOKUP(B997,Seller_Details!A:C,2,0),"Not Found")</f>
        <v>V00220</v>
      </c>
      <c r="G998" s="6" t="s">
        <v>2962</v>
      </c>
      <c r="H998" s="24">
        <v>42819</v>
      </c>
    </row>
    <row r="1001" spans="1:9" ht="42" x14ac:dyDescent="0.25">
      <c r="A1001" s="22" t="s">
        <v>2963</v>
      </c>
      <c r="B1001" s="22" t="s">
        <v>2964</v>
      </c>
      <c r="C1001" s="22" t="s">
        <v>2965</v>
      </c>
      <c r="D1001" s="22" t="s">
        <v>2966</v>
      </c>
      <c r="E1001" s="22" t="s">
        <v>2967</v>
      </c>
      <c r="F1001" s="22" t="s">
        <v>6</v>
      </c>
      <c r="G1001" s="22" t="s">
        <v>2968</v>
      </c>
      <c r="H1001" s="22" t="s">
        <v>2969</v>
      </c>
      <c r="I1001" s="22" t="s">
        <v>2970</v>
      </c>
    </row>
    <row r="1002" spans="1:9" ht="63" x14ac:dyDescent="0.25">
      <c r="A1002" s="22" t="s">
        <v>7533</v>
      </c>
      <c r="B1002" s="22" t="s">
        <v>4404</v>
      </c>
      <c r="C1002" s="22" t="s">
        <v>4405</v>
      </c>
      <c r="D1002" s="22" t="s">
        <v>6195</v>
      </c>
      <c r="E1002" s="22" t="s">
        <v>4406</v>
      </c>
      <c r="F1002" s="22">
        <v>1</v>
      </c>
      <c r="G1002" s="22">
        <v>1625</v>
      </c>
      <c r="H1002" s="22"/>
      <c r="I1002" s="22"/>
    </row>
    <row r="1003" spans="1:9" ht="63" x14ac:dyDescent="0.25">
      <c r="A1003" s="22" t="s">
        <v>7534</v>
      </c>
      <c r="B1003" s="22" t="s">
        <v>4650</v>
      </c>
      <c r="C1003" s="22" t="s">
        <v>4651</v>
      </c>
      <c r="D1003" s="22" t="s">
        <v>4818</v>
      </c>
      <c r="E1003" s="22" t="s">
        <v>4652</v>
      </c>
      <c r="F1003" s="22">
        <v>1</v>
      </c>
      <c r="G1003" s="22">
        <v>625</v>
      </c>
      <c r="H1003" s="22"/>
      <c r="I1003" s="22"/>
    </row>
    <row r="1004" spans="1:9" ht="63" x14ac:dyDescent="0.25">
      <c r="A1004" s="22" t="s">
        <v>7535</v>
      </c>
      <c r="B1004" s="22" t="s">
        <v>4969</v>
      </c>
      <c r="C1004" s="22" t="s">
        <v>4970</v>
      </c>
      <c r="D1004" s="22" t="s">
        <v>4972</v>
      </c>
      <c r="E1004" s="22" t="s">
        <v>4971</v>
      </c>
      <c r="F1004" s="22">
        <v>1</v>
      </c>
      <c r="G1004" s="22">
        <v>1850</v>
      </c>
      <c r="H1004" s="22"/>
      <c r="I1004" s="22"/>
    </row>
    <row r="1005" spans="1:9" ht="63" x14ac:dyDescent="0.25">
      <c r="A1005" s="22" t="s">
        <v>7536</v>
      </c>
      <c r="B1005" s="22" t="s">
        <v>6547</v>
      </c>
      <c r="C1005" s="22" t="s">
        <v>6548</v>
      </c>
      <c r="D1005" s="22" t="s">
        <v>6550</v>
      </c>
      <c r="E1005" s="22" t="s">
        <v>6549</v>
      </c>
      <c r="F1005" s="22">
        <v>1</v>
      </c>
      <c r="G1005" s="22">
        <v>98</v>
      </c>
      <c r="H1005" s="22"/>
      <c r="I1005" s="22"/>
    </row>
    <row r="1012" spans="1:9" ht="42" x14ac:dyDescent="0.25">
      <c r="A1012" s="6" t="s">
        <v>2971</v>
      </c>
      <c r="H1012" s="6" t="s">
        <v>2972</v>
      </c>
    </row>
    <row r="1014" spans="1:9" ht="126" x14ac:dyDescent="0.25">
      <c r="A1014" s="6" t="s">
        <v>31</v>
      </c>
      <c r="B1014" s="6" t="s">
        <v>1799</v>
      </c>
      <c r="D1014" s="6" t="s">
        <v>2988</v>
      </c>
      <c r="G1014" s="6" t="s">
        <v>2961</v>
      </c>
      <c r="H1014" s="6" t="str">
        <f>IFERROR(VLOOKUP(B1014,Seller_Details!A:C,3,0),"Not Found")</f>
        <v>Dubai South business center, Logistics- viation City-PO Box 390667, Dubai UAE</v>
      </c>
    </row>
    <row r="1015" spans="1:9" x14ac:dyDescent="0.25">
      <c r="A1015" s="6" t="s">
        <v>13</v>
      </c>
      <c r="B1015" s="6" t="str">
        <f>IFERROR(VLOOKUP(B1014,Seller_Details!A:C,2,0),"Not Found")</f>
        <v>V00620</v>
      </c>
      <c r="G1015" s="6" t="s">
        <v>2962</v>
      </c>
      <c r="H1015" s="24">
        <v>42819</v>
      </c>
    </row>
    <row r="1018" spans="1:9" ht="42" x14ac:dyDescent="0.25">
      <c r="A1018" s="22" t="s">
        <v>2963</v>
      </c>
      <c r="B1018" s="22" t="s">
        <v>2964</v>
      </c>
      <c r="C1018" s="22" t="s">
        <v>2965</v>
      </c>
      <c r="D1018" s="22" t="s">
        <v>2966</v>
      </c>
      <c r="E1018" s="22" t="s">
        <v>2967</v>
      </c>
      <c r="F1018" s="22" t="s">
        <v>6</v>
      </c>
      <c r="G1018" s="22" t="s">
        <v>2968</v>
      </c>
      <c r="H1018" s="22" t="s">
        <v>2969</v>
      </c>
      <c r="I1018" s="22" t="s">
        <v>2970</v>
      </c>
    </row>
    <row r="1019" spans="1:9" ht="63" x14ac:dyDescent="0.25">
      <c r="A1019" s="22" t="s">
        <v>7537</v>
      </c>
      <c r="B1019" s="22" t="s">
        <v>6333</v>
      </c>
      <c r="C1019" s="22" t="s">
        <v>6334</v>
      </c>
      <c r="D1019" s="22" t="s">
        <v>6336</v>
      </c>
      <c r="E1019" s="22" t="s">
        <v>6335</v>
      </c>
      <c r="F1019" s="22">
        <v>1</v>
      </c>
      <c r="G1019" s="22">
        <v>723</v>
      </c>
      <c r="H1019" s="22"/>
      <c r="I1019" s="22"/>
    </row>
    <row r="1026" spans="1:9" ht="42" x14ac:dyDescent="0.25">
      <c r="A1026" s="6" t="s">
        <v>2971</v>
      </c>
      <c r="H1026" s="6" t="s">
        <v>2972</v>
      </c>
    </row>
    <row r="1028" spans="1:9" ht="84" x14ac:dyDescent="0.25">
      <c r="A1028" s="6" t="s">
        <v>31</v>
      </c>
      <c r="B1028" s="6" t="s">
        <v>1711</v>
      </c>
      <c r="D1028" s="6" t="s">
        <v>2989</v>
      </c>
      <c r="G1028" s="6" t="s">
        <v>2961</v>
      </c>
      <c r="H1028" s="6" t="str">
        <f>IFERROR(VLOOKUP(B1028,Seller_Details!A:C,3,0),"Not Found")</f>
        <v>211, Gargash centre, Baniyas Square, Deira Dubai</v>
      </c>
    </row>
    <row r="1029" spans="1:9" x14ac:dyDescent="0.25">
      <c r="A1029" s="6" t="s">
        <v>13</v>
      </c>
      <c r="B1029" s="6" t="str">
        <f>IFERROR(VLOOKUP(B1028,Seller_Details!A:C,2,0),"Not Found")</f>
        <v>V00605</v>
      </c>
      <c r="G1029" s="6" t="s">
        <v>2962</v>
      </c>
      <c r="H1029" s="24">
        <v>42819</v>
      </c>
    </row>
    <row r="1032" spans="1:9" ht="42" x14ac:dyDescent="0.25">
      <c r="A1032" s="22" t="s">
        <v>2963</v>
      </c>
      <c r="B1032" s="22" t="s">
        <v>2964</v>
      </c>
      <c r="C1032" s="22" t="s">
        <v>2965</v>
      </c>
      <c r="D1032" s="22" t="s">
        <v>2966</v>
      </c>
      <c r="E1032" s="22" t="s">
        <v>2967</v>
      </c>
      <c r="F1032" s="22" t="s">
        <v>6</v>
      </c>
      <c r="G1032" s="22" t="s">
        <v>2968</v>
      </c>
      <c r="H1032" s="22" t="s">
        <v>2969</v>
      </c>
      <c r="I1032" s="22" t="s">
        <v>2970</v>
      </c>
    </row>
    <row r="1033" spans="1:9" ht="126" x14ac:dyDescent="0.25">
      <c r="A1033" s="22" t="s">
        <v>7538</v>
      </c>
      <c r="B1033" s="22" t="s">
        <v>3190</v>
      </c>
      <c r="C1033" s="22" t="s">
        <v>3191</v>
      </c>
      <c r="D1033" s="22" t="s">
        <v>6264</v>
      </c>
      <c r="E1033" s="22" t="s">
        <v>3192</v>
      </c>
      <c r="F1033" s="22">
        <v>1</v>
      </c>
      <c r="G1033" s="22">
        <v>108</v>
      </c>
      <c r="H1033" s="22"/>
      <c r="I1033" s="22"/>
    </row>
    <row r="1034" spans="1:9" ht="105" x14ac:dyDescent="0.25">
      <c r="A1034" s="22" t="s">
        <v>7539</v>
      </c>
      <c r="B1034" s="22" t="s">
        <v>3409</v>
      </c>
      <c r="C1034" s="22" t="s">
        <v>3410</v>
      </c>
      <c r="D1034" s="22" t="s">
        <v>3411</v>
      </c>
      <c r="E1034" s="22" t="s">
        <v>4868</v>
      </c>
      <c r="F1034" s="22">
        <v>1</v>
      </c>
      <c r="G1034" s="22">
        <v>375</v>
      </c>
      <c r="H1034" s="22"/>
      <c r="I1034" s="22"/>
    </row>
    <row r="1035" spans="1:9" ht="63" x14ac:dyDescent="0.25">
      <c r="A1035" s="22" t="s">
        <v>7540</v>
      </c>
      <c r="B1035" s="22" t="s">
        <v>4257</v>
      </c>
      <c r="C1035" s="22" t="s">
        <v>4258</v>
      </c>
      <c r="D1035" s="22" t="s">
        <v>5853</v>
      </c>
      <c r="E1035" s="22" t="s">
        <v>4259</v>
      </c>
      <c r="F1035" s="22">
        <v>1</v>
      </c>
      <c r="G1035" s="22">
        <v>79</v>
      </c>
      <c r="H1035" s="22"/>
      <c r="I1035" s="22"/>
    </row>
    <row r="1036" spans="1:9" ht="63" x14ac:dyDescent="0.25">
      <c r="A1036" s="22" t="s">
        <v>7541</v>
      </c>
      <c r="B1036" s="22" t="s">
        <v>4257</v>
      </c>
      <c r="C1036" s="22" t="s">
        <v>4258</v>
      </c>
      <c r="D1036" s="22" t="s">
        <v>5853</v>
      </c>
      <c r="E1036" s="22" t="s">
        <v>4259</v>
      </c>
      <c r="F1036" s="22">
        <v>1</v>
      </c>
      <c r="G1036" s="22">
        <v>79</v>
      </c>
      <c r="H1036" s="22"/>
      <c r="I1036" s="22"/>
    </row>
    <row r="1037" spans="1:9" ht="63" x14ac:dyDescent="0.25">
      <c r="A1037" s="22" t="s">
        <v>7542</v>
      </c>
      <c r="B1037" s="22" t="s">
        <v>4257</v>
      </c>
      <c r="C1037" s="22" t="s">
        <v>4258</v>
      </c>
      <c r="D1037" s="22" t="s">
        <v>6264</v>
      </c>
      <c r="E1037" s="22" t="s">
        <v>4259</v>
      </c>
      <c r="F1037" s="22">
        <v>1</v>
      </c>
      <c r="G1037" s="22">
        <v>79</v>
      </c>
      <c r="H1037" s="22"/>
      <c r="I1037" s="22"/>
    </row>
    <row r="1038" spans="1:9" ht="63" x14ac:dyDescent="0.25">
      <c r="A1038" s="22" t="s">
        <v>7543</v>
      </c>
      <c r="B1038" s="22" t="s">
        <v>4257</v>
      </c>
      <c r="C1038" s="22" t="s">
        <v>4258</v>
      </c>
      <c r="D1038" s="22" t="s">
        <v>6264</v>
      </c>
      <c r="E1038" s="22" t="s">
        <v>4259</v>
      </c>
      <c r="F1038" s="22">
        <v>1</v>
      </c>
      <c r="G1038" s="22">
        <v>79</v>
      </c>
      <c r="H1038" s="22"/>
      <c r="I1038" s="22"/>
    </row>
    <row r="1039" spans="1:9" ht="84" x14ac:dyDescent="0.25">
      <c r="A1039" s="22" t="s">
        <v>7544</v>
      </c>
      <c r="B1039" s="22" t="s">
        <v>4362</v>
      </c>
      <c r="C1039" s="22" t="s">
        <v>4363</v>
      </c>
      <c r="D1039" s="22" t="s">
        <v>6264</v>
      </c>
      <c r="E1039" s="22" t="s">
        <v>4364</v>
      </c>
      <c r="F1039" s="22">
        <v>1</v>
      </c>
      <c r="G1039" s="22">
        <v>37</v>
      </c>
      <c r="H1039" s="22"/>
      <c r="I1039" s="22"/>
    </row>
    <row r="1040" spans="1:9" ht="105" x14ac:dyDescent="0.25">
      <c r="A1040" s="22" t="s">
        <v>7545</v>
      </c>
      <c r="B1040" s="22" t="s">
        <v>6261</v>
      </c>
      <c r="C1040" s="22" t="s">
        <v>6262</v>
      </c>
      <c r="D1040" s="22" t="s">
        <v>6264</v>
      </c>
      <c r="E1040" s="22" t="s">
        <v>6263</v>
      </c>
      <c r="F1040" s="22">
        <v>1</v>
      </c>
      <c r="G1040" s="22">
        <v>71</v>
      </c>
      <c r="H1040" s="22"/>
      <c r="I1040" s="22"/>
    </row>
    <row r="1041" spans="1:9" ht="84" x14ac:dyDescent="0.25">
      <c r="A1041" s="22" t="s">
        <v>7546</v>
      </c>
      <c r="B1041" s="22" t="s">
        <v>6271</v>
      </c>
      <c r="C1041" s="22" t="s">
        <v>6272</v>
      </c>
      <c r="D1041" s="22" t="s">
        <v>6264</v>
      </c>
      <c r="E1041" s="22" t="s">
        <v>6273</v>
      </c>
      <c r="F1041" s="22">
        <v>1</v>
      </c>
      <c r="G1041" s="22">
        <v>55</v>
      </c>
      <c r="H1041" s="22"/>
      <c r="I1041" s="22"/>
    </row>
    <row r="1042" spans="1:9" ht="84" x14ac:dyDescent="0.25">
      <c r="A1042" s="22" t="s">
        <v>7547</v>
      </c>
      <c r="B1042" s="22" t="s">
        <v>6271</v>
      </c>
      <c r="C1042" s="22" t="s">
        <v>6272</v>
      </c>
      <c r="D1042" s="22" t="s">
        <v>6264</v>
      </c>
      <c r="E1042" s="22" t="s">
        <v>6273</v>
      </c>
      <c r="F1042" s="22">
        <v>1</v>
      </c>
      <c r="G1042" s="22">
        <v>55</v>
      </c>
      <c r="H1042" s="22"/>
      <c r="I1042" s="22"/>
    </row>
    <row r="1043" spans="1:9" ht="84" x14ac:dyDescent="0.25">
      <c r="A1043" s="22" t="s">
        <v>7548</v>
      </c>
      <c r="B1043" s="22" t="s">
        <v>6271</v>
      </c>
      <c r="C1043" s="22" t="s">
        <v>6272</v>
      </c>
      <c r="D1043" s="22" t="s">
        <v>6264</v>
      </c>
      <c r="E1043" s="22" t="s">
        <v>6273</v>
      </c>
      <c r="F1043" s="22">
        <v>1</v>
      </c>
      <c r="G1043" s="22">
        <v>55</v>
      </c>
      <c r="H1043" s="22"/>
      <c r="I1043" s="22"/>
    </row>
    <row r="1044" spans="1:9" ht="84" x14ac:dyDescent="0.25">
      <c r="A1044" s="22" t="s">
        <v>7549</v>
      </c>
      <c r="B1044" s="22" t="s">
        <v>6352</v>
      </c>
      <c r="C1044" s="22" t="s">
        <v>6353</v>
      </c>
      <c r="D1044" s="22" t="s">
        <v>6264</v>
      </c>
      <c r="E1044" s="22" t="s">
        <v>6354</v>
      </c>
      <c r="F1044" s="22">
        <v>1</v>
      </c>
      <c r="G1044" s="22">
        <v>42</v>
      </c>
      <c r="H1044" s="22"/>
      <c r="I1044" s="22"/>
    </row>
    <row r="1045" spans="1:9" ht="84" x14ac:dyDescent="0.25">
      <c r="A1045" s="22" t="s">
        <v>7550</v>
      </c>
      <c r="B1045" s="22" t="s">
        <v>6539</v>
      </c>
      <c r="C1045" s="22" t="s">
        <v>6540</v>
      </c>
      <c r="D1045" s="22" t="s">
        <v>6264</v>
      </c>
      <c r="E1045" s="22" t="s">
        <v>6541</v>
      </c>
      <c r="F1045" s="22">
        <v>1</v>
      </c>
      <c r="G1045" s="22">
        <v>44</v>
      </c>
      <c r="H1045" s="22"/>
      <c r="I1045" s="22"/>
    </row>
    <row r="1052" spans="1:9" ht="42" x14ac:dyDescent="0.25">
      <c r="A1052" s="6" t="s">
        <v>2971</v>
      </c>
      <c r="H1052" s="6" t="s">
        <v>2972</v>
      </c>
    </row>
    <row r="1054" spans="1:9" ht="189" x14ac:dyDescent="0.25">
      <c r="A1054" s="6" t="s">
        <v>31</v>
      </c>
      <c r="B1054" s="6" t="s">
        <v>174</v>
      </c>
      <c r="D1054" s="6" t="s">
        <v>2990</v>
      </c>
      <c r="G1054" s="6" t="s">
        <v>2961</v>
      </c>
      <c r="H1054" s="6" t="str">
        <f>IFERROR(VLOOKUP(B1054,Seller_Details!A:C,3,0),"Not Found")</f>
        <v>BAIT AL ARAB LLC ;SHOP NO 7; AL NASR PLAZA BLDG; BESIDES OUD METHA METRO STATION; OUD METHA ROAD; DUBAI; UAE</v>
      </c>
    </row>
    <row r="1055" spans="1:9" x14ac:dyDescent="0.25">
      <c r="A1055" s="6" t="s">
        <v>13</v>
      </c>
      <c r="B1055" s="6" t="str">
        <f>IFERROR(VLOOKUP(B1054,Seller_Details!A:C,2,0),"Not Found")</f>
        <v>V00004</v>
      </c>
      <c r="G1055" s="6" t="s">
        <v>2962</v>
      </c>
      <c r="H1055" s="24">
        <v>42819</v>
      </c>
    </row>
    <row r="1058" spans="1:9" ht="42" x14ac:dyDescent="0.25">
      <c r="A1058" s="22" t="s">
        <v>2963</v>
      </c>
      <c r="B1058" s="22" t="s">
        <v>2964</v>
      </c>
      <c r="C1058" s="22" t="s">
        <v>2965</v>
      </c>
      <c r="D1058" s="22" t="s">
        <v>2966</v>
      </c>
      <c r="E1058" s="22" t="s">
        <v>2967</v>
      </c>
      <c r="F1058" s="22" t="s">
        <v>6</v>
      </c>
      <c r="G1058" s="22" t="s">
        <v>2968</v>
      </c>
      <c r="H1058" s="22" t="s">
        <v>2969</v>
      </c>
      <c r="I1058" s="22" t="s">
        <v>2970</v>
      </c>
    </row>
    <row r="1059" spans="1:9" ht="84" x14ac:dyDescent="0.25">
      <c r="A1059" s="22" t="s">
        <v>7551</v>
      </c>
      <c r="B1059" s="22" t="s">
        <v>3202</v>
      </c>
      <c r="C1059" s="22" t="s">
        <v>3203</v>
      </c>
      <c r="D1059" s="22" t="s">
        <v>3205</v>
      </c>
      <c r="E1059" s="22" t="s">
        <v>3204</v>
      </c>
      <c r="F1059" s="22">
        <v>1</v>
      </c>
      <c r="G1059" s="22">
        <v>48</v>
      </c>
      <c r="H1059" s="22"/>
      <c r="I1059" s="22"/>
    </row>
    <row r="1060" spans="1:9" ht="105" x14ac:dyDescent="0.25">
      <c r="A1060" s="22" t="s">
        <v>7552</v>
      </c>
      <c r="B1060" s="22" t="s">
        <v>3933</v>
      </c>
      <c r="C1060" s="22" t="s">
        <v>3934</v>
      </c>
      <c r="D1060" s="22" t="s">
        <v>6139</v>
      </c>
      <c r="E1060" s="22" t="s">
        <v>3935</v>
      </c>
      <c r="F1060" s="22">
        <v>1</v>
      </c>
      <c r="G1060" s="22">
        <v>46</v>
      </c>
      <c r="H1060" s="22"/>
      <c r="I1060" s="22"/>
    </row>
    <row r="1061" spans="1:9" ht="105" x14ac:dyDescent="0.25">
      <c r="A1061" s="22" t="s">
        <v>7553</v>
      </c>
      <c r="B1061" s="22" t="s">
        <v>3972</v>
      </c>
      <c r="C1061" s="22" t="s">
        <v>3973</v>
      </c>
      <c r="D1061" s="22" t="s">
        <v>5443</v>
      </c>
      <c r="E1061" s="22" t="s">
        <v>5442</v>
      </c>
      <c r="F1061" s="22">
        <v>1</v>
      </c>
      <c r="G1061" s="22">
        <v>135</v>
      </c>
      <c r="H1061" s="22"/>
      <c r="I1061" s="22"/>
    </row>
    <row r="1062" spans="1:9" ht="84" x14ac:dyDescent="0.25">
      <c r="A1062" s="22" t="s">
        <v>7554</v>
      </c>
      <c r="B1062" s="22" t="s">
        <v>4044</v>
      </c>
      <c r="C1062" s="22" t="s">
        <v>4045</v>
      </c>
      <c r="D1062" s="22" t="s">
        <v>6139</v>
      </c>
      <c r="E1062" s="22" t="s">
        <v>4046</v>
      </c>
      <c r="F1062" s="22">
        <v>1</v>
      </c>
      <c r="G1062" s="22">
        <v>42</v>
      </c>
      <c r="H1062" s="22"/>
      <c r="I1062" s="22"/>
    </row>
    <row r="1063" spans="1:9" ht="63" x14ac:dyDescent="0.25">
      <c r="A1063" s="22" t="s">
        <v>7555</v>
      </c>
      <c r="B1063" s="22" t="s">
        <v>4742</v>
      </c>
      <c r="C1063" s="22" t="s">
        <v>4743</v>
      </c>
      <c r="D1063" s="22" t="s">
        <v>4745</v>
      </c>
      <c r="E1063" s="22" t="s">
        <v>4744</v>
      </c>
      <c r="F1063" s="22">
        <v>1</v>
      </c>
      <c r="G1063" s="22">
        <v>810</v>
      </c>
      <c r="H1063" s="22"/>
      <c r="I1063" s="22"/>
    </row>
    <row r="1064" spans="1:9" ht="84" x14ac:dyDescent="0.25">
      <c r="A1064" s="22" t="s">
        <v>7556</v>
      </c>
      <c r="B1064" s="22" t="s">
        <v>4756</v>
      </c>
      <c r="C1064" s="22" t="s">
        <v>4757</v>
      </c>
      <c r="D1064" s="22" t="s">
        <v>4759</v>
      </c>
      <c r="E1064" s="22" t="s">
        <v>4758</v>
      </c>
      <c r="F1064" s="22">
        <v>1</v>
      </c>
      <c r="G1064" s="22">
        <v>190</v>
      </c>
      <c r="H1064" s="22"/>
      <c r="I1064" s="22"/>
    </row>
    <row r="1065" spans="1:9" ht="63" x14ac:dyDescent="0.25">
      <c r="A1065" s="22" t="s">
        <v>7557</v>
      </c>
      <c r="B1065" s="22" t="s">
        <v>6136</v>
      </c>
      <c r="C1065" s="22" t="s">
        <v>6137</v>
      </c>
      <c r="D1065" s="22" t="s">
        <v>6139</v>
      </c>
      <c r="E1065" s="22" t="s">
        <v>6138</v>
      </c>
      <c r="F1065" s="22">
        <v>1</v>
      </c>
      <c r="G1065" s="22">
        <v>155</v>
      </c>
      <c r="H1065" s="22"/>
      <c r="I1065" s="22"/>
    </row>
    <row r="1066" spans="1:9" ht="63" x14ac:dyDescent="0.25">
      <c r="A1066" s="22" t="s">
        <v>7558</v>
      </c>
      <c r="B1066" s="22" t="s">
        <v>6340</v>
      </c>
      <c r="C1066" s="22" t="s">
        <v>6341</v>
      </c>
      <c r="D1066" s="22" t="s">
        <v>6139</v>
      </c>
      <c r="E1066" s="22" t="s">
        <v>6342</v>
      </c>
      <c r="F1066" s="22">
        <v>1</v>
      </c>
      <c r="G1066" s="22">
        <v>215</v>
      </c>
      <c r="H1066" s="22"/>
      <c r="I1066" s="22"/>
    </row>
    <row r="1067" spans="1:9" ht="63" x14ac:dyDescent="0.25">
      <c r="A1067" s="22" t="s">
        <v>7559</v>
      </c>
      <c r="B1067" s="22" t="s">
        <v>6340</v>
      </c>
      <c r="C1067" s="22" t="s">
        <v>6341</v>
      </c>
      <c r="D1067" s="22" t="s">
        <v>6139</v>
      </c>
      <c r="E1067" s="22" t="s">
        <v>6342</v>
      </c>
      <c r="F1067" s="22">
        <v>1</v>
      </c>
      <c r="G1067" s="22">
        <v>215</v>
      </c>
      <c r="H1067" s="22"/>
      <c r="I1067" s="22"/>
    </row>
    <row r="1068" spans="1:9" ht="84" x14ac:dyDescent="0.25">
      <c r="A1068" s="22" t="s">
        <v>7560</v>
      </c>
      <c r="B1068" s="22" t="s">
        <v>6344</v>
      </c>
      <c r="C1068" s="22" t="s">
        <v>6345</v>
      </c>
      <c r="D1068" s="22" t="s">
        <v>6347</v>
      </c>
      <c r="E1068" s="22" t="s">
        <v>6346</v>
      </c>
      <c r="F1068" s="22">
        <v>1</v>
      </c>
      <c r="G1068" s="22">
        <v>178</v>
      </c>
      <c r="H1068" s="22"/>
      <c r="I1068" s="22"/>
    </row>
    <row r="1069" spans="1:9" ht="84" x14ac:dyDescent="0.25">
      <c r="A1069" s="22" t="s">
        <v>7561</v>
      </c>
      <c r="B1069" s="22" t="s">
        <v>6480</v>
      </c>
      <c r="C1069" s="22" t="s">
        <v>6481</v>
      </c>
      <c r="D1069" s="22" t="s">
        <v>6139</v>
      </c>
      <c r="E1069" s="22" t="s">
        <v>6482</v>
      </c>
      <c r="F1069" s="22">
        <v>1</v>
      </c>
      <c r="G1069" s="22">
        <v>52</v>
      </c>
      <c r="H1069" s="22"/>
      <c r="I1069" s="22"/>
    </row>
    <row r="1070" spans="1:9" ht="63" x14ac:dyDescent="0.25">
      <c r="A1070" s="22" t="s">
        <v>7562</v>
      </c>
      <c r="B1070" s="22" t="s">
        <v>6506</v>
      </c>
      <c r="C1070" s="22" t="s">
        <v>6507</v>
      </c>
      <c r="D1070" s="22" t="s">
        <v>6139</v>
      </c>
      <c r="E1070" s="22" t="s">
        <v>6508</v>
      </c>
      <c r="F1070" s="22">
        <v>1</v>
      </c>
      <c r="G1070" s="22">
        <v>208</v>
      </c>
      <c r="H1070" s="22"/>
      <c r="I1070" s="22"/>
    </row>
    <row r="1071" spans="1:9" ht="126" x14ac:dyDescent="0.25">
      <c r="A1071" s="22" t="s">
        <v>7563</v>
      </c>
      <c r="B1071" s="22" t="s">
        <v>6687</v>
      </c>
      <c r="C1071" s="22" t="s">
        <v>6688</v>
      </c>
      <c r="D1071" s="22" t="s">
        <v>6347</v>
      </c>
      <c r="E1071" s="22" t="s">
        <v>6689</v>
      </c>
      <c r="F1071" s="22">
        <v>1</v>
      </c>
      <c r="G1071" s="22">
        <v>150</v>
      </c>
      <c r="H1071" s="22"/>
      <c r="I1071" s="22"/>
    </row>
    <row r="1078" spans="1:9" ht="42" x14ac:dyDescent="0.25">
      <c r="A1078" s="6" t="s">
        <v>2971</v>
      </c>
      <c r="H1078" s="6" t="s">
        <v>2972</v>
      </c>
    </row>
    <row r="1080" spans="1:9" ht="168" x14ac:dyDescent="0.25">
      <c r="A1080" s="6" t="s">
        <v>31</v>
      </c>
      <c r="B1080" s="6" t="s">
        <v>373</v>
      </c>
      <c r="D1080" s="6" t="s">
        <v>2991</v>
      </c>
      <c r="G1080" s="6" t="s">
        <v>2961</v>
      </c>
      <c r="H1080" s="6" t="str">
        <f>IFERROR(VLOOKUP(B1080,Seller_Details!A:C,3,0),"Not Found")</f>
        <v>MID Asia TRd; OFF #302;3rd floor Iran Insurance Buinding near Union Metro . Al Maktoum RD. Deira Dubai UAE</v>
      </c>
    </row>
    <row r="1081" spans="1:9" x14ac:dyDescent="0.25">
      <c r="A1081" s="6" t="s">
        <v>13</v>
      </c>
      <c r="B1081" s="6" t="str">
        <f>IFERROR(VLOOKUP(B1080,Seller_Details!A:C,2,0),"Not Found")</f>
        <v>V00230</v>
      </c>
      <c r="G1081" s="6" t="s">
        <v>2962</v>
      </c>
      <c r="H1081" s="24">
        <v>42819</v>
      </c>
    </row>
    <row r="1084" spans="1:9" ht="42" x14ac:dyDescent="0.25">
      <c r="A1084" s="22" t="s">
        <v>2963</v>
      </c>
      <c r="B1084" s="22" t="s">
        <v>2964</v>
      </c>
      <c r="C1084" s="22" t="s">
        <v>2965</v>
      </c>
      <c r="D1084" s="22" t="s">
        <v>2966</v>
      </c>
      <c r="E1084" s="22" t="s">
        <v>2967</v>
      </c>
      <c r="F1084" s="22" t="s">
        <v>6</v>
      </c>
      <c r="G1084" s="22" t="s">
        <v>2968</v>
      </c>
      <c r="H1084" s="22" t="s">
        <v>2969</v>
      </c>
      <c r="I1084" s="22" t="s">
        <v>2970</v>
      </c>
    </row>
    <row r="1085" spans="1:9" ht="63" x14ac:dyDescent="0.25">
      <c r="A1085" s="22" t="s">
        <v>7564</v>
      </c>
      <c r="B1085" s="22" t="s">
        <v>3442</v>
      </c>
      <c r="C1085" s="22" t="s">
        <v>3443</v>
      </c>
      <c r="D1085" s="22" t="s">
        <v>3444</v>
      </c>
      <c r="E1085" s="22" t="s">
        <v>4869</v>
      </c>
      <c r="F1085" s="22">
        <v>1</v>
      </c>
      <c r="G1085" s="22">
        <v>255</v>
      </c>
      <c r="H1085" s="22"/>
      <c r="I1085" s="22"/>
    </row>
    <row r="1086" spans="1:9" ht="84" x14ac:dyDescent="0.25">
      <c r="A1086" s="22" t="s">
        <v>7565</v>
      </c>
      <c r="B1086" s="22" t="s">
        <v>5909</v>
      </c>
      <c r="C1086" s="22" t="s">
        <v>5910</v>
      </c>
      <c r="D1086" s="22" t="s">
        <v>5912</v>
      </c>
      <c r="E1086" s="22" t="s">
        <v>5911</v>
      </c>
      <c r="F1086" s="22">
        <v>1</v>
      </c>
      <c r="G1086" s="22">
        <v>297</v>
      </c>
      <c r="H1086" s="22"/>
      <c r="I1086" s="22"/>
    </row>
    <row r="1087" spans="1:9" ht="84" x14ac:dyDescent="0.25">
      <c r="A1087" s="22" t="s">
        <v>7566</v>
      </c>
      <c r="B1087" s="22" t="s">
        <v>6319</v>
      </c>
      <c r="C1087" s="22" t="s">
        <v>6320</v>
      </c>
      <c r="D1087" s="22" t="s">
        <v>5912</v>
      </c>
      <c r="E1087" s="22" t="s">
        <v>6321</v>
      </c>
      <c r="F1087" s="22">
        <v>1</v>
      </c>
      <c r="G1087" s="22">
        <v>255</v>
      </c>
      <c r="H1087" s="22"/>
      <c r="I1087" s="22"/>
    </row>
    <row r="1094" spans="1:9" ht="42" x14ac:dyDescent="0.25">
      <c r="A1094" s="6" t="s">
        <v>2971</v>
      </c>
      <c r="H1094" s="6" t="s">
        <v>2972</v>
      </c>
    </row>
    <row r="1096" spans="1:9" ht="147" x14ac:dyDescent="0.25">
      <c r="A1096" s="6" t="s">
        <v>31</v>
      </c>
      <c r="B1096" s="6" t="s">
        <v>220</v>
      </c>
      <c r="D1096" s="6" t="s">
        <v>2992</v>
      </c>
      <c r="G1096" s="6" t="s">
        <v>2961</v>
      </c>
      <c r="H1096" s="6" t="str">
        <f>IFERROR(VLOOKUP(B1096,Seller_Details!A:C,3,0),"Not Found")</f>
        <v>PO Box 376920;Office No 941C;9th Floor;Office Tower;Al Ghurair;Center Dubai;UAE</v>
      </c>
    </row>
    <row r="1097" spans="1:9" x14ac:dyDescent="0.25">
      <c r="A1097" s="6" t="s">
        <v>13</v>
      </c>
      <c r="B1097" s="6" t="str">
        <f>IFERROR(VLOOKUP(B1096,Seller_Details!A:C,2,0),"Not Found")</f>
        <v>V00229</v>
      </c>
      <c r="G1097" s="6" t="s">
        <v>2962</v>
      </c>
      <c r="H1097" s="24">
        <v>42819</v>
      </c>
    </row>
    <row r="1100" spans="1:9" ht="42" x14ac:dyDescent="0.25">
      <c r="A1100" s="22" t="s">
        <v>2963</v>
      </c>
      <c r="B1100" s="22" t="s">
        <v>2964</v>
      </c>
      <c r="C1100" s="22" t="s">
        <v>2965</v>
      </c>
      <c r="D1100" s="22" t="s">
        <v>2966</v>
      </c>
      <c r="E1100" s="22" t="s">
        <v>2967</v>
      </c>
      <c r="F1100" s="22" t="s">
        <v>6</v>
      </c>
      <c r="G1100" s="22" t="s">
        <v>2968</v>
      </c>
      <c r="H1100" s="22" t="s">
        <v>2969</v>
      </c>
      <c r="I1100" s="22" t="s">
        <v>2970</v>
      </c>
    </row>
    <row r="1101" spans="1:9" ht="63" x14ac:dyDescent="0.25">
      <c r="A1101" s="22" t="s">
        <v>7567</v>
      </c>
      <c r="B1101" s="22" t="s">
        <v>4134</v>
      </c>
      <c r="C1101" s="22" t="s">
        <v>4135</v>
      </c>
      <c r="D1101" s="22" t="s">
        <v>6205</v>
      </c>
      <c r="E1101" s="22" t="s">
        <v>4136</v>
      </c>
      <c r="F1101" s="22">
        <v>1</v>
      </c>
      <c r="G1101" s="22">
        <v>105</v>
      </c>
      <c r="H1101" s="22"/>
      <c r="I1101" s="22"/>
    </row>
    <row r="1102" spans="1:9" ht="63" x14ac:dyDescent="0.25">
      <c r="A1102" s="22" t="s">
        <v>7568</v>
      </c>
      <c r="B1102" s="22" t="s">
        <v>4134</v>
      </c>
      <c r="C1102" s="22" t="s">
        <v>4135</v>
      </c>
      <c r="D1102" s="22" t="s">
        <v>6205</v>
      </c>
      <c r="E1102" s="22" t="s">
        <v>4136</v>
      </c>
      <c r="F1102" s="22">
        <v>1</v>
      </c>
      <c r="G1102" s="22">
        <v>105</v>
      </c>
      <c r="H1102" s="22"/>
      <c r="I1102" s="22"/>
    </row>
    <row r="1103" spans="1:9" ht="63" x14ac:dyDescent="0.25">
      <c r="A1103" s="22" t="s">
        <v>7569</v>
      </c>
      <c r="B1103" s="22" t="s">
        <v>4134</v>
      </c>
      <c r="C1103" s="22" t="s">
        <v>4135</v>
      </c>
      <c r="D1103" s="22" t="s">
        <v>6205</v>
      </c>
      <c r="E1103" s="22" t="s">
        <v>4136</v>
      </c>
      <c r="F1103" s="22">
        <v>1</v>
      </c>
      <c r="G1103" s="22">
        <v>105</v>
      </c>
      <c r="H1103" s="22"/>
      <c r="I1103" s="22"/>
    </row>
    <row r="1104" spans="1:9" ht="63" x14ac:dyDescent="0.25">
      <c r="A1104" s="22" t="s">
        <v>7570</v>
      </c>
      <c r="B1104" s="22" t="s">
        <v>4134</v>
      </c>
      <c r="C1104" s="22" t="s">
        <v>4135</v>
      </c>
      <c r="D1104" s="22" t="s">
        <v>6205</v>
      </c>
      <c r="E1104" s="22" t="s">
        <v>4136</v>
      </c>
      <c r="F1104" s="22">
        <v>1</v>
      </c>
      <c r="G1104" s="22">
        <v>105</v>
      </c>
      <c r="H1104" s="22"/>
      <c r="I1104" s="22"/>
    </row>
    <row r="1105" spans="1:9" ht="63" x14ac:dyDescent="0.25">
      <c r="A1105" s="22" t="s">
        <v>7571</v>
      </c>
      <c r="B1105" s="22" t="s">
        <v>4134</v>
      </c>
      <c r="C1105" s="22" t="s">
        <v>4135</v>
      </c>
      <c r="D1105" s="22" t="s">
        <v>6205</v>
      </c>
      <c r="E1105" s="22" t="s">
        <v>4136</v>
      </c>
      <c r="F1105" s="22">
        <v>1</v>
      </c>
      <c r="G1105" s="22">
        <v>105</v>
      </c>
      <c r="H1105" s="22"/>
      <c r="I1105" s="22"/>
    </row>
    <row r="1106" spans="1:9" ht="63" x14ac:dyDescent="0.25">
      <c r="A1106" s="22" t="s">
        <v>7572</v>
      </c>
      <c r="B1106" s="22" t="s">
        <v>4134</v>
      </c>
      <c r="C1106" s="22" t="s">
        <v>4135</v>
      </c>
      <c r="D1106" s="22" t="s">
        <v>6205</v>
      </c>
      <c r="E1106" s="22" t="s">
        <v>4136</v>
      </c>
      <c r="F1106" s="22">
        <v>1</v>
      </c>
      <c r="G1106" s="22">
        <v>105</v>
      </c>
      <c r="H1106" s="22"/>
      <c r="I1106" s="22"/>
    </row>
    <row r="1107" spans="1:9" ht="63" x14ac:dyDescent="0.25">
      <c r="A1107" s="22" t="s">
        <v>7573</v>
      </c>
      <c r="B1107" s="22" t="s">
        <v>4134</v>
      </c>
      <c r="C1107" s="22" t="s">
        <v>4135</v>
      </c>
      <c r="D1107" s="22" t="s">
        <v>6205</v>
      </c>
      <c r="E1107" s="22" t="s">
        <v>4136</v>
      </c>
      <c r="F1107" s="22">
        <v>1</v>
      </c>
      <c r="G1107" s="22">
        <v>105</v>
      </c>
      <c r="H1107" s="22"/>
      <c r="I1107" s="22"/>
    </row>
    <row r="1108" spans="1:9" ht="63" x14ac:dyDescent="0.25">
      <c r="A1108" s="22" t="s">
        <v>7574</v>
      </c>
      <c r="B1108" s="22" t="s">
        <v>4134</v>
      </c>
      <c r="C1108" s="22" t="s">
        <v>4135</v>
      </c>
      <c r="D1108" s="22" t="s">
        <v>6205</v>
      </c>
      <c r="E1108" s="22" t="s">
        <v>4136</v>
      </c>
      <c r="F1108" s="22">
        <v>1</v>
      </c>
      <c r="G1108" s="22">
        <v>105</v>
      </c>
      <c r="H1108" s="22"/>
      <c r="I1108" s="22"/>
    </row>
    <row r="1109" spans="1:9" ht="63" x14ac:dyDescent="0.25">
      <c r="A1109" s="22" t="s">
        <v>7575</v>
      </c>
      <c r="B1109" s="22" t="s">
        <v>4134</v>
      </c>
      <c r="C1109" s="22" t="s">
        <v>4135</v>
      </c>
      <c r="D1109" s="22" t="s">
        <v>6205</v>
      </c>
      <c r="E1109" s="22" t="s">
        <v>4136</v>
      </c>
      <c r="F1109" s="22">
        <v>1</v>
      </c>
      <c r="G1109" s="22">
        <v>105</v>
      </c>
      <c r="H1109" s="22"/>
      <c r="I1109" s="22"/>
    </row>
    <row r="1110" spans="1:9" ht="63" x14ac:dyDescent="0.25">
      <c r="A1110" s="22" t="s">
        <v>7576</v>
      </c>
      <c r="B1110" s="22" t="s">
        <v>4134</v>
      </c>
      <c r="C1110" s="22" t="s">
        <v>4135</v>
      </c>
      <c r="D1110" s="22" t="s">
        <v>6205</v>
      </c>
      <c r="E1110" s="22" t="s">
        <v>4136</v>
      </c>
      <c r="F1110" s="22">
        <v>1</v>
      </c>
      <c r="G1110" s="22">
        <v>105</v>
      </c>
      <c r="H1110" s="22"/>
      <c r="I1110" s="22"/>
    </row>
    <row r="1111" spans="1:9" ht="63" x14ac:dyDescent="0.25">
      <c r="A1111" s="22" t="s">
        <v>7577</v>
      </c>
      <c r="B1111" s="22" t="s">
        <v>4134</v>
      </c>
      <c r="C1111" s="22" t="s">
        <v>4135</v>
      </c>
      <c r="D1111" s="22" t="s">
        <v>6205</v>
      </c>
      <c r="E1111" s="22" t="s">
        <v>4136</v>
      </c>
      <c r="F1111" s="22">
        <v>1</v>
      </c>
      <c r="G1111" s="22">
        <v>105</v>
      </c>
      <c r="H1111" s="22"/>
      <c r="I1111" s="22"/>
    </row>
    <row r="1112" spans="1:9" ht="63" x14ac:dyDescent="0.25">
      <c r="A1112" s="22" t="s">
        <v>7578</v>
      </c>
      <c r="B1112" s="22" t="s">
        <v>4134</v>
      </c>
      <c r="C1112" s="22" t="s">
        <v>4135</v>
      </c>
      <c r="D1112" s="22" t="s">
        <v>6205</v>
      </c>
      <c r="E1112" s="22" t="s">
        <v>4136</v>
      </c>
      <c r="F1112" s="22">
        <v>1</v>
      </c>
      <c r="G1112" s="22">
        <v>105</v>
      </c>
      <c r="H1112" s="22"/>
      <c r="I1112" s="22"/>
    </row>
    <row r="1113" spans="1:9" ht="63" x14ac:dyDescent="0.25">
      <c r="A1113" s="22" t="s">
        <v>7579</v>
      </c>
      <c r="B1113" s="22" t="s">
        <v>4134</v>
      </c>
      <c r="C1113" s="22" t="s">
        <v>4135</v>
      </c>
      <c r="D1113" s="22" t="s">
        <v>6685</v>
      </c>
      <c r="E1113" s="22" t="s">
        <v>4136</v>
      </c>
      <c r="F1113" s="22">
        <v>1</v>
      </c>
      <c r="G1113" s="22">
        <v>105</v>
      </c>
      <c r="H1113" s="22"/>
      <c r="I1113" s="22"/>
    </row>
    <row r="1114" spans="1:9" ht="63" x14ac:dyDescent="0.25">
      <c r="A1114" s="22" t="s">
        <v>7580</v>
      </c>
      <c r="B1114" s="22" t="s">
        <v>4685</v>
      </c>
      <c r="C1114" s="22" t="s">
        <v>4686</v>
      </c>
      <c r="D1114" s="22" t="s">
        <v>5379</v>
      </c>
      <c r="E1114" s="22" t="s">
        <v>4687</v>
      </c>
      <c r="F1114" s="22">
        <v>1</v>
      </c>
      <c r="G1114" s="22">
        <v>60</v>
      </c>
      <c r="H1114" s="22"/>
      <c r="I1114" s="22"/>
    </row>
    <row r="1121" spans="1:9" ht="42" x14ac:dyDescent="0.25">
      <c r="A1121" s="6" t="s">
        <v>2971</v>
      </c>
      <c r="H1121" s="6" t="s">
        <v>2972</v>
      </c>
    </row>
    <row r="1123" spans="1:9" ht="126" x14ac:dyDescent="0.25">
      <c r="A1123" s="6" t="s">
        <v>31</v>
      </c>
      <c r="B1123" s="6" t="s">
        <v>105</v>
      </c>
      <c r="D1123" s="6" t="s">
        <v>2993</v>
      </c>
      <c r="G1123" s="6" t="s">
        <v>2961</v>
      </c>
      <c r="H1123" s="6" t="str">
        <f>IFERROR(VLOOKUP(B1123,Seller_Details!A:C,3,0),"Not Found")</f>
        <v>MUSEUM ZONE ; 8 6a STREET ; TAJ DAWLAT BUILDING ;BUR DUBAI ;DUBAI UAE</v>
      </c>
    </row>
    <row r="1124" spans="1:9" x14ac:dyDescent="0.25">
      <c r="A1124" s="6" t="s">
        <v>13</v>
      </c>
      <c r="B1124" s="6" t="str">
        <f>IFERROR(VLOOKUP(B1123,Seller_Details!A:C,2,0),"Not Found")</f>
        <v>V00034</v>
      </c>
      <c r="G1124" s="6" t="s">
        <v>2962</v>
      </c>
      <c r="H1124" s="24">
        <v>42819</v>
      </c>
    </row>
    <row r="1127" spans="1:9" ht="42" x14ac:dyDescent="0.25">
      <c r="A1127" s="22" t="s">
        <v>2963</v>
      </c>
      <c r="B1127" s="22" t="s">
        <v>2964</v>
      </c>
      <c r="C1127" s="22" t="s">
        <v>2965</v>
      </c>
      <c r="D1127" s="22" t="s">
        <v>2966</v>
      </c>
      <c r="E1127" s="22" t="s">
        <v>2967</v>
      </c>
      <c r="F1127" s="22" t="s">
        <v>6</v>
      </c>
      <c r="G1127" s="22" t="s">
        <v>2968</v>
      </c>
      <c r="H1127" s="22" t="s">
        <v>2969</v>
      </c>
      <c r="I1127" s="22" t="s">
        <v>2970</v>
      </c>
    </row>
    <row r="1128" spans="1:9" ht="63" x14ac:dyDescent="0.25">
      <c r="A1128" s="22" t="s">
        <v>7581</v>
      </c>
      <c r="B1128" s="22" t="s">
        <v>3697</v>
      </c>
      <c r="C1128" s="22" t="s">
        <v>3698</v>
      </c>
      <c r="D1128" s="22" t="s">
        <v>4954</v>
      </c>
      <c r="E1128" s="22" t="s">
        <v>3699</v>
      </c>
      <c r="F1128" s="22">
        <v>1</v>
      </c>
      <c r="G1128" s="22">
        <v>456</v>
      </c>
      <c r="H1128" s="22"/>
      <c r="I1128" s="22"/>
    </row>
    <row r="1129" spans="1:9" ht="84" x14ac:dyDescent="0.25">
      <c r="A1129" s="22" t="s">
        <v>7582</v>
      </c>
      <c r="B1129" s="22" t="s">
        <v>4283</v>
      </c>
      <c r="C1129" s="22" t="s">
        <v>4284</v>
      </c>
      <c r="D1129" s="22" t="s">
        <v>4954</v>
      </c>
      <c r="E1129" s="22" t="s">
        <v>4285</v>
      </c>
      <c r="F1129" s="22">
        <v>1</v>
      </c>
      <c r="G1129" s="22">
        <v>554</v>
      </c>
      <c r="H1129" s="22"/>
      <c r="I1129" s="22"/>
    </row>
    <row r="1130" spans="1:9" ht="84" x14ac:dyDescent="0.25">
      <c r="A1130" s="22" t="s">
        <v>7583</v>
      </c>
      <c r="B1130" s="22" t="s">
        <v>4619</v>
      </c>
      <c r="C1130" s="22" t="s">
        <v>4620</v>
      </c>
      <c r="D1130" s="22" t="s">
        <v>4991</v>
      </c>
      <c r="E1130" s="22" t="s">
        <v>4621</v>
      </c>
      <c r="F1130" s="22">
        <v>1</v>
      </c>
      <c r="G1130" s="22">
        <v>414</v>
      </c>
      <c r="H1130" s="22"/>
      <c r="I1130" s="22"/>
    </row>
    <row r="1131" spans="1:9" ht="63" x14ac:dyDescent="0.25">
      <c r="A1131" s="22" t="s">
        <v>7584</v>
      </c>
      <c r="B1131" s="22" t="s">
        <v>4858</v>
      </c>
      <c r="C1131" s="22" t="s">
        <v>4859</v>
      </c>
      <c r="D1131" s="22" t="s">
        <v>4861</v>
      </c>
      <c r="E1131" s="22" t="s">
        <v>4860</v>
      </c>
      <c r="F1131" s="22">
        <v>1</v>
      </c>
      <c r="G1131" s="22">
        <v>180</v>
      </c>
      <c r="H1131" s="22"/>
      <c r="I1131" s="22"/>
    </row>
    <row r="1132" spans="1:9" ht="84" x14ac:dyDescent="0.25">
      <c r="A1132" s="22" t="s">
        <v>7585</v>
      </c>
      <c r="B1132" s="22" t="s">
        <v>4951</v>
      </c>
      <c r="C1132" s="22" t="s">
        <v>4952</v>
      </c>
      <c r="D1132" s="22" t="s">
        <v>4954</v>
      </c>
      <c r="E1132" s="22" t="s">
        <v>4953</v>
      </c>
      <c r="F1132" s="22">
        <v>1</v>
      </c>
      <c r="G1132" s="22">
        <v>65</v>
      </c>
      <c r="H1132" s="22"/>
      <c r="I1132" s="22"/>
    </row>
    <row r="1133" spans="1:9" ht="84" x14ac:dyDescent="0.25">
      <c r="A1133" s="22" t="s">
        <v>7586</v>
      </c>
      <c r="B1133" s="22" t="s">
        <v>4982</v>
      </c>
      <c r="C1133" s="22" t="s">
        <v>4983</v>
      </c>
      <c r="D1133" s="22" t="s">
        <v>4985</v>
      </c>
      <c r="E1133" s="22" t="s">
        <v>4984</v>
      </c>
      <c r="F1133" s="22">
        <v>1</v>
      </c>
      <c r="G1133" s="22">
        <v>581</v>
      </c>
      <c r="H1133" s="22"/>
      <c r="I1133" s="22"/>
    </row>
    <row r="1134" spans="1:9" ht="63" x14ac:dyDescent="0.25">
      <c r="A1134" s="22" t="s">
        <v>7587</v>
      </c>
      <c r="B1134" s="22" t="s">
        <v>5291</v>
      </c>
      <c r="C1134" s="22" t="s">
        <v>5292</v>
      </c>
      <c r="D1134" s="22" t="s">
        <v>4985</v>
      </c>
      <c r="E1134" s="22" t="s">
        <v>5293</v>
      </c>
      <c r="F1134" s="22">
        <v>1</v>
      </c>
      <c r="G1134" s="22">
        <v>735</v>
      </c>
      <c r="H1134" s="22"/>
      <c r="I1134" s="22"/>
    </row>
    <row r="1135" spans="1:9" ht="63" x14ac:dyDescent="0.25">
      <c r="A1135" s="22" t="s">
        <v>7588</v>
      </c>
      <c r="B1135" s="22" t="s">
        <v>5553</v>
      </c>
      <c r="C1135" s="22" t="s">
        <v>5554</v>
      </c>
      <c r="D1135" s="22" t="s">
        <v>4991</v>
      </c>
      <c r="E1135" s="22" t="s">
        <v>5555</v>
      </c>
      <c r="F1135" s="22">
        <v>1</v>
      </c>
      <c r="G1135" s="22">
        <v>428</v>
      </c>
      <c r="H1135" s="22"/>
      <c r="I1135" s="22"/>
    </row>
    <row r="1136" spans="1:9" ht="84" x14ac:dyDescent="0.25">
      <c r="A1136" s="22" t="s">
        <v>7589</v>
      </c>
      <c r="B1136" s="22" t="s">
        <v>6005</v>
      </c>
      <c r="C1136" s="22" t="s">
        <v>6006</v>
      </c>
      <c r="D1136" s="22" t="s">
        <v>4991</v>
      </c>
      <c r="E1136" s="22" t="s">
        <v>6007</v>
      </c>
      <c r="F1136" s="22">
        <v>1</v>
      </c>
      <c r="G1136" s="22">
        <v>527</v>
      </c>
      <c r="H1136" s="22"/>
      <c r="I1136" s="22"/>
    </row>
    <row r="1137" spans="1:9" ht="84" x14ac:dyDescent="0.25">
      <c r="A1137" s="22" t="s">
        <v>7590</v>
      </c>
      <c r="B1137" s="22" t="s">
        <v>6084</v>
      </c>
      <c r="C1137" s="22" t="s">
        <v>6085</v>
      </c>
      <c r="D1137" s="22" t="s">
        <v>4991</v>
      </c>
      <c r="E1137" s="22" t="s">
        <v>6086</v>
      </c>
      <c r="F1137" s="22">
        <v>1</v>
      </c>
      <c r="G1137" s="22">
        <v>735</v>
      </c>
      <c r="H1137" s="22"/>
      <c r="I1137" s="22"/>
    </row>
    <row r="1138" spans="1:9" ht="126" x14ac:dyDescent="0.25">
      <c r="A1138" s="22" t="s">
        <v>7591</v>
      </c>
      <c r="B1138" s="22" t="s">
        <v>6094</v>
      </c>
      <c r="C1138" s="22" t="s">
        <v>6095</v>
      </c>
      <c r="D1138" s="22" t="s">
        <v>6097</v>
      </c>
      <c r="E1138" s="22" t="s">
        <v>6096</v>
      </c>
      <c r="F1138" s="22">
        <v>1</v>
      </c>
      <c r="G1138" s="22">
        <v>598</v>
      </c>
      <c r="H1138" s="22"/>
      <c r="I1138" s="22"/>
    </row>
    <row r="1139" spans="1:9" ht="105" x14ac:dyDescent="0.25">
      <c r="A1139" s="22" t="s">
        <v>7592</v>
      </c>
      <c r="B1139" s="22" t="s">
        <v>6121</v>
      </c>
      <c r="C1139" s="22" t="s">
        <v>6122</v>
      </c>
      <c r="D1139" s="22" t="s">
        <v>4991</v>
      </c>
      <c r="E1139" s="22" t="s">
        <v>6123</v>
      </c>
      <c r="F1139" s="22">
        <v>1</v>
      </c>
      <c r="G1139" s="22">
        <v>735</v>
      </c>
      <c r="H1139" s="22"/>
      <c r="I1139" s="22"/>
    </row>
    <row r="1140" spans="1:9" ht="84" x14ac:dyDescent="0.25">
      <c r="A1140" s="22" t="s">
        <v>7593</v>
      </c>
      <c r="B1140" s="22" t="s">
        <v>6125</v>
      </c>
      <c r="C1140" s="22" t="s">
        <v>6126</v>
      </c>
      <c r="D1140" s="22" t="s">
        <v>4991</v>
      </c>
      <c r="E1140" s="22" t="s">
        <v>6127</v>
      </c>
      <c r="F1140" s="22">
        <v>1</v>
      </c>
      <c r="G1140" s="22">
        <v>270</v>
      </c>
      <c r="H1140" s="22"/>
      <c r="I1140" s="22"/>
    </row>
    <row r="1141" spans="1:9" ht="63" x14ac:dyDescent="0.25">
      <c r="A1141" s="22" t="s">
        <v>7594</v>
      </c>
      <c r="B1141" s="22" t="s">
        <v>6365</v>
      </c>
      <c r="C1141" s="22" t="s">
        <v>6366</v>
      </c>
      <c r="D1141" s="22" t="s">
        <v>4954</v>
      </c>
      <c r="E1141" s="22" t="s">
        <v>6367</v>
      </c>
      <c r="F1141" s="22">
        <v>1</v>
      </c>
      <c r="G1141" s="22">
        <v>190</v>
      </c>
      <c r="H1141" s="22"/>
      <c r="I1141" s="22"/>
    </row>
    <row r="1142" spans="1:9" ht="63" x14ac:dyDescent="0.25">
      <c r="A1142" s="22" t="s">
        <v>7595</v>
      </c>
      <c r="B1142" s="22" t="s">
        <v>6381</v>
      </c>
      <c r="C1142" s="22" t="s">
        <v>6382</v>
      </c>
      <c r="D1142" s="22" t="s">
        <v>4954</v>
      </c>
      <c r="E1142" s="22" t="s">
        <v>6383</v>
      </c>
      <c r="F1142" s="22">
        <v>1</v>
      </c>
      <c r="G1142" s="22">
        <v>55</v>
      </c>
      <c r="H1142" s="22"/>
      <c r="I1142" s="22"/>
    </row>
    <row r="1143" spans="1:9" ht="84" x14ac:dyDescent="0.25">
      <c r="A1143" s="22" t="s">
        <v>7596</v>
      </c>
      <c r="B1143" s="22" t="s">
        <v>6393</v>
      </c>
      <c r="C1143" s="22" t="s">
        <v>6394</v>
      </c>
      <c r="D1143" s="22" t="s">
        <v>4954</v>
      </c>
      <c r="E1143" s="22" t="s">
        <v>6395</v>
      </c>
      <c r="F1143" s="22">
        <v>1</v>
      </c>
      <c r="G1143" s="22">
        <v>609</v>
      </c>
      <c r="H1143" s="22"/>
      <c r="I1143" s="22"/>
    </row>
    <row r="1144" spans="1:9" ht="63" x14ac:dyDescent="0.25">
      <c r="A1144" s="22" t="s">
        <v>7597</v>
      </c>
      <c r="B1144" s="22" t="s">
        <v>6598</v>
      </c>
      <c r="C1144" s="22" t="s">
        <v>6599</v>
      </c>
      <c r="D1144" s="22" t="s">
        <v>4954</v>
      </c>
      <c r="E1144" s="22" t="s">
        <v>6600</v>
      </c>
      <c r="F1144" s="22">
        <v>1</v>
      </c>
      <c r="G1144" s="22">
        <v>570</v>
      </c>
      <c r="H1144" s="22"/>
      <c r="I1144" s="22"/>
    </row>
    <row r="1145" spans="1:9" ht="63" x14ac:dyDescent="0.25">
      <c r="A1145" s="22" t="s">
        <v>7598</v>
      </c>
      <c r="B1145" s="22" t="s">
        <v>6602</v>
      </c>
      <c r="C1145" s="22" t="s">
        <v>6603</v>
      </c>
      <c r="D1145" s="22" t="s">
        <v>4954</v>
      </c>
      <c r="E1145" s="22" t="s">
        <v>6604</v>
      </c>
      <c r="F1145" s="22">
        <v>1</v>
      </c>
      <c r="G1145" s="22">
        <v>180</v>
      </c>
      <c r="H1145" s="22"/>
      <c r="I1145" s="22"/>
    </row>
    <row r="1152" spans="1:9" ht="42" x14ac:dyDescent="0.25">
      <c r="A1152" s="6" t="s">
        <v>2971</v>
      </c>
      <c r="H1152" s="6" t="s">
        <v>2972</v>
      </c>
    </row>
    <row r="1154" spans="1:9" ht="42" x14ac:dyDescent="0.25">
      <c r="A1154" s="6" t="s">
        <v>31</v>
      </c>
      <c r="B1154" s="6" t="s">
        <v>3221</v>
      </c>
      <c r="D1154" s="6" t="s">
        <v>2994</v>
      </c>
      <c r="G1154" s="6" t="s">
        <v>2961</v>
      </c>
      <c r="H1154" s="6" t="str">
        <f>IFERROR(VLOOKUP(B1154,Seller_Details!A:C,3,0),"Not Found")</f>
        <v>Not Found</v>
      </c>
    </row>
    <row r="1155" spans="1:9" x14ac:dyDescent="0.25">
      <c r="A1155" s="6" t="s">
        <v>13</v>
      </c>
      <c r="B1155" s="6" t="str">
        <f>IFERROR(VLOOKUP(B1154,Seller_Details!A:C,2,0),"Not Found")</f>
        <v>Not Found</v>
      </c>
      <c r="G1155" s="6" t="s">
        <v>2962</v>
      </c>
      <c r="H1155" s="24">
        <v>42819</v>
      </c>
    </row>
    <row r="1158" spans="1:9" ht="42" x14ac:dyDescent="0.25">
      <c r="A1158" s="22" t="s">
        <v>2963</v>
      </c>
      <c r="B1158" s="22" t="s">
        <v>2964</v>
      </c>
      <c r="C1158" s="22" t="s">
        <v>2965</v>
      </c>
      <c r="D1158" s="22" t="s">
        <v>2966</v>
      </c>
      <c r="E1158" s="22" t="s">
        <v>2967</v>
      </c>
      <c r="F1158" s="22" t="s">
        <v>6</v>
      </c>
      <c r="G1158" s="22" t="s">
        <v>2968</v>
      </c>
      <c r="H1158" s="22" t="s">
        <v>2969</v>
      </c>
      <c r="I1158" s="22" t="s">
        <v>2970</v>
      </c>
    </row>
    <row r="1159" spans="1:9" ht="63" x14ac:dyDescent="0.25">
      <c r="A1159" s="22" t="s">
        <v>7599</v>
      </c>
      <c r="B1159" s="22" t="s">
        <v>3217</v>
      </c>
      <c r="C1159" s="22" t="s">
        <v>3218</v>
      </c>
      <c r="D1159" s="22" t="s">
        <v>3220</v>
      </c>
      <c r="E1159" s="22" t="s">
        <v>3219</v>
      </c>
      <c r="F1159" s="22">
        <v>1</v>
      </c>
      <c r="G1159" s="22">
        <v>200</v>
      </c>
      <c r="H1159" s="22"/>
      <c r="I1159" s="22"/>
    </row>
    <row r="1166" spans="1:9" ht="42" x14ac:dyDescent="0.25">
      <c r="A1166" s="6" t="s">
        <v>2971</v>
      </c>
      <c r="H1166" s="6" t="s">
        <v>2972</v>
      </c>
    </row>
    <row r="1168" spans="1:9" ht="84" x14ac:dyDescent="0.25">
      <c r="A1168" s="6" t="s">
        <v>31</v>
      </c>
      <c r="B1168" s="6" t="s">
        <v>2192</v>
      </c>
      <c r="D1168" s="6" t="s">
        <v>2995</v>
      </c>
      <c r="G1168" s="6" t="s">
        <v>2961</v>
      </c>
      <c r="H1168" s="6" t="str">
        <f>IFERROR(VLOOKUP(B1168,Seller_Details!A:C,3,0),"Not Found")</f>
        <v>Wadi Warehsouse, 17 street umm ramool</v>
      </c>
    </row>
    <row r="1169" spans="1:9" x14ac:dyDescent="0.25">
      <c r="A1169" s="6" t="s">
        <v>13</v>
      </c>
      <c r="B1169" s="6" t="str">
        <f>IFERROR(VLOOKUP(B1168,Seller_Details!A:C,2,0),"Not Found")</f>
        <v>V00706</v>
      </c>
      <c r="G1169" s="6" t="s">
        <v>2962</v>
      </c>
      <c r="H1169" s="24">
        <v>42819</v>
      </c>
    </row>
    <row r="1172" spans="1:9" ht="42" x14ac:dyDescent="0.25">
      <c r="A1172" s="22" t="s">
        <v>2963</v>
      </c>
      <c r="B1172" s="22" t="s">
        <v>2964</v>
      </c>
      <c r="C1172" s="22" t="s">
        <v>2965</v>
      </c>
      <c r="D1172" s="22" t="s">
        <v>2966</v>
      </c>
      <c r="E1172" s="22" t="s">
        <v>2967</v>
      </c>
      <c r="F1172" s="22" t="s">
        <v>6</v>
      </c>
      <c r="G1172" s="22" t="s">
        <v>2968</v>
      </c>
      <c r="H1172" s="22" t="s">
        <v>2969</v>
      </c>
      <c r="I1172" s="22" t="s">
        <v>2970</v>
      </c>
    </row>
    <row r="1173" spans="1:9" ht="63" x14ac:dyDescent="0.25">
      <c r="A1173" s="22" t="s">
        <v>7600</v>
      </c>
      <c r="B1173" s="22" t="s">
        <v>3223</v>
      </c>
      <c r="C1173" s="22" t="s">
        <v>3224</v>
      </c>
      <c r="D1173" s="22" t="s">
        <v>3226</v>
      </c>
      <c r="E1173" s="22" t="s">
        <v>3225</v>
      </c>
      <c r="F1173" s="22">
        <v>1</v>
      </c>
      <c r="G1173" s="22">
        <v>457</v>
      </c>
      <c r="H1173" s="22"/>
      <c r="I1173" s="22"/>
    </row>
    <row r="1174" spans="1:9" ht="84" x14ac:dyDescent="0.25">
      <c r="A1174" s="22" t="s">
        <v>7601</v>
      </c>
      <c r="B1174" s="22" t="s">
        <v>3228</v>
      </c>
      <c r="C1174" s="22" t="s">
        <v>3229</v>
      </c>
      <c r="D1174" s="22" t="s">
        <v>3231</v>
      </c>
      <c r="E1174" s="22" t="s">
        <v>3230</v>
      </c>
      <c r="F1174" s="22">
        <v>1</v>
      </c>
      <c r="G1174" s="22">
        <v>270</v>
      </c>
      <c r="H1174" s="22"/>
      <c r="I1174" s="22"/>
    </row>
    <row r="1175" spans="1:9" ht="84" x14ac:dyDescent="0.25">
      <c r="A1175" s="22" t="s">
        <v>7602</v>
      </c>
      <c r="B1175" s="22" t="s">
        <v>3233</v>
      </c>
      <c r="C1175" s="22" t="s">
        <v>3234</v>
      </c>
      <c r="D1175" s="22" t="s">
        <v>3236</v>
      </c>
      <c r="E1175" s="22" t="s">
        <v>3235</v>
      </c>
      <c r="F1175" s="22">
        <v>1</v>
      </c>
      <c r="G1175" s="22">
        <v>517</v>
      </c>
      <c r="H1175" s="22"/>
      <c r="I1175" s="22"/>
    </row>
    <row r="1182" spans="1:9" ht="42" x14ac:dyDescent="0.25">
      <c r="A1182" s="6" t="s">
        <v>2971</v>
      </c>
      <c r="H1182" s="6" t="s">
        <v>2972</v>
      </c>
    </row>
    <row r="1184" spans="1:9" ht="84" x14ac:dyDescent="0.25">
      <c r="A1184" s="6" t="s">
        <v>31</v>
      </c>
      <c r="B1184" s="6" t="s">
        <v>1273</v>
      </c>
      <c r="D1184" s="6" t="s">
        <v>2996</v>
      </c>
      <c r="G1184" s="6" t="s">
        <v>2961</v>
      </c>
      <c r="H1184" s="6" t="str">
        <f>IFERROR(VLOOKUP(B1184,Seller_Details!A:C,3,0),"Not Found")</f>
        <v>Living Legends Villa B78, Wadi Al Safa 3 Dubai Land</v>
      </c>
    </row>
    <row r="1185" spans="1:9" x14ac:dyDescent="0.25">
      <c r="A1185" s="6" t="s">
        <v>13</v>
      </c>
      <c r="B1185" s="6" t="str">
        <f>IFERROR(VLOOKUP(B1184,Seller_Details!A:C,2,0),"Not Found")</f>
        <v>V00477</v>
      </c>
      <c r="G1185" s="6" t="s">
        <v>2962</v>
      </c>
      <c r="H1185" s="24">
        <v>42819</v>
      </c>
    </row>
    <row r="1188" spans="1:9" ht="42" x14ac:dyDescent="0.25">
      <c r="A1188" s="22" t="s">
        <v>2963</v>
      </c>
      <c r="B1188" s="22" t="s">
        <v>2964</v>
      </c>
      <c r="C1188" s="22" t="s">
        <v>2965</v>
      </c>
      <c r="D1188" s="22" t="s">
        <v>2966</v>
      </c>
      <c r="E1188" s="22" t="s">
        <v>2967</v>
      </c>
      <c r="F1188" s="22" t="s">
        <v>6</v>
      </c>
      <c r="G1188" s="22" t="s">
        <v>2968</v>
      </c>
      <c r="H1188" s="22" t="s">
        <v>2969</v>
      </c>
      <c r="I1188" s="22" t="s">
        <v>2970</v>
      </c>
    </row>
    <row r="1189" spans="1:9" ht="147" x14ac:dyDescent="0.25">
      <c r="A1189" s="22" t="s">
        <v>7603</v>
      </c>
      <c r="B1189" s="22" t="s">
        <v>3238</v>
      </c>
      <c r="C1189" s="22" t="s">
        <v>3239</v>
      </c>
      <c r="D1189" s="22" t="s">
        <v>3241</v>
      </c>
      <c r="E1189" s="22" t="s">
        <v>3240</v>
      </c>
      <c r="F1189" s="22">
        <v>1</v>
      </c>
      <c r="G1189" s="22">
        <v>280</v>
      </c>
      <c r="H1189" s="22"/>
      <c r="I1189" s="22"/>
    </row>
    <row r="1190" spans="1:9" ht="105" x14ac:dyDescent="0.25">
      <c r="A1190" s="22" t="s">
        <v>7604</v>
      </c>
      <c r="B1190" s="22" t="s">
        <v>3243</v>
      </c>
      <c r="C1190" s="22" t="s">
        <v>3244</v>
      </c>
      <c r="D1190" s="22" t="s">
        <v>3246</v>
      </c>
      <c r="E1190" s="22" t="s">
        <v>3245</v>
      </c>
      <c r="F1190" s="22">
        <v>1</v>
      </c>
      <c r="G1190" s="22">
        <v>180</v>
      </c>
      <c r="H1190" s="22"/>
      <c r="I1190" s="22"/>
    </row>
    <row r="1191" spans="1:9" ht="147" x14ac:dyDescent="0.25">
      <c r="A1191" s="22" t="s">
        <v>7605</v>
      </c>
      <c r="B1191" s="22" t="s">
        <v>3248</v>
      </c>
      <c r="C1191" s="22" t="s">
        <v>3249</v>
      </c>
      <c r="D1191" s="22" t="s">
        <v>3251</v>
      </c>
      <c r="E1191" s="22" t="s">
        <v>3250</v>
      </c>
      <c r="F1191" s="22">
        <v>1</v>
      </c>
      <c r="G1191" s="22">
        <v>250</v>
      </c>
      <c r="H1191" s="22"/>
      <c r="I1191" s="22"/>
    </row>
    <row r="1198" spans="1:9" ht="42" x14ac:dyDescent="0.25">
      <c r="A1198" s="6" t="s">
        <v>2971</v>
      </c>
      <c r="H1198" s="6" t="s">
        <v>2972</v>
      </c>
    </row>
    <row r="1200" spans="1:9" ht="105" x14ac:dyDescent="0.25">
      <c r="A1200" s="6" t="s">
        <v>31</v>
      </c>
      <c r="B1200" s="6" t="s">
        <v>2287</v>
      </c>
      <c r="D1200" s="6" t="s">
        <v>2997</v>
      </c>
      <c r="G1200" s="6" t="s">
        <v>2961</v>
      </c>
      <c r="H1200" s="6" t="str">
        <f>IFERROR(VLOOKUP(B1200,Seller_Details!A:C,3,0),"Not Found")</f>
        <v>DUBAI, DEIRA, MUSSALAH ROAD, OPPOSITE SHARAF EXCHANGE</v>
      </c>
    </row>
    <row r="1201" spans="1:9" x14ac:dyDescent="0.25">
      <c r="A1201" s="6" t="s">
        <v>13</v>
      </c>
      <c r="B1201" s="6" t="str">
        <f>IFERROR(VLOOKUP(B1200,Seller_Details!A:C,2,0),"Not Found")</f>
        <v>V00737</v>
      </c>
      <c r="G1201" s="6" t="s">
        <v>2962</v>
      </c>
      <c r="H1201" s="24">
        <v>42819</v>
      </c>
    </row>
    <row r="1204" spans="1:9" ht="42" x14ac:dyDescent="0.25">
      <c r="A1204" s="22" t="s">
        <v>2963</v>
      </c>
      <c r="B1204" s="22" t="s">
        <v>2964</v>
      </c>
      <c r="C1204" s="22" t="s">
        <v>2965</v>
      </c>
      <c r="D1204" s="22" t="s">
        <v>2966</v>
      </c>
      <c r="E1204" s="22" t="s">
        <v>2967</v>
      </c>
      <c r="F1204" s="22" t="s">
        <v>6</v>
      </c>
      <c r="G1204" s="22" t="s">
        <v>2968</v>
      </c>
      <c r="H1204" s="22" t="s">
        <v>2969</v>
      </c>
      <c r="I1204" s="22" t="s">
        <v>2970</v>
      </c>
    </row>
    <row r="1205" spans="1:9" ht="84" x14ac:dyDescent="0.25">
      <c r="A1205" s="22" t="s">
        <v>7606</v>
      </c>
      <c r="B1205" s="22" t="s">
        <v>3253</v>
      </c>
      <c r="C1205" s="22" t="s">
        <v>3254</v>
      </c>
      <c r="D1205" s="22" t="s">
        <v>3256</v>
      </c>
      <c r="E1205" s="22" t="s">
        <v>3255</v>
      </c>
      <c r="F1205" s="22">
        <v>1</v>
      </c>
      <c r="G1205" s="22">
        <v>123</v>
      </c>
      <c r="H1205" s="22"/>
      <c r="I1205" s="22"/>
    </row>
    <row r="1206" spans="1:9" ht="84" x14ac:dyDescent="0.25">
      <c r="A1206" s="22" t="s">
        <v>7607</v>
      </c>
      <c r="B1206" s="22" t="s">
        <v>3253</v>
      </c>
      <c r="C1206" s="22" t="s">
        <v>3254</v>
      </c>
      <c r="D1206" s="22" t="s">
        <v>5268</v>
      </c>
      <c r="E1206" s="22" t="s">
        <v>3255</v>
      </c>
      <c r="F1206" s="22">
        <v>1</v>
      </c>
      <c r="G1206" s="22">
        <v>123</v>
      </c>
      <c r="H1206" s="22"/>
      <c r="I1206" s="22"/>
    </row>
    <row r="1213" spans="1:9" ht="42" x14ac:dyDescent="0.25">
      <c r="A1213" s="6" t="s">
        <v>2971</v>
      </c>
      <c r="H1213" s="6" t="s">
        <v>2972</v>
      </c>
    </row>
    <row r="1215" spans="1:9" ht="63" x14ac:dyDescent="0.25">
      <c r="A1215" s="6" t="s">
        <v>31</v>
      </c>
      <c r="B1215" s="6" t="s">
        <v>2031</v>
      </c>
      <c r="D1215" s="6" t="s">
        <v>2998</v>
      </c>
      <c r="G1215" s="6" t="s">
        <v>2961</v>
      </c>
      <c r="H1215" s="6" t="str">
        <f>IFERROR(VLOOKUP(B1215,Seller_Details!A:C,3,0),"Not Found")</f>
        <v>ABH-11, Dragon Mart (Come through AB Gate)</v>
      </c>
    </row>
    <row r="1216" spans="1:9" x14ac:dyDescent="0.25">
      <c r="A1216" s="6" t="s">
        <v>13</v>
      </c>
      <c r="B1216" s="6" t="str">
        <f>IFERROR(VLOOKUP(B1215,Seller_Details!A:C,2,0),"Not Found")</f>
        <v>V00669</v>
      </c>
      <c r="G1216" s="6" t="s">
        <v>2962</v>
      </c>
      <c r="H1216" s="24">
        <v>42819</v>
      </c>
    </row>
    <row r="1219" spans="1:9" ht="42" x14ac:dyDescent="0.25">
      <c r="A1219" s="22" t="s">
        <v>2963</v>
      </c>
      <c r="B1219" s="22" t="s">
        <v>2964</v>
      </c>
      <c r="C1219" s="22" t="s">
        <v>2965</v>
      </c>
      <c r="D1219" s="22" t="s">
        <v>2966</v>
      </c>
      <c r="E1219" s="22" t="s">
        <v>2967</v>
      </c>
      <c r="F1219" s="22" t="s">
        <v>6</v>
      </c>
      <c r="G1219" s="22" t="s">
        <v>2968</v>
      </c>
      <c r="H1219" s="22" t="s">
        <v>2969</v>
      </c>
      <c r="I1219" s="22" t="s">
        <v>2970</v>
      </c>
    </row>
    <row r="1220" spans="1:9" ht="84" x14ac:dyDescent="0.25">
      <c r="A1220" s="22" t="s">
        <v>7608</v>
      </c>
      <c r="B1220" s="22" t="s">
        <v>4029</v>
      </c>
      <c r="C1220" s="22" t="s">
        <v>4030</v>
      </c>
      <c r="D1220" s="22" t="s">
        <v>3868</v>
      </c>
      <c r="E1220" s="22" t="s">
        <v>4031</v>
      </c>
      <c r="F1220" s="22">
        <v>1</v>
      </c>
      <c r="G1220" s="22">
        <v>37</v>
      </c>
      <c r="H1220" s="22"/>
      <c r="I1220" s="22"/>
    </row>
    <row r="1221" spans="1:9" ht="63" x14ac:dyDescent="0.25">
      <c r="A1221" s="22" t="s">
        <v>7609</v>
      </c>
      <c r="B1221" s="22" t="s">
        <v>4065</v>
      </c>
      <c r="C1221" s="22" t="s">
        <v>4066</v>
      </c>
      <c r="D1221" s="22" t="s">
        <v>6302</v>
      </c>
      <c r="E1221" s="22" t="s">
        <v>4067</v>
      </c>
      <c r="F1221" s="22">
        <v>1</v>
      </c>
      <c r="G1221" s="22">
        <v>55</v>
      </c>
      <c r="H1221" s="22"/>
      <c r="I1221" s="22"/>
    </row>
    <row r="1222" spans="1:9" ht="84" x14ac:dyDescent="0.25">
      <c r="A1222" s="22" t="s">
        <v>7610</v>
      </c>
      <c r="B1222" s="22" t="s">
        <v>4074</v>
      </c>
      <c r="C1222" s="22" t="s">
        <v>4075</v>
      </c>
      <c r="D1222" s="22" t="s">
        <v>5591</v>
      </c>
      <c r="E1222" s="22" t="s">
        <v>4076</v>
      </c>
      <c r="F1222" s="22">
        <v>1</v>
      </c>
      <c r="G1222" s="22">
        <v>34</v>
      </c>
      <c r="H1222" s="22"/>
      <c r="I1222" s="22"/>
    </row>
    <row r="1223" spans="1:9" ht="84" x14ac:dyDescent="0.25">
      <c r="A1223" s="22" t="s">
        <v>7611</v>
      </c>
      <c r="B1223" s="22" t="s">
        <v>4074</v>
      </c>
      <c r="C1223" s="22" t="s">
        <v>4075</v>
      </c>
      <c r="D1223" s="22" t="s">
        <v>5591</v>
      </c>
      <c r="E1223" s="22" t="s">
        <v>4076</v>
      </c>
      <c r="F1223" s="22">
        <v>1</v>
      </c>
      <c r="G1223" s="22">
        <v>34</v>
      </c>
      <c r="H1223" s="22"/>
      <c r="I1223" s="22"/>
    </row>
    <row r="1224" spans="1:9" ht="84" x14ac:dyDescent="0.25">
      <c r="A1224" s="22" t="s">
        <v>7612</v>
      </c>
      <c r="B1224" s="22" t="s">
        <v>4074</v>
      </c>
      <c r="C1224" s="22" t="s">
        <v>4075</v>
      </c>
      <c r="D1224" s="22" t="s">
        <v>5591</v>
      </c>
      <c r="E1224" s="22" t="s">
        <v>4076</v>
      </c>
      <c r="F1224" s="22">
        <v>1</v>
      </c>
      <c r="G1224" s="22">
        <v>34</v>
      </c>
      <c r="H1224" s="22"/>
      <c r="I1224" s="22"/>
    </row>
    <row r="1225" spans="1:9" ht="63" x14ac:dyDescent="0.25">
      <c r="A1225" s="22" t="s">
        <v>7613</v>
      </c>
      <c r="B1225" s="22" t="s">
        <v>4298</v>
      </c>
      <c r="C1225" s="22" t="s">
        <v>4299</v>
      </c>
      <c r="D1225" s="22" t="s">
        <v>5591</v>
      </c>
      <c r="E1225" s="22" t="s">
        <v>4300</v>
      </c>
      <c r="F1225" s="22">
        <v>1</v>
      </c>
      <c r="G1225" s="22">
        <v>19</v>
      </c>
      <c r="H1225" s="22"/>
      <c r="I1225" s="22"/>
    </row>
    <row r="1226" spans="1:9" ht="63" x14ac:dyDescent="0.25">
      <c r="A1226" s="22" t="s">
        <v>7614</v>
      </c>
      <c r="B1226" s="22" t="s">
        <v>4623</v>
      </c>
      <c r="C1226" s="22" t="s">
        <v>4624</v>
      </c>
      <c r="D1226" s="22" t="s">
        <v>6302</v>
      </c>
      <c r="E1226" s="22" t="s">
        <v>4625</v>
      </c>
      <c r="F1226" s="22">
        <v>1</v>
      </c>
      <c r="G1226" s="22">
        <v>55</v>
      </c>
      <c r="H1226" s="22"/>
      <c r="I1226" s="22"/>
    </row>
    <row r="1227" spans="1:9" ht="63" x14ac:dyDescent="0.25">
      <c r="A1227" s="22" t="s">
        <v>7615</v>
      </c>
      <c r="B1227" s="22" t="s">
        <v>4623</v>
      </c>
      <c r="C1227" s="22" t="s">
        <v>4624</v>
      </c>
      <c r="D1227" s="22" t="s">
        <v>6302</v>
      </c>
      <c r="E1227" s="22" t="s">
        <v>4625</v>
      </c>
      <c r="F1227" s="22">
        <v>1</v>
      </c>
      <c r="G1227" s="22">
        <v>55</v>
      </c>
      <c r="H1227" s="22"/>
      <c r="I1227" s="22"/>
    </row>
    <row r="1228" spans="1:9" ht="63" x14ac:dyDescent="0.25">
      <c r="A1228" s="22" t="s">
        <v>7616</v>
      </c>
      <c r="B1228" s="22" t="s">
        <v>5515</v>
      </c>
      <c r="C1228" s="22" t="s">
        <v>5516</v>
      </c>
      <c r="D1228" s="22" t="s">
        <v>5518</v>
      </c>
      <c r="E1228" s="22" t="s">
        <v>5517</v>
      </c>
      <c r="F1228" s="22">
        <v>1</v>
      </c>
      <c r="G1228" s="22">
        <v>210</v>
      </c>
      <c r="H1228" s="22"/>
      <c r="I1228" s="22"/>
    </row>
    <row r="1235" spans="1:9" ht="42" x14ac:dyDescent="0.25">
      <c r="A1235" s="6" t="s">
        <v>2971</v>
      </c>
      <c r="H1235" s="6" t="s">
        <v>2972</v>
      </c>
    </row>
    <row r="1237" spans="1:9" ht="126" x14ac:dyDescent="0.25">
      <c r="A1237" s="6" t="s">
        <v>31</v>
      </c>
      <c r="B1237" s="6" t="s">
        <v>212</v>
      </c>
      <c r="D1237" s="6" t="s">
        <v>2999</v>
      </c>
      <c r="G1237" s="6" t="s">
        <v>2961</v>
      </c>
      <c r="H1237" s="6" t="str">
        <f>IFERROR(VLOOKUP(B1237,Seller_Details!A:C,3,0),"Not Found")</f>
        <v>Axiom Telecom;Umm Ramool; Rashidya Near Dubai Duty Free Warehouse</v>
      </c>
    </row>
    <row r="1238" spans="1:9" x14ac:dyDescent="0.25">
      <c r="A1238" s="6" t="s">
        <v>13</v>
      </c>
      <c r="B1238" s="6" t="str">
        <f>IFERROR(VLOOKUP(B1237,Seller_Details!A:C,2,0),"Not Found")</f>
        <v>V00217</v>
      </c>
      <c r="G1238" s="6" t="s">
        <v>2962</v>
      </c>
      <c r="H1238" s="24">
        <v>42819</v>
      </c>
    </row>
    <row r="1241" spans="1:9" ht="42" x14ac:dyDescent="0.25">
      <c r="A1241" s="22" t="s">
        <v>2963</v>
      </c>
      <c r="B1241" s="22" t="s">
        <v>2964</v>
      </c>
      <c r="C1241" s="22" t="s">
        <v>2965</v>
      </c>
      <c r="D1241" s="22" t="s">
        <v>2966</v>
      </c>
      <c r="E1241" s="22" t="s">
        <v>2967</v>
      </c>
      <c r="F1241" s="22" t="s">
        <v>6</v>
      </c>
      <c r="G1241" s="22" t="s">
        <v>2968</v>
      </c>
      <c r="H1241" s="22" t="s">
        <v>2969</v>
      </c>
      <c r="I1241" s="22" t="s">
        <v>2970</v>
      </c>
    </row>
    <row r="1242" spans="1:9" ht="63" x14ac:dyDescent="0.25">
      <c r="A1242" s="22" t="s">
        <v>7617</v>
      </c>
      <c r="B1242" s="22" t="s">
        <v>4626</v>
      </c>
      <c r="C1242" s="22" t="s">
        <v>4627</v>
      </c>
      <c r="D1242" s="22" t="s">
        <v>4816</v>
      </c>
      <c r="E1242" s="22" t="s">
        <v>4628</v>
      </c>
      <c r="F1242" s="22">
        <v>1</v>
      </c>
      <c r="G1242" s="22">
        <v>259</v>
      </c>
      <c r="H1242" s="22"/>
      <c r="I1242" s="22"/>
    </row>
    <row r="1243" spans="1:9" ht="63" x14ac:dyDescent="0.25">
      <c r="A1243" s="22" t="s">
        <v>7618</v>
      </c>
      <c r="B1243" s="22" t="s">
        <v>4626</v>
      </c>
      <c r="C1243" s="22" t="s">
        <v>4627</v>
      </c>
      <c r="D1243" s="22" t="s">
        <v>4942</v>
      </c>
      <c r="E1243" s="22" t="s">
        <v>4628</v>
      </c>
      <c r="F1243" s="22">
        <v>1</v>
      </c>
      <c r="G1243" s="22">
        <v>259</v>
      </c>
      <c r="H1243" s="22"/>
      <c r="I1243" s="22"/>
    </row>
    <row r="1244" spans="1:9" ht="63" x14ac:dyDescent="0.25">
      <c r="A1244" s="22" t="s">
        <v>7619</v>
      </c>
      <c r="B1244" s="22" t="s">
        <v>4626</v>
      </c>
      <c r="C1244" s="22" t="s">
        <v>4627</v>
      </c>
      <c r="D1244" s="22" t="s">
        <v>4942</v>
      </c>
      <c r="E1244" s="22" t="s">
        <v>4628</v>
      </c>
      <c r="F1244" s="22">
        <v>1</v>
      </c>
      <c r="G1244" s="22">
        <v>259</v>
      </c>
      <c r="H1244" s="22"/>
      <c r="I1244" s="22"/>
    </row>
    <row r="1245" spans="1:9" ht="63" x14ac:dyDescent="0.25">
      <c r="A1245" s="22" t="s">
        <v>7620</v>
      </c>
      <c r="B1245" s="22" t="s">
        <v>4626</v>
      </c>
      <c r="C1245" s="22" t="s">
        <v>4627</v>
      </c>
      <c r="D1245" s="22" t="s">
        <v>4942</v>
      </c>
      <c r="E1245" s="22" t="s">
        <v>4628</v>
      </c>
      <c r="F1245" s="22">
        <v>1</v>
      </c>
      <c r="G1245" s="22">
        <v>259</v>
      </c>
      <c r="H1245" s="22"/>
      <c r="I1245" s="22"/>
    </row>
    <row r="1246" spans="1:9" ht="63" x14ac:dyDescent="0.25">
      <c r="A1246" s="22" t="s">
        <v>7621</v>
      </c>
      <c r="B1246" s="22" t="s">
        <v>4626</v>
      </c>
      <c r="C1246" s="22" t="s">
        <v>4627</v>
      </c>
      <c r="D1246" s="22" t="s">
        <v>4942</v>
      </c>
      <c r="E1246" s="22" t="s">
        <v>4628</v>
      </c>
      <c r="F1246" s="22">
        <v>1</v>
      </c>
      <c r="G1246" s="22">
        <v>259</v>
      </c>
      <c r="H1246" s="22"/>
      <c r="I1246" s="22"/>
    </row>
    <row r="1247" spans="1:9" ht="63" x14ac:dyDescent="0.25">
      <c r="A1247" s="22" t="s">
        <v>7622</v>
      </c>
      <c r="B1247" s="22" t="s">
        <v>4626</v>
      </c>
      <c r="C1247" s="22" t="s">
        <v>4627</v>
      </c>
      <c r="D1247" s="22" t="s">
        <v>6375</v>
      </c>
      <c r="E1247" s="22" t="s">
        <v>4628</v>
      </c>
      <c r="F1247" s="22">
        <v>1</v>
      </c>
      <c r="G1247" s="22">
        <v>259</v>
      </c>
      <c r="H1247" s="22"/>
      <c r="I1247" s="22"/>
    </row>
    <row r="1248" spans="1:9" ht="63" x14ac:dyDescent="0.25">
      <c r="A1248" s="22" t="s">
        <v>7623</v>
      </c>
      <c r="B1248" s="22" t="s">
        <v>4626</v>
      </c>
      <c r="C1248" s="22" t="s">
        <v>4627</v>
      </c>
      <c r="D1248" s="22" t="s">
        <v>6375</v>
      </c>
      <c r="E1248" s="22" t="s">
        <v>4628</v>
      </c>
      <c r="F1248" s="22">
        <v>1</v>
      </c>
      <c r="G1248" s="22">
        <v>259</v>
      </c>
      <c r="H1248" s="22"/>
      <c r="I1248" s="22"/>
    </row>
    <row r="1249" spans="1:9" ht="63" x14ac:dyDescent="0.25">
      <c r="A1249" s="22" t="s">
        <v>7624</v>
      </c>
      <c r="B1249" s="22" t="s">
        <v>6039</v>
      </c>
      <c r="C1249" s="22" t="s">
        <v>6040</v>
      </c>
      <c r="D1249" s="22" t="s">
        <v>6042</v>
      </c>
      <c r="E1249" s="22" t="s">
        <v>6041</v>
      </c>
      <c r="F1249" s="22">
        <v>1</v>
      </c>
      <c r="G1249" s="22">
        <v>256</v>
      </c>
      <c r="H1249" s="22"/>
      <c r="I1249" s="22"/>
    </row>
    <row r="1250" spans="1:9" ht="126" x14ac:dyDescent="0.25">
      <c r="A1250" s="22" t="s">
        <v>7625</v>
      </c>
      <c r="B1250" s="22" t="s">
        <v>6227</v>
      </c>
      <c r="C1250" s="22" t="s">
        <v>6228</v>
      </c>
      <c r="D1250" s="22" t="s">
        <v>4942</v>
      </c>
      <c r="E1250" s="22" t="s">
        <v>6229</v>
      </c>
      <c r="F1250" s="22">
        <v>1</v>
      </c>
      <c r="G1250" s="22">
        <v>3495</v>
      </c>
      <c r="H1250" s="22"/>
      <c r="I1250" s="22"/>
    </row>
    <row r="1251" spans="1:9" ht="126" x14ac:dyDescent="0.25">
      <c r="A1251" s="22" t="s">
        <v>7626</v>
      </c>
      <c r="B1251" s="22" t="s">
        <v>6227</v>
      </c>
      <c r="C1251" s="22" t="s">
        <v>6228</v>
      </c>
      <c r="D1251" s="22" t="s">
        <v>4942</v>
      </c>
      <c r="E1251" s="22" t="s">
        <v>6229</v>
      </c>
      <c r="F1251" s="22">
        <v>1</v>
      </c>
      <c r="G1251" s="22">
        <v>3495</v>
      </c>
      <c r="H1251" s="22"/>
      <c r="I1251" s="22"/>
    </row>
    <row r="1252" spans="1:9" ht="84" x14ac:dyDescent="0.25">
      <c r="A1252" s="22" t="s">
        <v>7627</v>
      </c>
      <c r="B1252" s="22" t="s">
        <v>6244</v>
      </c>
      <c r="C1252" s="22" t="s">
        <v>6245</v>
      </c>
      <c r="D1252" s="22" t="s">
        <v>4942</v>
      </c>
      <c r="E1252" s="22" t="s">
        <v>6246</v>
      </c>
      <c r="F1252" s="22">
        <v>1</v>
      </c>
      <c r="G1252" s="22">
        <v>61</v>
      </c>
      <c r="H1252" s="22"/>
      <c r="I1252" s="22"/>
    </row>
    <row r="1253" spans="1:9" ht="63" x14ac:dyDescent="0.25">
      <c r="A1253" s="22" t="s">
        <v>7628</v>
      </c>
      <c r="B1253" s="22" t="s">
        <v>6360</v>
      </c>
      <c r="C1253" s="22" t="s">
        <v>6361</v>
      </c>
      <c r="D1253" s="22" t="s">
        <v>4942</v>
      </c>
      <c r="E1253" s="22" t="s">
        <v>6362</v>
      </c>
      <c r="F1253" s="22">
        <v>1</v>
      </c>
      <c r="G1253" s="22">
        <v>345</v>
      </c>
      <c r="H1253" s="22"/>
      <c r="I1253" s="22"/>
    </row>
    <row r="1254" spans="1:9" ht="63" x14ac:dyDescent="0.25">
      <c r="A1254" s="22" t="s">
        <v>7629</v>
      </c>
      <c r="B1254" s="22" t="s">
        <v>6360</v>
      </c>
      <c r="C1254" s="22" t="s">
        <v>6361</v>
      </c>
      <c r="D1254" s="22" t="s">
        <v>6375</v>
      </c>
      <c r="E1254" s="22" t="s">
        <v>6362</v>
      </c>
      <c r="F1254" s="22">
        <v>1</v>
      </c>
      <c r="G1254" s="22">
        <v>345</v>
      </c>
      <c r="H1254" s="22"/>
      <c r="I1254" s="22"/>
    </row>
    <row r="1255" spans="1:9" ht="63" x14ac:dyDescent="0.25">
      <c r="A1255" s="22" t="s">
        <v>7630</v>
      </c>
      <c r="B1255" s="22" t="s">
        <v>6497</v>
      </c>
      <c r="C1255" s="22" t="s">
        <v>6498</v>
      </c>
      <c r="D1255" s="22" t="s">
        <v>6375</v>
      </c>
      <c r="E1255" s="22" t="s">
        <v>6499</v>
      </c>
      <c r="F1255" s="22">
        <v>1</v>
      </c>
      <c r="G1255" s="22">
        <v>41</v>
      </c>
      <c r="H1255" s="22"/>
      <c r="I1255" s="22"/>
    </row>
    <row r="1256" spans="1:9" ht="63" x14ac:dyDescent="0.25">
      <c r="A1256" s="22" t="s">
        <v>7631</v>
      </c>
      <c r="B1256" s="22" t="s">
        <v>6589</v>
      </c>
      <c r="C1256" s="22" t="s">
        <v>6590</v>
      </c>
      <c r="D1256" s="22" t="s">
        <v>6375</v>
      </c>
      <c r="E1256" s="22" t="s">
        <v>6591</v>
      </c>
      <c r="F1256" s="22">
        <v>1</v>
      </c>
      <c r="G1256" s="22">
        <v>41</v>
      </c>
      <c r="H1256" s="22"/>
      <c r="I1256" s="22"/>
    </row>
    <row r="1257" spans="1:9" ht="63" x14ac:dyDescent="0.25">
      <c r="A1257" s="22" t="s">
        <v>7632</v>
      </c>
      <c r="B1257" s="22" t="s">
        <v>6665</v>
      </c>
      <c r="C1257" s="22" t="s">
        <v>6666</v>
      </c>
      <c r="D1257" s="22" t="s">
        <v>6375</v>
      </c>
      <c r="E1257" s="22" t="s">
        <v>6667</v>
      </c>
      <c r="F1257" s="22">
        <v>1</v>
      </c>
      <c r="G1257" s="22">
        <v>393</v>
      </c>
      <c r="H1257" s="22"/>
      <c r="I1257" s="22"/>
    </row>
    <row r="1264" spans="1:9" ht="42" x14ac:dyDescent="0.25">
      <c r="A1264" s="6" t="s">
        <v>2971</v>
      </c>
      <c r="H1264" s="6" t="s">
        <v>2972</v>
      </c>
    </row>
    <row r="1266" spans="1:9" ht="168" x14ac:dyDescent="0.25">
      <c r="A1266" s="6" t="s">
        <v>31</v>
      </c>
      <c r="B1266" s="6" t="s">
        <v>2001</v>
      </c>
      <c r="D1266" s="6" t="s">
        <v>3000</v>
      </c>
      <c r="G1266" s="6" t="s">
        <v>2961</v>
      </c>
      <c r="H1266" s="6" t="str">
        <f>IFERROR(VLOOKUP(B1266,Seller_Details!A:C,3,0),"Not Found")</f>
        <v>208, Office Court Building, Opp. Oud Metha Metro Station, Oud metha Road, Dubai, U.A.E. P.O Box# 62</v>
      </c>
    </row>
    <row r="1267" spans="1:9" x14ac:dyDescent="0.25">
      <c r="A1267" s="6" t="s">
        <v>13</v>
      </c>
      <c r="B1267" s="6" t="str">
        <f>IFERROR(VLOOKUP(B1266,Seller_Details!A:C,2,0),"Not Found")</f>
        <v>V00665</v>
      </c>
      <c r="G1267" s="6" t="s">
        <v>2962</v>
      </c>
      <c r="H1267" s="24">
        <v>42819</v>
      </c>
    </row>
    <row r="1270" spans="1:9" ht="42" x14ac:dyDescent="0.25">
      <c r="A1270" s="22" t="s">
        <v>2963</v>
      </c>
      <c r="B1270" s="22" t="s">
        <v>2964</v>
      </c>
      <c r="C1270" s="22" t="s">
        <v>2965</v>
      </c>
      <c r="D1270" s="22" t="s">
        <v>2966</v>
      </c>
      <c r="E1270" s="22" t="s">
        <v>2967</v>
      </c>
      <c r="F1270" s="22" t="s">
        <v>6</v>
      </c>
      <c r="G1270" s="22" t="s">
        <v>2968</v>
      </c>
      <c r="H1270" s="22" t="s">
        <v>2969</v>
      </c>
      <c r="I1270" s="22" t="s">
        <v>2970</v>
      </c>
    </row>
    <row r="1271" spans="1:9" ht="63" x14ac:dyDescent="0.25">
      <c r="A1271" s="22" t="s">
        <v>7633</v>
      </c>
      <c r="B1271" s="22" t="s">
        <v>6632</v>
      </c>
      <c r="C1271" s="22" t="s">
        <v>6633</v>
      </c>
      <c r="D1271" s="22" t="s">
        <v>6635</v>
      </c>
      <c r="E1271" s="22" t="s">
        <v>6634</v>
      </c>
      <c r="F1271" s="22">
        <v>1</v>
      </c>
      <c r="G1271" s="22">
        <v>70</v>
      </c>
      <c r="H1271" s="22"/>
      <c r="I1271" s="22"/>
    </row>
    <row r="1278" spans="1:9" ht="42" x14ac:dyDescent="0.25">
      <c r="A1278" s="6" t="s">
        <v>2971</v>
      </c>
      <c r="H1278" s="6" t="s">
        <v>2972</v>
      </c>
    </row>
    <row r="1280" spans="1:9" ht="147" x14ac:dyDescent="0.25">
      <c r="A1280" s="6" t="s">
        <v>31</v>
      </c>
      <c r="B1280" s="6" t="s">
        <v>188</v>
      </c>
      <c r="D1280" s="6" t="s">
        <v>3001</v>
      </c>
      <c r="G1280" s="6" t="s">
        <v>2961</v>
      </c>
      <c r="H1280" s="6" t="str">
        <f>IFERROR(VLOOKUP(B1280,Seller_Details!A:C,3,0),"Not Found")</f>
        <v>AL ERSHAD COMPUTER TRADING LLC ; M27 ; AL AIN CENTRE ; DUBAI ; UAE PO BOX - 42782</v>
      </c>
    </row>
    <row r="1281" spans="1:9" x14ac:dyDescent="0.25">
      <c r="A1281" s="6" t="s">
        <v>13</v>
      </c>
      <c r="B1281" s="6" t="str">
        <f>IFERROR(VLOOKUP(B1280,Seller_Details!A:C,2,0),"Not Found")</f>
        <v>V00016</v>
      </c>
      <c r="G1281" s="6" t="s">
        <v>2962</v>
      </c>
      <c r="H1281" s="24">
        <v>42819</v>
      </c>
    </row>
    <row r="1284" spans="1:9" ht="42" x14ac:dyDescent="0.25">
      <c r="A1284" s="22" t="s">
        <v>2963</v>
      </c>
      <c r="B1284" s="22" t="s">
        <v>2964</v>
      </c>
      <c r="C1284" s="22" t="s">
        <v>2965</v>
      </c>
      <c r="D1284" s="22" t="s">
        <v>2966</v>
      </c>
      <c r="E1284" s="22" t="s">
        <v>2967</v>
      </c>
      <c r="F1284" s="22" t="s">
        <v>6</v>
      </c>
      <c r="G1284" s="22" t="s">
        <v>2968</v>
      </c>
      <c r="H1284" s="22" t="s">
        <v>2969</v>
      </c>
      <c r="I1284" s="22" t="s">
        <v>2970</v>
      </c>
    </row>
    <row r="1285" spans="1:9" ht="105" x14ac:dyDescent="0.25">
      <c r="A1285" s="22" t="s">
        <v>7634</v>
      </c>
      <c r="B1285" s="22" t="s">
        <v>5748</v>
      </c>
      <c r="C1285" s="22" t="s">
        <v>5749</v>
      </c>
      <c r="D1285" s="22" t="s">
        <v>5751</v>
      </c>
      <c r="E1285" s="22" t="s">
        <v>5750</v>
      </c>
      <c r="F1285" s="22">
        <v>1</v>
      </c>
      <c r="G1285" s="22">
        <v>432</v>
      </c>
      <c r="H1285" s="22"/>
      <c r="I1285" s="22"/>
    </row>
    <row r="1292" spans="1:9" ht="42" x14ac:dyDescent="0.25">
      <c r="A1292" s="6" t="s">
        <v>2971</v>
      </c>
      <c r="H1292" s="6" t="s">
        <v>2972</v>
      </c>
    </row>
    <row r="1294" spans="1:9" ht="105" x14ac:dyDescent="0.25">
      <c r="A1294" s="6" t="s">
        <v>31</v>
      </c>
      <c r="B1294" s="6" t="s">
        <v>43</v>
      </c>
      <c r="D1294" s="6" t="s">
        <v>3002</v>
      </c>
      <c r="G1294" s="6" t="s">
        <v>2961</v>
      </c>
      <c r="H1294" s="6" t="str">
        <f>IFERROR(VLOOKUP(B1294,Seller_Details!A:C,3,0),"Not Found")</f>
        <v>WAREHOUSE #407 SHED NO. 1; DUBAI MARITIME CITY ; DUBAI</v>
      </c>
    </row>
    <row r="1295" spans="1:9" x14ac:dyDescent="0.25">
      <c r="A1295" s="6" t="s">
        <v>13</v>
      </c>
      <c r="B1295" s="6" t="str">
        <f>IFERROR(VLOOKUP(B1294,Seller_Details!A:C,2,0),"Not Found")</f>
        <v>V00113</v>
      </c>
      <c r="G1295" s="6" t="s">
        <v>2962</v>
      </c>
      <c r="H1295" s="24">
        <v>42819</v>
      </c>
    </row>
    <row r="1298" spans="1:9" ht="42" x14ac:dyDescent="0.25">
      <c r="A1298" s="22" t="s">
        <v>2963</v>
      </c>
      <c r="B1298" s="22" t="s">
        <v>2964</v>
      </c>
      <c r="C1298" s="22" t="s">
        <v>2965</v>
      </c>
      <c r="D1298" s="22" t="s">
        <v>2966</v>
      </c>
      <c r="E1298" s="22" t="s">
        <v>2967</v>
      </c>
      <c r="F1298" s="22" t="s">
        <v>6</v>
      </c>
      <c r="G1298" s="22" t="s">
        <v>2968</v>
      </c>
      <c r="H1298" s="22" t="s">
        <v>2969</v>
      </c>
      <c r="I1298" s="22" t="s">
        <v>2970</v>
      </c>
    </row>
    <row r="1299" spans="1:9" ht="126" x14ac:dyDescent="0.25">
      <c r="A1299" s="22" t="s">
        <v>7635</v>
      </c>
      <c r="B1299" s="22" t="s">
        <v>3673</v>
      </c>
      <c r="C1299" s="22" t="s">
        <v>3674</v>
      </c>
      <c r="D1299" s="22" t="s">
        <v>6023</v>
      </c>
      <c r="E1299" s="22" t="s">
        <v>3675</v>
      </c>
      <c r="F1299" s="22">
        <v>1</v>
      </c>
      <c r="G1299" s="22">
        <v>3255</v>
      </c>
      <c r="H1299" s="22"/>
      <c r="I1299" s="22"/>
    </row>
    <row r="1300" spans="1:9" ht="105" x14ac:dyDescent="0.25">
      <c r="A1300" s="22" t="s">
        <v>7636</v>
      </c>
      <c r="B1300" s="22" t="s">
        <v>4805</v>
      </c>
      <c r="C1300" s="22" t="s">
        <v>4806</v>
      </c>
      <c r="D1300" s="22" t="s">
        <v>4808</v>
      </c>
      <c r="E1300" s="22" t="s">
        <v>4807</v>
      </c>
      <c r="F1300" s="22">
        <v>1</v>
      </c>
      <c r="G1300" s="22">
        <v>1471</v>
      </c>
      <c r="H1300" s="22"/>
      <c r="I1300" s="22"/>
    </row>
    <row r="1301" spans="1:9" ht="105" x14ac:dyDescent="0.25">
      <c r="A1301" s="22" t="s">
        <v>7637</v>
      </c>
      <c r="B1301" s="22" t="s">
        <v>4805</v>
      </c>
      <c r="C1301" s="22" t="s">
        <v>4806</v>
      </c>
      <c r="D1301" s="22" t="s">
        <v>4961</v>
      </c>
      <c r="E1301" s="22" t="s">
        <v>4807</v>
      </c>
      <c r="F1301" s="22">
        <v>1</v>
      </c>
      <c r="G1301" s="22">
        <v>1471</v>
      </c>
      <c r="H1301" s="22"/>
      <c r="I1301" s="22"/>
    </row>
    <row r="1302" spans="1:9" ht="105" x14ac:dyDescent="0.25">
      <c r="A1302" s="22" t="s">
        <v>7638</v>
      </c>
      <c r="B1302" s="22" t="s">
        <v>4805</v>
      </c>
      <c r="C1302" s="22" t="s">
        <v>4806</v>
      </c>
      <c r="D1302" s="22" t="s">
        <v>4961</v>
      </c>
      <c r="E1302" s="22" t="s">
        <v>4807</v>
      </c>
      <c r="F1302" s="22">
        <v>1</v>
      </c>
      <c r="G1302" s="22">
        <v>1471</v>
      </c>
      <c r="H1302" s="22"/>
      <c r="I1302" s="22"/>
    </row>
    <row r="1303" spans="1:9" ht="147" x14ac:dyDescent="0.25">
      <c r="A1303" s="22" t="s">
        <v>7639</v>
      </c>
      <c r="B1303" s="22" t="s">
        <v>6020</v>
      </c>
      <c r="C1303" s="22" t="s">
        <v>6021</v>
      </c>
      <c r="D1303" s="22" t="s">
        <v>6023</v>
      </c>
      <c r="E1303" s="22" t="s">
        <v>6022</v>
      </c>
      <c r="F1303" s="22">
        <v>1</v>
      </c>
      <c r="G1303" s="22">
        <v>1033</v>
      </c>
      <c r="H1303" s="22"/>
      <c r="I1303" s="22"/>
    </row>
    <row r="1304" spans="1:9" ht="147" x14ac:dyDescent="0.25">
      <c r="A1304" s="22" t="s">
        <v>7640</v>
      </c>
      <c r="B1304" s="22" t="s">
        <v>6020</v>
      </c>
      <c r="C1304" s="22" t="s">
        <v>6021</v>
      </c>
      <c r="D1304" s="22" t="s">
        <v>6023</v>
      </c>
      <c r="E1304" s="22" t="s">
        <v>6022</v>
      </c>
      <c r="F1304" s="22">
        <v>1</v>
      </c>
      <c r="G1304" s="22">
        <v>1033</v>
      </c>
      <c r="H1304" s="22"/>
      <c r="I1304" s="22"/>
    </row>
    <row r="1305" spans="1:9" ht="147" x14ac:dyDescent="0.25">
      <c r="A1305" s="22" t="s">
        <v>7641</v>
      </c>
      <c r="B1305" s="22" t="s">
        <v>6356</v>
      </c>
      <c r="C1305" s="22" t="s">
        <v>6357</v>
      </c>
      <c r="D1305" s="22" t="s">
        <v>6023</v>
      </c>
      <c r="E1305" s="22" t="s">
        <v>6358</v>
      </c>
      <c r="F1305" s="22">
        <v>1</v>
      </c>
      <c r="G1305" s="22">
        <v>743</v>
      </c>
      <c r="H1305" s="22"/>
      <c r="I1305" s="22"/>
    </row>
    <row r="1306" spans="1:9" ht="126" x14ac:dyDescent="0.25">
      <c r="A1306" s="22" t="s">
        <v>7642</v>
      </c>
      <c r="B1306" s="22" t="s">
        <v>6432</v>
      </c>
      <c r="C1306" s="22" t="s">
        <v>6433</v>
      </c>
      <c r="D1306" s="22" t="s">
        <v>6023</v>
      </c>
      <c r="E1306" s="22" t="s">
        <v>6434</v>
      </c>
      <c r="F1306" s="22">
        <v>1</v>
      </c>
      <c r="G1306" s="22">
        <v>2100</v>
      </c>
      <c r="H1306" s="22"/>
      <c r="I1306" s="22"/>
    </row>
    <row r="1313" spans="1:9" ht="42" x14ac:dyDescent="0.25">
      <c r="A1313" s="6" t="s">
        <v>2971</v>
      </c>
      <c r="H1313" s="6" t="s">
        <v>2972</v>
      </c>
    </row>
    <row r="1315" spans="1:9" ht="105" x14ac:dyDescent="0.25">
      <c r="A1315" s="6" t="s">
        <v>31</v>
      </c>
      <c r="B1315" s="6" t="s">
        <v>1502</v>
      </c>
      <c r="D1315" s="6" t="s">
        <v>3003</v>
      </c>
      <c r="G1315" s="6" t="s">
        <v>2961</v>
      </c>
      <c r="H1315" s="6" t="str">
        <f>IFERROR(VLOOKUP(B1315,Seller_Details!A:C,3,0),"Not Found")</f>
        <v>$4 Business Center, Bank Street, PO :31906, Dubie UAE, Burjuman</v>
      </c>
    </row>
    <row r="1316" spans="1:9" x14ac:dyDescent="0.25">
      <c r="A1316" s="6" t="s">
        <v>13</v>
      </c>
      <c r="B1316" s="6" t="str">
        <f>IFERROR(VLOOKUP(B1315,Seller_Details!A:C,2,0),"Not Found")</f>
        <v>V00534</v>
      </c>
      <c r="G1316" s="6" t="s">
        <v>2962</v>
      </c>
      <c r="H1316" s="24">
        <v>42819</v>
      </c>
    </row>
    <row r="1319" spans="1:9" ht="42" x14ac:dyDescent="0.25">
      <c r="A1319" s="22" t="s">
        <v>2963</v>
      </c>
      <c r="B1319" s="22" t="s">
        <v>2964</v>
      </c>
      <c r="C1319" s="22" t="s">
        <v>2965</v>
      </c>
      <c r="D1319" s="22" t="s">
        <v>2966</v>
      </c>
      <c r="E1319" s="22" t="s">
        <v>2967</v>
      </c>
      <c r="F1319" s="22" t="s">
        <v>6</v>
      </c>
      <c r="G1319" s="22" t="s">
        <v>2968</v>
      </c>
      <c r="H1319" s="22" t="s">
        <v>2969</v>
      </c>
      <c r="I1319" s="22" t="s">
        <v>2970</v>
      </c>
    </row>
    <row r="1320" spans="1:9" ht="63" x14ac:dyDescent="0.25">
      <c r="A1320" s="22" t="s">
        <v>7643</v>
      </c>
      <c r="B1320" s="22" t="s">
        <v>3877</v>
      </c>
      <c r="C1320" s="22" t="s">
        <v>3878</v>
      </c>
      <c r="D1320" s="22" t="s">
        <v>3880</v>
      </c>
      <c r="E1320" s="22" t="s">
        <v>3879</v>
      </c>
      <c r="F1320" s="22">
        <v>1</v>
      </c>
      <c r="G1320" s="22">
        <v>439</v>
      </c>
      <c r="H1320" s="22"/>
      <c r="I1320" s="22"/>
    </row>
    <row r="1321" spans="1:9" ht="63" x14ac:dyDescent="0.25">
      <c r="A1321" s="22" t="s">
        <v>7644</v>
      </c>
      <c r="B1321" s="22" t="s">
        <v>3877</v>
      </c>
      <c r="C1321" s="22" t="s">
        <v>3878</v>
      </c>
      <c r="D1321" s="22" t="s">
        <v>3880</v>
      </c>
      <c r="E1321" s="22" t="s">
        <v>3879</v>
      </c>
      <c r="F1321" s="22">
        <v>1</v>
      </c>
      <c r="G1321" s="22">
        <v>439</v>
      </c>
      <c r="H1321" s="22"/>
      <c r="I1321" s="22"/>
    </row>
    <row r="1322" spans="1:9" ht="105" x14ac:dyDescent="0.25">
      <c r="A1322" s="22" t="s">
        <v>7645</v>
      </c>
      <c r="B1322" s="22" t="s">
        <v>3975</v>
      </c>
      <c r="C1322" s="22" t="s">
        <v>3976</v>
      </c>
      <c r="D1322" s="22" t="s">
        <v>3978</v>
      </c>
      <c r="E1322" s="22" t="s">
        <v>3977</v>
      </c>
      <c r="F1322" s="22">
        <v>1</v>
      </c>
      <c r="G1322" s="22">
        <v>1131</v>
      </c>
      <c r="H1322" s="22"/>
      <c r="I1322" s="22"/>
    </row>
    <row r="1323" spans="1:9" ht="63" x14ac:dyDescent="0.25">
      <c r="A1323" s="22" t="s">
        <v>7646</v>
      </c>
      <c r="B1323" s="22" t="s">
        <v>4105</v>
      </c>
      <c r="C1323" s="22" t="s">
        <v>4106</v>
      </c>
      <c r="D1323" s="22" t="s">
        <v>3978</v>
      </c>
      <c r="E1323" s="22" t="s">
        <v>4107</v>
      </c>
      <c r="F1323" s="22">
        <v>1</v>
      </c>
      <c r="G1323" s="22">
        <v>5</v>
      </c>
      <c r="H1323" s="22"/>
      <c r="I1323" s="22"/>
    </row>
    <row r="1324" spans="1:9" ht="63" x14ac:dyDescent="0.25">
      <c r="A1324" s="22" t="s">
        <v>7647</v>
      </c>
      <c r="B1324" s="22" t="s">
        <v>4105</v>
      </c>
      <c r="C1324" s="22" t="s">
        <v>4106</v>
      </c>
      <c r="D1324" s="22" t="s">
        <v>3978</v>
      </c>
      <c r="E1324" s="22" t="s">
        <v>4107</v>
      </c>
      <c r="F1324" s="22">
        <v>1</v>
      </c>
      <c r="G1324" s="22">
        <v>5</v>
      </c>
      <c r="H1324" s="22"/>
      <c r="I1324" s="22"/>
    </row>
    <row r="1325" spans="1:9" ht="63" x14ac:dyDescent="0.25">
      <c r="A1325" s="22" t="s">
        <v>7648</v>
      </c>
      <c r="B1325" s="22" t="s">
        <v>4105</v>
      </c>
      <c r="C1325" s="22" t="s">
        <v>4106</v>
      </c>
      <c r="D1325" s="22" t="s">
        <v>3978</v>
      </c>
      <c r="E1325" s="22" t="s">
        <v>4107</v>
      </c>
      <c r="F1325" s="22">
        <v>1</v>
      </c>
      <c r="G1325" s="22">
        <v>5</v>
      </c>
      <c r="H1325" s="22"/>
      <c r="I1325" s="22"/>
    </row>
    <row r="1326" spans="1:9" ht="63" x14ac:dyDescent="0.25">
      <c r="A1326" s="22" t="s">
        <v>7649</v>
      </c>
      <c r="B1326" s="22" t="s">
        <v>4105</v>
      </c>
      <c r="C1326" s="22" t="s">
        <v>4106</v>
      </c>
      <c r="D1326" s="22" t="s">
        <v>3978</v>
      </c>
      <c r="E1326" s="22" t="s">
        <v>4107</v>
      </c>
      <c r="F1326" s="22">
        <v>1</v>
      </c>
      <c r="G1326" s="22">
        <v>5</v>
      </c>
      <c r="H1326" s="22"/>
      <c r="I1326" s="22"/>
    </row>
    <row r="1327" spans="1:9" ht="63" x14ac:dyDescent="0.25">
      <c r="A1327" s="22" t="s">
        <v>7650</v>
      </c>
      <c r="B1327" s="22" t="s">
        <v>4105</v>
      </c>
      <c r="C1327" s="22" t="s">
        <v>4106</v>
      </c>
      <c r="D1327" s="22" t="s">
        <v>3978</v>
      </c>
      <c r="E1327" s="22" t="s">
        <v>4107</v>
      </c>
      <c r="F1327" s="22">
        <v>1</v>
      </c>
      <c r="G1327" s="22">
        <v>5</v>
      </c>
      <c r="H1327" s="22"/>
      <c r="I1327" s="22"/>
    </row>
    <row r="1328" spans="1:9" ht="63" x14ac:dyDescent="0.25">
      <c r="A1328" s="22" t="s">
        <v>7651</v>
      </c>
      <c r="B1328" s="22" t="s">
        <v>4105</v>
      </c>
      <c r="C1328" s="22" t="s">
        <v>4106</v>
      </c>
      <c r="D1328" s="22" t="s">
        <v>6197</v>
      </c>
      <c r="E1328" s="22" t="s">
        <v>4107</v>
      </c>
      <c r="F1328" s="22">
        <v>1</v>
      </c>
      <c r="G1328" s="22">
        <v>5</v>
      </c>
      <c r="H1328" s="22"/>
      <c r="I1328" s="22"/>
    </row>
    <row r="1329" spans="1:9" ht="63" x14ac:dyDescent="0.25">
      <c r="A1329" s="22" t="s">
        <v>7652</v>
      </c>
      <c r="B1329" s="22" t="s">
        <v>4105</v>
      </c>
      <c r="C1329" s="22" t="s">
        <v>4106</v>
      </c>
      <c r="D1329" s="22" t="s">
        <v>6682</v>
      </c>
      <c r="E1329" s="22" t="s">
        <v>4107</v>
      </c>
      <c r="F1329" s="22">
        <v>1</v>
      </c>
      <c r="G1329" s="22">
        <v>5</v>
      </c>
      <c r="H1329" s="22"/>
      <c r="I1329" s="22"/>
    </row>
    <row r="1330" spans="1:9" ht="63" x14ac:dyDescent="0.25">
      <c r="A1330" s="22" t="s">
        <v>7653</v>
      </c>
      <c r="B1330" s="22" t="s">
        <v>4105</v>
      </c>
      <c r="C1330" s="22" t="s">
        <v>4106</v>
      </c>
      <c r="D1330" s="22" t="s">
        <v>6682</v>
      </c>
      <c r="E1330" s="22" t="s">
        <v>4107</v>
      </c>
      <c r="F1330" s="22">
        <v>1</v>
      </c>
      <c r="G1330" s="22">
        <v>5</v>
      </c>
      <c r="H1330" s="22"/>
      <c r="I1330" s="22"/>
    </row>
    <row r="1331" spans="1:9" ht="105" x14ac:dyDescent="0.25">
      <c r="A1331" s="22" t="s">
        <v>7654</v>
      </c>
      <c r="B1331" s="22" t="s">
        <v>4153</v>
      </c>
      <c r="C1331" s="22" t="s">
        <v>4154</v>
      </c>
      <c r="D1331" s="22" t="s">
        <v>3978</v>
      </c>
      <c r="E1331" s="22" t="s">
        <v>4155</v>
      </c>
      <c r="F1331" s="22">
        <v>1</v>
      </c>
      <c r="G1331" s="22">
        <v>741</v>
      </c>
      <c r="H1331" s="22"/>
      <c r="I1331" s="22"/>
    </row>
    <row r="1332" spans="1:9" ht="105" x14ac:dyDescent="0.25">
      <c r="A1332" s="22" t="s">
        <v>7655</v>
      </c>
      <c r="B1332" s="22" t="s">
        <v>4153</v>
      </c>
      <c r="C1332" s="22" t="s">
        <v>4154</v>
      </c>
      <c r="D1332" s="22" t="s">
        <v>3978</v>
      </c>
      <c r="E1332" s="22" t="s">
        <v>4155</v>
      </c>
      <c r="F1332" s="22">
        <v>1</v>
      </c>
      <c r="G1332" s="22">
        <v>741</v>
      </c>
      <c r="H1332" s="22"/>
      <c r="I1332" s="22"/>
    </row>
    <row r="1333" spans="1:9" ht="105" x14ac:dyDescent="0.25">
      <c r="A1333" s="22" t="s">
        <v>7656</v>
      </c>
      <c r="B1333" s="22" t="s">
        <v>4153</v>
      </c>
      <c r="C1333" s="22" t="s">
        <v>4154</v>
      </c>
      <c r="D1333" s="22" t="s">
        <v>4948</v>
      </c>
      <c r="E1333" s="22" t="s">
        <v>4155</v>
      </c>
      <c r="F1333" s="22">
        <v>1</v>
      </c>
      <c r="G1333" s="22">
        <v>741</v>
      </c>
      <c r="H1333" s="22"/>
      <c r="I1333" s="22"/>
    </row>
    <row r="1334" spans="1:9" ht="105" x14ac:dyDescent="0.25">
      <c r="A1334" s="22" t="s">
        <v>7657</v>
      </c>
      <c r="B1334" s="22" t="s">
        <v>4153</v>
      </c>
      <c r="C1334" s="22" t="s">
        <v>4154</v>
      </c>
      <c r="D1334" s="22" t="s">
        <v>4948</v>
      </c>
      <c r="E1334" s="22" t="s">
        <v>4155</v>
      </c>
      <c r="F1334" s="22">
        <v>1</v>
      </c>
      <c r="G1334" s="22">
        <v>741</v>
      </c>
      <c r="H1334" s="22"/>
      <c r="I1334" s="22"/>
    </row>
    <row r="1335" spans="1:9" ht="105" x14ac:dyDescent="0.25">
      <c r="A1335" s="22" t="s">
        <v>7658</v>
      </c>
      <c r="B1335" s="22" t="s">
        <v>4153</v>
      </c>
      <c r="C1335" s="22" t="s">
        <v>4154</v>
      </c>
      <c r="D1335" s="22" t="s">
        <v>4948</v>
      </c>
      <c r="E1335" s="22" t="s">
        <v>4155</v>
      </c>
      <c r="F1335" s="22">
        <v>1</v>
      </c>
      <c r="G1335" s="22">
        <v>741</v>
      </c>
      <c r="H1335" s="22"/>
      <c r="I1335" s="22"/>
    </row>
    <row r="1336" spans="1:9" ht="63" x14ac:dyDescent="0.25">
      <c r="A1336" s="22" t="s">
        <v>7659</v>
      </c>
      <c r="B1336" s="22" t="s">
        <v>4157</v>
      </c>
      <c r="C1336" s="22" t="s">
        <v>4158</v>
      </c>
      <c r="D1336" s="22" t="s">
        <v>3978</v>
      </c>
      <c r="E1336" s="22" t="s">
        <v>4159</v>
      </c>
      <c r="F1336" s="22">
        <v>1</v>
      </c>
      <c r="G1336" s="22">
        <v>897</v>
      </c>
      <c r="H1336" s="22"/>
      <c r="I1336" s="22"/>
    </row>
    <row r="1337" spans="1:9" ht="126" x14ac:dyDescent="0.25">
      <c r="A1337" s="22" t="s">
        <v>7660</v>
      </c>
      <c r="B1337" s="22" t="s">
        <v>4287</v>
      </c>
      <c r="C1337" s="22" t="s">
        <v>4288</v>
      </c>
      <c r="D1337" s="22" t="s">
        <v>3880</v>
      </c>
      <c r="E1337" s="22" t="s">
        <v>4289</v>
      </c>
      <c r="F1337" s="22">
        <v>1</v>
      </c>
      <c r="G1337" s="22">
        <v>897</v>
      </c>
      <c r="H1337" s="22"/>
      <c r="I1337" s="22"/>
    </row>
    <row r="1338" spans="1:9" ht="126" x14ac:dyDescent="0.25">
      <c r="A1338" s="22" t="s">
        <v>7661</v>
      </c>
      <c r="B1338" s="22" t="s">
        <v>4287</v>
      </c>
      <c r="C1338" s="22" t="s">
        <v>4288</v>
      </c>
      <c r="D1338" s="22" t="s">
        <v>4948</v>
      </c>
      <c r="E1338" s="22" t="s">
        <v>4289</v>
      </c>
      <c r="F1338" s="22">
        <v>1</v>
      </c>
      <c r="G1338" s="22">
        <v>897</v>
      </c>
      <c r="H1338" s="22"/>
      <c r="I1338" s="22"/>
    </row>
    <row r="1339" spans="1:9" ht="126" x14ac:dyDescent="0.25">
      <c r="A1339" s="22" t="s">
        <v>7662</v>
      </c>
      <c r="B1339" s="22" t="s">
        <v>4287</v>
      </c>
      <c r="C1339" s="22" t="s">
        <v>4288</v>
      </c>
      <c r="D1339" s="22" t="s">
        <v>6082</v>
      </c>
      <c r="E1339" s="22" t="s">
        <v>4289</v>
      </c>
      <c r="F1339" s="22">
        <v>1</v>
      </c>
      <c r="G1339" s="22">
        <v>897</v>
      </c>
      <c r="H1339" s="22"/>
      <c r="I1339" s="22"/>
    </row>
    <row r="1340" spans="1:9" ht="63" x14ac:dyDescent="0.25">
      <c r="A1340" s="22" t="s">
        <v>7663</v>
      </c>
      <c r="B1340" s="22" t="s">
        <v>4294</v>
      </c>
      <c r="C1340" s="22" t="s">
        <v>4295</v>
      </c>
      <c r="D1340" s="22" t="s">
        <v>3880</v>
      </c>
      <c r="E1340" s="22" t="s">
        <v>4296</v>
      </c>
      <c r="F1340" s="22">
        <v>1</v>
      </c>
      <c r="G1340" s="22">
        <v>17</v>
      </c>
      <c r="H1340" s="22"/>
      <c r="I1340" s="22"/>
    </row>
    <row r="1341" spans="1:9" ht="63" x14ac:dyDescent="0.25">
      <c r="A1341" s="22" t="s">
        <v>7664</v>
      </c>
      <c r="B1341" s="22" t="s">
        <v>4294</v>
      </c>
      <c r="C1341" s="22" t="s">
        <v>4295</v>
      </c>
      <c r="D1341" s="22" t="s">
        <v>3880</v>
      </c>
      <c r="E1341" s="22" t="s">
        <v>4296</v>
      </c>
      <c r="F1341" s="22">
        <v>1</v>
      </c>
      <c r="G1341" s="22">
        <v>17</v>
      </c>
      <c r="H1341" s="22"/>
      <c r="I1341" s="22"/>
    </row>
    <row r="1342" spans="1:9" ht="42" x14ac:dyDescent="0.25">
      <c r="A1342" s="22" t="s">
        <v>7665</v>
      </c>
      <c r="B1342" s="22" t="s">
        <v>4317</v>
      </c>
      <c r="C1342" s="22" t="s">
        <v>4318</v>
      </c>
      <c r="D1342" s="22" t="s">
        <v>3880</v>
      </c>
      <c r="E1342" s="22" t="s">
        <v>4319</v>
      </c>
      <c r="F1342" s="22">
        <v>1</v>
      </c>
      <c r="G1342" s="22">
        <v>22</v>
      </c>
      <c r="H1342" s="22"/>
      <c r="I1342" s="22"/>
    </row>
    <row r="1343" spans="1:9" ht="42" x14ac:dyDescent="0.25">
      <c r="A1343" s="22" t="s">
        <v>7666</v>
      </c>
      <c r="B1343" s="22" t="s">
        <v>4317</v>
      </c>
      <c r="C1343" s="22" t="s">
        <v>4318</v>
      </c>
      <c r="D1343" s="22" t="s">
        <v>3880</v>
      </c>
      <c r="E1343" s="22" t="s">
        <v>4319</v>
      </c>
      <c r="F1343" s="22">
        <v>1</v>
      </c>
      <c r="G1343" s="22">
        <v>22</v>
      </c>
      <c r="H1343" s="22"/>
      <c r="I1343" s="22"/>
    </row>
    <row r="1344" spans="1:9" ht="42" x14ac:dyDescent="0.25">
      <c r="A1344" s="22" t="s">
        <v>7667</v>
      </c>
      <c r="B1344" s="22" t="s">
        <v>4317</v>
      </c>
      <c r="C1344" s="22" t="s">
        <v>4318</v>
      </c>
      <c r="D1344" s="22" t="s">
        <v>3880</v>
      </c>
      <c r="E1344" s="22" t="s">
        <v>4319</v>
      </c>
      <c r="F1344" s="22">
        <v>1</v>
      </c>
      <c r="G1344" s="22">
        <v>22</v>
      </c>
      <c r="H1344" s="22"/>
      <c r="I1344" s="22"/>
    </row>
    <row r="1345" spans="1:9" ht="42" x14ac:dyDescent="0.25">
      <c r="A1345" s="22" t="s">
        <v>7668</v>
      </c>
      <c r="B1345" s="22" t="s">
        <v>4317</v>
      </c>
      <c r="C1345" s="22" t="s">
        <v>4318</v>
      </c>
      <c r="D1345" s="22" t="s">
        <v>4948</v>
      </c>
      <c r="E1345" s="22" t="s">
        <v>4319</v>
      </c>
      <c r="F1345" s="22">
        <v>1</v>
      </c>
      <c r="G1345" s="22">
        <v>22</v>
      </c>
      <c r="H1345" s="22"/>
      <c r="I1345" s="22"/>
    </row>
    <row r="1346" spans="1:9" ht="42" x14ac:dyDescent="0.25">
      <c r="A1346" s="22" t="s">
        <v>7669</v>
      </c>
      <c r="B1346" s="22" t="s">
        <v>4317</v>
      </c>
      <c r="C1346" s="22" t="s">
        <v>4318</v>
      </c>
      <c r="D1346" s="22" t="s">
        <v>4948</v>
      </c>
      <c r="E1346" s="22" t="s">
        <v>4319</v>
      </c>
      <c r="F1346" s="22">
        <v>1</v>
      </c>
      <c r="G1346" s="22">
        <v>22</v>
      </c>
      <c r="H1346" s="22"/>
      <c r="I1346" s="22"/>
    </row>
    <row r="1347" spans="1:9" ht="42" x14ac:dyDescent="0.25">
      <c r="A1347" s="22" t="s">
        <v>7670</v>
      </c>
      <c r="B1347" s="22" t="s">
        <v>4317</v>
      </c>
      <c r="C1347" s="22" t="s">
        <v>4318</v>
      </c>
      <c r="D1347" s="22" t="s">
        <v>6197</v>
      </c>
      <c r="E1347" s="22" t="s">
        <v>4319</v>
      </c>
      <c r="F1347" s="22">
        <v>1</v>
      </c>
      <c r="G1347" s="22">
        <v>22</v>
      </c>
      <c r="H1347" s="22"/>
      <c r="I1347" s="22"/>
    </row>
    <row r="1348" spans="1:9" ht="63" x14ac:dyDescent="0.25">
      <c r="A1348" s="22" t="s">
        <v>7671</v>
      </c>
      <c r="B1348" s="22" t="s">
        <v>4367</v>
      </c>
      <c r="C1348" s="22" t="s">
        <v>4368</v>
      </c>
      <c r="D1348" s="22" t="s">
        <v>3880</v>
      </c>
      <c r="E1348" s="22" t="s">
        <v>4369</v>
      </c>
      <c r="F1348" s="22">
        <v>1</v>
      </c>
      <c r="G1348" s="22">
        <v>935</v>
      </c>
      <c r="H1348" s="22"/>
      <c r="I1348" s="22"/>
    </row>
    <row r="1349" spans="1:9" ht="63" x14ac:dyDescent="0.25">
      <c r="A1349" s="22" t="s">
        <v>7672</v>
      </c>
      <c r="B1349" s="22" t="s">
        <v>4396</v>
      </c>
      <c r="C1349" s="22" t="s">
        <v>4397</v>
      </c>
      <c r="D1349" s="22" t="s">
        <v>3880</v>
      </c>
      <c r="E1349" s="22" t="s">
        <v>4398</v>
      </c>
      <c r="F1349" s="22">
        <v>1</v>
      </c>
      <c r="G1349" s="22">
        <v>1365</v>
      </c>
      <c r="H1349" s="22"/>
      <c r="I1349" s="22"/>
    </row>
    <row r="1350" spans="1:9" ht="84" x14ac:dyDescent="0.25">
      <c r="A1350" s="22" t="s">
        <v>7673</v>
      </c>
      <c r="B1350" s="22" t="s">
        <v>4413</v>
      </c>
      <c r="C1350" s="22" t="s">
        <v>4414</v>
      </c>
      <c r="D1350" s="22" t="s">
        <v>4948</v>
      </c>
      <c r="E1350" s="22" t="s">
        <v>4415</v>
      </c>
      <c r="F1350" s="22">
        <v>1</v>
      </c>
      <c r="G1350" s="22">
        <v>17</v>
      </c>
      <c r="H1350" s="22"/>
      <c r="I1350" s="22"/>
    </row>
    <row r="1351" spans="1:9" ht="84" x14ac:dyDescent="0.25">
      <c r="A1351" s="22" t="s">
        <v>7674</v>
      </c>
      <c r="B1351" s="22" t="s">
        <v>4413</v>
      </c>
      <c r="C1351" s="22" t="s">
        <v>4414</v>
      </c>
      <c r="D1351" s="22" t="s">
        <v>4948</v>
      </c>
      <c r="E1351" s="22" t="s">
        <v>4415</v>
      </c>
      <c r="F1351" s="22">
        <v>1</v>
      </c>
      <c r="G1351" s="22">
        <v>17</v>
      </c>
      <c r="H1351" s="22"/>
      <c r="I1351" s="22"/>
    </row>
    <row r="1352" spans="1:9" ht="84" x14ac:dyDescent="0.25">
      <c r="A1352" s="22" t="s">
        <v>7675</v>
      </c>
      <c r="B1352" s="22" t="s">
        <v>4413</v>
      </c>
      <c r="C1352" s="22" t="s">
        <v>4414</v>
      </c>
      <c r="D1352" s="22" t="s">
        <v>4948</v>
      </c>
      <c r="E1352" s="22" t="s">
        <v>4415</v>
      </c>
      <c r="F1352" s="22">
        <v>1</v>
      </c>
      <c r="G1352" s="22">
        <v>17</v>
      </c>
      <c r="H1352" s="22"/>
      <c r="I1352" s="22"/>
    </row>
    <row r="1353" spans="1:9" ht="84" x14ac:dyDescent="0.25">
      <c r="A1353" s="22" t="s">
        <v>7676</v>
      </c>
      <c r="B1353" s="22" t="s">
        <v>4413</v>
      </c>
      <c r="C1353" s="22" t="s">
        <v>4414</v>
      </c>
      <c r="D1353" s="22" t="s">
        <v>6197</v>
      </c>
      <c r="E1353" s="22" t="s">
        <v>4415</v>
      </c>
      <c r="F1353" s="22">
        <v>1</v>
      </c>
      <c r="G1353" s="22">
        <v>17</v>
      </c>
      <c r="H1353" s="22"/>
      <c r="I1353" s="22"/>
    </row>
    <row r="1354" spans="1:9" ht="63" x14ac:dyDescent="0.25">
      <c r="A1354" s="22" t="s">
        <v>7677</v>
      </c>
      <c r="B1354" s="22" t="s">
        <v>4417</v>
      </c>
      <c r="C1354" s="22" t="s">
        <v>4418</v>
      </c>
      <c r="D1354" s="22" t="s">
        <v>3880</v>
      </c>
      <c r="E1354" s="22" t="s">
        <v>4419</v>
      </c>
      <c r="F1354" s="22">
        <v>1</v>
      </c>
      <c r="G1354" s="22">
        <v>14</v>
      </c>
      <c r="H1354" s="22"/>
      <c r="I1354" s="22"/>
    </row>
    <row r="1355" spans="1:9" ht="63" x14ac:dyDescent="0.25">
      <c r="A1355" s="22" t="s">
        <v>7678</v>
      </c>
      <c r="B1355" s="22" t="s">
        <v>4417</v>
      </c>
      <c r="C1355" s="22" t="s">
        <v>4418</v>
      </c>
      <c r="D1355" s="22" t="s">
        <v>4948</v>
      </c>
      <c r="E1355" s="22" t="s">
        <v>4419</v>
      </c>
      <c r="F1355" s="22">
        <v>1</v>
      </c>
      <c r="G1355" s="22">
        <v>14</v>
      </c>
      <c r="H1355" s="22"/>
      <c r="I1355" s="22"/>
    </row>
    <row r="1356" spans="1:9" ht="63" x14ac:dyDescent="0.25">
      <c r="A1356" s="22" t="s">
        <v>7679</v>
      </c>
      <c r="B1356" s="22" t="s">
        <v>4417</v>
      </c>
      <c r="C1356" s="22" t="s">
        <v>4418</v>
      </c>
      <c r="D1356" s="22" t="s">
        <v>4948</v>
      </c>
      <c r="E1356" s="22" t="s">
        <v>4419</v>
      </c>
      <c r="F1356" s="22">
        <v>1</v>
      </c>
      <c r="G1356" s="22">
        <v>14</v>
      </c>
      <c r="H1356" s="22"/>
      <c r="I1356" s="22"/>
    </row>
    <row r="1357" spans="1:9" ht="63" x14ac:dyDescent="0.25">
      <c r="A1357" s="22" t="s">
        <v>7680</v>
      </c>
      <c r="B1357" s="22" t="s">
        <v>4421</v>
      </c>
      <c r="C1357" s="22" t="s">
        <v>4422</v>
      </c>
      <c r="D1357" s="22" t="s">
        <v>3880</v>
      </c>
      <c r="E1357" s="22" t="s">
        <v>4423</v>
      </c>
      <c r="F1357" s="22">
        <v>1</v>
      </c>
      <c r="G1357" s="22">
        <v>22</v>
      </c>
      <c r="H1357" s="22"/>
      <c r="I1357" s="22"/>
    </row>
    <row r="1358" spans="1:9" ht="63" x14ac:dyDescent="0.25">
      <c r="A1358" s="22" t="s">
        <v>7681</v>
      </c>
      <c r="B1358" s="22" t="s">
        <v>4421</v>
      </c>
      <c r="C1358" s="22" t="s">
        <v>4422</v>
      </c>
      <c r="D1358" s="22" t="s">
        <v>3880</v>
      </c>
      <c r="E1358" s="22" t="s">
        <v>4423</v>
      </c>
      <c r="F1358" s="22">
        <v>1</v>
      </c>
      <c r="G1358" s="22">
        <v>22</v>
      </c>
      <c r="H1358" s="22"/>
      <c r="I1358" s="22"/>
    </row>
    <row r="1359" spans="1:9" ht="63" x14ac:dyDescent="0.25">
      <c r="A1359" s="22" t="s">
        <v>7682</v>
      </c>
      <c r="B1359" s="22" t="s">
        <v>4421</v>
      </c>
      <c r="C1359" s="22" t="s">
        <v>4422</v>
      </c>
      <c r="D1359" s="22" t="s">
        <v>3880</v>
      </c>
      <c r="E1359" s="22" t="s">
        <v>4423</v>
      </c>
      <c r="F1359" s="22">
        <v>1</v>
      </c>
      <c r="G1359" s="22">
        <v>22</v>
      </c>
      <c r="H1359" s="22"/>
      <c r="I1359" s="22"/>
    </row>
    <row r="1360" spans="1:9" ht="63" x14ac:dyDescent="0.25">
      <c r="A1360" s="22" t="s">
        <v>7683</v>
      </c>
      <c r="B1360" s="22" t="s">
        <v>4421</v>
      </c>
      <c r="C1360" s="22" t="s">
        <v>4422</v>
      </c>
      <c r="D1360" s="22" t="s">
        <v>4948</v>
      </c>
      <c r="E1360" s="22" t="s">
        <v>4423</v>
      </c>
      <c r="F1360" s="22">
        <v>1</v>
      </c>
      <c r="G1360" s="22">
        <v>22</v>
      </c>
      <c r="H1360" s="22"/>
      <c r="I1360" s="22"/>
    </row>
    <row r="1361" spans="1:9" ht="63" x14ac:dyDescent="0.25">
      <c r="A1361" s="22" t="s">
        <v>7684</v>
      </c>
      <c r="B1361" s="22" t="s">
        <v>4421</v>
      </c>
      <c r="C1361" s="22" t="s">
        <v>4422</v>
      </c>
      <c r="D1361" s="22" t="s">
        <v>6682</v>
      </c>
      <c r="E1361" s="22" t="s">
        <v>4423</v>
      </c>
      <c r="F1361" s="22">
        <v>1</v>
      </c>
      <c r="G1361" s="22">
        <v>22</v>
      </c>
      <c r="H1361" s="22"/>
      <c r="I1361" s="22"/>
    </row>
    <row r="1362" spans="1:9" ht="84" x14ac:dyDescent="0.25">
      <c r="A1362" s="22" t="s">
        <v>7685</v>
      </c>
      <c r="B1362" s="22" t="s">
        <v>4429</v>
      </c>
      <c r="C1362" s="22" t="s">
        <v>4430</v>
      </c>
      <c r="D1362" s="22" t="s">
        <v>3880</v>
      </c>
      <c r="E1362" s="22" t="s">
        <v>4431</v>
      </c>
      <c r="F1362" s="22">
        <v>1</v>
      </c>
      <c r="G1362" s="22">
        <v>1053</v>
      </c>
      <c r="H1362" s="22"/>
      <c r="I1362" s="22"/>
    </row>
    <row r="1363" spans="1:9" ht="42" x14ac:dyDescent="0.25">
      <c r="A1363" s="22" t="s">
        <v>7686</v>
      </c>
      <c r="B1363" s="22" t="s">
        <v>4446</v>
      </c>
      <c r="C1363" s="22" t="s">
        <v>4447</v>
      </c>
      <c r="D1363" s="22" t="s">
        <v>3880</v>
      </c>
      <c r="E1363" s="22" t="s">
        <v>4448</v>
      </c>
      <c r="F1363" s="22">
        <v>1</v>
      </c>
      <c r="G1363" s="22">
        <v>1287</v>
      </c>
      <c r="H1363" s="22"/>
      <c r="I1363" s="22"/>
    </row>
    <row r="1364" spans="1:9" ht="63" x14ac:dyDescent="0.25">
      <c r="A1364" s="22" t="s">
        <v>7687</v>
      </c>
      <c r="B1364" s="22" t="s">
        <v>4470</v>
      </c>
      <c r="C1364" s="22" t="s">
        <v>4471</v>
      </c>
      <c r="D1364" s="22" t="s">
        <v>3880</v>
      </c>
      <c r="E1364" s="22" t="s">
        <v>4472</v>
      </c>
      <c r="F1364" s="22">
        <v>1</v>
      </c>
      <c r="G1364" s="22">
        <v>1053</v>
      </c>
      <c r="H1364" s="22"/>
      <c r="I1364" s="22"/>
    </row>
    <row r="1365" spans="1:9" ht="42" x14ac:dyDescent="0.25">
      <c r="A1365" s="22" t="s">
        <v>7688</v>
      </c>
      <c r="B1365" s="22" t="s">
        <v>4577</v>
      </c>
      <c r="C1365" s="22" t="s">
        <v>4578</v>
      </c>
      <c r="D1365" s="22" t="s">
        <v>3880</v>
      </c>
      <c r="E1365" s="22" t="s">
        <v>4579</v>
      </c>
      <c r="F1365" s="22">
        <v>1</v>
      </c>
      <c r="G1365" s="22">
        <v>11</v>
      </c>
      <c r="H1365" s="22"/>
      <c r="I1365" s="22"/>
    </row>
    <row r="1366" spans="1:9" ht="42" x14ac:dyDescent="0.25">
      <c r="A1366" s="22" t="s">
        <v>7689</v>
      </c>
      <c r="B1366" s="22" t="s">
        <v>4577</v>
      </c>
      <c r="C1366" s="22" t="s">
        <v>4578</v>
      </c>
      <c r="D1366" s="22" t="s">
        <v>4948</v>
      </c>
      <c r="E1366" s="22" t="s">
        <v>4579</v>
      </c>
      <c r="F1366" s="22">
        <v>1</v>
      </c>
      <c r="G1366" s="22">
        <v>11</v>
      </c>
      <c r="H1366" s="22"/>
      <c r="I1366" s="22"/>
    </row>
    <row r="1367" spans="1:9" ht="42" x14ac:dyDescent="0.25">
      <c r="A1367" s="22" t="s">
        <v>7690</v>
      </c>
      <c r="B1367" s="22" t="s">
        <v>4577</v>
      </c>
      <c r="C1367" s="22" t="s">
        <v>4578</v>
      </c>
      <c r="D1367" s="22" t="s">
        <v>4948</v>
      </c>
      <c r="E1367" s="22" t="s">
        <v>4579</v>
      </c>
      <c r="F1367" s="22">
        <v>1</v>
      </c>
      <c r="G1367" s="22">
        <v>11</v>
      </c>
      <c r="H1367" s="22"/>
      <c r="I1367" s="22"/>
    </row>
    <row r="1368" spans="1:9" ht="42" x14ac:dyDescent="0.25">
      <c r="A1368" s="22" t="s">
        <v>7691</v>
      </c>
      <c r="B1368" s="22" t="s">
        <v>4577</v>
      </c>
      <c r="C1368" s="22" t="s">
        <v>4578</v>
      </c>
      <c r="D1368" s="22" t="s">
        <v>4948</v>
      </c>
      <c r="E1368" s="22" t="s">
        <v>4579</v>
      </c>
      <c r="F1368" s="22">
        <v>1</v>
      </c>
      <c r="G1368" s="22">
        <v>11</v>
      </c>
      <c r="H1368" s="22"/>
      <c r="I1368" s="22"/>
    </row>
    <row r="1369" spans="1:9" ht="42" x14ac:dyDescent="0.25">
      <c r="A1369" s="22" t="s">
        <v>7692</v>
      </c>
      <c r="B1369" s="22" t="s">
        <v>4577</v>
      </c>
      <c r="C1369" s="22" t="s">
        <v>4578</v>
      </c>
      <c r="D1369" s="22" t="s">
        <v>4948</v>
      </c>
      <c r="E1369" s="22" t="s">
        <v>4579</v>
      </c>
      <c r="F1369" s="22">
        <v>1</v>
      </c>
      <c r="G1369" s="22">
        <v>11</v>
      </c>
      <c r="H1369" s="22"/>
      <c r="I1369" s="22"/>
    </row>
    <row r="1370" spans="1:9" ht="63" x14ac:dyDescent="0.25">
      <c r="A1370" s="22" t="s">
        <v>7693</v>
      </c>
      <c r="B1370" s="22" t="s">
        <v>4581</v>
      </c>
      <c r="C1370" s="22" t="s">
        <v>4582</v>
      </c>
      <c r="D1370" s="22" t="s">
        <v>3880</v>
      </c>
      <c r="E1370" s="22" t="s">
        <v>4583</v>
      </c>
      <c r="F1370" s="22">
        <v>1</v>
      </c>
      <c r="G1370" s="22">
        <v>14</v>
      </c>
      <c r="H1370" s="22"/>
      <c r="I1370" s="22"/>
    </row>
    <row r="1371" spans="1:9" ht="84" x14ac:dyDescent="0.25">
      <c r="A1371" s="22" t="s">
        <v>7694</v>
      </c>
      <c r="B1371" s="22" t="s">
        <v>4585</v>
      </c>
      <c r="C1371" s="22" t="s">
        <v>4586</v>
      </c>
      <c r="D1371" s="22" t="s">
        <v>3880</v>
      </c>
      <c r="E1371" s="22" t="s">
        <v>4587</v>
      </c>
      <c r="F1371" s="22">
        <v>1</v>
      </c>
      <c r="G1371" s="22">
        <v>10</v>
      </c>
      <c r="H1371" s="22"/>
      <c r="I1371" s="22"/>
    </row>
    <row r="1372" spans="1:9" ht="63" x14ac:dyDescent="0.25">
      <c r="A1372" s="22" t="s">
        <v>7695</v>
      </c>
      <c r="B1372" s="22" t="s">
        <v>4589</v>
      </c>
      <c r="C1372" s="22" t="s">
        <v>4590</v>
      </c>
      <c r="D1372" s="22" t="s">
        <v>3880</v>
      </c>
      <c r="E1372" s="22" t="s">
        <v>4591</v>
      </c>
      <c r="F1372" s="22">
        <v>1</v>
      </c>
      <c r="G1372" s="22">
        <v>12</v>
      </c>
      <c r="H1372" s="22"/>
      <c r="I1372" s="22"/>
    </row>
    <row r="1373" spans="1:9" ht="63" x14ac:dyDescent="0.25">
      <c r="A1373" s="22" t="s">
        <v>7696</v>
      </c>
      <c r="B1373" s="22" t="s">
        <v>4593</v>
      </c>
      <c r="C1373" s="22" t="s">
        <v>4594</v>
      </c>
      <c r="D1373" s="22" t="s">
        <v>3880</v>
      </c>
      <c r="E1373" s="22" t="s">
        <v>4595</v>
      </c>
      <c r="F1373" s="22">
        <v>1</v>
      </c>
      <c r="G1373" s="22">
        <v>12</v>
      </c>
      <c r="H1373" s="22"/>
      <c r="I1373" s="22"/>
    </row>
    <row r="1374" spans="1:9" ht="63" x14ac:dyDescent="0.25">
      <c r="A1374" s="22" t="s">
        <v>7697</v>
      </c>
      <c r="B1374" s="22" t="s">
        <v>4593</v>
      </c>
      <c r="C1374" s="22" t="s">
        <v>4594</v>
      </c>
      <c r="D1374" s="22" t="s">
        <v>4948</v>
      </c>
      <c r="E1374" s="22" t="s">
        <v>4595</v>
      </c>
      <c r="F1374" s="22">
        <v>1</v>
      </c>
      <c r="G1374" s="22">
        <v>12</v>
      </c>
      <c r="H1374" s="22"/>
      <c r="I1374" s="22"/>
    </row>
    <row r="1375" spans="1:9" ht="84" x14ac:dyDescent="0.25">
      <c r="A1375" s="22" t="s">
        <v>7698</v>
      </c>
      <c r="B1375" s="22" t="s">
        <v>4597</v>
      </c>
      <c r="C1375" s="22" t="s">
        <v>4598</v>
      </c>
      <c r="D1375" s="22" t="s">
        <v>3880</v>
      </c>
      <c r="E1375" s="22" t="s">
        <v>4599</v>
      </c>
      <c r="F1375" s="22">
        <v>1</v>
      </c>
      <c r="G1375" s="22">
        <v>8</v>
      </c>
      <c r="H1375" s="22"/>
      <c r="I1375" s="22"/>
    </row>
    <row r="1376" spans="1:9" ht="84" x14ac:dyDescent="0.25">
      <c r="A1376" s="22" t="s">
        <v>7699</v>
      </c>
      <c r="B1376" s="22" t="s">
        <v>4597</v>
      </c>
      <c r="C1376" s="22" t="s">
        <v>4598</v>
      </c>
      <c r="D1376" s="22" t="s">
        <v>4948</v>
      </c>
      <c r="E1376" s="22" t="s">
        <v>4599</v>
      </c>
      <c r="F1376" s="22">
        <v>1</v>
      </c>
      <c r="G1376" s="22">
        <v>8</v>
      </c>
      <c r="H1376" s="22"/>
      <c r="I1376" s="22"/>
    </row>
    <row r="1377" spans="1:9" ht="84" x14ac:dyDescent="0.25">
      <c r="A1377" s="22" t="s">
        <v>7700</v>
      </c>
      <c r="B1377" s="22" t="s">
        <v>4597</v>
      </c>
      <c r="C1377" s="22" t="s">
        <v>4598</v>
      </c>
      <c r="D1377" s="22" t="s">
        <v>6197</v>
      </c>
      <c r="E1377" s="22" t="s">
        <v>4599</v>
      </c>
      <c r="F1377" s="22">
        <v>1</v>
      </c>
      <c r="G1377" s="22">
        <v>8</v>
      </c>
      <c r="H1377" s="22"/>
      <c r="I1377" s="22"/>
    </row>
    <row r="1378" spans="1:9" ht="84" x14ac:dyDescent="0.25">
      <c r="A1378" s="22" t="s">
        <v>7701</v>
      </c>
      <c r="B1378" s="22" t="s">
        <v>4602</v>
      </c>
      <c r="C1378" s="22" t="s">
        <v>4603</v>
      </c>
      <c r="D1378" s="22" t="s">
        <v>3880</v>
      </c>
      <c r="E1378" s="22" t="s">
        <v>4604</v>
      </c>
      <c r="F1378" s="22">
        <v>1</v>
      </c>
      <c r="G1378" s="22">
        <v>24</v>
      </c>
      <c r="H1378" s="22"/>
      <c r="I1378" s="22"/>
    </row>
    <row r="1379" spans="1:9" ht="84" x14ac:dyDescent="0.25">
      <c r="A1379" s="22" t="s">
        <v>7702</v>
      </c>
      <c r="B1379" s="22" t="s">
        <v>4602</v>
      </c>
      <c r="C1379" s="22" t="s">
        <v>4603</v>
      </c>
      <c r="D1379" s="22" t="s">
        <v>4948</v>
      </c>
      <c r="E1379" s="22" t="s">
        <v>4604</v>
      </c>
      <c r="F1379" s="22">
        <v>1</v>
      </c>
      <c r="G1379" s="22">
        <v>24</v>
      </c>
      <c r="H1379" s="22"/>
      <c r="I1379" s="22"/>
    </row>
    <row r="1380" spans="1:9" ht="84" x14ac:dyDescent="0.25">
      <c r="A1380" s="22" t="s">
        <v>7703</v>
      </c>
      <c r="B1380" s="22" t="s">
        <v>4602</v>
      </c>
      <c r="C1380" s="22" t="s">
        <v>4603</v>
      </c>
      <c r="D1380" s="22" t="s">
        <v>6197</v>
      </c>
      <c r="E1380" s="22" t="s">
        <v>4604</v>
      </c>
      <c r="F1380" s="22">
        <v>1</v>
      </c>
      <c r="G1380" s="22">
        <v>24</v>
      </c>
      <c r="H1380" s="22"/>
      <c r="I1380" s="22"/>
    </row>
    <row r="1381" spans="1:9" ht="84" x14ac:dyDescent="0.25">
      <c r="A1381" s="22" t="s">
        <v>7704</v>
      </c>
      <c r="B1381" s="22" t="s">
        <v>4607</v>
      </c>
      <c r="C1381" s="22" t="s">
        <v>4608</v>
      </c>
      <c r="D1381" s="22" t="s">
        <v>3880</v>
      </c>
      <c r="E1381" s="22" t="s">
        <v>4609</v>
      </c>
      <c r="F1381" s="22">
        <v>1</v>
      </c>
      <c r="G1381" s="22">
        <v>21</v>
      </c>
      <c r="H1381" s="22"/>
      <c r="I1381" s="22"/>
    </row>
    <row r="1382" spans="1:9" ht="84" x14ac:dyDescent="0.25">
      <c r="A1382" s="22" t="s">
        <v>7705</v>
      </c>
      <c r="B1382" s="22" t="s">
        <v>4607</v>
      </c>
      <c r="C1382" s="22" t="s">
        <v>4608</v>
      </c>
      <c r="D1382" s="22" t="s">
        <v>4948</v>
      </c>
      <c r="E1382" s="22" t="s">
        <v>4609</v>
      </c>
      <c r="F1382" s="22">
        <v>1</v>
      </c>
      <c r="G1382" s="22">
        <v>21</v>
      </c>
      <c r="H1382" s="22"/>
      <c r="I1382" s="22"/>
    </row>
    <row r="1383" spans="1:9" ht="84" x14ac:dyDescent="0.25">
      <c r="A1383" s="22" t="s">
        <v>7706</v>
      </c>
      <c r="B1383" s="22" t="s">
        <v>4607</v>
      </c>
      <c r="C1383" s="22" t="s">
        <v>4608</v>
      </c>
      <c r="D1383" s="22" t="s">
        <v>6197</v>
      </c>
      <c r="E1383" s="22" t="s">
        <v>4609</v>
      </c>
      <c r="F1383" s="22">
        <v>1</v>
      </c>
      <c r="G1383" s="22">
        <v>21</v>
      </c>
      <c r="H1383" s="22"/>
      <c r="I1383" s="22"/>
    </row>
    <row r="1384" spans="1:9" ht="84" x14ac:dyDescent="0.25">
      <c r="A1384" s="22" t="s">
        <v>7707</v>
      </c>
      <c r="B1384" s="22" t="s">
        <v>4607</v>
      </c>
      <c r="C1384" s="22" t="s">
        <v>4608</v>
      </c>
      <c r="D1384" s="22" t="s">
        <v>6197</v>
      </c>
      <c r="E1384" s="22" t="s">
        <v>4609</v>
      </c>
      <c r="F1384" s="22">
        <v>1</v>
      </c>
      <c r="G1384" s="22">
        <v>21</v>
      </c>
      <c r="H1384" s="22"/>
      <c r="I1384" s="22"/>
    </row>
    <row r="1385" spans="1:9" ht="84" x14ac:dyDescent="0.25">
      <c r="A1385" s="22" t="s">
        <v>7708</v>
      </c>
      <c r="B1385" s="22" t="s">
        <v>4607</v>
      </c>
      <c r="C1385" s="22" t="s">
        <v>4608</v>
      </c>
      <c r="D1385" s="22" t="s">
        <v>6197</v>
      </c>
      <c r="E1385" s="22" t="s">
        <v>4609</v>
      </c>
      <c r="F1385" s="22">
        <v>1</v>
      </c>
      <c r="G1385" s="22">
        <v>21</v>
      </c>
      <c r="H1385" s="22"/>
      <c r="I1385" s="22"/>
    </row>
    <row r="1386" spans="1:9" ht="84" x14ac:dyDescent="0.25">
      <c r="A1386" s="22" t="s">
        <v>7709</v>
      </c>
      <c r="B1386" s="22" t="s">
        <v>4607</v>
      </c>
      <c r="C1386" s="22" t="s">
        <v>4608</v>
      </c>
      <c r="D1386" s="22" t="s">
        <v>6197</v>
      </c>
      <c r="E1386" s="22" t="s">
        <v>4609</v>
      </c>
      <c r="F1386" s="22">
        <v>1</v>
      </c>
      <c r="G1386" s="22">
        <v>21</v>
      </c>
      <c r="H1386" s="22"/>
      <c r="I1386" s="22"/>
    </row>
    <row r="1387" spans="1:9" ht="84" x14ac:dyDescent="0.25">
      <c r="A1387" s="22" t="s">
        <v>7710</v>
      </c>
      <c r="B1387" s="22" t="s">
        <v>4607</v>
      </c>
      <c r="C1387" s="22" t="s">
        <v>4608</v>
      </c>
      <c r="D1387" s="22" t="s">
        <v>6682</v>
      </c>
      <c r="E1387" s="22" t="s">
        <v>4609</v>
      </c>
      <c r="F1387" s="22">
        <v>1</v>
      </c>
      <c r="G1387" s="22">
        <v>21</v>
      </c>
      <c r="H1387" s="22"/>
      <c r="I1387" s="22"/>
    </row>
    <row r="1388" spans="1:9" ht="63" x14ac:dyDescent="0.25">
      <c r="A1388" s="22" t="s">
        <v>7711</v>
      </c>
      <c r="B1388" s="22" t="s">
        <v>4611</v>
      </c>
      <c r="C1388" s="22" t="s">
        <v>4612</v>
      </c>
      <c r="D1388" s="22" t="s">
        <v>3880</v>
      </c>
      <c r="E1388" s="22" t="s">
        <v>4613</v>
      </c>
      <c r="F1388" s="22">
        <v>1</v>
      </c>
      <c r="G1388" s="22">
        <v>11</v>
      </c>
      <c r="H1388" s="22"/>
      <c r="I1388" s="22"/>
    </row>
    <row r="1389" spans="1:9" ht="63" x14ac:dyDescent="0.25">
      <c r="A1389" s="22" t="s">
        <v>7712</v>
      </c>
      <c r="B1389" s="22" t="s">
        <v>4611</v>
      </c>
      <c r="C1389" s="22" t="s">
        <v>4612</v>
      </c>
      <c r="D1389" s="22" t="s">
        <v>4948</v>
      </c>
      <c r="E1389" s="22" t="s">
        <v>4613</v>
      </c>
      <c r="F1389" s="22">
        <v>1</v>
      </c>
      <c r="G1389" s="22">
        <v>11</v>
      </c>
      <c r="H1389" s="22"/>
      <c r="I1389" s="22"/>
    </row>
    <row r="1390" spans="1:9" ht="63" x14ac:dyDescent="0.25">
      <c r="A1390" s="22" t="s">
        <v>7713</v>
      </c>
      <c r="B1390" s="22" t="s">
        <v>4615</v>
      </c>
      <c r="C1390" s="22" t="s">
        <v>4616</v>
      </c>
      <c r="D1390" s="22" t="s">
        <v>3880</v>
      </c>
      <c r="E1390" s="22" t="s">
        <v>4617</v>
      </c>
      <c r="F1390" s="22">
        <v>1</v>
      </c>
      <c r="G1390" s="22">
        <v>22</v>
      </c>
      <c r="H1390" s="22"/>
      <c r="I1390" s="22"/>
    </row>
    <row r="1391" spans="1:9" ht="63" x14ac:dyDescent="0.25">
      <c r="A1391" s="22" t="s">
        <v>7714</v>
      </c>
      <c r="B1391" s="22" t="s">
        <v>4615</v>
      </c>
      <c r="C1391" s="22" t="s">
        <v>4616</v>
      </c>
      <c r="D1391" s="22" t="s">
        <v>4948</v>
      </c>
      <c r="E1391" s="22" t="s">
        <v>4617</v>
      </c>
      <c r="F1391" s="22">
        <v>1</v>
      </c>
      <c r="G1391" s="22">
        <v>22</v>
      </c>
      <c r="H1391" s="22"/>
      <c r="I1391" s="22"/>
    </row>
    <row r="1392" spans="1:9" ht="63" x14ac:dyDescent="0.25">
      <c r="A1392" s="22" t="s">
        <v>7715</v>
      </c>
      <c r="B1392" s="22" t="s">
        <v>4615</v>
      </c>
      <c r="C1392" s="22" t="s">
        <v>4616</v>
      </c>
      <c r="D1392" s="22" t="s">
        <v>4948</v>
      </c>
      <c r="E1392" s="22" t="s">
        <v>4617</v>
      </c>
      <c r="F1392" s="22">
        <v>1</v>
      </c>
      <c r="G1392" s="22">
        <v>22</v>
      </c>
      <c r="H1392" s="22"/>
      <c r="I1392" s="22"/>
    </row>
    <row r="1393" spans="1:9" ht="63" x14ac:dyDescent="0.25">
      <c r="A1393" s="22" t="s">
        <v>7716</v>
      </c>
      <c r="B1393" s="22" t="s">
        <v>4615</v>
      </c>
      <c r="C1393" s="22" t="s">
        <v>4616</v>
      </c>
      <c r="D1393" s="22" t="s">
        <v>6197</v>
      </c>
      <c r="E1393" s="22" t="s">
        <v>4617</v>
      </c>
      <c r="F1393" s="22">
        <v>1</v>
      </c>
      <c r="G1393" s="22">
        <v>22</v>
      </c>
      <c r="H1393" s="22"/>
      <c r="I1393" s="22"/>
    </row>
    <row r="1394" spans="1:9" ht="84" x14ac:dyDescent="0.25">
      <c r="A1394" s="22" t="s">
        <v>7717</v>
      </c>
      <c r="B1394" s="22" t="s">
        <v>4945</v>
      </c>
      <c r="C1394" s="22" t="s">
        <v>4946</v>
      </c>
      <c r="D1394" s="22" t="s">
        <v>4948</v>
      </c>
      <c r="E1394" s="22" t="s">
        <v>4947</v>
      </c>
      <c r="F1394" s="22">
        <v>1</v>
      </c>
      <c r="G1394" s="22">
        <v>9</v>
      </c>
      <c r="H1394" s="22"/>
      <c r="I1394" s="22"/>
    </row>
    <row r="1395" spans="1:9" ht="63" x14ac:dyDescent="0.25">
      <c r="A1395" s="22" t="s">
        <v>7718</v>
      </c>
      <c r="B1395" s="22" t="s">
        <v>5003</v>
      </c>
      <c r="C1395" s="22" t="s">
        <v>5004</v>
      </c>
      <c r="D1395" s="22" t="s">
        <v>4948</v>
      </c>
      <c r="E1395" s="22" t="s">
        <v>5005</v>
      </c>
      <c r="F1395" s="22">
        <v>1</v>
      </c>
      <c r="G1395" s="22">
        <v>4</v>
      </c>
      <c r="H1395" s="22"/>
      <c r="I1395" s="22"/>
    </row>
    <row r="1396" spans="1:9" ht="84" x14ac:dyDescent="0.25">
      <c r="A1396" s="22" t="s">
        <v>7719</v>
      </c>
      <c r="B1396" s="22" t="s">
        <v>5007</v>
      </c>
      <c r="C1396" s="22" t="s">
        <v>5008</v>
      </c>
      <c r="D1396" s="22" t="s">
        <v>4948</v>
      </c>
      <c r="E1396" s="22" t="s">
        <v>5009</v>
      </c>
      <c r="F1396" s="22">
        <v>1</v>
      </c>
      <c r="G1396" s="22">
        <v>15</v>
      </c>
      <c r="H1396" s="22"/>
      <c r="I1396" s="22"/>
    </row>
    <row r="1397" spans="1:9" ht="84" x14ac:dyDescent="0.25">
      <c r="A1397" s="22" t="s">
        <v>7720</v>
      </c>
      <c r="B1397" s="22" t="s">
        <v>5007</v>
      </c>
      <c r="C1397" s="22" t="s">
        <v>5008</v>
      </c>
      <c r="D1397" s="22" t="s">
        <v>6197</v>
      </c>
      <c r="E1397" s="22" t="s">
        <v>5009</v>
      </c>
      <c r="F1397" s="22">
        <v>1</v>
      </c>
      <c r="G1397" s="22">
        <v>15</v>
      </c>
      <c r="H1397" s="22"/>
      <c r="I1397" s="22"/>
    </row>
    <row r="1398" spans="1:9" ht="84" x14ac:dyDescent="0.25">
      <c r="A1398" s="22" t="s">
        <v>7721</v>
      </c>
      <c r="B1398" s="22" t="s">
        <v>5007</v>
      </c>
      <c r="C1398" s="22" t="s">
        <v>5008</v>
      </c>
      <c r="D1398" s="22" t="s">
        <v>6197</v>
      </c>
      <c r="E1398" s="22" t="s">
        <v>5009</v>
      </c>
      <c r="F1398" s="22">
        <v>1</v>
      </c>
      <c r="G1398" s="22">
        <v>15</v>
      </c>
      <c r="H1398" s="22"/>
      <c r="I1398" s="22"/>
    </row>
    <row r="1399" spans="1:9" ht="84" x14ac:dyDescent="0.25">
      <c r="A1399" s="22" t="s">
        <v>7722</v>
      </c>
      <c r="B1399" s="22" t="s">
        <v>5007</v>
      </c>
      <c r="C1399" s="22" t="s">
        <v>5008</v>
      </c>
      <c r="D1399" s="22" t="s">
        <v>6197</v>
      </c>
      <c r="E1399" s="22" t="s">
        <v>5009</v>
      </c>
      <c r="F1399" s="22">
        <v>1</v>
      </c>
      <c r="G1399" s="22">
        <v>15</v>
      </c>
      <c r="H1399" s="22"/>
      <c r="I1399" s="22"/>
    </row>
    <row r="1400" spans="1:9" ht="84" x14ac:dyDescent="0.25">
      <c r="A1400" s="22" t="s">
        <v>7723</v>
      </c>
      <c r="B1400" s="22" t="s">
        <v>5098</v>
      </c>
      <c r="C1400" s="22" t="s">
        <v>5099</v>
      </c>
      <c r="D1400" s="22" t="s">
        <v>4948</v>
      </c>
      <c r="E1400" s="22" t="s">
        <v>5100</v>
      </c>
      <c r="F1400" s="22">
        <v>1</v>
      </c>
      <c r="G1400" s="22">
        <v>10</v>
      </c>
      <c r="H1400" s="22"/>
      <c r="I1400" s="22"/>
    </row>
    <row r="1401" spans="1:9" ht="84" x14ac:dyDescent="0.25">
      <c r="A1401" s="22" t="s">
        <v>7724</v>
      </c>
      <c r="B1401" s="22" t="s">
        <v>5098</v>
      </c>
      <c r="C1401" s="22" t="s">
        <v>5099</v>
      </c>
      <c r="D1401" s="22" t="s">
        <v>4948</v>
      </c>
      <c r="E1401" s="22" t="s">
        <v>5100</v>
      </c>
      <c r="F1401" s="22">
        <v>1</v>
      </c>
      <c r="G1401" s="22">
        <v>10</v>
      </c>
      <c r="H1401" s="22"/>
      <c r="I1401" s="22"/>
    </row>
    <row r="1402" spans="1:9" ht="84" x14ac:dyDescent="0.25">
      <c r="A1402" s="22" t="s">
        <v>7725</v>
      </c>
      <c r="B1402" s="22" t="s">
        <v>5259</v>
      </c>
      <c r="C1402" s="22" t="s">
        <v>5260</v>
      </c>
      <c r="D1402" s="22" t="s">
        <v>4948</v>
      </c>
      <c r="E1402" s="22" t="s">
        <v>5261</v>
      </c>
      <c r="F1402" s="22">
        <v>1</v>
      </c>
      <c r="G1402" s="22">
        <v>1443</v>
      </c>
      <c r="H1402" s="22"/>
      <c r="I1402" s="22"/>
    </row>
    <row r="1403" spans="1:9" ht="63" x14ac:dyDescent="0.25">
      <c r="A1403" s="22" t="s">
        <v>7726</v>
      </c>
      <c r="B1403" s="22" t="s">
        <v>5335</v>
      </c>
      <c r="C1403" s="22" t="s">
        <v>5336</v>
      </c>
      <c r="D1403" s="22" t="s">
        <v>4948</v>
      </c>
      <c r="E1403" s="22" t="s">
        <v>5337</v>
      </c>
      <c r="F1403" s="22">
        <v>1</v>
      </c>
      <c r="G1403" s="22">
        <v>7</v>
      </c>
      <c r="H1403" s="22"/>
      <c r="I1403" s="22"/>
    </row>
    <row r="1404" spans="1:9" ht="63" x14ac:dyDescent="0.25">
      <c r="A1404" s="22" t="s">
        <v>7727</v>
      </c>
      <c r="B1404" s="22" t="s">
        <v>5335</v>
      </c>
      <c r="C1404" s="22" t="s">
        <v>5336</v>
      </c>
      <c r="D1404" s="22" t="s">
        <v>4948</v>
      </c>
      <c r="E1404" s="22" t="s">
        <v>5337</v>
      </c>
      <c r="F1404" s="22">
        <v>1</v>
      </c>
      <c r="G1404" s="22">
        <v>7</v>
      </c>
      <c r="H1404" s="22"/>
      <c r="I1404" s="22"/>
    </row>
    <row r="1405" spans="1:9" ht="63" x14ac:dyDescent="0.25">
      <c r="A1405" s="22" t="s">
        <v>7728</v>
      </c>
      <c r="B1405" s="22" t="s">
        <v>5335</v>
      </c>
      <c r="C1405" s="22" t="s">
        <v>5336</v>
      </c>
      <c r="D1405" s="22" t="s">
        <v>4948</v>
      </c>
      <c r="E1405" s="22" t="s">
        <v>5337</v>
      </c>
      <c r="F1405" s="22">
        <v>1</v>
      </c>
      <c r="G1405" s="22">
        <v>7</v>
      </c>
      <c r="H1405" s="22"/>
      <c r="I1405" s="22"/>
    </row>
    <row r="1406" spans="1:9" ht="42" x14ac:dyDescent="0.25">
      <c r="A1406" s="22" t="s">
        <v>7729</v>
      </c>
      <c r="B1406" s="22" t="s">
        <v>5394</v>
      </c>
      <c r="C1406" s="22" t="s">
        <v>5395</v>
      </c>
      <c r="D1406" s="22" t="s">
        <v>4948</v>
      </c>
      <c r="E1406" s="22" t="s">
        <v>5396</v>
      </c>
      <c r="F1406" s="22">
        <v>1</v>
      </c>
      <c r="G1406" s="22">
        <v>9</v>
      </c>
      <c r="H1406" s="22"/>
      <c r="I1406" s="22"/>
    </row>
    <row r="1407" spans="1:9" ht="42" x14ac:dyDescent="0.25">
      <c r="A1407" s="22" t="s">
        <v>7730</v>
      </c>
      <c r="B1407" s="22" t="s">
        <v>5394</v>
      </c>
      <c r="C1407" s="22" t="s">
        <v>5395</v>
      </c>
      <c r="D1407" s="22" t="s">
        <v>4948</v>
      </c>
      <c r="E1407" s="22" t="s">
        <v>5396</v>
      </c>
      <c r="F1407" s="22">
        <v>1</v>
      </c>
      <c r="G1407" s="22">
        <v>9</v>
      </c>
      <c r="H1407" s="22"/>
      <c r="I1407" s="22"/>
    </row>
    <row r="1408" spans="1:9" ht="42" x14ac:dyDescent="0.25">
      <c r="A1408" s="22" t="s">
        <v>7731</v>
      </c>
      <c r="B1408" s="22" t="s">
        <v>5394</v>
      </c>
      <c r="C1408" s="22" t="s">
        <v>5395</v>
      </c>
      <c r="D1408" s="22" t="s">
        <v>4948</v>
      </c>
      <c r="E1408" s="22" t="s">
        <v>5396</v>
      </c>
      <c r="F1408" s="22">
        <v>1</v>
      </c>
      <c r="G1408" s="22">
        <v>9</v>
      </c>
      <c r="H1408" s="22"/>
      <c r="I1408" s="22"/>
    </row>
    <row r="1409" spans="1:9" ht="63" x14ac:dyDescent="0.25">
      <c r="A1409" s="22" t="s">
        <v>7732</v>
      </c>
      <c r="B1409" s="22" t="s">
        <v>5398</v>
      </c>
      <c r="C1409" s="22" t="s">
        <v>5399</v>
      </c>
      <c r="D1409" s="22" t="s">
        <v>4948</v>
      </c>
      <c r="E1409" s="22" t="s">
        <v>5400</v>
      </c>
      <c r="F1409" s="22">
        <v>1</v>
      </c>
      <c r="G1409" s="22">
        <v>14</v>
      </c>
      <c r="H1409" s="22"/>
      <c r="I1409" s="22"/>
    </row>
    <row r="1410" spans="1:9" ht="63" x14ac:dyDescent="0.25">
      <c r="A1410" s="22" t="s">
        <v>7733</v>
      </c>
      <c r="B1410" s="22" t="s">
        <v>5398</v>
      </c>
      <c r="C1410" s="22" t="s">
        <v>5399</v>
      </c>
      <c r="D1410" s="22" t="s">
        <v>4948</v>
      </c>
      <c r="E1410" s="22" t="s">
        <v>5400</v>
      </c>
      <c r="F1410" s="22">
        <v>1</v>
      </c>
      <c r="G1410" s="22">
        <v>14</v>
      </c>
      <c r="H1410" s="22"/>
      <c r="I1410" s="22"/>
    </row>
    <row r="1411" spans="1:9" ht="126" x14ac:dyDescent="0.25">
      <c r="A1411" s="22" t="s">
        <v>7734</v>
      </c>
      <c r="B1411" s="22" t="s">
        <v>5522</v>
      </c>
      <c r="C1411" s="22" t="s">
        <v>5523</v>
      </c>
      <c r="D1411" s="22" t="s">
        <v>4948</v>
      </c>
      <c r="E1411" s="22" t="s">
        <v>5524</v>
      </c>
      <c r="F1411" s="22">
        <v>1</v>
      </c>
      <c r="G1411" s="22">
        <v>10</v>
      </c>
      <c r="H1411" s="22"/>
      <c r="I1411" s="22"/>
    </row>
    <row r="1412" spans="1:9" ht="126" x14ac:dyDescent="0.25">
      <c r="A1412" s="22" t="s">
        <v>7735</v>
      </c>
      <c r="B1412" s="22" t="s">
        <v>5522</v>
      </c>
      <c r="C1412" s="22" t="s">
        <v>5523</v>
      </c>
      <c r="D1412" s="22" t="s">
        <v>4948</v>
      </c>
      <c r="E1412" s="22" t="s">
        <v>5524</v>
      </c>
      <c r="F1412" s="22">
        <v>1</v>
      </c>
      <c r="G1412" s="22">
        <v>10</v>
      </c>
      <c r="H1412" s="22"/>
      <c r="I1412" s="22"/>
    </row>
    <row r="1413" spans="1:9" ht="126" x14ac:dyDescent="0.25">
      <c r="A1413" s="22" t="s">
        <v>7736</v>
      </c>
      <c r="B1413" s="22" t="s">
        <v>5849</v>
      </c>
      <c r="C1413" s="22" t="s">
        <v>5850</v>
      </c>
      <c r="D1413" s="22" t="s">
        <v>4948</v>
      </c>
      <c r="E1413" s="22" t="s">
        <v>5851</v>
      </c>
      <c r="F1413" s="22">
        <v>1</v>
      </c>
      <c r="G1413" s="22">
        <v>897</v>
      </c>
      <c r="H1413" s="22"/>
      <c r="I1413" s="22"/>
    </row>
    <row r="1414" spans="1:9" ht="63" x14ac:dyDescent="0.25">
      <c r="A1414" s="22" t="s">
        <v>7737</v>
      </c>
      <c r="B1414" s="22" t="s">
        <v>5925</v>
      </c>
      <c r="C1414" s="22" t="s">
        <v>5926</v>
      </c>
      <c r="D1414" s="22" t="s">
        <v>4948</v>
      </c>
      <c r="E1414" s="22" t="s">
        <v>5927</v>
      </c>
      <c r="F1414" s="22">
        <v>1</v>
      </c>
      <c r="G1414" s="22">
        <v>8</v>
      </c>
      <c r="H1414" s="22"/>
      <c r="I1414" s="22"/>
    </row>
    <row r="1415" spans="1:9" ht="63" x14ac:dyDescent="0.25">
      <c r="A1415" s="22" t="s">
        <v>7738</v>
      </c>
      <c r="B1415" s="22" t="s">
        <v>5925</v>
      </c>
      <c r="C1415" s="22" t="s">
        <v>5926</v>
      </c>
      <c r="D1415" s="22" t="s">
        <v>6682</v>
      </c>
      <c r="E1415" s="22" t="s">
        <v>5927</v>
      </c>
      <c r="F1415" s="22">
        <v>1</v>
      </c>
      <c r="G1415" s="22">
        <v>8</v>
      </c>
      <c r="H1415" s="22"/>
      <c r="I1415" s="22"/>
    </row>
    <row r="1416" spans="1:9" ht="63" x14ac:dyDescent="0.25">
      <c r="A1416" s="22" t="s">
        <v>7739</v>
      </c>
      <c r="B1416" s="22" t="s">
        <v>5929</v>
      </c>
      <c r="C1416" s="22" t="s">
        <v>5930</v>
      </c>
      <c r="D1416" s="22" t="s">
        <v>4948</v>
      </c>
      <c r="E1416" s="22" t="s">
        <v>5931</v>
      </c>
      <c r="F1416" s="22">
        <v>1</v>
      </c>
      <c r="G1416" s="22">
        <v>8</v>
      </c>
      <c r="H1416" s="22"/>
      <c r="I1416" s="22"/>
    </row>
    <row r="1417" spans="1:9" ht="63" x14ac:dyDescent="0.25">
      <c r="A1417" s="22" t="s">
        <v>7740</v>
      </c>
      <c r="B1417" s="22" t="s">
        <v>5929</v>
      </c>
      <c r="C1417" s="22" t="s">
        <v>5930</v>
      </c>
      <c r="D1417" s="22" t="s">
        <v>6682</v>
      </c>
      <c r="E1417" s="22" t="s">
        <v>5931</v>
      </c>
      <c r="F1417" s="22">
        <v>1</v>
      </c>
      <c r="G1417" s="22">
        <v>8</v>
      </c>
      <c r="H1417" s="22"/>
      <c r="I1417" s="22"/>
    </row>
    <row r="1418" spans="1:9" ht="84" x14ac:dyDescent="0.25">
      <c r="A1418" s="22" t="s">
        <v>7741</v>
      </c>
      <c r="B1418" s="22" t="s">
        <v>6088</v>
      </c>
      <c r="C1418" s="22" t="s">
        <v>6089</v>
      </c>
      <c r="D1418" s="22" t="s">
        <v>6082</v>
      </c>
      <c r="E1418" s="22" t="s">
        <v>6090</v>
      </c>
      <c r="F1418" s="22">
        <v>1</v>
      </c>
      <c r="G1418" s="22">
        <v>26</v>
      </c>
      <c r="H1418" s="22"/>
      <c r="I1418" s="22"/>
    </row>
    <row r="1419" spans="1:9" ht="84" x14ac:dyDescent="0.25">
      <c r="A1419" s="22" t="s">
        <v>7742</v>
      </c>
      <c r="B1419" s="22" t="s">
        <v>6117</v>
      </c>
      <c r="C1419" s="22" t="s">
        <v>6118</v>
      </c>
      <c r="D1419" s="22" t="s">
        <v>4948</v>
      </c>
      <c r="E1419" s="22" t="s">
        <v>6119</v>
      </c>
      <c r="F1419" s="22">
        <v>1</v>
      </c>
      <c r="G1419" s="22">
        <v>975</v>
      </c>
      <c r="H1419" s="22"/>
      <c r="I1419" s="22"/>
    </row>
    <row r="1420" spans="1:9" ht="63" x14ac:dyDescent="0.25">
      <c r="A1420" s="22" t="s">
        <v>7743</v>
      </c>
      <c r="B1420" s="22" t="s">
        <v>6240</v>
      </c>
      <c r="C1420" s="22" t="s">
        <v>6241</v>
      </c>
      <c r="D1420" s="22" t="s">
        <v>6082</v>
      </c>
      <c r="E1420" s="22" t="s">
        <v>6242</v>
      </c>
      <c r="F1420" s="22">
        <v>1</v>
      </c>
      <c r="G1420" s="22">
        <v>13</v>
      </c>
      <c r="H1420" s="22"/>
      <c r="I1420" s="22"/>
    </row>
    <row r="1421" spans="1:9" ht="63" x14ac:dyDescent="0.25">
      <c r="A1421" s="22" t="s">
        <v>7744</v>
      </c>
      <c r="B1421" s="22" t="s">
        <v>6240</v>
      </c>
      <c r="C1421" s="22" t="s">
        <v>6241</v>
      </c>
      <c r="D1421" s="22" t="s">
        <v>6082</v>
      </c>
      <c r="E1421" s="22" t="s">
        <v>6242</v>
      </c>
      <c r="F1421" s="22">
        <v>1</v>
      </c>
      <c r="G1421" s="22">
        <v>13</v>
      </c>
      <c r="H1421" s="22"/>
      <c r="I1421" s="22"/>
    </row>
    <row r="1422" spans="1:9" ht="84" x14ac:dyDescent="0.25">
      <c r="A1422" s="22" t="s">
        <v>7745</v>
      </c>
      <c r="B1422" s="22" t="s">
        <v>6407</v>
      </c>
      <c r="C1422" s="22" t="s">
        <v>6408</v>
      </c>
      <c r="D1422" s="22" t="s">
        <v>6197</v>
      </c>
      <c r="E1422" s="22" t="s">
        <v>6409</v>
      </c>
      <c r="F1422" s="22">
        <v>1</v>
      </c>
      <c r="G1422" s="22">
        <v>14</v>
      </c>
      <c r="H1422" s="22"/>
      <c r="I1422" s="22"/>
    </row>
    <row r="1423" spans="1:9" ht="84" x14ac:dyDescent="0.25">
      <c r="A1423" s="22" t="s">
        <v>7746</v>
      </c>
      <c r="B1423" s="22" t="s">
        <v>6407</v>
      </c>
      <c r="C1423" s="22" t="s">
        <v>6408</v>
      </c>
      <c r="D1423" s="22" t="s">
        <v>6197</v>
      </c>
      <c r="E1423" s="22" t="s">
        <v>6409</v>
      </c>
      <c r="F1423" s="22">
        <v>1</v>
      </c>
      <c r="G1423" s="22">
        <v>14</v>
      </c>
      <c r="H1423" s="22"/>
      <c r="I1423" s="22"/>
    </row>
    <row r="1424" spans="1:9" ht="63" x14ac:dyDescent="0.25">
      <c r="A1424" s="22" t="s">
        <v>7747</v>
      </c>
      <c r="B1424" s="22" t="s">
        <v>6411</v>
      </c>
      <c r="C1424" s="22" t="s">
        <v>6412</v>
      </c>
      <c r="D1424" s="22" t="s">
        <v>6197</v>
      </c>
      <c r="E1424" s="22" t="s">
        <v>6413</v>
      </c>
      <c r="F1424" s="22">
        <v>1</v>
      </c>
      <c r="G1424" s="22">
        <v>1287</v>
      </c>
      <c r="H1424" s="22"/>
      <c r="I1424" s="22"/>
    </row>
    <row r="1425" spans="1:9" ht="63" x14ac:dyDescent="0.25">
      <c r="A1425" s="22" t="s">
        <v>7748</v>
      </c>
      <c r="B1425" s="22" t="s">
        <v>6411</v>
      </c>
      <c r="C1425" s="22" t="s">
        <v>6412</v>
      </c>
      <c r="D1425" s="22" t="s">
        <v>6197</v>
      </c>
      <c r="E1425" s="22" t="s">
        <v>6413</v>
      </c>
      <c r="F1425" s="22">
        <v>1</v>
      </c>
      <c r="G1425" s="22">
        <v>1287</v>
      </c>
      <c r="H1425" s="22"/>
      <c r="I1425" s="22"/>
    </row>
    <row r="1426" spans="1:9" ht="84" x14ac:dyDescent="0.25">
      <c r="A1426" s="22" t="s">
        <v>7749</v>
      </c>
      <c r="B1426" s="22" t="s">
        <v>6514</v>
      </c>
      <c r="C1426" s="22" t="s">
        <v>6515</v>
      </c>
      <c r="D1426" s="22" t="s">
        <v>6197</v>
      </c>
      <c r="E1426" s="22" t="s">
        <v>6516</v>
      </c>
      <c r="F1426" s="22">
        <v>1</v>
      </c>
      <c r="G1426" s="22">
        <v>11</v>
      </c>
      <c r="H1426" s="22"/>
      <c r="I1426" s="22"/>
    </row>
    <row r="1427" spans="1:9" ht="63" x14ac:dyDescent="0.25">
      <c r="A1427" s="22" t="s">
        <v>7750</v>
      </c>
      <c r="B1427" s="22" t="s">
        <v>6694</v>
      </c>
      <c r="C1427" s="22" t="s">
        <v>6695</v>
      </c>
      <c r="D1427" s="22" t="s">
        <v>6682</v>
      </c>
      <c r="E1427" s="22" t="s">
        <v>6696</v>
      </c>
      <c r="F1427" s="22">
        <v>1</v>
      </c>
      <c r="G1427" s="22">
        <v>11</v>
      </c>
      <c r="H1427" s="22"/>
      <c r="I1427" s="22"/>
    </row>
    <row r="1434" spans="1:9" ht="42" x14ac:dyDescent="0.25">
      <c r="A1434" s="6" t="s">
        <v>2971</v>
      </c>
      <c r="H1434" s="6" t="s">
        <v>2972</v>
      </c>
    </row>
    <row r="1436" spans="1:9" ht="126" x14ac:dyDescent="0.25">
      <c r="A1436" s="6" t="s">
        <v>31</v>
      </c>
      <c r="B1436" s="6" t="s">
        <v>2733</v>
      </c>
      <c r="D1436" s="6" t="s">
        <v>3004</v>
      </c>
      <c r="G1436" s="6" t="s">
        <v>2961</v>
      </c>
      <c r="H1436" s="6" t="str">
        <f>IFERROR(VLOOKUP(B1436,Seller_Details!A:C,3,0),"Not Found")</f>
        <v>King of Computers LLC , Opp. Royal Ascot Hotel Khalid Bin Al Waleed St. Bur Dubai</v>
      </c>
    </row>
    <row r="1437" spans="1:9" x14ac:dyDescent="0.25">
      <c r="A1437" s="6" t="s">
        <v>13</v>
      </c>
      <c r="B1437" s="6" t="str">
        <f>IFERROR(VLOOKUP(B1436,Seller_Details!A:C,2,0),"Not Found")</f>
        <v>V00847</v>
      </c>
      <c r="G1437" s="6" t="s">
        <v>2962</v>
      </c>
      <c r="H1437" s="24">
        <v>42819</v>
      </c>
    </row>
    <row r="1440" spans="1:9" ht="42" x14ac:dyDescent="0.25">
      <c r="A1440" s="22" t="s">
        <v>2963</v>
      </c>
      <c r="B1440" s="22" t="s">
        <v>2964</v>
      </c>
      <c r="C1440" s="22" t="s">
        <v>2965</v>
      </c>
      <c r="D1440" s="22" t="s">
        <v>2966</v>
      </c>
      <c r="E1440" s="22" t="s">
        <v>2967</v>
      </c>
      <c r="F1440" s="22" t="s">
        <v>6</v>
      </c>
      <c r="G1440" s="22" t="s">
        <v>2968</v>
      </c>
      <c r="H1440" s="22" t="s">
        <v>2969</v>
      </c>
      <c r="I1440" s="22" t="s">
        <v>2970</v>
      </c>
    </row>
    <row r="1441" spans="1:9" ht="105" x14ac:dyDescent="0.25">
      <c r="A1441" s="22" t="s">
        <v>7751</v>
      </c>
      <c r="B1441" s="22" t="s">
        <v>4835</v>
      </c>
      <c r="C1441" s="22" t="s">
        <v>4836</v>
      </c>
      <c r="D1441" s="22" t="s">
        <v>4838</v>
      </c>
      <c r="E1441" s="22" t="s">
        <v>4837</v>
      </c>
      <c r="F1441" s="22">
        <v>1</v>
      </c>
      <c r="G1441" s="22">
        <v>25</v>
      </c>
      <c r="H1441" s="22"/>
      <c r="I1441" s="22"/>
    </row>
    <row r="1448" spans="1:9" ht="42" x14ac:dyDescent="0.25">
      <c r="A1448" s="6" t="s">
        <v>2971</v>
      </c>
      <c r="H1448" s="6" t="s">
        <v>2972</v>
      </c>
    </row>
    <row r="1450" spans="1:9" ht="84" x14ac:dyDescent="0.25">
      <c r="A1450" s="6" t="s">
        <v>31</v>
      </c>
      <c r="B1450" s="6" t="s">
        <v>70</v>
      </c>
      <c r="D1450" s="6" t="s">
        <v>3005</v>
      </c>
      <c r="G1450" s="6" t="s">
        <v>2961</v>
      </c>
      <c r="H1450" s="6" t="str">
        <f>IFERROR(VLOOKUP(B1450,Seller_Details!A:C,3,0),"Not Found")</f>
        <v>shop#9;Naij Comp Plaza; Naij Road;Deira;Dubai</v>
      </c>
    </row>
    <row r="1451" spans="1:9" x14ac:dyDescent="0.25">
      <c r="A1451" s="6" t="s">
        <v>13</v>
      </c>
      <c r="B1451" s="6" t="str">
        <f>IFERROR(VLOOKUP(B1450,Seller_Details!A:C,2,0),"Not Found")</f>
        <v>V00184</v>
      </c>
      <c r="G1451" s="6" t="s">
        <v>2962</v>
      </c>
      <c r="H1451" s="24">
        <v>42819</v>
      </c>
    </row>
    <row r="1454" spans="1:9" ht="42" x14ac:dyDescent="0.25">
      <c r="A1454" s="22" t="s">
        <v>2963</v>
      </c>
      <c r="B1454" s="22" t="s">
        <v>2964</v>
      </c>
      <c r="C1454" s="22" t="s">
        <v>2965</v>
      </c>
      <c r="D1454" s="22" t="s">
        <v>2966</v>
      </c>
      <c r="E1454" s="22" t="s">
        <v>2967</v>
      </c>
      <c r="F1454" s="22" t="s">
        <v>6</v>
      </c>
      <c r="G1454" s="22" t="s">
        <v>2968</v>
      </c>
      <c r="H1454" s="22" t="s">
        <v>2969</v>
      </c>
      <c r="I1454" s="22" t="s">
        <v>2970</v>
      </c>
    </row>
    <row r="1455" spans="1:9" ht="105" x14ac:dyDescent="0.25">
      <c r="A1455" s="22" t="s">
        <v>7752</v>
      </c>
      <c r="B1455" s="22" t="s">
        <v>4737</v>
      </c>
      <c r="C1455" s="22" t="s">
        <v>4738</v>
      </c>
      <c r="D1455" s="22" t="s">
        <v>4740</v>
      </c>
      <c r="E1455" s="22" t="s">
        <v>4739</v>
      </c>
      <c r="F1455" s="22">
        <v>1</v>
      </c>
      <c r="G1455" s="22">
        <v>1320</v>
      </c>
      <c r="H1455" s="22"/>
      <c r="I1455" s="22"/>
    </row>
    <row r="1456" spans="1:9" ht="84" x14ac:dyDescent="0.25">
      <c r="A1456" s="22" t="s">
        <v>7753</v>
      </c>
      <c r="B1456" s="22" t="s">
        <v>4885</v>
      </c>
      <c r="C1456" s="22" t="s">
        <v>4886</v>
      </c>
      <c r="D1456" s="22" t="s">
        <v>4888</v>
      </c>
      <c r="E1456" s="22" t="s">
        <v>4887</v>
      </c>
      <c r="F1456" s="22">
        <v>1</v>
      </c>
      <c r="G1456" s="22">
        <v>2715</v>
      </c>
      <c r="H1456" s="22"/>
      <c r="I1456" s="22"/>
    </row>
    <row r="1457" spans="1:9" ht="84" x14ac:dyDescent="0.25">
      <c r="A1457" s="22" t="s">
        <v>7754</v>
      </c>
      <c r="B1457" s="22" t="s">
        <v>4885</v>
      </c>
      <c r="C1457" s="22" t="s">
        <v>4886</v>
      </c>
      <c r="D1457" s="22" t="s">
        <v>4888</v>
      </c>
      <c r="E1457" s="22" t="s">
        <v>4887</v>
      </c>
      <c r="F1457" s="22">
        <v>1</v>
      </c>
      <c r="G1457" s="22">
        <v>2715</v>
      </c>
      <c r="H1457" s="22"/>
      <c r="I1457" s="22"/>
    </row>
    <row r="1458" spans="1:9" ht="84" x14ac:dyDescent="0.25">
      <c r="A1458" s="22" t="s">
        <v>7755</v>
      </c>
      <c r="B1458" s="22" t="s">
        <v>4885</v>
      </c>
      <c r="C1458" s="22" t="s">
        <v>4886</v>
      </c>
      <c r="D1458" s="22" t="s">
        <v>4888</v>
      </c>
      <c r="E1458" s="22" t="s">
        <v>4887</v>
      </c>
      <c r="F1458" s="22">
        <v>1</v>
      </c>
      <c r="G1458" s="22">
        <v>2715</v>
      </c>
      <c r="H1458" s="22"/>
      <c r="I1458" s="22"/>
    </row>
    <row r="1459" spans="1:9" ht="84" x14ac:dyDescent="0.25">
      <c r="A1459" s="22" t="s">
        <v>7756</v>
      </c>
      <c r="B1459" s="22" t="s">
        <v>4885</v>
      </c>
      <c r="C1459" s="22" t="s">
        <v>4886</v>
      </c>
      <c r="D1459" s="22" t="s">
        <v>4888</v>
      </c>
      <c r="E1459" s="22" t="s">
        <v>4887</v>
      </c>
      <c r="F1459" s="22">
        <v>1</v>
      </c>
      <c r="G1459" s="22">
        <v>2715</v>
      </c>
      <c r="H1459" s="22"/>
      <c r="I1459" s="22"/>
    </row>
    <row r="1460" spans="1:9" ht="63" x14ac:dyDescent="0.25">
      <c r="A1460" s="22" t="s">
        <v>7757</v>
      </c>
      <c r="B1460" s="22" t="s">
        <v>4916</v>
      </c>
      <c r="C1460" s="22" t="s">
        <v>4917</v>
      </c>
      <c r="D1460" s="22" t="s">
        <v>4919</v>
      </c>
      <c r="E1460" s="22" t="s">
        <v>4918</v>
      </c>
      <c r="F1460" s="22">
        <v>1</v>
      </c>
      <c r="G1460" s="22">
        <v>1900</v>
      </c>
      <c r="H1460" s="22"/>
      <c r="I1460" s="22"/>
    </row>
    <row r="1461" spans="1:9" ht="63" x14ac:dyDescent="0.25">
      <c r="A1461" s="22" t="s">
        <v>7758</v>
      </c>
      <c r="B1461" s="22" t="s">
        <v>4916</v>
      </c>
      <c r="C1461" s="22" t="s">
        <v>4917</v>
      </c>
      <c r="D1461" s="22" t="s">
        <v>4919</v>
      </c>
      <c r="E1461" s="22" t="s">
        <v>4918</v>
      </c>
      <c r="F1461" s="22">
        <v>1</v>
      </c>
      <c r="G1461" s="22">
        <v>1900</v>
      </c>
      <c r="H1461" s="22"/>
      <c r="I1461" s="22"/>
    </row>
    <row r="1462" spans="1:9" ht="63" x14ac:dyDescent="0.25">
      <c r="A1462" s="22" t="s">
        <v>7759</v>
      </c>
      <c r="B1462" s="22" t="s">
        <v>4916</v>
      </c>
      <c r="C1462" s="22" t="s">
        <v>4917</v>
      </c>
      <c r="D1462" s="22" t="s">
        <v>4919</v>
      </c>
      <c r="E1462" s="22" t="s">
        <v>4918</v>
      </c>
      <c r="F1462" s="22">
        <v>1</v>
      </c>
      <c r="G1462" s="22">
        <v>1900</v>
      </c>
      <c r="H1462" s="22"/>
      <c r="I1462" s="22"/>
    </row>
    <row r="1463" spans="1:9" ht="63" x14ac:dyDescent="0.25">
      <c r="A1463" s="22" t="s">
        <v>7760</v>
      </c>
      <c r="B1463" s="22" t="s">
        <v>5213</v>
      </c>
      <c r="C1463" s="22" t="s">
        <v>5214</v>
      </c>
      <c r="D1463" s="22" t="s">
        <v>5216</v>
      </c>
      <c r="E1463" s="22" t="s">
        <v>5215</v>
      </c>
      <c r="F1463" s="22">
        <v>1</v>
      </c>
      <c r="G1463" s="22">
        <v>900</v>
      </c>
      <c r="H1463" s="22"/>
      <c r="I1463" s="22"/>
    </row>
    <row r="1470" spans="1:9" ht="42" x14ac:dyDescent="0.25">
      <c r="A1470" s="6" t="s">
        <v>2971</v>
      </c>
      <c r="H1470" s="6" t="s">
        <v>2972</v>
      </c>
    </row>
    <row r="1472" spans="1:9" ht="147" x14ac:dyDescent="0.25">
      <c r="A1472" s="6" t="s">
        <v>31</v>
      </c>
      <c r="B1472" s="6" t="s">
        <v>52</v>
      </c>
      <c r="D1472" s="6" t="s">
        <v>3006</v>
      </c>
      <c r="G1472" s="6" t="s">
        <v>2961</v>
      </c>
      <c r="H1472" s="6" t="str">
        <f>IFERROR(VLOOKUP(B1472,Seller_Details!A:C,3,0),"Not Found")</f>
        <v>UNICOM INT GEN TRADING LLC ; 407;4TH FLOOR;BANIYAS SQ ;GARGASH CENTER;DEIRA ;DUBAI; UAE</v>
      </c>
    </row>
    <row r="1473" spans="1:9" x14ac:dyDescent="0.25">
      <c r="A1473" s="6" t="s">
        <v>13</v>
      </c>
      <c r="B1473" s="6" t="str">
        <f>IFERROR(VLOOKUP(B1472,Seller_Details!A:C,2,0),"Not Found")</f>
        <v>V00008</v>
      </c>
      <c r="G1473" s="6" t="s">
        <v>2962</v>
      </c>
      <c r="H1473" s="24">
        <v>42819</v>
      </c>
    </row>
    <row r="1476" spans="1:9" ht="42" x14ac:dyDescent="0.25">
      <c r="A1476" s="22" t="s">
        <v>2963</v>
      </c>
      <c r="B1476" s="22" t="s">
        <v>2964</v>
      </c>
      <c r="C1476" s="22" t="s">
        <v>2965</v>
      </c>
      <c r="D1476" s="22" t="s">
        <v>2966</v>
      </c>
      <c r="E1476" s="22" t="s">
        <v>2967</v>
      </c>
      <c r="F1476" s="22" t="s">
        <v>6</v>
      </c>
      <c r="G1476" s="22" t="s">
        <v>2968</v>
      </c>
      <c r="H1476" s="22" t="s">
        <v>2969</v>
      </c>
      <c r="I1476" s="22" t="s">
        <v>2970</v>
      </c>
    </row>
    <row r="1477" spans="1:9" ht="84" x14ac:dyDescent="0.25">
      <c r="A1477" s="22" t="s">
        <v>7761</v>
      </c>
      <c r="B1477" s="22" t="s">
        <v>5205</v>
      </c>
      <c r="C1477" s="22" t="s">
        <v>5206</v>
      </c>
      <c r="D1477" s="22" t="s">
        <v>5208</v>
      </c>
      <c r="E1477" s="22" t="s">
        <v>5207</v>
      </c>
      <c r="F1477" s="22">
        <v>1</v>
      </c>
      <c r="G1477" s="22">
        <v>3350</v>
      </c>
      <c r="H1477" s="22"/>
      <c r="I1477" s="22"/>
    </row>
    <row r="1478" spans="1:9" ht="42" x14ac:dyDescent="0.25">
      <c r="A1478" s="22" t="s">
        <v>7762</v>
      </c>
      <c r="B1478" s="22" t="s">
        <v>6011</v>
      </c>
      <c r="C1478" s="22" t="s">
        <v>6012</v>
      </c>
      <c r="D1478" s="22" t="s">
        <v>6014</v>
      </c>
      <c r="E1478" s="22" t="s">
        <v>6013</v>
      </c>
      <c r="F1478" s="22">
        <v>1</v>
      </c>
      <c r="G1478" s="22">
        <v>320</v>
      </c>
      <c r="H1478" s="22"/>
      <c r="I1478" s="22"/>
    </row>
    <row r="1485" spans="1:9" ht="42" x14ac:dyDescent="0.25">
      <c r="A1485" s="6" t="s">
        <v>2971</v>
      </c>
      <c r="H1485" s="6" t="s">
        <v>2972</v>
      </c>
    </row>
    <row r="1487" spans="1:9" ht="189" x14ac:dyDescent="0.25">
      <c r="A1487" s="6" t="s">
        <v>31</v>
      </c>
      <c r="B1487" s="6" t="s">
        <v>2735</v>
      </c>
      <c r="D1487" s="6" t="s">
        <v>3007</v>
      </c>
      <c r="G1487" s="6" t="s">
        <v>2961</v>
      </c>
      <c r="H1487" s="6" t="str">
        <f>IFERROR(VLOOKUP(B1487,Seller_Details!A:C,3,0),"Not Found")</f>
        <v>Warehouse # 6, Plot # 598-1156, Sheikh Mohammed Bin Zayed Road (E311 Road), Dubai Investment Park 1</v>
      </c>
    </row>
    <row r="1488" spans="1:9" x14ac:dyDescent="0.25">
      <c r="A1488" s="6" t="s">
        <v>13</v>
      </c>
      <c r="B1488" s="6" t="str">
        <f>IFERROR(VLOOKUP(B1487,Seller_Details!A:C,2,0),"Not Found")</f>
        <v>V00848</v>
      </c>
      <c r="G1488" s="6" t="s">
        <v>2962</v>
      </c>
      <c r="H1488" s="24">
        <v>42819</v>
      </c>
    </row>
    <row r="1491" spans="1:9" ht="42" x14ac:dyDescent="0.25">
      <c r="A1491" s="22" t="s">
        <v>2963</v>
      </c>
      <c r="B1491" s="22" t="s">
        <v>2964</v>
      </c>
      <c r="C1491" s="22" t="s">
        <v>2965</v>
      </c>
      <c r="D1491" s="22" t="s">
        <v>2966</v>
      </c>
      <c r="E1491" s="22" t="s">
        <v>2967</v>
      </c>
      <c r="F1491" s="22" t="s">
        <v>6</v>
      </c>
      <c r="G1491" s="22" t="s">
        <v>2968</v>
      </c>
      <c r="H1491" s="22" t="s">
        <v>2969</v>
      </c>
      <c r="I1491" s="22" t="s">
        <v>2970</v>
      </c>
    </row>
    <row r="1492" spans="1:9" ht="84" x14ac:dyDescent="0.25">
      <c r="A1492" s="22" t="s">
        <v>7763</v>
      </c>
      <c r="B1492" s="22" t="s">
        <v>3780</v>
      </c>
      <c r="C1492" s="22" t="s">
        <v>3781</v>
      </c>
      <c r="D1492" s="22" t="s">
        <v>3783</v>
      </c>
      <c r="E1492" s="22" t="s">
        <v>3782</v>
      </c>
      <c r="F1492" s="22">
        <v>1</v>
      </c>
      <c r="G1492" s="22">
        <v>6</v>
      </c>
      <c r="H1492" s="22"/>
      <c r="I1492" s="22"/>
    </row>
    <row r="1493" spans="1:9" ht="84" x14ac:dyDescent="0.25">
      <c r="A1493" s="22" t="s">
        <v>7764</v>
      </c>
      <c r="B1493" s="22" t="s">
        <v>3780</v>
      </c>
      <c r="C1493" s="22" t="s">
        <v>3781</v>
      </c>
      <c r="D1493" s="22" t="s">
        <v>3783</v>
      </c>
      <c r="E1493" s="22" t="s">
        <v>3782</v>
      </c>
      <c r="F1493" s="22">
        <v>1</v>
      </c>
      <c r="G1493" s="22">
        <v>6</v>
      </c>
      <c r="H1493" s="22"/>
      <c r="I1493" s="22"/>
    </row>
    <row r="1494" spans="1:9" ht="84" x14ac:dyDescent="0.25">
      <c r="A1494" s="22" t="s">
        <v>7765</v>
      </c>
      <c r="B1494" s="22" t="s">
        <v>3780</v>
      </c>
      <c r="C1494" s="22" t="s">
        <v>3781</v>
      </c>
      <c r="D1494" s="22" t="s">
        <v>3783</v>
      </c>
      <c r="E1494" s="22" t="s">
        <v>3782</v>
      </c>
      <c r="F1494" s="22">
        <v>1</v>
      </c>
      <c r="G1494" s="22">
        <v>6</v>
      </c>
      <c r="H1494" s="22"/>
      <c r="I1494" s="22"/>
    </row>
    <row r="1495" spans="1:9" ht="84" x14ac:dyDescent="0.25">
      <c r="A1495" s="22" t="s">
        <v>7766</v>
      </c>
      <c r="B1495" s="22" t="s">
        <v>3780</v>
      </c>
      <c r="C1495" s="22" t="s">
        <v>3781</v>
      </c>
      <c r="D1495" s="22" t="s">
        <v>3783</v>
      </c>
      <c r="E1495" s="22" t="s">
        <v>3782</v>
      </c>
      <c r="F1495" s="22">
        <v>1</v>
      </c>
      <c r="G1495" s="22">
        <v>6</v>
      </c>
      <c r="H1495" s="22"/>
      <c r="I1495" s="22"/>
    </row>
    <row r="1496" spans="1:9" ht="84" x14ac:dyDescent="0.25">
      <c r="A1496" s="22" t="s">
        <v>7767</v>
      </c>
      <c r="B1496" s="22" t="s">
        <v>3780</v>
      </c>
      <c r="C1496" s="22" t="s">
        <v>3781</v>
      </c>
      <c r="D1496" s="22" t="s">
        <v>3783</v>
      </c>
      <c r="E1496" s="22" t="s">
        <v>3782</v>
      </c>
      <c r="F1496" s="22">
        <v>1</v>
      </c>
      <c r="G1496" s="22">
        <v>6</v>
      </c>
      <c r="H1496" s="22"/>
      <c r="I1496" s="22"/>
    </row>
    <row r="1497" spans="1:9" ht="63" x14ac:dyDescent="0.25">
      <c r="A1497" s="22" t="s">
        <v>7768</v>
      </c>
      <c r="B1497" s="22" t="s">
        <v>3814</v>
      </c>
      <c r="C1497" s="22" t="s">
        <v>3815</v>
      </c>
      <c r="D1497" s="22" t="s">
        <v>3783</v>
      </c>
      <c r="E1497" s="22" t="s">
        <v>3816</v>
      </c>
      <c r="F1497" s="22">
        <v>1</v>
      </c>
      <c r="G1497" s="22">
        <v>8</v>
      </c>
      <c r="H1497" s="22"/>
      <c r="I1497" s="22"/>
    </row>
    <row r="1498" spans="1:9" ht="63" x14ac:dyDescent="0.25">
      <c r="A1498" s="22" t="s">
        <v>7769</v>
      </c>
      <c r="B1498" s="22" t="s">
        <v>3814</v>
      </c>
      <c r="C1498" s="22" t="s">
        <v>3815</v>
      </c>
      <c r="D1498" s="22" t="s">
        <v>3783</v>
      </c>
      <c r="E1498" s="22" t="s">
        <v>3816</v>
      </c>
      <c r="F1498" s="22">
        <v>1</v>
      </c>
      <c r="G1498" s="22">
        <v>8</v>
      </c>
      <c r="H1498" s="22"/>
      <c r="I1498" s="22"/>
    </row>
    <row r="1499" spans="1:9" ht="63" x14ac:dyDescent="0.25">
      <c r="A1499" s="22" t="s">
        <v>7770</v>
      </c>
      <c r="B1499" s="22" t="s">
        <v>3814</v>
      </c>
      <c r="C1499" s="22" t="s">
        <v>3815</v>
      </c>
      <c r="D1499" s="22" t="s">
        <v>3783</v>
      </c>
      <c r="E1499" s="22" t="s">
        <v>3816</v>
      </c>
      <c r="F1499" s="22">
        <v>1</v>
      </c>
      <c r="G1499" s="22">
        <v>8</v>
      </c>
      <c r="H1499" s="22"/>
      <c r="I1499" s="22"/>
    </row>
    <row r="1500" spans="1:9" ht="63" x14ac:dyDescent="0.25">
      <c r="A1500" s="22" t="s">
        <v>7771</v>
      </c>
      <c r="B1500" s="22" t="s">
        <v>3814</v>
      </c>
      <c r="C1500" s="22" t="s">
        <v>3815</v>
      </c>
      <c r="D1500" s="22" t="s">
        <v>3783</v>
      </c>
      <c r="E1500" s="22" t="s">
        <v>3816</v>
      </c>
      <c r="F1500" s="22">
        <v>1</v>
      </c>
      <c r="G1500" s="22">
        <v>8</v>
      </c>
      <c r="H1500" s="22"/>
      <c r="I1500" s="22"/>
    </row>
    <row r="1501" spans="1:9" ht="63" x14ac:dyDescent="0.25">
      <c r="A1501" s="22" t="s">
        <v>7772</v>
      </c>
      <c r="B1501" s="22" t="s">
        <v>3814</v>
      </c>
      <c r="C1501" s="22" t="s">
        <v>3815</v>
      </c>
      <c r="D1501" s="22" t="s">
        <v>3783</v>
      </c>
      <c r="E1501" s="22" t="s">
        <v>3816</v>
      </c>
      <c r="F1501" s="22">
        <v>1</v>
      </c>
      <c r="G1501" s="22">
        <v>8</v>
      </c>
      <c r="H1501" s="22"/>
      <c r="I1501" s="22"/>
    </row>
    <row r="1502" spans="1:9" ht="84" x14ac:dyDescent="0.25">
      <c r="A1502" s="22" t="s">
        <v>7773</v>
      </c>
      <c r="B1502" s="22" t="s">
        <v>3817</v>
      </c>
      <c r="C1502" s="22" t="s">
        <v>3818</v>
      </c>
      <c r="D1502" s="22" t="s">
        <v>5088</v>
      </c>
      <c r="E1502" s="22" t="s">
        <v>3819</v>
      </c>
      <c r="F1502" s="22">
        <v>1</v>
      </c>
      <c r="G1502" s="22">
        <v>8</v>
      </c>
      <c r="H1502" s="22"/>
      <c r="I1502" s="22"/>
    </row>
    <row r="1503" spans="1:9" ht="84" x14ac:dyDescent="0.25">
      <c r="A1503" s="22" t="s">
        <v>7774</v>
      </c>
      <c r="B1503" s="22" t="s">
        <v>3817</v>
      </c>
      <c r="C1503" s="22" t="s">
        <v>3818</v>
      </c>
      <c r="D1503" s="22" t="s">
        <v>5582</v>
      </c>
      <c r="E1503" s="22" t="s">
        <v>3819</v>
      </c>
      <c r="F1503" s="22">
        <v>1</v>
      </c>
      <c r="G1503" s="22">
        <v>8</v>
      </c>
      <c r="H1503" s="22"/>
      <c r="I1503" s="22"/>
    </row>
    <row r="1504" spans="1:9" ht="84" x14ac:dyDescent="0.25">
      <c r="A1504" s="22" t="s">
        <v>7775</v>
      </c>
      <c r="B1504" s="22" t="s">
        <v>3821</v>
      </c>
      <c r="C1504" s="22" t="s">
        <v>3822</v>
      </c>
      <c r="D1504" s="22" t="s">
        <v>3783</v>
      </c>
      <c r="E1504" s="22" t="s">
        <v>3823</v>
      </c>
      <c r="F1504" s="22">
        <v>1</v>
      </c>
      <c r="G1504" s="22">
        <v>8</v>
      </c>
      <c r="H1504" s="22"/>
      <c r="I1504" s="22"/>
    </row>
    <row r="1505" spans="1:9" ht="84" x14ac:dyDescent="0.25">
      <c r="A1505" s="22" t="s">
        <v>7776</v>
      </c>
      <c r="B1505" s="22" t="s">
        <v>3821</v>
      </c>
      <c r="C1505" s="22" t="s">
        <v>3822</v>
      </c>
      <c r="D1505" s="22" t="s">
        <v>3783</v>
      </c>
      <c r="E1505" s="22" t="s">
        <v>3823</v>
      </c>
      <c r="F1505" s="22">
        <v>1</v>
      </c>
      <c r="G1505" s="22">
        <v>8</v>
      </c>
      <c r="H1505" s="22"/>
      <c r="I1505" s="22"/>
    </row>
    <row r="1506" spans="1:9" ht="84" x14ac:dyDescent="0.25">
      <c r="A1506" s="22" t="s">
        <v>7777</v>
      </c>
      <c r="B1506" s="22" t="s">
        <v>3821</v>
      </c>
      <c r="C1506" s="22" t="s">
        <v>3822</v>
      </c>
      <c r="D1506" s="22" t="s">
        <v>5088</v>
      </c>
      <c r="E1506" s="22" t="s">
        <v>3823</v>
      </c>
      <c r="F1506" s="22">
        <v>1</v>
      </c>
      <c r="G1506" s="22">
        <v>8</v>
      </c>
      <c r="H1506" s="22"/>
      <c r="I1506" s="22"/>
    </row>
    <row r="1507" spans="1:9" ht="84" x14ac:dyDescent="0.25">
      <c r="A1507" s="22" t="s">
        <v>7778</v>
      </c>
      <c r="B1507" s="22" t="s">
        <v>3821</v>
      </c>
      <c r="C1507" s="22" t="s">
        <v>3822</v>
      </c>
      <c r="D1507" s="22" t="s">
        <v>5088</v>
      </c>
      <c r="E1507" s="22" t="s">
        <v>3823</v>
      </c>
      <c r="F1507" s="22">
        <v>1</v>
      </c>
      <c r="G1507" s="22">
        <v>8</v>
      </c>
      <c r="H1507" s="22"/>
      <c r="I1507" s="22"/>
    </row>
    <row r="1508" spans="1:9" ht="84" x14ac:dyDescent="0.25">
      <c r="A1508" s="22" t="s">
        <v>7779</v>
      </c>
      <c r="B1508" s="22" t="s">
        <v>3821</v>
      </c>
      <c r="C1508" s="22" t="s">
        <v>3822</v>
      </c>
      <c r="D1508" s="22" t="s">
        <v>5088</v>
      </c>
      <c r="E1508" s="22" t="s">
        <v>3823</v>
      </c>
      <c r="F1508" s="22">
        <v>1</v>
      </c>
      <c r="G1508" s="22">
        <v>8</v>
      </c>
      <c r="H1508" s="22"/>
      <c r="I1508" s="22"/>
    </row>
    <row r="1509" spans="1:9" ht="105" x14ac:dyDescent="0.25">
      <c r="A1509" s="22" t="s">
        <v>7780</v>
      </c>
      <c r="B1509" s="22" t="s">
        <v>3826</v>
      </c>
      <c r="C1509" s="22" t="s">
        <v>3827</v>
      </c>
      <c r="D1509" s="22" t="s">
        <v>3783</v>
      </c>
      <c r="E1509" s="22" t="s">
        <v>3828</v>
      </c>
      <c r="F1509" s="22">
        <v>1</v>
      </c>
      <c r="G1509" s="22">
        <v>11</v>
      </c>
      <c r="H1509" s="22"/>
      <c r="I1509" s="22"/>
    </row>
    <row r="1510" spans="1:9" ht="105" x14ac:dyDescent="0.25">
      <c r="A1510" s="22" t="s">
        <v>7781</v>
      </c>
      <c r="B1510" s="22" t="s">
        <v>3826</v>
      </c>
      <c r="C1510" s="22" t="s">
        <v>3827</v>
      </c>
      <c r="D1510" s="22" t="s">
        <v>5088</v>
      </c>
      <c r="E1510" s="22" t="s">
        <v>3828</v>
      </c>
      <c r="F1510" s="22">
        <v>1</v>
      </c>
      <c r="G1510" s="22">
        <v>11</v>
      </c>
      <c r="H1510" s="22"/>
      <c r="I1510" s="22"/>
    </row>
    <row r="1511" spans="1:9" ht="105" x14ac:dyDescent="0.25">
      <c r="A1511" s="22" t="s">
        <v>7782</v>
      </c>
      <c r="B1511" s="22" t="s">
        <v>3826</v>
      </c>
      <c r="C1511" s="22" t="s">
        <v>3827</v>
      </c>
      <c r="D1511" s="22" t="s">
        <v>5088</v>
      </c>
      <c r="E1511" s="22" t="s">
        <v>3828</v>
      </c>
      <c r="F1511" s="22">
        <v>1</v>
      </c>
      <c r="G1511" s="22">
        <v>11</v>
      </c>
      <c r="H1511" s="22"/>
      <c r="I1511" s="22"/>
    </row>
    <row r="1512" spans="1:9" ht="105" x14ac:dyDescent="0.25">
      <c r="A1512" s="22" t="s">
        <v>7783</v>
      </c>
      <c r="B1512" s="22" t="s">
        <v>3826</v>
      </c>
      <c r="C1512" s="22" t="s">
        <v>3827</v>
      </c>
      <c r="D1512" s="22" t="s">
        <v>5088</v>
      </c>
      <c r="E1512" s="22" t="s">
        <v>3828</v>
      </c>
      <c r="F1512" s="22">
        <v>1</v>
      </c>
      <c r="G1512" s="22">
        <v>11</v>
      </c>
      <c r="H1512" s="22"/>
      <c r="I1512" s="22"/>
    </row>
    <row r="1513" spans="1:9" ht="105" x14ac:dyDescent="0.25">
      <c r="A1513" s="22" t="s">
        <v>7784</v>
      </c>
      <c r="B1513" s="22" t="s">
        <v>3826</v>
      </c>
      <c r="C1513" s="22" t="s">
        <v>3827</v>
      </c>
      <c r="D1513" s="22" t="s">
        <v>5088</v>
      </c>
      <c r="E1513" s="22" t="s">
        <v>3828</v>
      </c>
      <c r="F1513" s="22">
        <v>1</v>
      </c>
      <c r="G1513" s="22">
        <v>11</v>
      </c>
      <c r="H1513" s="22"/>
      <c r="I1513" s="22"/>
    </row>
    <row r="1514" spans="1:9" ht="105" x14ac:dyDescent="0.25">
      <c r="A1514" s="22" t="s">
        <v>7785</v>
      </c>
      <c r="B1514" s="22" t="s">
        <v>3984</v>
      </c>
      <c r="C1514" s="22" t="s">
        <v>3985</v>
      </c>
      <c r="D1514" s="22" t="s">
        <v>3783</v>
      </c>
      <c r="E1514" s="22" t="s">
        <v>3986</v>
      </c>
      <c r="F1514" s="22">
        <v>1</v>
      </c>
      <c r="G1514" s="22">
        <v>13</v>
      </c>
      <c r="H1514" s="22"/>
      <c r="I1514" s="22"/>
    </row>
    <row r="1515" spans="1:9" ht="105" x14ac:dyDescent="0.25">
      <c r="A1515" s="22" t="s">
        <v>7786</v>
      </c>
      <c r="B1515" s="22" t="s">
        <v>3984</v>
      </c>
      <c r="C1515" s="22" t="s">
        <v>3985</v>
      </c>
      <c r="D1515" s="22" t="s">
        <v>3783</v>
      </c>
      <c r="E1515" s="22" t="s">
        <v>3986</v>
      </c>
      <c r="F1515" s="22">
        <v>1</v>
      </c>
      <c r="G1515" s="22">
        <v>13</v>
      </c>
      <c r="H1515" s="22"/>
      <c r="I1515" s="22"/>
    </row>
    <row r="1516" spans="1:9" ht="105" x14ac:dyDescent="0.25">
      <c r="A1516" s="22" t="s">
        <v>7787</v>
      </c>
      <c r="B1516" s="22" t="s">
        <v>3984</v>
      </c>
      <c r="C1516" s="22" t="s">
        <v>3985</v>
      </c>
      <c r="D1516" s="22" t="s">
        <v>3783</v>
      </c>
      <c r="E1516" s="22" t="s">
        <v>3986</v>
      </c>
      <c r="F1516" s="22">
        <v>1</v>
      </c>
      <c r="G1516" s="22">
        <v>13</v>
      </c>
      <c r="H1516" s="22"/>
      <c r="I1516" s="22"/>
    </row>
    <row r="1517" spans="1:9" ht="84" x14ac:dyDescent="0.25">
      <c r="A1517" s="22" t="s">
        <v>7788</v>
      </c>
      <c r="B1517" s="22" t="s">
        <v>3988</v>
      </c>
      <c r="C1517" s="22" t="s">
        <v>3989</v>
      </c>
      <c r="D1517" s="22" t="s">
        <v>3783</v>
      </c>
      <c r="E1517" s="22" t="s">
        <v>3990</v>
      </c>
      <c r="F1517" s="22">
        <v>1</v>
      </c>
      <c r="G1517" s="22">
        <v>125</v>
      </c>
      <c r="H1517" s="22"/>
      <c r="I1517" s="22"/>
    </row>
    <row r="1518" spans="1:9" ht="84" x14ac:dyDescent="0.25">
      <c r="A1518" s="22" t="s">
        <v>7789</v>
      </c>
      <c r="B1518" s="22" t="s">
        <v>4244</v>
      </c>
      <c r="C1518" s="22" t="s">
        <v>4245</v>
      </c>
      <c r="D1518" s="22" t="s">
        <v>3783</v>
      </c>
      <c r="E1518" s="22" t="s">
        <v>4246</v>
      </c>
      <c r="F1518" s="22">
        <v>1</v>
      </c>
      <c r="G1518" s="22">
        <v>34</v>
      </c>
      <c r="H1518" s="22"/>
      <c r="I1518" s="22"/>
    </row>
    <row r="1519" spans="1:9" ht="84" x14ac:dyDescent="0.25">
      <c r="A1519" s="22" t="s">
        <v>7790</v>
      </c>
      <c r="B1519" s="22" t="s">
        <v>4266</v>
      </c>
      <c r="C1519" s="22" t="s">
        <v>4267</v>
      </c>
      <c r="D1519" s="22" t="s">
        <v>3783</v>
      </c>
      <c r="E1519" s="22" t="s">
        <v>4268</v>
      </c>
      <c r="F1519" s="22">
        <v>1</v>
      </c>
      <c r="G1519" s="22">
        <v>34</v>
      </c>
      <c r="H1519" s="22"/>
      <c r="I1519" s="22"/>
    </row>
    <row r="1520" spans="1:9" ht="84" x14ac:dyDescent="0.25">
      <c r="A1520" s="22" t="s">
        <v>7791</v>
      </c>
      <c r="B1520" s="22" t="s">
        <v>4266</v>
      </c>
      <c r="C1520" s="22" t="s">
        <v>4267</v>
      </c>
      <c r="D1520" s="22" t="s">
        <v>3783</v>
      </c>
      <c r="E1520" s="22" t="s">
        <v>4268</v>
      </c>
      <c r="F1520" s="22">
        <v>1</v>
      </c>
      <c r="G1520" s="22">
        <v>34</v>
      </c>
      <c r="H1520" s="22"/>
      <c r="I1520" s="22"/>
    </row>
    <row r="1521" spans="1:9" ht="84" x14ac:dyDescent="0.25">
      <c r="A1521" s="22" t="s">
        <v>7792</v>
      </c>
      <c r="B1521" s="22" t="s">
        <v>4266</v>
      </c>
      <c r="C1521" s="22" t="s">
        <v>4267</v>
      </c>
      <c r="D1521" s="22" t="s">
        <v>3783</v>
      </c>
      <c r="E1521" s="22" t="s">
        <v>4268</v>
      </c>
      <c r="F1521" s="22">
        <v>1</v>
      </c>
      <c r="G1521" s="22">
        <v>34</v>
      </c>
      <c r="H1521" s="22"/>
      <c r="I1521" s="22"/>
    </row>
    <row r="1522" spans="1:9" ht="84" x14ac:dyDescent="0.25">
      <c r="A1522" s="22" t="s">
        <v>7793</v>
      </c>
      <c r="B1522" s="22" t="s">
        <v>4266</v>
      </c>
      <c r="C1522" s="22" t="s">
        <v>4267</v>
      </c>
      <c r="D1522" s="22" t="s">
        <v>3783</v>
      </c>
      <c r="E1522" s="22" t="s">
        <v>4268</v>
      </c>
      <c r="F1522" s="22">
        <v>1</v>
      </c>
      <c r="G1522" s="22">
        <v>34</v>
      </c>
      <c r="H1522" s="22"/>
      <c r="I1522" s="22"/>
    </row>
    <row r="1523" spans="1:9" ht="105" x14ac:dyDescent="0.25">
      <c r="A1523" s="22" t="s">
        <v>7794</v>
      </c>
      <c r="B1523" s="22" t="s">
        <v>4455</v>
      </c>
      <c r="C1523" s="22" t="s">
        <v>4456</v>
      </c>
      <c r="D1523" s="22" t="s">
        <v>3783</v>
      </c>
      <c r="E1523" s="22" t="s">
        <v>4457</v>
      </c>
      <c r="F1523" s="22">
        <v>1</v>
      </c>
      <c r="G1523" s="22">
        <v>62</v>
      </c>
      <c r="H1523" s="22"/>
      <c r="I1523" s="22"/>
    </row>
    <row r="1524" spans="1:9" ht="84" x14ac:dyDescent="0.25">
      <c r="A1524" s="22" t="s">
        <v>7795</v>
      </c>
      <c r="B1524" s="22" t="s">
        <v>4459</v>
      </c>
      <c r="C1524" s="22" t="s">
        <v>4460</v>
      </c>
      <c r="D1524" s="22" t="s">
        <v>3783</v>
      </c>
      <c r="E1524" s="22" t="s">
        <v>4461</v>
      </c>
      <c r="F1524" s="22">
        <v>1</v>
      </c>
      <c r="G1524" s="22">
        <v>27</v>
      </c>
      <c r="H1524" s="22"/>
      <c r="I1524" s="22"/>
    </row>
    <row r="1525" spans="1:9" ht="84" x14ac:dyDescent="0.25">
      <c r="A1525" s="22" t="s">
        <v>7796</v>
      </c>
      <c r="B1525" s="22" t="s">
        <v>4459</v>
      </c>
      <c r="C1525" s="22" t="s">
        <v>4460</v>
      </c>
      <c r="D1525" s="22" t="s">
        <v>5088</v>
      </c>
      <c r="E1525" s="22" t="s">
        <v>4461</v>
      </c>
      <c r="F1525" s="22">
        <v>1</v>
      </c>
      <c r="G1525" s="22">
        <v>27</v>
      </c>
      <c r="H1525" s="22"/>
      <c r="I1525" s="22"/>
    </row>
    <row r="1526" spans="1:9" ht="84" x14ac:dyDescent="0.25">
      <c r="A1526" s="22" t="s">
        <v>7797</v>
      </c>
      <c r="B1526" s="22" t="s">
        <v>4459</v>
      </c>
      <c r="C1526" s="22" t="s">
        <v>4460</v>
      </c>
      <c r="D1526" s="22" t="s">
        <v>5582</v>
      </c>
      <c r="E1526" s="22" t="s">
        <v>4461</v>
      </c>
      <c r="F1526" s="22">
        <v>1</v>
      </c>
      <c r="G1526" s="22">
        <v>27</v>
      </c>
      <c r="H1526" s="22"/>
      <c r="I1526" s="22"/>
    </row>
    <row r="1527" spans="1:9" ht="63" x14ac:dyDescent="0.25">
      <c r="A1527" s="22" t="s">
        <v>7798</v>
      </c>
      <c r="B1527" s="22" t="s">
        <v>4463</v>
      </c>
      <c r="C1527" s="22" t="s">
        <v>4464</v>
      </c>
      <c r="D1527" s="22" t="s">
        <v>3783</v>
      </c>
      <c r="E1527" s="22" t="s">
        <v>4465</v>
      </c>
      <c r="F1527" s="22">
        <v>1</v>
      </c>
      <c r="G1527" s="22">
        <v>55</v>
      </c>
      <c r="H1527" s="22"/>
      <c r="I1527" s="22"/>
    </row>
    <row r="1528" spans="1:9" ht="84" x14ac:dyDescent="0.25">
      <c r="A1528" s="22" t="s">
        <v>7799</v>
      </c>
      <c r="B1528" s="22" t="s">
        <v>4504</v>
      </c>
      <c r="C1528" s="22" t="s">
        <v>4505</v>
      </c>
      <c r="D1528" s="22" t="s">
        <v>3783</v>
      </c>
      <c r="E1528" s="22" t="s">
        <v>4506</v>
      </c>
      <c r="F1528" s="22">
        <v>1</v>
      </c>
      <c r="G1528" s="22">
        <v>111</v>
      </c>
      <c r="H1528" s="22"/>
      <c r="I1528" s="22"/>
    </row>
    <row r="1529" spans="1:9" ht="84" x14ac:dyDescent="0.25">
      <c r="A1529" s="22" t="s">
        <v>7800</v>
      </c>
      <c r="B1529" s="22" t="s">
        <v>4508</v>
      </c>
      <c r="C1529" s="22" t="s">
        <v>4509</v>
      </c>
      <c r="D1529" s="22" t="s">
        <v>3783</v>
      </c>
      <c r="E1529" s="22" t="s">
        <v>4510</v>
      </c>
      <c r="F1529" s="22">
        <v>1</v>
      </c>
      <c r="G1529" s="22">
        <v>34</v>
      </c>
      <c r="H1529" s="22"/>
      <c r="I1529" s="22"/>
    </row>
    <row r="1530" spans="1:9" ht="84" x14ac:dyDescent="0.25">
      <c r="A1530" s="22" t="s">
        <v>7801</v>
      </c>
      <c r="B1530" s="22" t="s">
        <v>4508</v>
      </c>
      <c r="C1530" s="22" t="s">
        <v>4509</v>
      </c>
      <c r="D1530" s="22" t="s">
        <v>3783</v>
      </c>
      <c r="E1530" s="22" t="s">
        <v>4510</v>
      </c>
      <c r="F1530" s="22">
        <v>1</v>
      </c>
      <c r="G1530" s="22">
        <v>34</v>
      </c>
      <c r="H1530" s="22"/>
      <c r="I1530" s="22"/>
    </row>
    <row r="1531" spans="1:9" ht="63" x14ac:dyDescent="0.25">
      <c r="A1531" s="22" t="s">
        <v>7802</v>
      </c>
      <c r="B1531" s="22" t="s">
        <v>5085</v>
      </c>
      <c r="C1531" s="22" t="s">
        <v>5086</v>
      </c>
      <c r="D1531" s="22" t="s">
        <v>5088</v>
      </c>
      <c r="E1531" s="22" t="s">
        <v>5087</v>
      </c>
      <c r="F1531" s="22">
        <v>1</v>
      </c>
      <c r="G1531" s="22">
        <v>104</v>
      </c>
      <c r="H1531" s="22"/>
      <c r="I1531" s="22"/>
    </row>
    <row r="1532" spans="1:9" ht="63" x14ac:dyDescent="0.25">
      <c r="A1532" s="22" t="s">
        <v>7803</v>
      </c>
      <c r="B1532" s="22" t="s">
        <v>5085</v>
      </c>
      <c r="C1532" s="22" t="s">
        <v>5086</v>
      </c>
      <c r="D1532" s="22" t="s">
        <v>5088</v>
      </c>
      <c r="E1532" s="22" t="s">
        <v>5087</v>
      </c>
      <c r="F1532" s="22">
        <v>1</v>
      </c>
      <c r="G1532" s="22">
        <v>104</v>
      </c>
      <c r="H1532" s="22"/>
      <c r="I1532" s="22"/>
    </row>
    <row r="1533" spans="1:9" ht="63" x14ac:dyDescent="0.25">
      <c r="A1533" s="22" t="s">
        <v>7804</v>
      </c>
      <c r="B1533" s="22" t="s">
        <v>5085</v>
      </c>
      <c r="C1533" s="22" t="s">
        <v>5086</v>
      </c>
      <c r="D1533" s="22" t="s">
        <v>5582</v>
      </c>
      <c r="E1533" s="22" t="s">
        <v>5087</v>
      </c>
      <c r="F1533" s="22">
        <v>1</v>
      </c>
      <c r="G1533" s="22">
        <v>104</v>
      </c>
      <c r="H1533" s="22"/>
      <c r="I1533" s="22"/>
    </row>
    <row r="1534" spans="1:9" ht="84" x14ac:dyDescent="0.25">
      <c r="A1534" s="22" t="s">
        <v>7805</v>
      </c>
      <c r="B1534" s="22" t="s">
        <v>5299</v>
      </c>
      <c r="C1534" s="22" t="s">
        <v>5300</v>
      </c>
      <c r="D1534" s="22" t="s">
        <v>5088</v>
      </c>
      <c r="E1534" s="22" t="s">
        <v>5301</v>
      </c>
      <c r="F1534" s="22">
        <v>1</v>
      </c>
      <c r="G1534" s="22">
        <v>69</v>
      </c>
      <c r="H1534" s="22"/>
      <c r="I1534" s="22"/>
    </row>
    <row r="1535" spans="1:9" ht="84" x14ac:dyDescent="0.25">
      <c r="A1535" s="22" t="s">
        <v>7806</v>
      </c>
      <c r="B1535" s="22" t="s">
        <v>5303</v>
      </c>
      <c r="C1535" s="22" t="s">
        <v>5304</v>
      </c>
      <c r="D1535" s="22" t="s">
        <v>5088</v>
      </c>
      <c r="E1535" s="22" t="s">
        <v>5305</v>
      </c>
      <c r="F1535" s="22">
        <v>1</v>
      </c>
      <c r="G1535" s="22">
        <v>69</v>
      </c>
      <c r="H1535" s="22"/>
      <c r="I1535" s="22"/>
    </row>
    <row r="1536" spans="1:9" ht="84" x14ac:dyDescent="0.25">
      <c r="A1536" s="22" t="s">
        <v>7807</v>
      </c>
      <c r="B1536" s="22" t="s">
        <v>5307</v>
      </c>
      <c r="C1536" s="22" t="s">
        <v>5308</v>
      </c>
      <c r="D1536" s="22" t="s">
        <v>5088</v>
      </c>
      <c r="E1536" s="22" t="s">
        <v>5309</v>
      </c>
      <c r="F1536" s="22">
        <v>1</v>
      </c>
      <c r="G1536" s="22">
        <v>62</v>
      </c>
      <c r="H1536" s="22"/>
      <c r="I1536" s="22"/>
    </row>
    <row r="1537" spans="1:9" ht="105" x14ac:dyDescent="0.25">
      <c r="A1537" s="22" t="s">
        <v>7808</v>
      </c>
      <c r="B1537" s="22" t="s">
        <v>5311</v>
      </c>
      <c r="C1537" s="22" t="s">
        <v>5312</v>
      </c>
      <c r="D1537" s="22" t="s">
        <v>5088</v>
      </c>
      <c r="E1537" s="22" t="s">
        <v>5313</v>
      </c>
      <c r="F1537" s="22">
        <v>1</v>
      </c>
      <c r="G1537" s="22">
        <v>55</v>
      </c>
      <c r="H1537" s="22"/>
      <c r="I1537" s="22"/>
    </row>
    <row r="1538" spans="1:9" ht="105" x14ac:dyDescent="0.25">
      <c r="A1538" s="22" t="s">
        <v>7809</v>
      </c>
      <c r="B1538" s="22" t="s">
        <v>5407</v>
      </c>
      <c r="C1538" s="22" t="s">
        <v>5408</v>
      </c>
      <c r="D1538" s="22" t="s">
        <v>5088</v>
      </c>
      <c r="E1538" s="22" t="s">
        <v>5409</v>
      </c>
      <c r="F1538" s="22">
        <v>1</v>
      </c>
      <c r="G1538" s="22">
        <v>384</v>
      </c>
      <c r="H1538" s="22"/>
      <c r="I1538" s="22"/>
    </row>
    <row r="1539" spans="1:9" ht="84" x14ac:dyDescent="0.25">
      <c r="A1539" s="22" t="s">
        <v>7810</v>
      </c>
      <c r="B1539" s="22" t="s">
        <v>5412</v>
      </c>
      <c r="C1539" s="22" t="s">
        <v>5413</v>
      </c>
      <c r="D1539" s="22" t="s">
        <v>5088</v>
      </c>
      <c r="E1539" s="22" t="s">
        <v>5414</v>
      </c>
      <c r="F1539" s="22">
        <v>1</v>
      </c>
      <c r="G1539" s="22">
        <v>27</v>
      </c>
      <c r="H1539" s="22"/>
      <c r="I1539" s="22"/>
    </row>
    <row r="1540" spans="1:9" ht="84" x14ac:dyDescent="0.25">
      <c r="A1540" s="22" t="s">
        <v>7811</v>
      </c>
      <c r="B1540" s="22" t="s">
        <v>5412</v>
      </c>
      <c r="C1540" s="22" t="s">
        <v>5413</v>
      </c>
      <c r="D1540" s="22" t="s">
        <v>5088</v>
      </c>
      <c r="E1540" s="22" t="s">
        <v>5414</v>
      </c>
      <c r="F1540" s="22">
        <v>1</v>
      </c>
      <c r="G1540" s="22">
        <v>27</v>
      </c>
      <c r="H1540" s="22"/>
      <c r="I1540" s="22"/>
    </row>
    <row r="1541" spans="1:9" ht="84" x14ac:dyDescent="0.25">
      <c r="A1541" s="22" t="s">
        <v>7812</v>
      </c>
      <c r="B1541" s="22" t="s">
        <v>5417</v>
      </c>
      <c r="C1541" s="22" t="s">
        <v>5418</v>
      </c>
      <c r="D1541" s="22" t="s">
        <v>5088</v>
      </c>
      <c r="E1541" s="22" t="s">
        <v>5419</v>
      </c>
      <c r="F1541" s="22">
        <v>1</v>
      </c>
      <c r="G1541" s="22">
        <v>20</v>
      </c>
      <c r="H1541" s="22"/>
      <c r="I1541" s="22"/>
    </row>
    <row r="1542" spans="1:9" ht="63" x14ac:dyDescent="0.25">
      <c r="A1542" s="22" t="s">
        <v>7813</v>
      </c>
      <c r="B1542" s="22" t="s">
        <v>5421</v>
      </c>
      <c r="C1542" s="22" t="s">
        <v>5422</v>
      </c>
      <c r="D1542" s="22" t="s">
        <v>5088</v>
      </c>
      <c r="E1542" s="22" t="s">
        <v>5423</v>
      </c>
      <c r="F1542" s="22">
        <v>1</v>
      </c>
      <c r="G1542" s="22">
        <v>34</v>
      </c>
      <c r="H1542" s="22"/>
      <c r="I1542" s="22"/>
    </row>
    <row r="1543" spans="1:9" ht="105" x14ac:dyDescent="0.25">
      <c r="A1543" s="22" t="s">
        <v>7814</v>
      </c>
      <c r="B1543" s="22" t="s">
        <v>5585</v>
      </c>
      <c r="C1543" s="22" t="s">
        <v>5586</v>
      </c>
      <c r="D1543" s="22" t="s">
        <v>5088</v>
      </c>
      <c r="E1543" s="22" t="s">
        <v>5587</v>
      </c>
      <c r="F1543" s="22">
        <v>1</v>
      </c>
      <c r="G1543" s="22">
        <v>11</v>
      </c>
      <c r="H1543" s="22"/>
      <c r="I1543" s="22"/>
    </row>
    <row r="1544" spans="1:9" ht="63" x14ac:dyDescent="0.25">
      <c r="A1544" s="22" t="s">
        <v>7815</v>
      </c>
      <c r="B1544" s="22" t="s">
        <v>5629</v>
      </c>
      <c r="C1544" s="22" t="s">
        <v>5630</v>
      </c>
      <c r="D1544" s="22" t="s">
        <v>5088</v>
      </c>
      <c r="E1544" s="22" t="s">
        <v>5631</v>
      </c>
      <c r="F1544" s="22">
        <v>1</v>
      </c>
      <c r="G1544" s="22">
        <v>69</v>
      </c>
      <c r="H1544" s="22"/>
      <c r="I1544" s="22"/>
    </row>
    <row r="1545" spans="1:9" ht="105" x14ac:dyDescent="0.25">
      <c r="A1545" s="22" t="s">
        <v>7816</v>
      </c>
      <c r="B1545" s="22" t="s">
        <v>5646</v>
      </c>
      <c r="C1545" s="22" t="s">
        <v>5647</v>
      </c>
      <c r="D1545" s="22" t="s">
        <v>5088</v>
      </c>
      <c r="E1545" s="22" t="s">
        <v>5648</v>
      </c>
      <c r="F1545" s="22">
        <v>1</v>
      </c>
      <c r="G1545" s="22">
        <v>11</v>
      </c>
      <c r="H1545" s="22"/>
      <c r="I1545" s="22"/>
    </row>
    <row r="1546" spans="1:9" ht="105" x14ac:dyDescent="0.25">
      <c r="A1546" s="22" t="s">
        <v>7817</v>
      </c>
      <c r="B1546" s="22" t="s">
        <v>5646</v>
      </c>
      <c r="C1546" s="22" t="s">
        <v>5647</v>
      </c>
      <c r="D1546" s="22" t="s">
        <v>5088</v>
      </c>
      <c r="E1546" s="22" t="s">
        <v>5648</v>
      </c>
      <c r="F1546" s="22">
        <v>1</v>
      </c>
      <c r="G1546" s="22">
        <v>11</v>
      </c>
      <c r="H1546" s="22"/>
      <c r="I1546" s="22"/>
    </row>
    <row r="1547" spans="1:9" ht="84" x14ac:dyDescent="0.25">
      <c r="A1547" s="22" t="s">
        <v>7818</v>
      </c>
      <c r="B1547" s="22" t="s">
        <v>5656</v>
      </c>
      <c r="C1547" s="22" t="s">
        <v>5657</v>
      </c>
      <c r="D1547" s="22" t="s">
        <v>5088</v>
      </c>
      <c r="E1547" s="22" t="s">
        <v>5658</v>
      </c>
      <c r="F1547" s="22">
        <v>1</v>
      </c>
      <c r="G1547" s="22">
        <v>328</v>
      </c>
      <c r="H1547" s="22"/>
      <c r="I1547" s="22"/>
    </row>
    <row r="1548" spans="1:9" ht="168" x14ac:dyDescent="0.25">
      <c r="A1548" s="22" t="s">
        <v>7819</v>
      </c>
      <c r="B1548" s="22" t="s">
        <v>5669</v>
      </c>
      <c r="C1548" s="22" t="s">
        <v>5670</v>
      </c>
      <c r="D1548" s="22" t="s">
        <v>5088</v>
      </c>
      <c r="E1548" s="22" t="s">
        <v>5671</v>
      </c>
      <c r="F1548" s="22">
        <v>1</v>
      </c>
      <c r="G1548" s="22">
        <v>55</v>
      </c>
      <c r="H1548" s="22"/>
      <c r="I1548" s="22"/>
    </row>
    <row r="1549" spans="1:9" ht="105" x14ac:dyDescent="0.25">
      <c r="A1549" s="22" t="s">
        <v>7820</v>
      </c>
      <c r="B1549" s="22" t="s">
        <v>5757</v>
      </c>
      <c r="C1549" s="22" t="s">
        <v>5758</v>
      </c>
      <c r="D1549" s="22" t="s">
        <v>5088</v>
      </c>
      <c r="E1549" s="22" t="s">
        <v>5759</v>
      </c>
      <c r="F1549" s="22">
        <v>1</v>
      </c>
      <c r="G1549" s="22">
        <v>90</v>
      </c>
      <c r="H1549" s="22"/>
      <c r="I1549" s="22"/>
    </row>
    <row r="1550" spans="1:9" ht="84" x14ac:dyDescent="0.25">
      <c r="A1550" s="22" t="s">
        <v>7821</v>
      </c>
      <c r="B1550" s="22" t="s">
        <v>5920</v>
      </c>
      <c r="C1550" s="22" t="s">
        <v>5921</v>
      </c>
      <c r="D1550" s="22" t="s">
        <v>5582</v>
      </c>
      <c r="E1550" s="22" t="s">
        <v>5922</v>
      </c>
      <c r="F1550" s="22">
        <v>1</v>
      </c>
      <c r="G1550" s="22">
        <v>21</v>
      </c>
      <c r="H1550" s="22"/>
      <c r="I1550" s="22"/>
    </row>
    <row r="1551" spans="1:9" ht="105" x14ac:dyDescent="0.25">
      <c r="A1551" s="22" t="s">
        <v>7822</v>
      </c>
      <c r="B1551" s="22" t="s">
        <v>5985</v>
      </c>
      <c r="C1551" s="22" t="s">
        <v>5986</v>
      </c>
      <c r="D1551" s="22" t="s">
        <v>5582</v>
      </c>
      <c r="E1551" s="22" t="s">
        <v>5987</v>
      </c>
      <c r="F1551" s="22">
        <v>1</v>
      </c>
      <c r="G1551" s="22">
        <v>132</v>
      </c>
      <c r="H1551" s="22"/>
      <c r="I1551" s="22"/>
    </row>
    <row r="1552" spans="1:9" ht="147" x14ac:dyDescent="0.25">
      <c r="A1552" s="22" t="s">
        <v>7823</v>
      </c>
      <c r="B1552" s="22" t="s">
        <v>6180</v>
      </c>
      <c r="C1552" s="22" t="s">
        <v>6181</v>
      </c>
      <c r="D1552" s="22" t="s">
        <v>5582</v>
      </c>
      <c r="E1552" s="22" t="s">
        <v>6182</v>
      </c>
      <c r="F1552" s="22">
        <v>1</v>
      </c>
      <c r="G1552" s="22">
        <v>118</v>
      </c>
      <c r="H1552" s="22"/>
      <c r="I1552" s="22"/>
    </row>
    <row r="1553" spans="1:9" ht="84" x14ac:dyDescent="0.25">
      <c r="A1553" s="22" t="s">
        <v>7824</v>
      </c>
      <c r="B1553" s="22" t="s">
        <v>6184</v>
      </c>
      <c r="C1553" s="22" t="s">
        <v>6185</v>
      </c>
      <c r="D1553" s="22" t="s">
        <v>5582</v>
      </c>
      <c r="E1553" s="22" t="s">
        <v>6186</v>
      </c>
      <c r="F1553" s="22">
        <v>1</v>
      </c>
      <c r="G1553" s="22">
        <v>167</v>
      </c>
      <c r="H1553" s="22"/>
      <c r="I1553" s="22"/>
    </row>
    <row r="1560" spans="1:9" ht="42" x14ac:dyDescent="0.25">
      <c r="A1560" s="6" t="s">
        <v>2971</v>
      </c>
      <c r="H1560" s="6" t="s">
        <v>2972</v>
      </c>
    </row>
    <row r="1562" spans="1:9" ht="42" x14ac:dyDescent="0.25">
      <c r="A1562" s="6" t="s">
        <v>31</v>
      </c>
      <c r="B1562" s="6" t="s">
        <v>2769</v>
      </c>
      <c r="D1562" s="6" t="s">
        <v>3008</v>
      </c>
      <c r="G1562" s="6" t="s">
        <v>2961</v>
      </c>
      <c r="H1562" s="6" t="str">
        <f>IFERROR(VLOOKUP(B1562,Seller_Details!A:C,3,0),"Not Found")</f>
        <v>OFFICE#303, NGI BUILDING, DEIRA</v>
      </c>
    </row>
    <row r="1563" spans="1:9" x14ac:dyDescent="0.25">
      <c r="A1563" s="6" t="s">
        <v>13</v>
      </c>
      <c r="B1563" s="6" t="str">
        <f>IFERROR(VLOOKUP(B1562,Seller_Details!A:C,2,0),"Not Found")</f>
        <v>V00852</v>
      </c>
      <c r="G1563" s="6" t="s">
        <v>2962</v>
      </c>
      <c r="H1563" s="24">
        <v>42819</v>
      </c>
    </row>
    <row r="1566" spans="1:9" ht="42" x14ac:dyDescent="0.25">
      <c r="A1566" s="22" t="s">
        <v>2963</v>
      </c>
      <c r="B1566" s="22" t="s">
        <v>2964</v>
      </c>
      <c r="C1566" s="22" t="s">
        <v>2965</v>
      </c>
      <c r="D1566" s="22" t="s">
        <v>2966</v>
      </c>
      <c r="E1566" s="22" t="s">
        <v>2967</v>
      </c>
      <c r="F1566" s="22" t="s">
        <v>6</v>
      </c>
      <c r="G1566" s="22" t="s">
        <v>2968</v>
      </c>
      <c r="H1566" s="22" t="s">
        <v>2969</v>
      </c>
      <c r="I1566" s="22" t="s">
        <v>2970</v>
      </c>
    </row>
    <row r="1567" spans="1:9" ht="63" x14ac:dyDescent="0.25">
      <c r="A1567" s="22" t="s">
        <v>7825</v>
      </c>
      <c r="B1567" s="22" t="s">
        <v>3930</v>
      </c>
      <c r="C1567" s="22" t="s">
        <v>3931</v>
      </c>
      <c r="D1567" s="22" t="s">
        <v>5255</v>
      </c>
      <c r="E1567" s="22" t="s">
        <v>3932</v>
      </c>
      <c r="F1567" s="22">
        <v>1</v>
      </c>
      <c r="G1567" s="22">
        <v>30</v>
      </c>
      <c r="H1567" s="22"/>
      <c r="I1567" s="22"/>
    </row>
    <row r="1568" spans="1:9" ht="63" x14ac:dyDescent="0.25">
      <c r="A1568" s="22" t="s">
        <v>7826</v>
      </c>
      <c r="B1568" s="22" t="s">
        <v>5252</v>
      </c>
      <c r="C1568" s="22" t="s">
        <v>5253</v>
      </c>
      <c r="D1568" s="22" t="s">
        <v>5255</v>
      </c>
      <c r="E1568" s="22" t="s">
        <v>5254</v>
      </c>
      <c r="F1568" s="22">
        <v>1</v>
      </c>
      <c r="G1568" s="22">
        <v>68</v>
      </c>
      <c r="H1568" s="22"/>
      <c r="I1568" s="22"/>
    </row>
    <row r="1575" spans="1:9" ht="42" x14ac:dyDescent="0.25">
      <c r="A1575" s="6" t="s">
        <v>2971</v>
      </c>
      <c r="H1575" s="6" t="s">
        <v>2972</v>
      </c>
    </row>
    <row r="1577" spans="1:9" ht="105" x14ac:dyDescent="0.25">
      <c r="A1577" s="6" t="s">
        <v>31</v>
      </c>
      <c r="B1577" s="6" t="s">
        <v>2605</v>
      </c>
      <c r="D1577" s="6" t="s">
        <v>3009</v>
      </c>
      <c r="G1577" s="6" t="s">
        <v>2961</v>
      </c>
      <c r="H1577" s="6" t="str">
        <f>IFERROR(VLOOKUP(B1577,Seller_Details!A:C,3,0),"Not Found")</f>
        <v>Sabka Bus Station, textile market PO BOX 378315 - DUBAI UAE</v>
      </c>
    </row>
    <row r="1578" spans="1:9" x14ac:dyDescent="0.25">
      <c r="A1578" s="6" t="s">
        <v>13</v>
      </c>
      <c r="B1578" s="6" t="str">
        <f>IFERROR(VLOOKUP(B1577,Seller_Details!A:C,2,0),"Not Found")</f>
        <v>V00822</v>
      </c>
      <c r="G1578" s="6" t="s">
        <v>2962</v>
      </c>
      <c r="H1578" s="24">
        <v>42819</v>
      </c>
    </row>
    <row r="1581" spans="1:9" ht="42" x14ac:dyDescent="0.25">
      <c r="A1581" s="22" t="s">
        <v>2963</v>
      </c>
      <c r="B1581" s="22" t="s">
        <v>2964</v>
      </c>
      <c r="C1581" s="22" t="s">
        <v>2965</v>
      </c>
      <c r="D1581" s="22" t="s">
        <v>2966</v>
      </c>
      <c r="E1581" s="22" t="s">
        <v>2967</v>
      </c>
      <c r="F1581" s="22" t="s">
        <v>6</v>
      </c>
      <c r="G1581" s="22" t="s">
        <v>2968</v>
      </c>
      <c r="H1581" s="22" t="s">
        <v>2969</v>
      </c>
      <c r="I1581" s="22" t="s">
        <v>2970</v>
      </c>
    </row>
    <row r="1582" spans="1:9" ht="105" x14ac:dyDescent="0.25">
      <c r="A1582" s="22" t="s">
        <v>7827</v>
      </c>
      <c r="B1582" s="22" t="s">
        <v>3862</v>
      </c>
      <c r="C1582" s="22" t="s">
        <v>3863</v>
      </c>
      <c r="D1582" s="22" t="s">
        <v>6554</v>
      </c>
      <c r="E1582" s="22" t="s">
        <v>3864</v>
      </c>
      <c r="F1582" s="22">
        <v>1</v>
      </c>
      <c r="G1582" s="22">
        <v>590</v>
      </c>
      <c r="H1582" s="22"/>
      <c r="I1582" s="22"/>
    </row>
    <row r="1583" spans="1:9" ht="63" x14ac:dyDescent="0.25">
      <c r="A1583" s="22" t="s">
        <v>7828</v>
      </c>
      <c r="B1583" s="22" t="s">
        <v>4254</v>
      </c>
      <c r="C1583" s="22" t="s">
        <v>4255</v>
      </c>
      <c r="D1583" s="22" t="s">
        <v>6329</v>
      </c>
      <c r="E1583" s="22" t="s">
        <v>4256</v>
      </c>
      <c r="F1583" s="22">
        <v>1</v>
      </c>
      <c r="G1583" s="22">
        <v>1900</v>
      </c>
      <c r="H1583" s="22"/>
      <c r="I1583" s="22"/>
    </row>
    <row r="1590" spans="1:9" ht="42" x14ac:dyDescent="0.25">
      <c r="A1590" s="6" t="s">
        <v>2971</v>
      </c>
      <c r="H1590" s="6" t="s">
        <v>2972</v>
      </c>
    </row>
    <row r="1592" spans="1:9" ht="63" x14ac:dyDescent="0.25">
      <c r="A1592" s="6" t="s">
        <v>31</v>
      </c>
      <c r="B1592" s="6" t="s">
        <v>377</v>
      </c>
      <c r="D1592" s="6" t="s">
        <v>3010</v>
      </c>
      <c r="G1592" s="6" t="s">
        <v>2961</v>
      </c>
      <c r="H1592" s="6" t="str">
        <f>IFERROR(VLOOKUP(B1592,Seller_Details!A:C,3,0),"Not Found")</f>
        <v>RAK Free ZONE Techology Park Ras Al Khaimah</v>
      </c>
    </row>
    <row r="1593" spans="1:9" x14ac:dyDescent="0.25">
      <c r="A1593" s="6" t="s">
        <v>13</v>
      </c>
      <c r="B1593" s="6" t="str">
        <f>IFERROR(VLOOKUP(B1592,Seller_Details!A:C,2,0),"Not Found")</f>
        <v>V00231</v>
      </c>
      <c r="G1593" s="6" t="s">
        <v>2962</v>
      </c>
      <c r="H1593" s="24">
        <v>42819</v>
      </c>
    </row>
    <row r="1596" spans="1:9" ht="42" x14ac:dyDescent="0.25">
      <c r="A1596" s="22" t="s">
        <v>2963</v>
      </c>
      <c r="B1596" s="22" t="s">
        <v>2964</v>
      </c>
      <c r="C1596" s="22" t="s">
        <v>2965</v>
      </c>
      <c r="D1596" s="22" t="s">
        <v>2966</v>
      </c>
      <c r="E1596" s="22" t="s">
        <v>2967</v>
      </c>
      <c r="F1596" s="22" t="s">
        <v>6</v>
      </c>
      <c r="G1596" s="22" t="s">
        <v>2968</v>
      </c>
      <c r="H1596" s="22" t="s">
        <v>2969</v>
      </c>
      <c r="I1596" s="22" t="s">
        <v>2970</v>
      </c>
    </row>
    <row r="1597" spans="1:9" ht="42" x14ac:dyDescent="0.25">
      <c r="A1597" s="22" t="s">
        <v>7829</v>
      </c>
      <c r="B1597" s="22" t="s">
        <v>5964</v>
      </c>
      <c r="C1597" s="22" t="s">
        <v>5965</v>
      </c>
      <c r="D1597" s="22" t="s">
        <v>5966</v>
      </c>
      <c r="E1597" s="22" t="s">
        <v>4043</v>
      </c>
      <c r="F1597" s="22">
        <v>1</v>
      </c>
      <c r="G1597" s="22">
        <v>99</v>
      </c>
      <c r="H1597" s="22"/>
      <c r="I1597" s="22"/>
    </row>
    <row r="1598" spans="1:9" ht="84" x14ac:dyDescent="0.25">
      <c r="A1598" s="22" t="s">
        <v>7830</v>
      </c>
      <c r="B1598" s="22" t="s">
        <v>6385</v>
      </c>
      <c r="C1598" s="22" t="s">
        <v>6386</v>
      </c>
      <c r="D1598" s="22" t="s">
        <v>6388</v>
      </c>
      <c r="E1598" s="22" t="s">
        <v>6387</v>
      </c>
      <c r="F1598" s="22">
        <v>1</v>
      </c>
      <c r="G1598" s="22">
        <v>99</v>
      </c>
      <c r="H1598" s="22"/>
      <c r="I1598" s="22"/>
    </row>
    <row r="1599" spans="1:9" ht="84" x14ac:dyDescent="0.25">
      <c r="A1599" s="22" t="s">
        <v>7831</v>
      </c>
      <c r="B1599" s="22" t="s">
        <v>6543</v>
      </c>
      <c r="C1599" s="22" t="s">
        <v>6544</v>
      </c>
      <c r="D1599" s="22" t="s">
        <v>6388</v>
      </c>
      <c r="E1599" s="22" t="s">
        <v>6545</v>
      </c>
      <c r="F1599" s="22">
        <v>1</v>
      </c>
      <c r="G1599" s="22">
        <v>100</v>
      </c>
      <c r="H1599" s="22"/>
      <c r="I1599" s="22"/>
    </row>
    <row r="1606" spans="1:9" ht="42" x14ac:dyDescent="0.25">
      <c r="A1606" s="6" t="s">
        <v>2971</v>
      </c>
      <c r="H1606" s="6" t="s">
        <v>2972</v>
      </c>
    </row>
    <row r="1608" spans="1:9" ht="210" x14ac:dyDescent="0.25">
      <c r="A1608" s="6" t="s">
        <v>31</v>
      </c>
      <c r="B1608" s="6" t="s">
        <v>1685</v>
      </c>
      <c r="D1608" s="6" t="s">
        <v>3011</v>
      </c>
      <c r="G1608" s="6" t="s">
        <v>2961</v>
      </c>
      <c r="H1608" s="6" t="str">
        <f>IFERROR(VLOOKUP(B1608,Seller_Details!A:C,3,0),"Not Found")</f>
        <v>Transworld Computer technology shop No 273 Capital Apartment al nadha street burdubai near admiral plaza hotel PO box 12417</v>
      </c>
    </row>
    <row r="1609" spans="1:9" x14ac:dyDescent="0.25">
      <c r="A1609" s="6" t="s">
        <v>13</v>
      </c>
      <c r="B1609" s="6" t="str">
        <f>IFERROR(VLOOKUP(B1608,Seller_Details!A:C,2,0),"Not Found")</f>
        <v>V00589</v>
      </c>
      <c r="G1609" s="6" t="s">
        <v>2962</v>
      </c>
      <c r="H1609" s="24">
        <v>42819</v>
      </c>
    </row>
    <row r="1612" spans="1:9" ht="42" x14ac:dyDescent="0.25">
      <c r="A1612" s="22" t="s">
        <v>2963</v>
      </c>
      <c r="B1612" s="22" t="s">
        <v>2964</v>
      </c>
      <c r="C1612" s="22" t="s">
        <v>2965</v>
      </c>
      <c r="D1612" s="22" t="s">
        <v>2966</v>
      </c>
      <c r="E1612" s="22" t="s">
        <v>2967</v>
      </c>
      <c r="F1612" s="22" t="s">
        <v>6</v>
      </c>
      <c r="G1612" s="22" t="s">
        <v>2968</v>
      </c>
      <c r="H1612" s="22" t="s">
        <v>2969</v>
      </c>
      <c r="I1612" s="22" t="s">
        <v>2970</v>
      </c>
    </row>
    <row r="1613" spans="1:9" ht="105" x14ac:dyDescent="0.25">
      <c r="A1613" s="22" t="s">
        <v>7832</v>
      </c>
      <c r="B1613" s="22" t="s">
        <v>6266</v>
      </c>
      <c r="C1613" s="22" t="s">
        <v>6267</v>
      </c>
      <c r="D1613" s="22" t="s">
        <v>6269</v>
      </c>
      <c r="E1613" s="22" t="s">
        <v>6268</v>
      </c>
      <c r="F1613" s="22">
        <v>1</v>
      </c>
      <c r="G1613" s="22">
        <v>500</v>
      </c>
      <c r="H1613" s="22"/>
      <c r="I1613" s="22"/>
    </row>
    <row r="1620" spans="1:9" ht="42" x14ac:dyDescent="0.25">
      <c r="A1620" s="6" t="s">
        <v>2971</v>
      </c>
      <c r="H1620" s="6" t="s">
        <v>2972</v>
      </c>
    </row>
    <row r="1622" spans="1:9" ht="147" x14ac:dyDescent="0.25">
      <c r="A1622" s="6" t="s">
        <v>31</v>
      </c>
      <c r="B1622" s="6" t="s">
        <v>387</v>
      </c>
      <c r="D1622" s="6" t="s">
        <v>3012</v>
      </c>
      <c r="G1622" s="6" t="s">
        <v>2961</v>
      </c>
      <c r="H1622" s="6" t="str">
        <f>IFERROR(VLOOKUP(B1622,Seller_Details!A:C,3,0),"Not Found")</f>
        <v>AL WIFAQ GENRAL TRADING LLC OFFICE #202; Al Gaz Building Nasser Square; DEIRA; UAE</v>
      </c>
    </row>
    <row r="1623" spans="1:9" x14ac:dyDescent="0.25">
      <c r="A1623" s="6" t="s">
        <v>13</v>
      </c>
      <c r="B1623" s="6" t="str">
        <f>IFERROR(VLOOKUP(B1622,Seller_Details!A:C,2,0),"Not Found")</f>
        <v>V00234</v>
      </c>
      <c r="G1623" s="6" t="s">
        <v>2962</v>
      </c>
      <c r="H1623" s="24">
        <v>42819</v>
      </c>
    </row>
    <row r="1626" spans="1:9" ht="42" x14ac:dyDescent="0.25">
      <c r="A1626" s="22" t="s">
        <v>2963</v>
      </c>
      <c r="B1626" s="22" t="s">
        <v>2964</v>
      </c>
      <c r="C1626" s="22" t="s">
        <v>2965</v>
      </c>
      <c r="D1626" s="22" t="s">
        <v>2966</v>
      </c>
      <c r="E1626" s="22" t="s">
        <v>2967</v>
      </c>
      <c r="F1626" s="22" t="s">
        <v>6</v>
      </c>
      <c r="G1626" s="22" t="s">
        <v>2968</v>
      </c>
      <c r="H1626" s="22" t="s">
        <v>2969</v>
      </c>
      <c r="I1626" s="22" t="s">
        <v>2970</v>
      </c>
    </row>
    <row r="1627" spans="1:9" ht="84" x14ac:dyDescent="0.25">
      <c r="A1627" s="22" t="s">
        <v>7833</v>
      </c>
      <c r="B1627" s="22" t="s">
        <v>4040</v>
      </c>
      <c r="C1627" s="22" t="s">
        <v>4041</v>
      </c>
      <c r="D1627" s="22" t="s">
        <v>4426</v>
      </c>
      <c r="E1627" s="22" t="s">
        <v>4042</v>
      </c>
      <c r="F1627" s="22">
        <v>1</v>
      </c>
      <c r="G1627" s="22">
        <v>120</v>
      </c>
      <c r="H1627" s="22"/>
      <c r="I1627" s="22"/>
    </row>
    <row r="1628" spans="1:9" ht="84" x14ac:dyDescent="0.25">
      <c r="A1628" s="22" t="s">
        <v>7834</v>
      </c>
      <c r="B1628" s="22" t="s">
        <v>4040</v>
      </c>
      <c r="C1628" s="22" t="s">
        <v>4041</v>
      </c>
      <c r="D1628" s="22" t="s">
        <v>4926</v>
      </c>
      <c r="E1628" s="22" t="s">
        <v>4042</v>
      </c>
      <c r="F1628" s="22">
        <v>1</v>
      </c>
      <c r="G1628" s="22">
        <v>120</v>
      </c>
      <c r="H1628" s="22"/>
      <c r="I1628" s="22"/>
    </row>
    <row r="1629" spans="1:9" ht="105" x14ac:dyDescent="0.25">
      <c r="A1629" s="22" t="s">
        <v>7835</v>
      </c>
      <c r="B1629" s="22" t="s">
        <v>4433</v>
      </c>
      <c r="C1629" s="22" t="s">
        <v>4434</v>
      </c>
      <c r="D1629" s="22" t="s">
        <v>4426</v>
      </c>
      <c r="E1629" s="22" t="s">
        <v>4967</v>
      </c>
      <c r="F1629" s="22">
        <v>1</v>
      </c>
      <c r="G1629" s="22">
        <v>195</v>
      </c>
      <c r="H1629" s="22"/>
      <c r="I1629" s="22"/>
    </row>
    <row r="1630" spans="1:9" ht="105" x14ac:dyDescent="0.25">
      <c r="A1630" s="22" t="s">
        <v>7836</v>
      </c>
      <c r="B1630" s="22" t="s">
        <v>4433</v>
      </c>
      <c r="C1630" s="22" t="s">
        <v>4434</v>
      </c>
      <c r="D1630" s="22" t="s">
        <v>4926</v>
      </c>
      <c r="E1630" s="22" t="s">
        <v>4967</v>
      </c>
      <c r="F1630" s="22">
        <v>1</v>
      </c>
      <c r="G1630" s="22">
        <v>195</v>
      </c>
      <c r="H1630" s="22"/>
      <c r="I1630" s="22"/>
    </row>
    <row r="1631" spans="1:9" ht="63" x14ac:dyDescent="0.25">
      <c r="A1631" s="22" t="s">
        <v>7837</v>
      </c>
      <c r="B1631" s="22" t="s">
        <v>4516</v>
      </c>
      <c r="C1631" s="22" t="s">
        <v>4517</v>
      </c>
      <c r="D1631" s="22" t="s">
        <v>4426</v>
      </c>
      <c r="E1631" s="22" t="s">
        <v>4518</v>
      </c>
      <c r="F1631" s="22">
        <v>1</v>
      </c>
      <c r="G1631" s="22">
        <v>88</v>
      </c>
      <c r="H1631" s="22"/>
      <c r="I1631" s="22"/>
    </row>
    <row r="1632" spans="1:9" ht="105" x14ac:dyDescent="0.25">
      <c r="A1632" s="22" t="s">
        <v>7838</v>
      </c>
      <c r="B1632" s="22" t="s">
        <v>4669</v>
      </c>
      <c r="C1632" s="22" t="s">
        <v>4670</v>
      </c>
      <c r="D1632" s="22" t="s">
        <v>4426</v>
      </c>
      <c r="E1632" s="22" t="s">
        <v>4671</v>
      </c>
      <c r="F1632" s="22">
        <v>1</v>
      </c>
      <c r="G1632" s="22">
        <v>87</v>
      </c>
      <c r="H1632" s="22"/>
      <c r="I1632" s="22"/>
    </row>
    <row r="1633" spans="1:9" ht="105" x14ac:dyDescent="0.25">
      <c r="A1633" s="22" t="s">
        <v>7839</v>
      </c>
      <c r="B1633" s="22" t="s">
        <v>5235</v>
      </c>
      <c r="C1633" s="22" t="s">
        <v>5236</v>
      </c>
      <c r="D1633" s="22" t="s">
        <v>4926</v>
      </c>
      <c r="E1633" s="22" t="s">
        <v>5237</v>
      </c>
      <c r="F1633" s="22">
        <v>1</v>
      </c>
      <c r="G1633" s="22">
        <v>195</v>
      </c>
      <c r="H1633" s="22"/>
      <c r="I1633" s="22"/>
    </row>
    <row r="1634" spans="1:9" ht="105" x14ac:dyDescent="0.25">
      <c r="A1634" s="22" t="s">
        <v>7840</v>
      </c>
      <c r="B1634" s="22" t="s">
        <v>5673</v>
      </c>
      <c r="C1634" s="22" t="s">
        <v>5674</v>
      </c>
      <c r="D1634" s="22" t="s">
        <v>4926</v>
      </c>
      <c r="E1634" s="22" t="s">
        <v>5675</v>
      </c>
      <c r="F1634" s="22">
        <v>1</v>
      </c>
      <c r="G1634" s="22">
        <v>39</v>
      </c>
      <c r="H1634" s="22"/>
      <c r="I1634" s="22"/>
    </row>
    <row r="1635" spans="1:9" ht="84" x14ac:dyDescent="0.25">
      <c r="A1635" s="22" t="s">
        <v>7841</v>
      </c>
      <c r="B1635" s="22" t="s">
        <v>5677</v>
      </c>
      <c r="C1635" s="22" t="s">
        <v>5678</v>
      </c>
      <c r="D1635" s="22" t="s">
        <v>4926</v>
      </c>
      <c r="E1635" s="22" t="s">
        <v>5679</v>
      </c>
      <c r="F1635" s="22">
        <v>1</v>
      </c>
      <c r="G1635" s="22">
        <v>39</v>
      </c>
      <c r="H1635" s="22"/>
      <c r="I1635" s="22"/>
    </row>
    <row r="1636" spans="1:9" ht="105" x14ac:dyDescent="0.25">
      <c r="A1636" s="22" t="s">
        <v>7842</v>
      </c>
      <c r="B1636" s="22" t="s">
        <v>6201</v>
      </c>
      <c r="C1636" s="22" t="s">
        <v>6202</v>
      </c>
      <c r="D1636" s="22" t="s">
        <v>4926</v>
      </c>
      <c r="E1636" s="22" t="s">
        <v>6203</v>
      </c>
      <c r="F1636" s="22">
        <v>1</v>
      </c>
      <c r="G1636" s="22">
        <v>445</v>
      </c>
      <c r="H1636" s="22"/>
      <c r="I1636" s="22"/>
    </row>
    <row r="1637" spans="1:9" ht="84" x14ac:dyDescent="0.25">
      <c r="A1637" s="22" t="s">
        <v>7843</v>
      </c>
      <c r="B1637" s="22" t="s">
        <v>6254</v>
      </c>
      <c r="C1637" s="22" t="s">
        <v>6255</v>
      </c>
      <c r="D1637" s="22" t="s">
        <v>4926</v>
      </c>
      <c r="E1637" s="22" t="s">
        <v>6256</v>
      </c>
      <c r="F1637" s="22">
        <v>1</v>
      </c>
      <c r="G1637" s="22">
        <v>230</v>
      </c>
      <c r="H1637" s="22"/>
      <c r="I1637" s="22"/>
    </row>
    <row r="1638" spans="1:9" ht="84" x14ac:dyDescent="0.25">
      <c r="A1638" s="22" t="s">
        <v>7844</v>
      </c>
      <c r="B1638" s="22" t="s">
        <v>6254</v>
      </c>
      <c r="C1638" s="22" t="s">
        <v>6255</v>
      </c>
      <c r="D1638" s="22" t="s">
        <v>6257</v>
      </c>
      <c r="E1638" s="22" t="s">
        <v>6256</v>
      </c>
      <c r="F1638" s="22">
        <v>1</v>
      </c>
      <c r="G1638" s="22">
        <v>230</v>
      </c>
      <c r="H1638" s="22"/>
      <c r="I1638" s="22"/>
    </row>
    <row r="1639" spans="1:9" ht="105" x14ac:dyDescent="0.25">
      <c r="A1639" s="22" t="s">
        <v>7845</v>
      </c>
      <c r="B1639" s="22" t="s">
        <v>6285</v>
      </c>
      <c r="C1639" s="22" t="s">
        <v>6286</v>
      </c>
      <c r="D1639" s="22" t="s">
        <v>6257</v>
      </c>
      <c r="E1639" s="22" t="s">
        <v>6287</v>
      </c>
      <c r="F1639" s="22">
        <v>1</v>
      </c>
      <c r="G1639" s="22">
        <v>72</v>
      </c>
      <c r="H1639" s="22"/>
      <c r="I1639" s="22"/>
    </row>
    <row r="1640" spans="1:9" ht="105" x14ac:dyDescent="0.25">
      <c r="A1640" s="22" t="s">
        <v>7846</v>
      </c>
      <c r="B1640" s="22" t="s">
        <v>6440</v>
      </c>
      <c r="C1640" s="22" t="s">
        <v>6441</v>
      </c>
      <c r="D1640" s="22" t="s">
        <v>4926</v>
      </c>
      <c r="E1640" s="22" t="s">
        <v>6442</v>
      </c>
      <c r="F1640" s="22">
        <v>1</v>
      </c>
      <c r="G1640" s="22">
        <v>475</v>
      </c>
      <c r="H1640" s="22"/>
      <c r="I1640" s="22"/>
    </row>
    <row r="1641" spans="1:9" ht="63" x14ac:dyDescent="0.25">
      <c r="A1641" s="22" t="s">
        <v>7847</v>
      </c>
      <c r="B1641" s="22" t="s">
        <v>6501</v>
      </c>
      <c r="C1641" s="22" t="s">
        <v>6502</v>
      </c>
      <c r="D1641" s="22" t="s">
        <v>4926</v>
      </c>
      <c r="E1641" s="22" t="s">
        <v>6503</v>
      </c>
      <c r="F1641" s="22">
        <v>1</v>
      </c>
      <c r="G1641" s="22">
        <v>50</v>
      </c>
      <c r="H1641" s="22"/>
      <c r="I1641" s="22"/>
    </row>
    <row r="1648" spans="1:9" ht="42" x14ac:dyDescent="0.25">
      <c r="A1648" s="6" t="s">
        <v>2971</v>
      </c>
      <c r="H1648" s="6" t="s">
        <v>2972</v>
      </c>
    </row>
    <row r="1650" spans="1:9" ht="126" x14ac:dyDescent="0.25">
      <c r="A1650" s="6" t="s">
        <v>31</v>
      </c>
      <c r="B1650" s="6" t="s">
        <v>157</v>
      </c>
      <c r="D1650" s="6" t="s">
        <v>3015</v>
      </c>
      <c r="G1650" s="6" t="s">
        <v>2961</v>
      </c>
      <c r="H1650" s="6" t="str">
        <f>IFERROR(VLOOKUP(B1650,Seller_Details!A:C,3,0),"Not Found")</f>
        <v>FLICKON TECHNOLOGIES LLC ; F-102 ; AL ZAROONI BLDG ; AYAL NASSER ; DEIRA; DUBAI</v>
      </c>
    </row>
    <row r="1651" spans="1:9" x14ac:dyDescent="0.25">
      <c r="A1651" s="6" t="s">
        <v>13</v>
      </c>
      <c r="B1651" s="6" t="str">
        <f>IFERROR(VLOOKUP(B1650,Seller_Details!A:C,2,0),"Not Found")</f>
        <v>V00020</v>
      </c>
      <c r="G1651" s="6" t="s">
        <v>2962</v>
      </c>
      <c r="H1651" s="24">
        <v>42819</v>
      </c>
    </row>
    <row r="1654" spans="1:9" ht="42" x14ac:dyDescent="0.25">
      <c r="A1654" s="22" t="s">
        <v>2963</v>
      </c>
      <c r="B1654" s="22" t="s">
        <v>2964</v>
      </c>
      <c r="C1654" s="22" t="s">
        <v>2965</v>
      </c>
      <c r="D1654" s="22" t="s">
        <v>2966</v>
      </c>
      <c r="E1654" s="22" t="s">
        <v>2967</v>
      </c>
      <c r="F1654" s="22" t="s">
        <v>6</v>
      </c>
      <c r="G1654" s="22" t="s">
        <v>2968</v>
      </c>
      <c r="H1654" s="22" t="s">
        <v>2969</v>
      </c>
      <c r="I1654" s="22" t="s">
        <v>2970</v>
      </c>
    </row>
    <row r="1655" spans="1:9" ht="84" x14ac:dyDescent="0.25">
      <c r="A1655" s="22" t="s">
        <v>7848</v>
      </c>
      <c r="B1655" s="22" t="s">
        <v>4633</v>
      </c>
      <c r="C1655" s="22" t="s">
        <v>4634</v>
      </c>
      <c r="D1655" s="22" t="s">
        <v>4636</v>
      </c>
      <c r="E1655" s="22" t="s">
        <v>4635</v>
      </c>
      <c r="F1655" s="22">
        <v>1</v>
      </c>
      <c r="G1655" s="22">
        <v>1720</v>
      </c>
      <c r="H1655" s="22"/>
      <c r="I1655" s="22"/>
    </row>
    <row r="1662" spans="1:9" ht="42" x14ac:dyDescent="0.25">
      <c r="A1662" s="6" t="s">
        <v>2971</v>
      </c>
      <c r="H1662" s="6" t="s">
        <v>2972</v>
      </c>
    </row>
    <row r="1664" spans="1:9" ht="126" x14ac:dyDescent="0.25">
      <c r="A1664" s="6" t="s">
        <v>31</v>
      </c>
      <c r="B1664" s="6" t="s">
        <v>450</v>
      </c>
      <c r="D1664" s="6" t="s">
        <v>3016</v>
      </c>
      <c r="G1664" s="6" t="s">
        <v>2961</v>
      </c>
      <c r="H1664" s="6" t="str">
        <f>IFERROR(VLOOKUP(B1664,Seller_Details!A:C,3,0),"Not Found")</f>
        <v>Shop No 21-22;Al-Nahdah strt;Opp Hotel Admiral Plaza;Bur Dubai-20063</v>
      </c>
    </row>
    <row r="1665" spans="1:9" x14ac:dyDescent="0.25">
      <c r="A1665" s="6" t="s">
        <v>13</v>
      </c>
      <c r="B1665" s="6" t="str">
        <f>IFERROR(VLOOKUP(B1664,Seller_Details!A:C,2,0),"Not Found")</f>
        <v>V00262</v>
      </c>
      <c r="G1665" s="6" t="s">
        <v>2962</v>
      </c>
      <c r="H1665" s="24">
        <v>42819</v>
      </c>
    </row>
    <row r="1668" spans="1:9" ht="42" x14ac:dyDescent="0.25">
      <c r="A1668" s="22" t="s">
        <v>2963</v>
      </c>
      <c r="B1668" s="22" t="s">
        <v>2964</v>
      </c>
      <c r="C1668" s="22" t="s">
        <v>2965</v>
      </c>
      <c r="D1668" s="22" t="s">
        <v>2966</v>
      </c>
      <c r="E1668" s="22" t="s">
        <v>2967</v>
      </c>
      <c r="F1668" s="22" t="s">
        <v>6</v>
      </c>
      <c r="G1668" s="22" t="s">
        <v>2968</v>
      </c>
      <c r="H1668" s="22" t="s">
        <v>2969</v>
      </c>
      <c r="I1668" s="22" t="s">
        <v>2970</v>
      </c>
    </row>
    <row r="1669" spans="1:9" ht="126" x14ac:dyDescent="0.25">
      <c r="A1669" s="22" t="s">
        <v>7849</v>
      </c>
      <c r="B1669" s="22" t="s">
        <v>4646</v>
      </c>
      <c r="C1669" s="22" t="s">
        <v>4647</v>
      </c>
      <c r="D1669" s="22" t="s">
        <v>5708</v>
      </c>
      <c r="E1669" s="22" t="s">
        <v>4648</v>
      </c>
      <c r="F1669" s="22">
        <v>1</v>
      </c>
      <c r="G1669" s="22">
        <v>3600</v>
      </c>
      <c r="H1669" s="22"/>
      <c r="I1669" s="22"/>
    </row>
    <row r="1670" spans="1:9" ht="126" x14ac:dyDescent="0.25">
      <c r="A1670" s="22" t="s">
        <v>7850</v>
      </c>
      <c r="B1670" s="22" t="s">
        <v>5705</v>
      </c>
      <c r="C1670" s="22" t="s">
        <v>5706</v>
      </c>
      <c r="D1670" s="22" t="s">
        <v>5708</v>
      </c>
      <c r="E1670" s="22" t="s">
        <v>5707</v>
      </c>
      <c r="F1670" s="22">
        <v>1</v>
      </c>
      <c r="G1670" s="22">
        <v>7650</v>
      </c>
      <c r="H1670" s="22"/>
      <c r="I1670" s="22"/>
    </row>
    <row r="1677" spans="1:9" ht="42" x14ac:dyDescent="0.25">
      <c r="A1677" s="6" t="s">
        <v>2971</v>
      </c>
      <c r="H1677" s="6" t="s">
        <v>2972</v>
      </c>
    </row>
    <row r="1679" spans="1:9" ht="42" x14ac:dyDescent="0.25">
      <c r="A1679" s="6" t="s">
        <v>31</v>
      </c>
      <c r="B1679" s="6" t="s">
        <v>452</v>
      </c>
      <c r="D1679" s="6" t="s">
        <v>3017</v>
      </c>
      <c r="G1679" s="6" t="s">
        <v>2961</v>
      </c>
      <c r="H1679" s="6" t="str">
        <f>IFERROR(VLOOKUP(B1679,Seller_Details!A:C,3,0),"Not Found")</f>
        <v>GARGESH CENTRE 204</v>
      </c>
    </row>
    <row r="1680" spans="1:9" x14ac:dyDescent="0.25">
      <c r="A1680" s="6" t="s">
        <v>13</v>
      </c>
      <c r="B1680" s="6" t="str">
        <f>IFERROR(VLOOKUP(B1679,Seller_Details!A:C,2,0),"Not Found")</f>
        <v>V00260</v>
      </c>
      <c r="G1680" s="6" t="s">
        <v>2962</v>
      </c>
      <c r="H1680" s="24">
        <v>42819</v>
      </c>
    </row>
    <row r="1683" spans="1:9" ht="42" x14ac:dyDescent="0.25">
      <c r="A1683" s="22" t="s">
        <v>2963</v>
      </c>
      <c r="B1683" s="22" t="s">
        <v>2964</v>
      </c>
      <c r="C1683" s="22" t="s">
        <v>2965</v>
      </c>
      <c r="D1683" s="22" t="s">
        <v>2966</v>
      </c>
      <c r="E1683" s="22" t="s">
        <v>2967</v>
      </c>
      <c r="F1683" s="22" t="s">
        <v>6</v>
      </c>
      <c r="G1683" s="22" t="s">
        <v>2968</v>
      </c>
      <c r="H1683" s="22" t="s">
        <v>2969</v>
      </c>
      <c r="I1683" s="22" t="s">
        <v>2970</v>
      </c>
    </row>
    <row r="1684" spans="1:9" ht="84" x14ac:dyDescent="0.25">
      <c r="A1684" s="22" t="s">
        <v>7851</v>
      </c>
      <c r="B1684" s="22" t="s">
        <v>4663</v>
      </c>
      <c r="C1684" s="22" t="s">
        <v>4664</v>
      </c>
      <c r="D1684" s="22" t="s">
        <v>4666</v>
      </c>
      <c r="E1684" s="22" t="s">
        <v>4665</v>
      </c>
      <c r="F1684" s="22">
        <v>1</v>
      </c>
      <c r="G1684" s="22">
        <v>3040</v>
      </c>
      <c r="H1684" s="22"/>
      <c r="I1684" s="22"/>
    </row>
    <row r="1691" spans="1:9" ht="42" x14ac:dyDescent="0.25">
      <c r="A1691" s="6" t="s">
        <v>2971</v>
      </c>
      <c r="H1691" s="6" t="s">
        <v>2972</v>
      </c>
    </row>
    <row r="1693" spans="1:9" ht="84" x14ac:dyDescent="0.25">
      <c r="A1693" s="6" t="s">
        <v>31</v>
      </c>
      <c r="B1693" s="6" t="s">
        <v>3045</v>
      </c>
      <c r="D1693" s="6" t="s">
        <v>3038</v>
      </c>
      <c r="G1693" s="6" t="s">
        <v>2961</v>
      </c>
      <c r="H1693" s="6" t="str">
        <f>IFERROR(VLOOKUP(B1693,Seller_Details!A:C,3,0),"Not Found")</f>
        <v>Windsor Residence, Appt 413, Al-Ain Road, Dubai Land</v>
      </c>
    </row>
    <row r="1694" spans="1:9" x14ac:dyDescent="0.25">
      <c r="A1694" s="6" t="s">
        <v>13</v>
      </c>
      <c r="B1694" s="6" t="str">
        <f>IFERROR(VLOOKUP(B1693,Seller_Details!A:C,2,0),"Not Found")</f>
        <v>V00892</v>
      </c>
      <c r="G1694" s="6" t="s">
        <v>2962</v>
      </c>
      <c r="H1694" s="24">
        <v>42819</v>
      </c>
    </row>
    <row r="1697" spans="1:9" ht="42" x14ac:dyDescent="0.25">
      <c r="A1697" s="22" t="s">
        <v>2963</v>
      </c>
      <c r="B1697" s="22" t="s">
        <v>2964</v>
      </c>
      <c r="C1697" s="22" t="s">
        <v>2965</v>
      </c>
      <c r="D1697" s="22" t="s">
        <v>2966</v>
      </c>
      <c r="E1697" s="22" t="s">
        <v>2967</v>
      </c>
      <c r="F1697" s="22" t="s">
        <v>6</v>
      </c>
      <c r="G1697" s="22" t="s">
        <v>2968</v>
      </c>
      <c r="H1697" s="22" t="s">
        <v>2969</v>
      </c>
      <c r="I1697" s="22" t="s">
        <v>2970</v>
      </c>
    </row>
    <row r="1698" spans="1:9" ht="63" x14ac:dyDescent="0.25">
      <c r="A1698" s="22" t="s">
        <v>7852</v>
      </c>
      <c r="B1698" s="22" t="s">
        <v>5365</v>
      </c>
      <c r="C1698" s="22" t="s">
        <v>5366</v>
      </c>
      <c r="D1698" s="22" t="s">
        <v>5368</v>
      </c>
      <c r="E1698" s="22" t="s">
        <v>5367</v>
      </c>
      <c r="F1698" s="22">
        <v>1</v>
      </c>
      <c r="G1698" s="22">
        <v>95</v>
      </c>
      <c r="H1698" s="22"/>
      <c r="I1698" s="22"/>
    </row>
    <row r="1705" spans="1:9" ht="42" x14ac:dyDescent="0.25">
      <c r="A1705" s="6" t="s">
        <v>2971</v>
      </c>
      <c r="H1705" s="6" t="s">
        <v>2972</v>
      </c>
    </row>
    <row r="1707" spans="1:9" ht="126" x14ac:dyDescent="0.25">
      <c r="A1707" s="6" t="s">
        <v>31</v>
      </c>
      <c r="B1707" s="6" t="s">
        <v>2658</v>
      </c>
      <c r="D1707" s="6" t="s">
        <v>4695</v>
      </c>
      <c r="G1707" s="6" t="s">
        <v>2961</v>
      </c>
      <c r="H1707" s="6" t="str">
        <f>IFERROR(VLOOKUP(B1707,Seller_Details!A:C,3,0),"Not Found")</f>
        <v>Bur Dubai, Newar Al Ghubaiba Bus Station, Al Moosa Building, Shop No: 907</v>
      </c>
    </row>
    <row r="1708" spans="1:9" x14ac:dyDescent="0.25">
      <c r="A1708" s="6" t="s">
        <v>13</v>
      </c>
      <c r="B1708" s="6" t="str">
        <f>IFERROR(VLOOKUP(B1707,Seller_Details!A:C,2,0),"Not Found")</f>
        <v>V00835</v>
      </c>
      <c r="G1708" s="6" t="s">
        <v>2962</v>
      </c>
      <c r="H1708" s="24">
        <v>42819</v>
      </c>
    </row>
    <row r="1711" spans="1:9" ht="42" x14ac:dyDescent="0.25">
      <c r="A1711" s="22" t="s">
        <v>2963</v>
      </c>
      <c r="B1711" s="22" t="s">
        <v>2964</v>
      </c>
      <c r="C1711" s="22" t="s">
        <v>2965</v>
      </c>
      <c r="D1711" s="22" t="s">
        <v>2966</v>
      </c>
      <c r="E1711" s="22" t="s">
        <v>2967</v>
      </c>
      <c r="F1711" s="22" t="s">
        <v>6</v>
      </c>
      <c r="G1711" s="22" t="s">
        <v>2968</v>
      </c>
      <c r="H1711" s="22" t="s">
        <v>2969</v>
      </c>
      <c r="I1711" s="22" t="s">
        <v>2970</v>
      </c>
    </row>
    <row r="1712" spans="1:9" ht="42" x14ac:dyDescent="0.25">
      <c r="A1712" s="22" t="s">
        <v>7853</v>
      </c>
      <c r="B1712" s="22" t="s">
        <v>5891</v>
      </c>
      <c r="C1712" s="22" t="s">
        <v>5892</v>
      </c>
      <c r="D1712" s="22" t="s">
        <v>5894</v>
      </c>
      <c r="E1712" s="22" t="s">
        <v>5893</v>
      </c>
      <c r="F1712" s="22">
        <v>1</v>
      </c>
      <c r="G1712" s="22">
        <v>200</v>
      </c>
      <c r="H1712" s="22"/>
      <c r="I1712" s="22"/>
    </row>
    <row r="1719" spans="1:9" ht="42" x14ac:dyDescent="0.25">
      <c r="A1719" s="6" t="s">
        <v>2971</v>
      </c>
      <c r="H1719" s="6" t="s">
        <v>2972</v>
      </c>
    </row>
    <row r="1721" spans="1:9" ht="168" x14ac:dyDescent="0.25">
      <c r="A1721" s="6" t="s">
        <v>31</v>
      </c>
      <c r="B1721" s="6" t="s">
        <v>2540</v>
      </c>
      <c r="D1721" s="6" t="s">
        <v>4696</v>
      </c>
      <c r="G1721" s="6" t="s">
        <v>2961</v>
      </c>
      <c r="H1721" s="6" t="str">
        <f>IFERROR(VLOOKUP(B1721,Seller_Details!A:C,3,0),"Not Found")</f>
        <v>4th Floor, Office 24, Mighas Jewellery / Cash Express Building, 10 Al Khor Street, Community 112, Al</v>
      </c>
    </row>
    <row r="1722" spans="1:9" x14ac:dyDescent="0.25">
      <c r="A1722" s="6" t="s">
        <v>13</v>
      </c>
      <c r="B1722" s="6" t="str">
        <f>IFERROR(VLOOKUP(B1721,Seller_Details!A:C,2,0),"Not Found")</f>
        <v>V00805</v>
      </c>
      <c r="G1722" s="6" t="s">
        <v>2962</v>
      </c>
      <c r="H1722" s="24">
        <v>42819</v>
      </c>
    </row>
    <row r="1725" spans="1:9" ht="42" x14ac:dyDescent="0.25">
      <c r="A1725" s="22" t="s">
        <v>2963</v>
      </c>
      <c r="B1725" s="22" t="s">
        <v>2964</v>
      </c>
      <c r="C1725" s="22" t="s">
        <v>2965</v>
      </c>
      <c r="D1725" s="22" t="s">
        <v>2966</v>
      </c>
      <c r="E1725" s="22" t="s">
        <v>2967</v>
      </c>
      <c r="F1725" s="22" t="s">
        <v>6</v>
      </c>
      <c r="G1725" s="22" t="s">
        <v>2968</v>
      </c>
      <c r="H1725" s="22" t="s">
        <v>2969</v>
      </c>
      <c r="I1725" s="22" t="s">
        <v>2970</v>
      </c>
    </row>
    <row r="1726" spans="1:9" ht="84" x14ac:dyDescent="0.25">
      <c r="A1726" s="22" t="s">
        <v>7854</v>
      </c>
      <c r="B1726" s="22" t="s">
        <v>6165</v>
      </c>
      <c r="C1726" s="22" t="s">
        <v>6166</v>
      </c>
      <c r="D1726" s="22" t="s">
        <v>6168</v>
      </c>
      <c r="E1726" s="22" t="s">
        <v>6167</v>
      </c>
      <c r="F1726" s="22">
        <v>1</v>
      </c>
      <c r="G1726" s="22">
        <v>93</v>
      </c>
      <c r="H1726" s="22"/>
      <c r="I1726" s="22"/>
    </row>
    <row r="1733" spans="1:9" ht="42" x14ac:dyDescent="0.25">
      <c r="A1733" s="6" t="s">
        <v>2971</v>
      </c>
      <c r="H1733" s="6" t="s">
        <v>2972</v>
      </c>
    </row>
    <row r="1735" spans="1:9" ht="210" x14ac:dyDescent="0.25">
      <c r="A1735" s="6" t="s">
        <v>31</v>
      </c>
      <c r="B1735" s="6" t="s">
        <v>82</v>
      </c>
      <c r="D1735" s="6" t="s">
        <v>4697</v>
      </c>
      <c r="G1735" s="6" t="s">
        <v>2961</v>
      </c>
      <c r="H1735" s="6" t="str">
        <f>IFERROR(VLOOKUP(B1735,Seller_Details!A:C,3,0),"Not Found")</f>
        <v>ROSELINE TRADING COMPANY LLC; SUITE 301 ; AL ZAROONI BUILDING ; AL RIGGA STREET (OPP . ADCB) ; DEIRA ; DUBAI ; UAE</v>
      </c>
    </row>
    <row r="1736" spans="1:9" x14ac:dyDescent="0.25">
      <c r="A1736" s="6" t="s">
        <v>13</v>
      </c>
      <c r="B1736" s="6" t="str">
        <f>IFERROR(VLOOKUP(B1735,Seller_Details!A:C,2,0),"Not Found")</f>
        <v>V00023</v>
      </c>
      <c r="G1736" s="6" t="s">
        <v>2962</v>
      </c>
      <c r="H1736" s="24">
        <v>42819</v>
      </c>
    </row>
    <row r="1739" spans="1:9" ht="42" x14ac:dyDescent="0.25">
      <c r="A1739" s="22" t="s">
        <v>2963</v>
      </c>
      <c r="B1739" s="22" t="s">
        <v>2964</v>
      </c>
      <c r="C1739" s="22" t="s">
        <v>2965</v>
      </c>
      <c r="D1739" s="22" t="s">
        <v>2966</v>
      </c>
      <c r="E1739" s="22" t="s">
        <v>2967</v>
      </c>
      <c r="F1739" s="22" t="s">
        <v>6</v>
      </c>
      <c r="G1739" s="22" t="s">
        <v>2968</v>
      </c>
      <c r="H1739" s="22" t="s">
        <v>2969</v>
      </c>
      <c r="I1739" s="22" t="s">
        <v>2970</v>
      </c>
    </row>
    <row r="1740" spans="1:9" ht="42" x14ac:dyDescent="0.25">
      <c r="A1740" s="22" t="s">
        <v>7855</v>
      </c>
      <c r="B1740" s="22" t="s">
        <v>6527</v>
      </c>
      <c r="C1740" s="22" t="s">
        <v>6528</v>
      </c>
      <c r="D1740" s="22" t="s">
        <v>6530</v>
      </c>
      <c r="E1740" s="22" t="s">
        <v>6529</v>
      </c>
      <c r="F1740" s="22">
        <v>1</v>
      </c>
      <c r="G1740" s="22">
        <v>25</v>
      </c>
      <c r="H1740" s="22"/>
      <c r="I1740" s="22"/>
    </row>
    <row r="1747" spans="1:9" ht="42" x14ac:dyDescent="0.25">
      <c r="A1747" s="6" t="s">
        <v>2971</v>
      </c>
      <c r="H1747" s="6" t="s">
        <v>2972</v>
      </c>
    </row>
    <row r="1748" spans="1:9" x14ac:dyDescent="0.35">
      <c r="A1748" s="27"/>
      <c r="B1748" s="27"/>
      <c r="C1748" s="27"/>
      <c r="D1748" s="27"/>
      <c r="E1748" s="27"/>
      <c r="F1748" s="27"/>
      <c r="G1748" s="27"/>
      <c r="H1748" s="27"/>
      <c r="I1748" s="27"/>
    </row>
    <row r="1749" spans="1:9" x14ac:dyDescent="0.35">
      <c r="A1749" s="27"/>
      <c r="B1749" s="27"/>
      <c r="C1749" s="27"/>
      <c r="D1749" s="27"/>
      <c r="E1749" s="27"/>
      <c r="F1749" s="27"/>
      <c r="G1749" s="27"/>
      <c r="H1749" s="27"/>
      <c r="I1749" s="27"/>
    </row>
    <row r="1750" spans="1:9" x14ac:dyDescent="0.35">
      <c r="A1750" s="27"/>
      <c r="B1750" s="27"/>
      <c r="C1750" s="27"/>
      <c r="D1750" s="27"/>
      <c r="E1750" s="27"/>
      <c r="F1750" s="27"/>
      <c r="G1750" s="27"/>
      <c r="H1750" s="27"/>
      <c r="I1750" s="27"/>
    </row>
    <row r="1751" spans="1:9" x14ac:dyDescent="0.35">
      <c r="A1751" s="27"/>
      <c r="B1751" s="27"/>
      <c r="C1751" s="27"/>
      <c r="D1751" s="27"/>
      <c r="E1751" s="27"/>
      <c r="F1751" s="27"/>
      <c r="G1751" s="27"/>
      <c r="H1751" s="27"/>
      <c r="I1751" s="27"/>
    </row>
    <row r="1752" spans="1:9" x14ac:dyDescent="0.35">
      <c r="A1752" s="27"/>
      <c r="B1752" s="27"/>
      <c r="C1752" s="27"/>
      <c r="D1752" s="27"/>
      <c r="E1752" s="27"/>
      <c r="F1752" s="27"/>
      <c r="G1752" s="27"/>
      <c r="H1752" s="27"/>
      <c r="I1752" s="27"/>
    </row>
    <row r="1753" spans="1:9" x14ac:dyDescent="0.35">
      <c r="A1753" s="27"/>
      <c r="B1753" s="27"/>
      <c r="C1753" s="27"/>
      <c r="D1753" s="27"/>
      <c r="E1753" s="27"/>
      <c r="F1753" s="27"/>
      <c r="G1753" s="27"/>
      <c r="H1753" s="27"/>
      <c r="I1753" s="27"/>
    </row>
    <row r="1754" spans="1:9" x14ac:dyDescent="0.35">
      <c r="A1754" s="27"/>
      <c r="B1754" s="27"/>
      <c r="C1754" s="27"/>
      <c r="D1754" s="27"/>
      <c r="E1754" s="27"/>
      <c r="F1754" s="27"/>
      <c r="G1754" s="27"/>
      <c r="H1754" s="27"/>
      <c r="I1754" s="27"/>
    </row>
    <row r="1755" spans="1:9" x14ac:dyDescent="0.35">
      <c r="A1755" s="27"/>
      <c r="B1755" s="27"/>
      <c r="C1755" s="27"/>
      <c r="D1755" s="27"/>
      <c r="E1755" s="27"/>
      <c r="F1755" s="27"/>
      <c r="G1755" s="27"/>
      <c r="H1755" s="27"/>
      <c r="I1755" s="27"/>
    </row>
    <row r="1756" spans="1:9" x14ac:dyDescent="0.35">
      <c r="A1756" s="27"/>
      <c r="B1756" s="27"/>
      <c r="C1756" s="27"/>
      <c r="D1756" s="27"/>
      <c r="E1756" s="27"/>
      <c r="F1756" s="27"/>
      <c r="G1756" s="27"/>
      <c r="H1756" s="27"/>
      <c r="I1756" s="27"/>
    </row>
    <row r="1757" spans="1:9" x14ac:dyDescent="0.35">
      <c r="A1757" s="27"/>
      <c r="B1757" s="27"/>
      <c r="C1757" s="27"/>
      <c r="D1757" s="27"/>
      <c r="E1757" s="27"/>
      <c r="F1757" s="27"/>
      <c r="G1757" s="27"/>
      <c r="H1757" s="27"/>
      <c r="I1757" s="27"/>
    </row>
    <row r="1758" spans="1:9" x14ac:dyDescent="0.35">
      <c r="A1758" s="27"/>
      <c r="B1758" s="27"/>
      <c r="C1758" s="27"/>
      <c r="D1758" s="27"/>
      <c r="E1758" s="27"/>
      <c r="F1758" s="27"/>
      <c r="G1758" s="27"/>
      <c r="H1758" s="27"/>
      <c r="I1758" s="27"/>
    </row>
    <row r="1759" spans="1:9" x14ac:dyDescent="0.35">
      <c r="A1759" s="27"/>
      <c r="B1759" s="27"/>
      <c r="C1759" s="27"/>
      <c r="D1759" s="27"/>
      <c r="E1759" s="27"/>
      <c r="F1759" s="27"/>
      <c r="G1759" s="27"/>
      <c r="H1759" s="27"/>
      <c r="I1759" s="27"/>
    </row>
    <row r="1760" spans="1:9" x14ac:dyDescent="0.35">
      <c r="A1760" s="27"/>
      <c r="B1760" s="27"/>
      <c r="C1760" s="27"/>
      <c r="D1760" s="27"/>
      <c r="E1760" s="27"/>
      <c r="F1760" s="27"/>
      <c r="G1760" s="27"/>
      <c r="H1760" s="27"/>
      <c r="I1760" s="27"/>
    </row>
    <row r="1761" spans="1:9" x14ac:dyDescent="0.35">
      <c r="A1761" s="27"/>
      <c r="B1761" s="27"/>
      <c r="C1761" s="27"/>
      <c r="D1761" s="27"/>
      <c r="E1761" s="27"/>
      <c r="F1761" s="27"/>
      <c r="G1761" s="27"/>
      <c r="H1761" s="27"/>
      <c r="I1761" s="27"/>
    </row>
    <row r="1762" spans="1:9" x14ac:dyDescent="0.35">
      <c r="A1762" s="27"/>
      <c r="B1762" s="27"/>
      <c r="C1762" s="27"/>
      <c r="D1762" s="27"/>
      <c r="E1762" s="27"/>
      <c r="F1762" s="27"/>
      <c r="G1762" s="27"/>
      <c r="H1762" s="27"/>
      <c r="I1762" s="27"/>
    </row>
    <row r="1763" spans="1:9" x14ac:dyDescent="0.35">
      <c r="A1763" s="27"/>
      <c r="B1763" s="27"/>
      <c r="C1763" s="27"/>
      <c r="D1763" s="27"/>
      <c r="E1763" s="27"/>
      <c r="F1763" s="27"/>
      <c r="G1763" s="27"/>
      <c r="H1763" s="27"/>
      <c r="I1763" s="27"/>
    </row>
    <row r="1764" spans="1:9" x14ac:dyDescent="0.35">
      <c r="A1764" s="27"/>
      <c r="B1764" s="27"/>
      <c r="C1764" s="27"/>
      <c r="D1764" s="27"/>
      <c r="E1764" s="27"/>
      <c r="F1764" s="27"/>
      <c r="G1764" s="27"/>
      <c r="H1764" s="27"/>
      <c r="I1764" s="27"/>
    </row>
    <row r="1765" spans="1:9" x14ac:dyDescent="0.35">
      <c r="A1765" s="27"/>
      <c r="B1765" s="27"/>
      <c r="C1765" s="27"/>
      <c r="D1765" s="27"/>
      <c r="E1765" s="27"/>
      <c r="F1765" s="27"/>
      <c r="G1765" s="27"/>
      <c r="H1765" s="27"/>
      <c r="I1765" s="27"/>
    </row>
    <row r="1766" spans="1:9" x14ac:dyDescent="0.35">
      <c r="A1766" s="27"/>
      <c r="B1766" s="27"/>
      <c r="C1766" s="27"/>
      <c r="D1766" s="27"/>
      <c r="E1766" s="27"/>
      <c r="F1766" s="27"/>
      <c r="G1766" s="27"/>
      <c r="H1766" s="27"/>
      <c r="I1766" s="27"/>
    </row>
    <row r="1767" spans="1:9" x14ac:dyDescent="0.35">
      <c r="A1767" s="27"/>
      <c r="B1767" s="27"/>
      <c r="C1767" s="27"/>
      <c r="D1767" s="27"/>
      <c r="E1767" s="27"/>
      <c r="F1767" s="27"/>
      <c r="G1767" s="27"/>
      <c r="H1767" s="27"/>
      <c r="I1767" s="27"/>
    </row>
    <row r="1768" spans="1:9" x14ac:dyDescent="0.35">
      <c r="A1768" s="27"/>
      <c r="B1768" s="27"/>
      <c r="C1768" s="27"/>
      <c r="D1768" s="27"/>
      <c r="E1768" s="27"/>
      <c r="F1768" s="27"/>
      <c r="G1768" s="27"/>
      <c r="H1768" s="27"/>
      <c r="I1768" s="27"/>
    </row>
    <row r="1769" spans="1:9" x14ac:dyDescent="0.35">
      <c r="A1769" s="27"/>
      <c r="B1769" s="27"/>
      <c r="C1769" s="27"/>
      <c r="D1769" s="27"/>
      <c r="E1769" s="27"/>
      <c r="F1769" s="27"/>
      <c r="G1769" s="27"/>
      <c r="H1769" s="27"/>
      <c r="I1769" s="27"/>
    </row>
    <row r="1770" spans="1:9" x14ac:dyDescent="0.35">
      <c r="A1770" s="27"/>
      <c r="B1770" s="27"/>
      <c r="C1770" s="27"/>
      <c r="D1770" s="27"/>
      <c r="E1770" s="27"/>
      <c r="F1770" s="27"/>
      <c r="G1770" s="27"/>
      <c r="H1770" s="27"/>
      <c r="I1770" s="27"/>
    </row>
    <row r="1771" spans="1:9" x14ac:dyDescent="0.35">
      <c r="A1771" s="27"/>
      <c r="B1771" s="27"/>
      <c r="C1771" s="27"/>
      <c r="D1771" s="27"/>
      <c r="E1771" s="27"/>
      <c r="F1771" s="27"/>
      <c r="G1771" s="27"/>
      <c r="H1771" s="27"/>
      <c r="I1771" s="27"/>
    </row>
    <row r="1772" spans="1:9" x14ac:dyDescent="0.35">
      <c r="A1772" s="27"/>
      <c r="B1772" s="27"/>
      <c r="C1772" s="27"/>
      <c r="D1772" s="27"/>
      <c r="E1772" s="27"/>
      <c r="F1772" s="27"/>
      <c r="G1772" s="27"/>
      <c r="H1772" s="27"/>
      <c r="I1772" s="27"/>
    </row>
    <row r="1773" spans="1:9" x14ac:dyDescent="0.35">
      <c r="A1773" s="27"/>
      <c r="B1773" s="27"/>
      <c r="C1773" s="27"/>
      <c r="D1773" s="27"/>
      <c r="E1773" s="27"/>
      <c r="F1773" s="27"/>
      <c r="G1773" s="27"/>
      <c r="H1773" s="27"/>
      <c r="I1773" s="27"/>
    </row>
    <row r="1774" spans="1:9" x14ac:dyDescent="0.35">
      <c r="A1774" s="27"/>
      <c r="B1774" s="27"/>
      <c r="C1774" s="27"/>
      <c r="D1774" s="27"/>
      <c r="E1774" s="27"/>
      <c r="F1774" s="27"/>
      <c r="G1774" s="27"/>
      <c r="H1774" s="27"/>
      <c r="I1774" s="27"/>
    </row>
    <row r="1775" spans="1:9" x14ac:dyDescent="0.35">
      <c r="A1775" s="27"/>
      <c r="B1775" s="27"/>
      <c r="C1775" s="27"/>
      <c r="D1775" s="27"/>
      <c r="E1775" s="27"/>
      <c r="F1775" s="27"/>
      <c r="G1775" s="27"/>
      <c r="H1775" s="27"/>
      <c r="I1775" s="27"/>
    </row>
    <row r="1776" spans="1:9" x14ac:dyDescent="0.35">
      <c r="A1776" s="27"/>
      <c r="B1776" s="27"/>
      <c r="C1776" s="27"/>
      <c r="D1776" s="27"/>
      <c r="E1776" s="27"/>
      <c r="F1776" s="27"/>
      <c r="G1776" s="27"/>
      <c r="H1776" s="27"/>
      <c r="I1776" s="27"/>
    </row>
    <row r="1777" spans="1:9" x14ac:dyDescent="0.35">
      <c r="A1777" s="27"/>
      <c r="B1777" s="27"/>
      <c r="C1777" s="27"/>
      <c r="D1777" s="27"/>
      <c r="E1777" s="27"/>
      <c r="F1777" s="27"/>
      <c r="G1777" s="27"/>
      <c r="H1777" s="27"/>
      <c r="I1777" s="27"/>
    </row>
    <row r="1778" spans="1:9" x14ac:dyDescent="0.35">
      <c r="A1778" s="27"/>
      <c r="B1778" s="27"/>
      <c r="C1778" s="27"/>
      <c r="D1778" s="27"/>
      <c r="E1778" s="27"/>
      <c r="F1778" s="27"/>
      <c r="G1778" s="27"/>
      <c r="H1778" s="27"/>
      <c r="I1778" s="27"/>
    </row>
    <row r="1779" spans="1:9" x14ac:dyDescent="0.35">
      <c r="A1779" s="27"/>
      <c r="B1779" s="27"/>
      <c r="C1779" s="27"/>
      <c r="D1779" s="27"/>
      <c r="E1779" s="27"/>
      <c r="F1779" s="27"/>
      <c r="G1779" s="27"/>
      <c r="H1779" s="27"/>
      <c r="I1779" s="27"/>
    </row>
    <row r="1780" spans="1:9" x14ac:dyDescent="0.35">
      <c r="A1780" s="27"/>
      <c r="B1780" s="27"/>
      <c r="C1780" s="27"/>
      <c r="D1780" s="27"/>
      <c r="E1780" s="27"/>
      <c r="F1780" s="27"/>
      <c r="G1780" s="27"/>
      <c r="H1780" s="27"/>
      <c r="I1780" s="27"/>
    </row>
    <row r="1781" spans="1:9" x14ac:dyDescent="0.35">
      <c r="A1781" s="27"/>
      <c r="B1781" s="27"/>
      <c r="C1781" s="27"/>
      <c r="D1781" s="27"/>
      <c r="E1781" s="27"/>
      <c r="F1781" s="27"/>
      <c r="G1781" s="27"/>
      <c r="H1781" s="27"/>
      <c r="I1781" s="27"/>
    </row>
    <row r="1782" spans="1:9" x14ac:dyDescent="0.35">
      <c r="A1782" s="27"/>
      <c r="B1782" s="27"/>
      <c r="C1782" s="27"/>
      <c r="D1782" s="27"/>
      <c r="E1782" s="27"/>
      <c r="F1782" s="27"/>
      <c r="G1782" s="27"/>
      <c r="H1782" s="27"/>
      <c r="I1782" s="27"/>
    </row>
    <row r="1783" spans="1:9" x14ac:dyDescent="0.35">
      <c r="A1783" s="27"/>
      <c r="B1783" s="27"/>
      <c r="C1783" s="27"/>
      <c r="D1783" s="27"/>
      <c r="E1783" s="27"/>
      <c r="F1783" s="27"/>
      <c r="G1783" s="27"/>
      <c r="H1783" s="27"/>
      <c r="I1783" s="27"/>
    </row>
    <row r="1784" spans="1:9" x14ac:dyDescent="0.35">
      <c r="A1784" s="27"/>
      <c r="B1784" s="27"/>
      <c r="C1784" s="27"/>
      <c r="D1784" s="27"/>
      <c r="E1784" s="27"/>
      <c r="F1784" s="27"/>
      <c r="G1784" s="27"/>
      <c r="H1784" s="27"/>
      <c r="I1784" s="27"/>
    </row>
    <row r="1785" spans="1:9" x14ac:dyDescent="0.35">
      <c r="A1785" s="27"/>
      <c r="B1785" s="27"/>
      <c r="C1785" s="27"/>
      <c r="D1785" s="27"/>
      <c r="E1785" s="27"/>
      <c r="F1785" s="27"/>
      <c r="G1785" s="27"/>
      <c r="H1785" s="27"/>
      <c r="I1785" s="27"/>
    </row>
    <row r="1786" spans="1:9" x14ac:dyDescent="0.35">
      <c r="A1786" s="27"/>
      <c r="B1786" s="27"/>
      <c r="C1786" s="27"/>
      <c r="D1786" s="27"/>
      <c r="E1786" s="27"/>
      <c r="F1786" s="27"/>
      <c r="G1786" s="27"/>
      <c r="H1786" s="27"/>
      <c r="I1786" s="27"/>
    </row>
    <row r="1787" spans="1:9" x14ac:dyDescent="0.35">
      <c r="A1787" s="27"/>
      <c r="B1787" s="27"/>
      <c r="C1787" s="27"/>
      <c r="D1787" s="27"/>
      <c r="E1787" s="27"/>
      <c r="F1787" s="27"/>
      <c r="G1787" s="27"/>
      <c r="H1787" s="27"/>
      <c r="I1787" s="27"/>
    </row>
    <row r="1788" spans="1:9" x14ac:dyDescent="0.35">
      <c r="A1788" s="27"/>
      <c r="B1788" s="27"/>
      <c r="C1788" s="27"/>
      <c r="D1788" s="27"/>
      <c r="E1788" s="27"/>
      <c r="F1788" s="27"/>
      <c r="G1788" s="27"/>
      <c r="H1788" s="27"/>
      <c r="I1788" s="27"/>
    </row>
    <row r="1789" spans="1:9" x14ac:dyDescent="0.35">
      <c r="A1789" s="27"/>
      <c r="B1789" s="27"/>
      <c r="C1789" s="27"/>
      <c r="D1789" s="27"/>
      <c r="E1789" s="27"/>
      <c r="F1789" s="27"/>
      <c r="G1789" s="27"/>
      <c r="H1789" s="27"/>
      <c r="I1789" s="27"/>
    </row>
    <row r="1790" spans="1:9" x14ac:dyDescent="0.35">
      <c r="A1790" s="27"/>
      <c r="B1790" s="27"/>
      <c r="C1790" s="27"/>
      <c r="D1790" s="27"/>
      <c r="E1790" s="27"/>
      <c r="F1790" s="27"/>
      <c r="G1790" s="27"/>
      <c r="H1790" s="27"/>
      <c r="I1790" s="27"/>
    </row>
    <row r="1791" spans="1:9" x14ac:dyDescent="0.35">
      <c r="A1791" s="27"/>
      <c r="B1791" s="27"/>
      <c r="C1791" s="27"/>
      <c r="D1791" s="27"/>
      <c r="E1791" s="27"/>
      <c r="F1791" s="27"/>
      <c r="G1791" s="27"/>
      <c r="H1791" s="27"/>
      <c r="I1791" s="27"/>
    </row>
    <row r="1792" spans="1:9" x14ac:dyDescent="0.35">
      <c r="A1792" s="27"/>
      <c r="B1792" s="27"/>
      <c r="C1792" s="27"/>
      <c r="D1792" s="27"/>
      <c r="E1792" s="27"/>
      <c r="F1792" s="27"/>
      <c r="G1792" s="27"/>
      <c r="H1792" s="27"/>
      <c r="I1792" s="27"/>
    </row>
    <row r="1793" spans="1:9" x14ac:dyDescent="0.35">
      <c r="A1793" s="27"/>
      <c r="B1793" s="27"/>
      <c r="C1793" s="27"/>
      <c r="D1793" s="27"/>
      <c r="E1793" s="27"/>
      <c r="F1793" s="27"/>
      <c r="G1793" s="27"/>
      <c r="H1793" s="27"/>
      <c r="I1793" s="27"/>
    </row>
    <row r="1794" spans="1:9" x14ac:dyDescent="0.35">
      <c r="A1794" s="27"/>
      <c r="B1794" s="27"/>
      <c r="C1794" s="27"/>
      <c r="D1794" s="27"/>
      <c r="E1794" s="27"/>
      <c r="F1794" s="27"/>
      <c r="G1794" s="27"/>
      <c r="H1794" s="27"/>
      <c r="I1794" s="27"/>
    </row>
    <row r="1795" spans="1:9" x14ac:dyDescent="0.35">
      <c r="A1795" s="27"/>
      <c r="B1795" s="27"/>
      <c r="C1795" s="27"/>
      <c r="D1795" s="27"/>
      <c r="E1795" s="27"/>
      <c r="F1795" s="27"/>
      <c r="G1795" s="27"/>
      <c r="H1795" s="27"/>
      <c r="I1795" s="27"/>
    </row>
    <row r="1796" spans="1:9" x14ac:dyDescent="0.35">
      <c r="A1796" s="27"/>
      <c r="B1796" s="27"/>
      <c r="C1796" s="27"/>
      <c r="D1796" s="27"/>
      <c r="E1796" s="27"/>
      <c r="F1796" s="27"/>
      <c r="G1796" s="27"/>
      <c r="H1796" s="27"/>
      <c r="I1796" s="27"/>
    </row>
    <row r="1797" spans="1:9" x14ac:dyDescent="0.35">
      <c r="A1797" s="27"/>
      <c r="B1797" s="27"/>
      <c r="C1797" s="27"/>
      <c r="D1797" s="27"/>
      <c r="E1797" s="27"/>
      <c r="F1797" s="27"/>
      <c r="G1797" s="27"/>
      <c r="H1797" s="27"/>
      <c r="I1797" s="27"/>
    </row>
    <row r="1798" spans="1:9" x14ac:dyDescent="0.35">
      <c r="A1798" s="27"/>
      <c r="B1798" s="27"/>
      <c r="C1798" s="27"/>
      <c r="D1798" s="27"/>
      <c r="E1798" s="27"/>
      <c r="F1798" s="27"/>
      <c r="G1798" s="27"/>
      <c r="H1798" s="27"/>
      <c r="I1798" s="27"/>
    </row>
    <row r="1799" spans="1:9" x14ac:dyDescent="0.35">
      <c r="A1799" s="27"/>
      <c r="B1799" s="27"/>
      <c r="C1799" s="27"/>
      <c r="D1799" s="27"/>
      <c r="E1799" s="27"/>
      <c r="F1799" s="27"/>
      <c r="G1799" s="27"/>
      <c r="H1799" s="27"/>
      <c r="I1799" s="27"/>
    </row>
    <row r="1800" spans="1:9" x14ac:dyDescent="0.35">
      <c r="A1800" s="27"/>
      <c r="B1800" s="27"/>
      <c r="C1800" s="27"/>
      <c r="D1800" s="27"/>
      <c r="E1800" s="27"/>
      <c r="F1800" s="27"/>
      <c r="G1800" s="27"/>
      <c r="H1800" s="27"/>
      <c r="I1800" s="27"/>
    </row>
    <row r="1801" spans="1:9" x14ac:dyDescent="0.35">
      <c r="A1801" s="27"/>
      <c r="B1801" s="27"/>
      <c r="C1801" s="27"/>
      <c r="D1801" s="27"/>
      <c r="E1801" s="27"/>
      <c r="F1801" s="27"/>
      <c r="G1801" s="27"/>
      <c r="H1801" s="27"/>
      <c r="I1801" s="27"/>
    </row>
    <row r="1802" spans="1:9" x14ac:dyDescent="0.35">
      <c r="A1802" s="27"/>
      <c r="B1802" s="27"/>
      <c r="C1802" s="27"/>
      <c r="D1802" s="27"/>
      <c r="E1802" s="27"/>
      <c r="F1802" s="27"/>
      <c r="G1802" s="27"/>
      <c r="H1802" s="27"/>
      <c r="I1802" s="27"/>
    </row>
    <row r="1803" spans="1:9" x14ac:dyDescent="0.35">
      <c r="A1803" s="27"/>
      <c r="B1803" s="27"/>
      <c r="C1803" s="27"/>
      <c r="D1803" s="27"/>
      <c r="E1803" s="27"/>
      <c r="F1803" s="27"/>
      <c r="G1803" s="27"/>
      <c r="H1803" s="27"/>
      <c r="I1803" s="27"/>
    </row>
    <row r="1804" spans="1:9" x14ac:dyDescent="0.35">
      <c r="A1804" s="27"/>
      <c r="B1804" s="27"/>
      <c r="C1804" s="27"/>
      <c r="D1804" s="27"/>
      <c r="E1804" s="27"/>
      <c r="F1804" s="27"/>
      <c r="G1804" s="27"/>
      <c r="H1804" s="27"/>
      <c r="I1804" s="27"/>
    </row>
    <row r="1805" spans="1:9" x14ac:dyDescent="0.35">
      <c r="A1805" s="27"/>
      <c r="B1805" s="27"/>
      <c r="C1805" s="27"/>
      <c r="D1805" s="27"/>
      <c r="E1805" s="27"/>
      <c r="F1805" s="27"/>
      <c r="G1805" s="27"/>
      <c r="H1805" s="27"/>
      <c r="I1805" s="27"/>
    </row>
    <row r="1806" spans="1:9" x14ac:dyDescent="0.35">
      <c r="A1806" s="27"/>
      <c r="B1806" s="27"/>
      <c r="C1806" s="27"/>
      <c r="D1806" s="27"/>
      <c r="E1806" s="27"/>
      <c r="F1806" s="27"/>
      <c r="G1806" s="27"/>
      <c r="H1806" s="27"/>
      <c r="I1806" s="27"/>
    </row>
    <row r="1807" spans="1:9" x14ac:dyDescent="0.35">
      <c r="A1807" s="27"/>
      <c r="B1807" s="27"/>
      <c r="C1807" s="27"/>
      <c r="D1807" s="27"/>
      <c r="E1807" s="27"/>
      <c r="F1807" s="27"/>
      <c r="G1807" s="27"/>
      <c r="H1807" s="27"/>
      <c r="I1807" s="27"/>
    </row>
    <row r="1808" spans="1:9" x14ac:dyDescent="0.35">
      <c r="A1808" s="27"/>
      <c r="B1808" s="27"/>
      <c r="C1808" s="27"/>
      <c r="D1808" s="27"/>
      <c r="E1808" s="27"/>
      <c r="F1808" s="27"/>
      <c r="G1808" s="27"/>
      <c r="H1808" s="27"/>
      <c r="I1808" s="27"/>
    </row>
    <row r="1809" spans="1:9" x14ac:dyDescent="0.35">
      <c r="A1809" s="27"/>
      <c r="B1809" s="27"/>
      <c r="C1809" s="27"/>
      <c r="D1809" s="27"/>
      <c r="E1809" s="27"/>
      <c r="F1809" s="27"/>
      <c r="G1809" s="27"/>
      <c r="H1809" s="27"/>
      <c r="I1809" s="27"/>
    </row>
    <row r="1810" spans="1:9" x14ac:dyDescent="0.35">
      <c r="A1810" s="27"/>
      <c r="B1810" s="27"/>
      <c r="C1810" s="27"/>
      <c r="D1810" s="27"/>
      <c r="E1810" s="27"/>
      <c r="F1810" s="27"/>
      <c r="G1810" s="27"/>
      <c r="H1810" s="27"/>
      <c r="I1810" s="27"/>
    </row>
    <row r="1811" spans="1:9" x14ac:dyDescent="0.35">
      <c r="A1811" s="27"/>
      <c r="B1811" s="27"/>
      <c r="C1811" s="27"/>
      <c r="D1811" s="27"/>
      <c r="E1811" s="27"/>
      <c r="F1811" s="27"/>
      <c r="G1811" s="27"/>
      <c r="H1811" s="27"/>
      <c r="I1811" s="27"/>
    </row>
    <row r="1812" spans="1:9" x14ac:dyDescent="0.35">
      <c r="A1812" s="27"/>
      <c r="B1812" s="27"/>
      <c r="C1812" s="27"/>
      <c r="D1812" s="27"/>
      <c r="E1812" s="27"/>
      <c r="F1812" s="27"/>
      <c r="G1812" s="27"/>
      <c r="H1812" s="27"/>
      <c r="I1812" s="27"/>
    </row>
    <row r="1813" spans="1:9" x14ac:dyDescent="0.35">
      <c r="A1813" s="27"/>
      <c r="B1813" s="27"/>
      <c r="C1813" s="27"/>
      <c r="D1813" s="27"/>
      <c r="E1813" s="27"/>
      <c r="F1813" s="27"/>
      <c r="G1813" s="27"/>
      <c r="H1813" s="27"/>
      <c r="I1813" s="27"/>
    </row>
    <row r="1814" spans="1:9" x14ac:dyDescent="0.35">
      <c r="A1814" s="27"/>
      <c r="B1814" s="27"/>
      <c r="C1814" s="27"/>
      <c r="D1814" s="27"/>
      <c r="E1814" s="27"/>
      <c r="F1814" s="27"/>
      <c r="G1814" s="27"/>
      <c r="H1814" s="27"/>
      <c r="I1814" s="27"/>
    </row>
    <row r="1815" spans="1:9" x14ac:dyDescent="0.35">
      <c r="A1815" s="27"/>
      <c r="B1815" s="27"/>
      <c r="C1815" s="27"/>
      <c r="D1815" s="27"/>
      <c r="E1815" s="27"/>
      <c r="F1815" s="27"/>
      <c r="G1815" s="27"/>
      <c r="H1815" s="27"/>
      <c r="I1815" s="27"/>
    </row>
    <row r="1816" spans="1:9" x14ac:dyDescent="0.35">
      <c r="A1816" s="27"/>
      <c r="B1816" s="27"/>
      <c r="C1816" s="27"/>
      <c r="D1816" s="27"/>
      <c r="E1816" s="27"/>
      <c r="F1816" s="27"/>
      <c r="G1816" s="27"/>
      <c r="H1816" s="27"/>
      <c r="I1816" s="27"/>
    </row>
    <row r="1817" spans="1:9" x14ac:dyDescent="0.35">
      <c r="A1817" s="27"/>
      <c r="B1817" s="27"/>
      <c r="C1817" s="27"/>
      <c r="D1817" s="27"/>
      <c r="E1817" s="27"/>
      <c r="F1817" s="27"/>
      <c r="G1817" s="27"/>
      <c r="H1817" s="27"/>
      <c r="I1817" s="27"/>
    </row>
    <row r="1818" spans="1:9" x14ac:dyDescent="0.35">
      <c r="A1818" s="27"/>
      <c r="B1818" s="27"/>
      <c r="C1818" s="27"/>
      <c r="D1818" s="27"/>
      <c r="E1818" s="27"/>
      <c r="F1818" s="27"/>
      <c r="G1818" s="27"/>
      <c r="H1818" s="27"/>
      <c r="I1818" s="27"/>
    </row>
    <row r="1819" spans="1:9" x14ac:dyDescent="0.35">
      <c r="A1819" s="27"/>
      <c r="B1819" s="27"/>
      <c r="C1819" s="27"/>
      <c r="D1819" s="27"/>
      <c r="E1819" s="27"/>
      <c r="F1819" s="27"/>
      <c r="G1819" s="27"/>
      <c r="H1819" s="27"/>
      <c r="I1819" s="27"/>
    </row>
    <row r="1820" spans="1:9" x14ac:dyDescent="0.35">
      <c r="A1820" s="27"/>
      <c r="B1820" s="27"/>
      <c r="C1820" s="27"/>
      <c r="D1820" s="27"/>
      <c r="E1820" s="27"/>
      <c r="F1820" s="27"/>
      <c r="G1820" s="27"/>
      <c r="H1820" s="27"/>
      <c r="I1820" s="27"/>
    </row>
    <row r="1821" spans="1:9" x14ac:dyDescent="0.35">
      <c r="A1821" s="27"/>
      <c r="B1821" s="27"/>
      <c r="C1821" s="27"/>
      <c r="D1821" s="27"/>
      <c r="E1821" s="27"/>
      <c r="F1821" s="27"/>
      <c r="G1821" s="27"/>
      <c r="H1821" s="27"/>
      <c r="I1821" s="27"/>
    </row>
    <row r="1822" spans="1:9" x14ac:dyDescent="0.35">
      <c r="A1822" s="27"/>
      <c r="B1822" s="27"/>
      <c r="C1822" s="27"/>
      <c r="D1822" s="27"/>
      <c r="E1822" s="27"/>
      <c r="F1822" s="27"/>
      <c r="G1822" s="27"/>
      <c r="H1822" s="27"/>
      <c r="I1822" s="27"/>
    </row>
    <row r="1823" spans="1:9" x14ac:dyDescent="0.35">
      <c r="A1823" s="27"/>
      <c r="B1823" s="27"/>
      <c r="C1823" s="27"/>
      <c r="D1823" s="27"/>
      <c r="E1823" s="27"/>
      <c r="F1823" s="27"/>
      <c r="G1823" s="27"/>
      <c r="H1823" s="27"/>
      <c r="I1823" s="27"/>
    </row>
    <row r="1824" spans="1:9" x14ac:dyDescent="0.35">
      <c r="A1824" s="27"/>
      <c r="B1824" s="27"/>
      <c r="C1824" s="27"/>
      <c r="D1824" s="27"/>
      <c r="E1824" s="27"/>
      <c r="F1824" s="27"/>
      <c r="G1824" s="27"/>
      <c r="H1824" s="27"/>
      <c r="I1824" s="27"/>
    </row>
    <row r="1825" spans="1:9" x14ac:dyDescent="0.35">
      <c r="A1825" s="27"/>
      <c r="B1825" s="27"/>
      <c r="C1825" s="27"/>
      <c r="D1825" s="27"/>
      <c r="E1825" s="27"/>
      <c r="F1825" s="27"/>
      <c r="G1825" s="27"/>
      <c r="H1825" s="27"/>
      <c r="I1825" s="27"/>
    </row>
    <row r="1826" spans="1:9" x14ac:dyDescent="0.35">
      <c r="A1826" s="27"/>
      <c r="B1826" s="27"/>
      <c r="C1826" s="27"/>
      <c r="D1826" s="27"/>
      <c r="E1826" s="27"/>
      <c r="F1826" s="27"/>
      <c r="G1826" s="27"/>
      <c r="H1826" s="27"/>
      <c r="I1826" s="27"/>
    </row>
    <row r="1827" spans="1:9" x14ac:dyDescent="0.35">
      <c r="A1827" s="27"/>
      <c r="B1827" s="27"/>
      <c r="C1827" s="27"/>
      <c r="D1827" s="27"/>
      <c r="E1827" s="27"/>
      <c r="F1827" s="27"/>
      <c r="G1827" s="27"/>
      <c r="H1827" s="27"/>
      <c r="I1827" s="27"/>
    </row>
    <row r="1828" spans="1:9" x14ac:dyDescent="0.35">
      <c r="A1828" s="27"/>
      <c r="B1828" s="27"/>
      <c r="C1828" s="27"/>
      <c r="D1828" s="27"/>
      <c r="E1828" s="27"/>
      <c r="F1828" s="27"/>
      <c r="G1828" s="27"/>
      <c r="H1828" s="27"/>
      <c r="I1828" s="27"/>
    </row>
    <row r="1829" spans="1:9" x14ac:dyDescent="0.35">
      <c r="A1829" s="27"/>
      <c r="B1829" s="27"/>
      <c r="C1829" s="27"/>
      <c r="D1829" s="27"/>
      <c r="E1829" s="27"/>
      <c r="F1829" s="27"/>
      <c r="G1829" s="27"/>
      <c r="H1829" s="27"/>
      <c r="I1829" s="27"/>
    </row>
    <row r="1830" spans="1:9" x14ac:dyDescent="0.35">
      <c r="A1830" s="27"/>
      <c r="B1830" s="27"/>
      <c r="C1830" s="27"/>
      <c r="D1830" s="27"/>
      <c r="E1830" s="27"/>
      <c r="F1830" s="27"/>
      <c r="G1830" s="27"/>
      <c r="H1830" s="27"/>
      <c r="I1830" s="27"/>
    </row>
    <row r="1831" spans="1:9" x14ac:dyDescent="0.35">
      <c r="A1831" s="27"/>
      <c r="B1831" s="27"/>
      <c r="C1831" s="27"/>
      <c r="D1831" s="27"/>
      <c r="E1831" s="27"/>
      <c r="F1831" s="27"/>
      <c r="G1831" s="27"/>
      <c r="H1831" s="27"/>
      <c r="I1831" s="27"/>
    </row>
    <row r="1832" spans="1:9" x14ac:dyDescent="0.35">
      <c r="A1832" s="27"/>
      <c r="B1832" s="27"/>
      <c r="C1832" s="27"/>
      <c r="D1832" s="27"/>
      <c r="E1832" s="27"/>
      <c r="F1832" s="27"/>
      <c r="G1832" s="27"/>
      <c r="H1832" s="27"/>
      <c r="I1832" s="27"/>
    </row>
    <row r="1833" spans="1:9" x14ac:dyDescent="0.35">
      <c r="A1833" s="27"/>
      <c r="B1833" s="27"/>
      <c r="C1833" s="27"/>
      <c r="D1833" s="27"/>
      <c r="E1833" s="27"/>
      <c r="F1833" s="27"/>
      <c r="G1833" s="27"/>
      <c r="H1833" s="27"/>
      <c r="I1833" s="27"/>
    </row>
    <row r="1834" spans="1:9" x14ac:dyDescent="0.35">
      <c r="A1834" s="27"/>
      <c r="B1834" s="27"/>
      <c r="C1834" s="27"/>
      <c r="D1834" s="27"/>
      <c r="E1834" s="27"/>
      <c r="F1834" s="27"/>
      <c r="G1834" s="27"/>
      <c r="H1834" s="27"/>
      <c r="I1834" s="27"/>
    </row>
    <row r="1835" spans="1:9" x14ac:dyDescent="0.35">
      <c r="A1835" s="27"/>
      <c r="B1835" s="27"/>
      <c r="C1835" s="27"/>
      <c r="D1835" s="27"/>
      <c r="E1835" s="27"/>
      <c r="F1835" s="27"/>
      <c r="G1835" s="27"/>
      <c r="H1835" s="27"/>
      <c r="I1835" s="27"/>
    </row>
    <row r="1836" spans="1:9" x14ac:dyDescent="0.35">
      <c r="A1836" s="27"/>
      <c r="B1836" s="27"/>
      <c r="C1836" s="27"/>
      <c r="D1836" s="27"/>
      <c r="E1836" s="27"/>
      <c r="F1836" s="27"/>
      <c r="G1836" s="27"/>
      <c r="H1836" s="27"/>
      <c r="I1836" s="27"/>
    </row>
    <row r="1837" spans="1:9" x14ac:dyDescent="0.35">
      <c r="A1837" s="27"/>
      <c r="B1837" s="27"/>
      <c r="C1837" s="27"/>
      <c r="D1837" s="27"/>
      <c r="E1837" s="27"/>
      <c r="F1837" s="27"/>
      <c r="G1837" s="27"/>
      <c r="H1837" s="27"/>
      <c r="I1837" s="27"/>
    </row>
    <row r="1838" spans="1:9" x14ac:dyDescent="0.35">
      <c r="A1838" s="27"/>
      <c r="B1838" s="27"/>
      <c r="C1838" s="27"/>
      <c r="D1838" s="27"/>
      <c r="E1838" s="27"/>
      <c r="F1838" s="27"/>
      <c r="G1838" s="27"/>
      <c r="H1838" s="27"/>
      <c r="I1838" s="27"/>
    </row>
    <row r="1839" spans="1:9" x14ac:dyDescent="0.35">
      <c r="A1839" s="27"/>
      <c r="B1839" s="27"/>
      <c r="C1839" s="27"/>
      <c r="D1839" s="27"/>
      <c r="E1839" s="27"/>
      <c r="F1839" s="27"/>
      <c r="G1839" s="27"/>
      <c r="H1839" s="27"/>
      <c r="I1839" s="27"/>
    </row>
    <row r="1840" spans="1:9" x14ac:dyDescent="0.35">
      <c r="A1840" s="27"/>
      <c r="B1840" s="27"/>
      <c r="C1840" s="27"/>
      <c r="D1840" s="27"/>
      <c r="E1840" s="27"/>
      <c r="F1840" s="27"/>
      <c r="G1840" s="27"/>
      <c r="H1840" s="27"/>
      <c r="I1840" s="27"/>
    </row>
    <row r="1841" spans="1:9" x14ac:dyDescent="0.35">
      <c r="A1841" s="27"/>
      <c r="B1841" s="27"/>
      <c r="C1841" s="27"/>
      <c r="D1841" s="27"/>
      <c r="E1841" s="27"/>
      <c r="F1841" s="27"/>
      <c r="G1841" s="27"/>
      <c r="H1841" s="27"/>
      <c r="I1841" s="27"/>
    </row>
    <row r="1842" spans="1:9" x14ac:dyDescent="0.35">
      <c r="A1842" s="27"/>
      <c r="B1842" s="27"/>
      <c r="C1842" s="27"/>
      <c r="D1842" s="27"/>
      <c r="E1842" s="27"/>
      <c r="F1842" s="27"/>
      <c r="G1842" s="27"/>
      <c r="H1842" s="27"/>
      <c r="I1842" s="27"/>
    </row>
    <row r="1843" spans="1:9" x14ac:dyDescent="0.35">
      <c r="A1843" s="27"/>
      <c r="B1843" s="27"/>
      <c r="C1843" s="27"/>
      <c r="D1843" s="27"/>
      <c r="E1843" s="27"/>
      <c r="F1843" s="27"/>
      <c r="G1843" s="27"/>
      <c r="H1843" s="27"/>
      <c r="I1843" s="27"/>
    </row>
    <row r="1844" spans="1:9" x14ac:dyDescent="0.35">
      <c r="A1844" s="27"/>
      <c r="B1844" s="27"/>
      <c r="C1844" s="27"/>
      <c r="D1844" s="27"/>
      <c r="E1844" s="27"/>
      <c r="F1844" s="27"/>
      <c r="G1844" s="27"/>
      <c r="H1844" s="27"/>
      <c r="I1844" s="27"/>
    </row>
    <row r="1845" spans="1:9" x14ac:dyDescent="0.35">
      <c r="A1845" s="27"/>
      <c r="B1845" s="27"/>
      <c r="C1845" s="27"/>
      <c r="D1845" s="27"/>
      <c r="E1845" s="27"/>
      <c r="F1845" s="27"/>
      <c r="G1845" s="27"/>
      <c r="H1845" s="27"/>
      <c r="I1845" s="27"/>
    </row>
    <row r="1846" spans="1:9" x14ac:dyDescent="0.35">
      <c r="A1846" s="27"/>
      <c r="B1846" s="27"/>
      <c r="C1846" s="27"/>
      <c r="D1846" s="27"/>
      <c r="E1846" s="27"/>
      <c r="F1846" s="27"/>
      <c r="G1846" s="27"/>
      <c r="H1846" s="27"/>
      <c r="I1846" s="27"/>
    </row>
    <row r="1847" spans="1:9" x14ac:dyDescent="0.35">
      <c r="A1847" s="27"/>
      <c r="B1847" s="27"/>
      <c r="C1847" s="27"/>
      <c r="D1847" s="27"/>
      <c r="E1847" s="27"/>
      <c r="F1847" s="27"/>
      <c r="G1847" s="27"/>
      <c r="H1847" s="27"/>
      <c r="I1847" s="27"/>
    </row>
    <row r="1848" spans="1:9" x14ac:dyDescent="0.35">
      <c r="A1848" s="27"/>
      <c r="B1848" s="27"/>
      <c r="C1848" s="27"/>
      <c r="D1848" s="27"/>
      <c r="E1848" s="27"/>
      <c r="F1848" s="27"/>
      <c r="G1848" s="27"/>
      <c r="H1848" s="27"/>
      <c r="I1848" s="27"/>
    </row>
    <row r="1849" spans="1:9" x14ac:dyDescent="0.35">
      <c r="A1849" s="27"/>
      <c r="B1849" s="27"/>
      <c r="C1849" s="27"/>
      <c r="D1849" s="27"/>
      <c r="E1849" s="27"/>
      <c r="F1849" s="27"/>
      <c r="G1849" s="27"/>
      <c r="H1849" s="27"/>
      <c r="I1849" s="27"/>
    </row>
    <row r="1850" spans="1:9" x14ac:dyDescent="0.35">
      <c r="A1850" s="27"/>
      <c r="B1850" s="27"/>
      <c r="C1850" s="27"/>
      <c r="D1850" s="27"/>
      <c r="E1850" s="27"/>
      <c r="F1850" s="27"/>
      <c r="G1850" s="27"/>
      <c r="H1850" s="27"/>
      <c r="I1850" s="27"/>
    </row>
    <row r="1851" spans="1:9" x14ac:dyDescent="0.35">
      <c r="A1851" s="27"/>
      <c r="B1851" s="27"/>
      <c r="C1851" s="27"/>
      <c r="D1851" s="27"/>
      <c r="E1851" s="27"/>
      <c r="F1851" s="27"/>
      <c r="G1851" s="27"/>
      <c r="H1851" s="27"/>
      <c r="I1851" s="27"/>
    </row>
    <row r="1852" spans="1:9" x14ac:dyDescent="0.35">
      <c r="A1852" s="27"/>
      <c r="B1852" s="27"/>
      <c r="C1852" s="27"/>
      <c r="D1852" s="27"/>
      <c r="E1852" s="27"/>
      <c r="F1852" s="27"/>
      <c r="G1852" s="27"/>
      <c r="H1852" s="27"/>
      <c r="I1852" s="27"/>
    </row>
    <row r="1853" spans="1:9" x14ac:dyDescent="0.35">
      <c r="A1853" s="27"/>
      <c r="B1853" s="27"/>
      <c r="C1853" s="27"/>
      <c r="D1853" s="27"/>
      <c r="E1853" s="27"/>
      <c r="F1853" s="27"/>
      <c r="G1853" s="27"/>
      <c r="H1853" s="27"/>
      <c r="I1853" s="27"/>
    </row>
    <row r="1854" spans="1:9" x14ac:dyDescent="0.35">
      <c r="A1854" s="27"/>
      <c r="B1854" s="27"/>
      <c r="C1854" s="27"/>
      <c r="D1854" s="27"/>
      <c r="E1854" s="27"/>
      <c r="F1854" s="27"/>
      <c r="G1854" s="27"/>
      <c r="H1854" s="27"/>
      <c r="I1854" s="27"/>
    </row>
    <row r="1855" spans="1:9" x14ac:dyDescent="0.35">
      <c r="A1855" s="27"/>
      <c r="B1855" s="27"/>
      <c r="C1855" s="27"/>
      <c r="D1855" s="27"/>
      <c r="E1855" s="27"/>
      <c r="F1855" s="27"/>
      <c r="G1855" s="27"/>
      <c r="H1855" s="27"/>
      <c r="I1855" s="27"/>
    </row>
    <row r="1856" spans="1:9" x14ac:dyDescent="0.35">
      <c r="A1856" s="27"/>
      <c r="B1856" s="27"/>
      <c r="C1856" s="27"/>
      <c r="D1856" s="27"/>
      <c r="E1856" s="27"/>
      <c r="F1856" s="27"/>
      <c r="G1856" s="27"/>
      <c r="H1856" s="27"/>
      <c r="I1856" s="27"/>
    </row>
    <row r="1857" spans="1:9" x14ac:dyDescent="0.35">
      <c r="A1857" s="27"/>
      <c r="B1857" s="27"/>
      <c r="C1857" s="27"/>
      <c r="D1857" s="27"/>
      <c r="E1857" s="27"/>
      <c r="F1857" s="27"/>
      <c r="G1857" s="27"/>
      <c r="H1857" s="27"/>
      <c r="I1857" s="27"/>
    </row>
    <row r="1858" spans="1:9" x14ac:dyDescent="0.35">
      <c r="A1858" s="27"/>
      <c r="B1858" s="27"/>
      <c r="C1858" s="27"/>
      <c r="D1858" s="27"/>
      <c r="E1858" s="27"/>
      <c r="F1858" s="27"/>
      <c r="G1858" s="27"/>
      <c r="H1858" s="27"/>
      <c r="I1858" s="27"/>
    </row>
    <row r="1859" spans="1:9" x14ac:dyDescent="0.35">
      <c r="A1859" s="27"/>
      <c r="B1859" s="27"/>
      <c r="C1859" s="27"/>
      <c r="D1859" s="27"/>
      <c r="E1859" s="27"/>
      <c r="F1859" s="27"/>
      <c r="G1859" s="27"/>
      <c r="H1859" s="27"/>
      <c r="I1859" s="27"/>
    </row>
    <row r="1860" spans="1:9" x14ac:dyDescent="0.35">
      <c r="A1860" s="27"/>
      <c r="B1860" s="27"/>
      <c r="C1860" s="27"/>
      <c r="D1860" s="27"/>
      <c r="E1860" s="27"/>
      <c r="F1860" s="27"/>
      <c r="G1860" s="27"/>
      <c r="H1860" s="27"/>
      <c r="I1860" s="27"/>
    </row>
    <row r="1861" spans="1:9" x14ac:dyDescent="0.35">
      <c r="A1861" s="27"/>
      <c r="B1861" s="27"/>
      <c r="C1861" s="27"/>
      <c r="D1861" s="27"/>
      <c r="E1861" s="27"/>
      <c r="F1861" s="27"/>
      <c r="G1861" s="27"/>
      <c r="H1861" s="27"/>
      <c r="I1861" s="27"/>
    </row>
    <row r="1862" spans="1:9" x14ac:dyDescent="0.35">
      <c r="A1862" s="27"/>
      <c r="B1862" s="27"/>
      <c r="C1862" s="27"/>
      <c r="D1862" s="27"/>
      <c r="E1862" s="27"/>
      <c r="F1862" s="27"/>
      <c r="G1862" s="27"/>
      <c r="H1862" s="27"/>
      <c r="I1862" s="27"/>
    </row>
    <row r="1863" spans="1:9" x14ac:dyDescent="0.35">
      <c r="A1863" s="27"/>
      <c r="B1863" s="27"/>
      <c r="C1863" s="27"/>
      <c r="D1863" s="27"/>
      <c r="E1863" s="27"/>
      <c r="F1863" s="27"/>
      <c r="G1863" s="27"/>
      <c r="H1863" s="27"/>
      <c r="I1863" s="27"/>
    </row>
    <row r="1864" spans="1:9" x14ac:dyDescent="0.35">
      <c r="A1864" s="27"/>
      <c r="B1864" s="27"/>
      <c r="C1864" s="27"/>
      <c r="D1864" s="27"/>
      <c r="E1864" s="27"/>
      <c r="F1864" s="27"/>
      <c r="G1864" s="27"/>
      <c r="H1864" s="27"/>
      <c r="I1864" s="27"/>
    </row>
    <row r="1865" spans="1:9" x14ac:dyDescent="0.35">
      <c r="A1865" s="27"/>
      <c r="B1865" s="27"/>
      <c r="C1865" s="27"/>
      <c r="D1865" s="27"/>
      <c r="E1865" s="27"/>
      <c r="F1865" s="27"/>
      <c r="G1865" s="27"/>
      <c r="H1865" s="27"/>
      <c r="I1865" s="27"/>
    </row>
    <row r="1866" spans="1:9" x14ac:dyDescent="0.35">
      <c r="A1866" s="27"/>
      <c r="B1866" s="27"/>
      <c r="C1866" s="27"/>
      <c r="D1866" s="27"/>
      <c r="E1866" s="27"/>
      <c r="F1866" s="27"/>
      <c r="G1866" s="27"/>
      <c r="H1866" s="27"/>
      <c r="I1866" s="27"/>
    </row>
    <row r="1867" spans="1:9" x14ac:dyDescent="0.35">
      <c r="A1867" s="27"/>
      <c r="B1867" s="27"/>
      <c r="C1867" s="27"/>
      <c r="D1867" s="27"/>
      <c r="E1867" s="27"/>
      <c r="F1867" s="27"/>
      <c r="G1867" s="27"/>
      <c r="H1867" s="27"/>
      <c r="I1867" s="27"/>
    </row>
    <row r="1868" spans="1:9" x14ac:dyDescent="0.35">
      <c r="A1868" s="27"/>
      <c r="B1868" s="27"/>
      <c r="C1868" s="27"/>
      <c r="D1868" s="27"/>
      <c r="E1868" s="27"/>
      <c r="F1868" s="27"/>
      <c r="G1868" s="27"/>
      <c r="H1868" s="27"/>
      <c r="I1868" s="27"/>
    </row>
    <row r="1869" spans="1:9" x14ac:dyDescent="0.35">
      <c r="A1869" s="27"/>
      <c r="B1869" s="27"/>
      <c r="C1869" s="27"/>
      <c r="D1869" s="27"/>
      <c r="E1869" s="27"/>
      <c r="F1869" s="27"/>
      <c r="G1869" s="27"/>
      <c r="H1869" s="27"/>
      <c r="I1869" s="27"/>
    </row>
    <row r="1870" spans="1:9" x14ac:dyDescent="0.35">
      <c r="A1870" s="27"/>
      <c r="B1870" s="27"/>
      <c r="C1870" s="27"/>
      <c r="D1870" s="27"/>
      <c r="E1870" s="27"/>
      <c r="F1870" s="27"/>
      <c r="G1870" s="27"/>
      <c r="H1870" s="27"/>
      <c r="I1870" s="27"/>
    </row>
    <row r="1871" spans="1:9" x14ac:dyDescent="0.35">
      <c r="A1871" s="27"/>
      <c r="B1871" s="27"/>
      <c r="C1871" s="27"/>
      <c r="D1871" s="27"/>
      <c r="E1871" s="27"/>
      <c r="F1871" s="27"/>
      <c r="G1871" s="27"/>
      <c r="H1871" s="27"/>
      <c r="I1871" s="27"/>
    </row>
    <row r="1872" spans="1:9" x14ac:dyDescent="0.35">
      <c r="A1872" s="27"/>
      <c r="B1872" s="27"/>
      <c r="C1872" s="27"/>
      <c r="D1872" s="27"/>
      <c r="E1872" s="27"/>
      <c r="F1872" s="27"/>
      <c r="G1872" s="27"/>
      <c r="H1872" s="27"/>
      <c r="I1872" s="27"/>
    </row>
    <row r="1873" spans="1:9" x14ac:dyDescent="0.35">
      <c r="A1873" s="27"/>
      <c r="B1873" s="27"/>
      <c r="C1873" s="27"/>
      <c r="D1873" s="27"/>
      <c r="E1873" s="27"/>
      <c r="F1873" s="27"/>
      <c r="G1873" s="27"/>
      <c r="H1873" s="27"/>
      <c r="I1873" s="27"/>
    </row>
    <row r="1874" spans="1:9" x14ac:dyDescent="0.35">
      <c r="A1874" s="27"/>
      <c r="B1874" s="27"/>
      <c r="C1874" s="27"/>
      <c r="D1874" s="27"/>
      <c r="E1874" s="27"/>
      <c r="F1874" s="27"/>
      <c r="G1874" s="27"/>
      <c r="H1874" s="27"/>
      <c r="I1874" s="27"/>
    </row>
    <row r="1875" spans="1:9" x14ac:dyDescent="0.35">
      <c r="A1875" s="27"/>
      <c r="B1875" s="27"/>
      <c r="C1875" s="27"/>
      <c r="D1875" s="27"/>
      <c r="E1875" s="27"/>
      <c r="F1875" s="27"/>
      <c r="G1875" s="27"/>
      <c r="H1875" s="27"/>
      <c r="I1875" s="27"/>
    </row>
    <row r="1876" spans="1:9" x14ac:dyDescent="0.35">
      <c r="A1876" s="27"/>
      <c r="B1876" s="27"/>
      <c r="C1876" s="27"/>
      <c r="D1876" s="27"/>
      <c r="E1876" s="27"/>
      <c r="F1876" s="27"/>
      <c r="G1876" s="27"/>
      <c r="H1876" s="27"/>
      <c r="I1876" s="27"/>
    </row>
    <row r="1877" spans="1:9" x14ac:dyDescent="0.35">
      <c r="A1877" s="27"/>
      <c r="B1877" s="27"/>
      <c r="C1877" s="27"/>
      <c r="D1877" s="27"/>
      <c r="E1877" s="27"/>
      <c r="F1877" s="27"/>
      <c r="G1877" s="27"/>
      <c r="H1877" s="27"/>
      <c r="I1877" s="27"/>
    </row>
    <row r="1878" spans="1:9" x14ac:dyDescent="0.35">
      <c r="A1878" s="27"/>
      <c r="B1878" s="27"/>
      <c r="C1878" s="27"/>
      <c r="D1878" s="27"/>
      <c r="E1878" s="27"/>
      <c r="F1878" s="27"/>
      <c r="G1878" s="27"/>
      <c r="H1878" s="27"/>
      <c r="I1878" s="27"/>
    </row>
    <row r="1879" spans="1:9" x14ac:dyDescent="0.35">
      <c r="A1879" s="27"/>
      <c r="B1879" s="27"/>
      <c r="C1879" s="27"/>
      <c r="D1879" s="27"/>
      <c r="E1879" s="27"/>
      <c r="F1879" s="27"/>
      <c r="G1879" s="27"/>
      <c r="H1879" s="27"/>
      <c r="I1879" s="27"/>
    </row>
    <row r="1880" spans="1:9" x14ac:dyDescent="0.35">
      <c r="A1880" s="27"/>
      <c r="B1880" s="27"/>
      <c r="C1880" s="27"/>
      <c r="D1880" s="27"/>
      <c r="E1880" s="27"/>
      <c r="F1880" s="27"/>
      <c r="G1880" s="27"/>
      <c r="H1880" s="27"/>
      <c r="I1880" s="27"/>
    </row>
    <row r="1881" spans="1:9" x14ac:dyDescent="0.35">
      <c r="A1881" s="27"/>
      <c r="B1881" s="27"/>
      <c r="C1881" s="27"/>
      <c r="D1881" s="27"/>
      <c r="E1881" s="27"/>
      <c r="F1881" s="27"/>
      <c r="G1881" s="27"/>
      <c r="H1881" s="27"/>
      <c r="I1881" s="27"/>
    </row>
    <row r="1882" spans="1:9" x14ac:dyDescent="0.35">
      <c r="A1882" s="27"/>
      <c r="B1882" s="27"/>
      <c r="C1882" s="27"/>
      <c r="D1882" s="27"/>
      <c r="E1882" s="27"/>
      <c r="F1882" s="27"/>
      <c r="G1882" s="27"/>
      <c r="H1882" s="27"/>
      <c r="I1882" s="27"/>
    </row>
    <row r="1883" spans="1:9" x14ac:dyDescent="0.35">
      <c r="A1883" s="27"/>
      <c r="B1883" s="27"/>
      <c r="C1883" s="27"/>
      <c r="D1883" s="27"/>
      <c r="E1883" s="27"/>
      <c r="F1883" s="27"/>
      <c r="G1883" s="27"/>
      <c r="H1883" s="27"/>
      <c r="I1883" s="27"/>
    </row>
    <row r="1884" spans="1:9" x14ac:dyDescent="0.35">
      <c r="A1884" s="27"/>
      <c r="B1884" s="27"/>
      <c r="C1884" s="27"/>
      <c r="D1884" s="27"/>
      <c r="E1884" s="27"/>
      <c r="F1884" s="27"/>
      <c r="G1884" s="27"/>
      <c r="H1884" s="27"/>
      <c r="I1884" s="27"/>
    </row>
    <row r="1885" spans="1:9" x14ac:dyDescent="0.35">
      <c r="A1885" s="27"/>
      <c r="B1885" s="27"/>
      <c r="C1885" s="27"/>
      <c r="D1885" s="27"/>
      <c r="E1885" s="27"/>
      <c r="F1885" s="27"/>
      <c r="G1885" s="27"/>
      <c r="H1885" s="27"/>
      <c r="I1885" s="27"/>
    </row>
    <row r="1886" spans="1:9" x14ac:dyDescent="0.35">
      <c r="A1886" s="27"/>
      <c r="B1886" s="27"/>
      <c r="C1886" s="27"/>
      <c r="D1886" s="27"/>
      <c r="E1886" s="27"/>
      <c r="F1886" s="27"/>
      <c r="G1886" s="27"/>
      <c r="H1886" s="27"/>
      <c r="I1886" s="27"/>
    </row>
    <row r="1887" spans="1:9" x14ac:dyDescent="0.35">
      <c r="A1887" s="27"/>
      <c r="B1887" s="27"/>
      <c r="C1887" s="27"/>
      <c r="D1887" s="27"/>
      <c r="E1887" s="27"/>
      <c r="F1887" s="27"/>
      <c r="G1887" s="27"/>
      <c r="H1887" s="27"/>
      <c r="I1887" s="27"/>
    </row>
    <row r="1888" spans="1:9" x14ac:dyDescent="0.35">
      <c r="A1888" s="27"/>
      <c r="B1888" s="27"/>
      <c r="C1888" s="27"/>
      <c r="D1888" s="27"/>
      <c r="E1888" s="27"/>
      <c r="F1888" s="27"/>
      <c r="G1888" s="27"/>
      <c r="H1888" s="27"/>
      <c r="I1888" s="27"/>
    </row>
    <row r="1889" spans="1:9" x14ac:dyDescent="0.35">
      <c r="A1889" s="27"/>
      <c r="B1889" s="27"/>
      <c r="C1889" s="27"/>
      <c r="D1889" s="27"/>
      <c r="E1889" s="27"/>
      <c r="F1889" s="27"/>
      <c r="G1889" s="27"/>
      <c r="H1889" s="27"/>
      <c r="I1889" s="27"/>
    </row>
    <row r="1890" spans="1:9" x14ac:dyDescent="0.35">
      <c r="A1890" s="27"/>
      <c r="B1890" s="27"/>
      <c r="C1890" s="27"/>
      <c r="D1890" s="27"/>
      <c r="E1890" s="27"/>
      <c r="F1890" s="27"/>
      <c r="G1890" s="27"/>
      <c r="H1890" s="27"/>
      <c r="I1890" s="27"/>
    </row>
    <row r="1891" spans="1:9" x14ac:dyDescent="0.35">
      <c r="A1891" s="27"/>
      <c r="B1891" s="27"/>
      <c r="C1891" s="27"/>
      <c r="D1891" s="27"/>
      <c r="E1891" s="27"/>
      <c r="F1891" s="27"/>
      <c r="G1891" s="27"/>
      <c r="H1891" s="27"/>
      <c r="I1891" s="27"/>
    </row>
    <row r="1892" spans="1:9" x14ac:dyDescent="0.35">
      <c r="A1892" s="27"/>
      <c r="B1892" s="27"/>
      <c r="C1892" s="27"/>
      <c r="D1892" s="27"/>
      <c r="E1892" s="27"/>
      <c r="F1892" s="27"/>
      <c r="G1892" s="27"/>
      <c r="H1892" s="27"/>
      <c r="I1892" s="27"/>
    </row>
    <row r="1893" spans="1:9" x14ac:dyDescent="0.35">
      <c r="A1893" s="27"/>
      <c r="B1893" s="27"/>
      <c r="C1893" s="27"/>
      <c r="D1893" s="27"/>
      <c r="E1893" s="27"/>
      <c r="F1893" s="27"/>
      <c r="G1893" s="27"/>
      <c r="H1893" s="27"/>
      <c r="I1893" s="27"/>
    </row>
    <row r="1894" spans="1:9" x14ac:dyDescent="0.35">
      <c r="A1894" s="27"/>
      <c r="B1894" s="27"/>
      <c r="C1894" s="27"/>
      <c r="D1894" s="27"/>
      <c r="E1894" s="27"/>
      <c r="F1894" s="27"/>
      <c r="G1894" s="27"/>
      <c r="H1894" s="27"/>
      <c r="I1894" s="27"/>
    </row>
    <row r="1895" spans="1:9" x14ac:dyDescent="0.35">
      <c r="A1895" s="27"/>
      <c r="B1895" s="27"/>
      <c r="C1895" s="27"/>
      <c r="D1895" s="27"/>
      <c r="E1895" s="27"/>
      <c r="F1895" s="27"/>
      <c r="G1895" s="27"/>
      <c r="H1895" s="27"/>
      <c r="I1895" s="27"/>
    </row>
    <row r="1896" spans="1:9" x14ac:dyDescent="0.35">
      <c r="A1896" s="27"/>
      <c r="B1896" s="27"/>
      <c r="C1896" s="27"/>
      <c r="D1896" s="27"/>
      <c r="E1896" s="27"/>
      <c r="F1896" s="27"/>
      <c r="G1896" s="27"/>
      <c r="H1896" s="27"/>
      <c r="I1896" s="27"/>
    </row>
    <row r="1897" spans="1:9" x14ac:dyDescent="0.35">
      <c r="A1897" s="27"/>
      <c r="B1897" s="27"/>
      <c r="C1897" s="27"/>
      <c r="D1897" s="27"/>
      <c r="E1897" s="27"/>
      <c r="F1897" s="27"/>
      <c r="G1897" s="27"/>
      <c r="H1897" s="27"/>
      <c r="I1897" s="27"/>
    </row>
    <row r="1898" spans="1:9" x14ac:dyDescent="0.35">
      <c r="A1898" s="27"/>
      <c r="B1898" s="27"/>
      <c r="C1898" s="27"/>
      <c r="D1898" s="27"/>
      <c r="E1898" s="27"/>
      <c r="F1898" s="27"/>
      <c r="G1898" s="27"/>
      <c r="H1898" s="27"/>
      <c r="I1898" s="27"/>
    </row>
    <row r="1899" spans="1:9" x14ac:dyDescent="0.35">
      <c r="A1899" s="27"/>
      <c r="B1899" s="27"/>
      <c r="C1899" s="27"/>
      <c r="D1899" s="27"/>
      <c r="E1899" s="27"/>
      <c r="F1899" s="27"/>
      <c r="G1899" s="27"/>
      <c r="H1899" s="27"/>
      <c r="I1899" s="27"/>
    </row>
    <row r="1900" spans="1:9" x14ac:dyDescent="0.35">
      <c r="A1900" s="27"/>
      <c r="B1900" s="27"/>
      <c r="C1900" s="27"/>
      <c r="D1900" s="27"/>
      <c r="E1900" s="27"/>
      <c r="F1900" s="27"/>
      <c r="G1900" s="27"/>
      <c r="H1900" s="27"/>
      <c r="I1900" s="27"/>
    </row>
    <row r="1901" spans="1:9" x14ac:dyDescent="0.35">
      <c r="A1901" s="27"/>
      <c r="B1901" s="27"/>
      <c r="C1901" s="27"/>
      <c r="D1901" s="27"/>
      <c r="E1901" s="27"/>
      <c r="F1901" s="27"/>
      <c r="G1901" s="27"/>
      <c r="H1901" s="27"/>
      <c r="I1901" s="27"/>
    </row>
    <row r="1902" spans="1:9" x14ac:dyDescent="0.35">
      <c r="A1902" s="27"/>
      <c r="B1902" s="27"/>
      <c r="C1902" s="27"/>
      <c r="D1902" s="27"/>
      <c r="E1902" s="27"/>
      <c r="F1902" s="27"/>
      <c r="G1902" s="27"/>
      <c r="H1902" s="27"/>
      <c r="I1902" s="27"/>
    </row>
    <row r="1903" spans="1:9" x14ac:dyDescent="0.35">
      <c r="A1903" s="27"/>
      <c r="B1903" s="27"/>
      <c r="C1903" s="27"/>
      <c r="D1903" s="27"/>
      <c r="E1903" s="27"/>
      <c r="F1903" s="27"/>
      <c r="G1903" s="27"/>
      <c r="H1903" s="27"/>
      <c r="I1903" s="27"/>
    </row>
    <row r="1904" spans="1:9" x14ac:dyDescent="0.35">
      <c r="A1904" s="27"/>
      <c r="B1904" s="27"/>
      <c r="C1904" s="27"/>
      <c r="D1904" s="27"/>
      <c r="E1904" s="27"/>
      <c r="F1904" s="27"/>
      <c r="G1904" s="27"/>
      <c r="H1904" s="27"/>
      <c r="I1904" s="27"/>
    </row>
    <row r="1905" spans="1:9" x14ac:dyDescent="0.35">
      <c r="A1905" s="27"/>
      <c r="B1905" s="27"/>
      <c r="C1905" s="27"/>
      <c r="D1905" s="27"/>
      <c r="E1905" s="27"/>
      <c r="F1905" s="27"/>
      <c r="G1905" s="27"/>
      <c r="H1905" s="27"/>
      <c r="I1905" s="27"/>
    </row>
    <row r="1906" spans="1:9" x14ac:dyDescent="0.35">
      <c r="A1906" s="27"/>
      <c r="B1906" s="27"/>
      <c r="C1906" s="27"/>
      <c r="D1906" s="27"/>
      <c r="E1906" s="27"/>
      <c r="F1906" s="27"/>
      <c r="G1906" s="27"/>
      <c r="H1906" s="27"/>
      <c r="I1906" s="27"/>
    </row>
    <row r="1907" spans="1:9" x14ac:dyDescent="0.35">
      <c r="A1907" s="27"/>
      <c r="B1907" s="27"/>
      <c r="C1907" s="27"/>
      <c r="D1907" s="27"/>
      <c r="E1907" s="27"/>
      <c r="F1907" s="27"/>
      <c r="G1907" s="27"/>
      <c r="H1907" s="27"/>
      <c r="I1907" s="27"/>
    </row>
    <row r="1908" spans="1:9" x14ac:dyDescent="0.35">
      <c r="A1908" s="27"/>
      <c r="B1908" s="27"/>
      <c r="C1908" s="27"/>
      <c r="D1908" s="27"/>
      <c r="E1908" s="27"/>
      <c r="F1908" s="27"/>
      <c r="G1908" s="27"/>
      <c r="H1908" s="27"/>
      <c r="I1908" s="27"/>
    </row>
    <row r="1909" spans="1:9" x14ac:dyDescent="0.35">
      <c r="A1909" s="27"/>
      <c r="B1909" s="27"/>
      <c r="C1909" s="27"/>
      <c r="D1909" s="27"/>
      <c r="E1909" s="27"/>
      <c r="F1909" s="27"/>
      <c r="G1909" s="27"/>
      <c r="H1909" s="27"/>
      <c r="I1909" s="27"/>
    </row>
    <row r="1910" spans="1:9" x14ac:dyDescent="0.35">
      <c r="A1910" s="27"/>
      <c r="B1910" s="27"/>
      <c r="C1910" s="27"/>
      <c r="D1910" s="27"/>
      <c r="E1910" s="27"/>
      <c r="F1910" s="27"/>
      <c r="G1910" s="27"/>
      <c r="H1910" s="27"/>
      <c r="I1910" s="27"/>
    </row>
    <row r="1911" spans="1:9" x14ac:dyDescent="0.35">
      <c r="A1911" s="27"/>
      <c r="B1911" s="27"/>
      <c r="C1911" s="27"/>
      <c r="D1911" s="27"/>
      <c r="E1911" s="27"/>
      <c r="F1911" s="27"/>
      <c r="G1911" s="27"/>
      <c r="H1911" s="27"/>
      <c r="I1911" s="27"/>
    </row>
    <row r="1912" spans="1:9" x14ac:dyDescent="0.35">
      <c r="A1912" s="27"/>
      <c r="B1912" s="27"/>
      <c r="C1912" s="27"/>
      <c r="D1912" s="27"/>
      <c r="E1912" s="27"/>
      <c r="F1912" s="27"/>
      <c r="G1912" s="27"/>
      <c r="H1912" s="27"/>
      <c r="I1912" s="27"/>
    </row>
    <row r="1913" spans="1:9" x14ac:dyDescent="0.35">
      <c r="A1913" s="27"/>
      <c r="B1913" s="27"/>
      <c r="C1913" s="27"/>
      <c r="D1913" s="27"/>
      <c r="E1913" s="27"/>
      <c r="F1913" s="27"/>
      <c r="G1913" s="27"/>
      <c r="H1913" s="27"/>
      <c r="I1913" s="27"/>
    </row>
    <row r="1914" spans="1:9" x14ac:dyDescent="0.35">
      <c r="A1914" s="27"/>
      <c r="B1914" s="27"/>
      <c r="C1914" s="27"/>
      <c r="D1914" s="27"/>
      <c r="E1914" s="27"/>
      <c r="F1914" s="27"/>
      <c r="G1914" s="27"/>
      <c r="H1914" s="27"/>
      <c r="I1914" s="27"/>
    </row>
    <row r="1915" spans="1:9" x14ac:dyDescent="0.35">
      <c r="A1915" s="27"/>
      <c r="B1915" s="27"/>
      <c r="C1915" s="27"/>
      <c r="D1915" s="27"/>
      <c r="E1915" s="27"/>
      <c r="F1915" s="27"/>
      <c r="G1915" s="27"/>
      <c r="H1915" s="27"/>
      <c r="I1915" s="27"/>
    </row>
    <row r="1916" spans="1:9" x14ac:dyDescent="0.35">
      <c r="A1916" s="27"/>
      <c r="B1916" s="27"/>
      <c r="C1916" s="27"/>
      <c r="D1916" s="27"/>
      <c r="E1916" s="27"/>
      <c r="F1916" s="27"/>
      <c r="G1916" s="27"/>
      <c r="H1916" s="27"/>
      <c r="I1916" s="27"/>
    </row>
    <row r="1917" spans="1:9" x14ac:dyDescent="0.35">
      <c r="A1917" s="27"/>
      <c r="B1917" s="27"/>
      <c r="C1917" s="27"/>
      <c r="D1917" s="27"/>
      <c r="E1917" s="27"/>
      <c r="F1917" s="27"/>
      <c r="G1917" s="27"/>
      <c r="H1917" s="27"/>
      <c r="I1917" s="27"/>
    </row>
    <row r="1918" spans="1:9" x14ac:dyDescent="0.35">
      <c r="A1918" s="27"/>
      <c r="B1918" s="27"/>
      <c r="C1918" s="27"/>
      <c r="D1918" s="27"/>
      <c r="E1918" s="27"/>
      <c r="F1918" s="27"/>
      <c r="G1918" s="27"/>
      <c r="H1918" s="27"/>
      <c r="I1918" s="27"/>
    </row>
    <row r="1919" spans="1:9" x14ac:dyDescent="0.35">
      <c r="A1919" s="27"/>
      <c r="B1919" s="27"/>
      <c r="C1919" s="27"/>
      <c r="D1919" s="27"/>
      <c r="E1919" s="27"/>
      <c r="F1919" s="27"/>
      <c r="G1919" s="27"/>
      <c r="H1919" s="27"/>
      <c r="I1919" s="27"/>
    </row>
    <row r="1920" spans="1:9" x14ac:dyDescent="0.35">
      <c r="A1920" s="27"/>
      <c r="B1920" s="27"/>
      <c r="C1920" s="27"/>
      <c r="D1920" s="27"/>
      <c r="E1920" s="27"/>
      <c r="F1920" s="27"/>
      <c r="G1920" s="27"/>
      <c r="H1920" s="27"/>
      <c r="I1920" s="27"/>
    </row>
    <row r="1921" spans="1:9" x14ac:dyDescent="0.35">
      <c r="A1921" s="27"/>
      <c r="B1921" s="27"/>
      <c r="C1921" s="27"/>
      <c r="D1921" s="27"/>
      <c r="E1921" s="27"/>
      <c r="F1921" s="27"/>
      <c r="G1921" s="27"/>
      <c r="H1921" s="27"/>
      <c r="I1921" s="27"/>
    </row>
    <row r="1922" spans="1:9" x14ac:dyDescent="0.35">
      <c r="A1922" s="27"/>
      <c r="B1922" s="27"/>
      <c r="C1922" s="27"/>
      <c r="D1922" s="27"/>
      <c r="E1922" s="27"/>
      <c r="F1922" s="27"/>
      <c r="G1922" s="27"/>
      <c r="H1922" s="27"/>
      <c r="I1922" s="27"/>
    </row>
    <row r="1923" spans="1:9" x14ac:dyDescent="0.35">
      <c r="A1923" s="27"/>
      <c r="B1923" s="27"/>
      <c r="C1923" s="27"/>
      <c r="D1923" s="27"/>
      <c r="E1923" s="27"/>
      <c r="F1923" s="27"/>
      <c r="G1923" s="27"/>
      <c r="H1923" s="27"/>
      <c r="I1923" s="27"/>
    </row>
    <row r="1924" spans="1:9" x14ac:dyDescent="0.35">
      <c r="A1924" s="27"/>
      <c r="B1924" s="27"/>
      <c r="C1924" s="27"/>
      <c r="D1924" s="27"/>
      <c r="E1924" s="27"/>
      <c r="F1924" s="27"/>
      <c r="G1924" s="27"/>
      <c r="H1924" s="27"/>
      <c r="I1924" s="27"/>
    </row>
    <row r="1925" spans="1:9" x14ac:dyDescent="0.35">
      <c r="A1925" s="27"/>
      <c r="B1925" s="27"/>
      <c r="C1925" s="27"/>
      <c r="D1925" s="27"/>
      <c r="E1925" s="27"/>
      <c r="F1925" s="27"/>
      <c r="G1925" s="27"/>
      <c r="H1925" s="27"/>
      <c r="I1925" s="27"/>
    </row>
    <row r="1926" spans="1:9" x14ac:dyDescent="0.35">
      <c r="A1926" s="27"/>
      <c r="B1926" s="27"/>
      <c r="C1926" s="27"/>
      <c r="D1926" s="27"/>
      <c r="E1926" s="27"/>
      <c r="F1926" s="27"/>
      <c r="G1926" s="27"/>
      <c r="H1926" s="27"/>
      <c r="I1926" s="27"/>
    </row>
    <row r="1927" spans="1:9" x14ac:dyDescent="0.35">
      <c r="A1927" s="27"/>
      <c r="B1927" s="27"/>
      <c r="C1927" s="27"/>
      <c r="D1927" s="27"/>
      <c r="E1927" s="27"/>
      <c r="F1927" s="27"/>
      <c r="G1927" s="27"/>
      <c r="H1927" s="27"/>
      <c r="I1927" s="27"/>
    </row>
    <row r="1928" spans="1:9" x14ac:dyDescent="0.35">
      <c r="A1928" s="27"/>
      <c r="B1928" s="27"/>
      <c r="C1928" s="27"/>
      <c r="D1928" s="27"/>
      <c r="E1928" s="27"/>
      <c r="F1928" s="27"/>
      <c r="G1928" s="27"/>
      <c r="H1928" s="27"/>
      <c r="I1928" s="27"/>
    </row>
    <row r="1929" spans="1:9" x14ac:dyDescent="0.35">
      <c r="A1929" s="27"/>
      <c r="B1929" s="27"/>
      <c r="C1929" s="27"/>
      <c r="D1929" s="27"/>
      <c r="E1929" s="27"/>
      <c r="F1929" s="27"/>
      <c r="G1929" s="27"/>
      <c r="H1929" s="27"/>
      <c r="I1929" s="27"/>
    </row>
    <row r="1930" spans="1:9" x14ac:dyDescent="0.35">
      <c r="A1930" s="27"/>
      <c r="B1930" s="27"/>
      <c r="C1930" s="27"/>
      <c r="D1930" s="27"/>
      <c r="E1930" s="27"/>
      <c r="F1930" s="27"/>
      <c r="G1930" s="27"/>
      <c r="H1930" s="27"/>
      <c r="I1930" s="27"/>
    </row>
    <row r="1931" spans="1:9" x14ac:dyDescent="0.35">
      <c r="A1931" s="27"/>
      <c r="B1931" s="27"/>
      <c r="C1931" s="27"/>
      <c r="D1931" s="27"/>
      <c r="E1931" s="27"/>
      <c r="F1931" s="27"/>
      <c r="G1931" s="27"/>
      <c r="H1931" s="27"/>
      <c r="I1931" s="27"/>
    </row>
    <row r="1932" spans="1:9" x14ac:dyDescent="0.35">
      <c r="A1932" s="27"/>
      <c r="B1932" s="27"/>
      <c r="C1932" s="27"/>
      <c r="D1932" s="27"/>
      <c r="E1932" s="27"/>
      <c r="F1932" s="27"/>
      <c r="G1932" s="27"/>
      <c r="H1932" s="27"/>
      <c r="I1932" s="27"/>
    </row>
    <row r="1933" spans="1:9" x14ac:dyDescent="0.35">
      <c r="A1933" s="27"/>
      <c r="B1933" s="27"/>
      <c r="C1933" s="27"/>
      <c r="D1933" s="27"/>
      <c r="E1933" s="27"/>
      <c r="F1933" s="27"/>
      <c r="G1933" s="27"/>
      <c r="H1933" s="27"/>
      <c r="I1933" s="27"/>
    </row>
    <row r="1934" spans="1:9" x14ac:dyDescent="0.35">
      <c r="A1934" s="27"/>
      <c r="B1934" s="27"/>
      <c r="C1934" s="27"/>
      <c r="D1934" s="27"/>
      <c r="E1934" s="27"/>
      <c r="F1934" s="27"/>
      <c r="G1934" s="27"/>
      <c r="H1934" s="27"/>
      <c r="I1934" s="27"/>
    </row>
    <row r="1935" spans="1:9" x14ac:dyDescent="0.35">
      <c r="A1935" s="27"/>
      <c r="B1935" s="27"/>
      <c r="C1935" s="27"/>
      <c r="D1935" s="27"/>
      <c r="E1935" s="27"/>
      <c r="F1935" s="27"/>
      <c r="G1935" s="27"/>
      <c r="H1935" s="27"/>
      <c r="I1935" s="27"/>
    </row>
    <row r="1936" spans="1:9" x14ac:dyDescent="0.35">
      <c r="A1936" s="27"/>
      <c r="B1936" s="27"/>
      <c r="C1936" s="27"/>
      <c r="D1936" s="27"/>
      <c r="E1936" s="27"/>
      <c r="F1936" s="27"/>
      <c r="G1936" s="27"/>
      <c r="H1936" s="27"/>
      <c r="I1936" s="27"/>
    </row>
    <row r="1937" spans="1:9" x14ac:dyDescent="0.35">
      <c r="A1937" s="27"/>
      <c r="B1937" s="27"/>
      <c r="C1937" s="27"/>
      <c r="D1937" s="27"/>
      <c r="E1937" s="27"/>
      <c r="F1937" s="27"/>
      <c r="G1937" s="27"/>
      <c r="H1937" s="27"/>
      <c r="I1937" s="27"/>
    </row>
    <row r="1938" spans="1:9" x14ac:dyDescent="0.35">
      <c r="A1938" s="27"/>
      <c r="B1938" s="27"/>
      <c r="C1938" s="27"/>
      <c r="D1938" s="27"/>
      <c r="E1938" s="27"/>
      <c r="F1938" s="27"/>
      <c r="G1938" s="27"/>
      <c r="H1938" s="27"/>
      <c r="I1938" s="27"/>
    </row>
    <row r="1939" spans="1:9" x14ac:dyDescent="0.35">
      <c r="A1939" s="27"/>
      <c r="B1939" s="27"/>
      <c r="C1939" s="27"/>
      <c r="D1939" s="27"/>
      <c r="E1939" s="27"/>
      <c r="F1939" s="27"/>
      <c r="G1939" s="27"/>
      <c r="H1939" s="27"/>
      <c r="I1939" s="27"/>
    </row>
    <row r="1940" spans="1:9" x14ac:dyDescent="0.35">
      <c r="A1940" s="27"/>
      <c r="B1940" s="27"/>
      <c r="C1940" s="27"/>
      <c r="D1940" s="27"/>
      <c r="E1940" s="27"/>
      <c r="F1940" s="27"/>
      <c r="G1940" s="27"/>
      <c r="H1940" s="27"/>
      <c r="I1940" s="27"/>
    </row>
    <row r="1941" spans="1:9" x14ac:dyDescent="0.35">
      <c r="A1941" s="27"/>
      <c r="B1941" s="27"/>
      <c r="C1941" s="27"/>
      <c r="D1941" s="27"/>
      <c r="E1941" s="27"/>
      <c r="F1941" s="27"/>
      <c r="G1941" s="27"/>
      <c r="H1941" s="27"/>
      <c r="I1941" s="27"/>
    </row>
    <row r="1942" spans="1:9" x14ac:dyDescent="0.35">
      <c r="A1942" s="27"/>
      <c r="B1942" s="27"/>
      <c r="C1942" s="27"/>
      <c r="D1942" s="27"/>
      <c r="E1942" s="27"/>
      <c r="F1942" s="27"/>
      <c r="G1942" s="27"/>
      <c r="H1942" s="27"/>
      <c r="I1942" s="27"/>
    </row>
    <row r="1943" spans="1:9" x14ac:dyDescent="0.35">
      <c r="A1943" s="27"/>
      <c r="B1943" s="27"/>
      <c r="C1943" s="27"/>
      <c r="D1943" s="27"/>
      <c r="E1943" s="27"/>
      <c r="F1943" s="27"/>
      <c r="G1943" s="27"/>
      <c r="H1943" s="27"/>
      <c r="I1943" s="27"/>
    </row>
    <row r="1944" spans="1:9" x14ac:dyDescent="0.35">
      <c r="A1944" s="27"/>
      <c r="B1944" s="27"/>
      <c r="C1944" s="27"/>
      <c r="D1944" s="27"/>
      <c r="E1944" s="27"/>
      <c r="F1944" s="27"/>
      <c r="G1944" s="27"/>
      <c r="H1944" s="27"/>
      <c r="I1944" s="27"/>
    </row>
    <row r="1945" spans="1:9" x14ac:dyDescent="0.35">
      <c r="A1945" s="27"/>
      <c r="B1945" s="27"/>
      <c r="C1945" s="27"/>
      <c r="D1945" s="27"/>
      <c r="E1945" s="27"/>
      <c r="F1945" s="27"/>
      <c r="G1945" s="27"/>
      <c r="H1945" s="27"/>
      <c r="I1945" s="27"/>
    </row>
    <row r="1946" spans="1:9" x14ac:dyDescent="0.35">
      <c r="A1946" s="27"/>
      <c r="B1946" s="27"/>
      <c r="C1946" s="27"/>
      <c r="D1946" s="27"/>
      <c r="E1946" s="27"/>
      <c r="F1946" s="27"/>
      <c r="G1946" s="27"/>
      <c r="H1946" s="27"/>
      <c r="I1946" s="27"/>
    </row>
    <row r="1947" spans="1:9" x14ac:dyDescent="0.35">
      <c r="A1947" s="27"/>
      <c r="B1947" s="27"/>
      <c r="C1947" s="27"/>
      <c r="D1947" s="27"/>
      <c r="E1947" s="27"/>
      <c r="F1947" s="27"/>
      <c r="G1947" s="27"/>
      <c r="H1947" s="27"/>
      <c r="I1947" s="27"/>
    </row>
    <row r="1948" spans="1:9" x14ac:dyDescent="0.35">
      <c r="A1948" s="27"/>
      <c r="B1948" s="27"/>
      <c r="C1948" s="27"/>
      <c r="D1948" s="27"/>
      <c r="E1948" s="27"/>
      <c r="F1948" s="27"/>
      <c r="G1948" s="27"/>
      <c r="H1948" s="27"/>
      <c r="I1948" s="27"/>
    </row>
    <row r="1949" spans="1:9" x14ac:dyDescent="0.35">
      <c r="A1949" s="27"/>
      <c r="B1949" s="27"/>
      <c r="C1949" s="27"/>
      <c r="D1949" s="27"/>
      <c r="E1949" s="27"/>
      <c r="F1949" s="27"/>
      <c r="G1949" s="27"/>
      <c r="H1949" s="27"/>
      <c r="I1949" s="27"/>
    </row>
    <row r="1950" spans="1:9" x14ac:dyDescent="0.35">
      <c r="A1950" s="27"/>
      <c r="B1950" s="27"/>
      <c r="C1950" s="27"/>
      <c r="D1950" s="27"/>
      <c r="E1950" s="27"/>
      <c r="F1950" s="27"/>
      <c r="G1950" s="27"/>
      <c r="H1950" s="27"/>
      <c r="I1950" s="27"/>
    </row>
    <row r="1951" spans="1:9" x14ac:dyDescent="0.35">
      <c r="A1951" s="27"/>
      <c r="B1951" s="27"/>
      <c r="C1951" s="27"/>
      <c r="D1951" s="27"/>
      <c r="E1951" s="27"/>
      <c r="F1951" s="27"/>
      <c r="G1951" s="27"/>
      <c r="H1951" s="27"/>
      <c r="I1951" s="27"/>
    </row>
    <row r="1952" spans="1:9" x14ac:dyDescent="0.35">
      <c r="A1952" s="27"/>
      <c r="B1952" s="27"/>
      <c r="C1952" s="27"/>
      <c r="D1952" s="27"/>
      <c r="E1952" s="27"/>
      <c r="F1952" s="27"/>
      <c r="G1952" s="27"/>
      <c r="H1952" s="27"/>
      <c r="I1952" s="27"/>
    </row>
    <row r="1953" spans="1:9" x14ac:dyDescent="0.35">
      <c r="A1953" s="27"/>
      <c r="B1953" s="27"/>
      <c r="C1953" s="27"/>
      <c r="D1953" s="27"/>
      <c r="E1953" s="27"/>
      <c r="F1953" s="27"/>
      <c r="G1953" s="27"/>
      <c r="H1953" s="27"/>
      <c r="I1953" s="27"/>
    </row>
    <row r="1954" spans="1:9" x14ac:dyDescent="0.35">
      <c r="A1954" s="27"/>
      <c r="B1954" s="27"/>
      <c r="C1954" s="27"/>
      <c r="D1954" s="27"/>
      <c r="E1954" s="27"/>
      <c r="F1954" s="27"/>
      <c r="G1954" s="27"/>
      <c r="H1954" s="27"/>
      <c r="I1954" s="27"/>
    </row>
    <row r="1955" spans="1:9" x14ac:dyDescent="0.35">
      <c r="A1955" s="27"/>
      <c r="B1955" s="27"/>
      <c r="C1955" s="27"/>
      <c r="D1955" s="27"/>
      <c r="E1955" s="27"/>
      <c r="F1955" s="27"/>
      <c r="G1955" s="27"/>
      <c r="H1955" s="27"/>
      <c r="I1955" s="27"/>
    </row>
    <row r="1956" spans="1:9" x14ac:dyDescent="0.35">
      <c r="A1956" s="27"/>
      <c r="B1956" s="27"/>
      <c r="C1956" s="27"/>
      <c r="D1956" s="27"/>
      <c r="E1956" s="27"/>
      <c r="F1956" s="27"/>
      <c r="G1956" s="27"/>
      <c r="H1956" s="27"/>
      <c r="I1956" s="27"/>
    </row>
    <row r="1957" spans="1:9" x14ac:dyDescent="0.35">
      <c r="A1957" s="27"/>
      <c r="B1957" s="27"/>
      <c r="C1957" s="27"/>
      <c r="D1957" s="27"/>
      <c r="E1957" s="27"/>
      <c r="F1957" s="27"/>
      <c r="G1957" s="27"/>
      <c r="H1957" s="27"/>
      <c r="I1957" s="27"/>
    </row>
    <row r="1958" spans="1:9" x14ac:dyDescent="0.35">
      <c r="A1958" s="27"/>
      <c r="B1958" s="27"/>
      <c r="C1958" s="27"/>
      <c r="D1958" s="27"/>
      <c r="E1958" s="27"/>
      <c r="F1958" s="27"/>
      <c r="G1958" s="27"/>
      <c r="H1958" s="27"/>
      <c r="I1958" s="27"/>
    </row>
    <row r="1959" spans="1:9" x14ac:dyDescent="0.35">
      <c r="A1959" s="27"/>
      <c r="B1959" s="27"/>
      <c r="C1959" s="27"/>
      <c r="D1959" s="27"/>
      <c r="E1959" s="27"/>
      <c r="F1959" s="27"/>
      <c r="G1959" s="27"/>
      <c r="H1959" s="27"/>
      <c r="I1959" s="27"/>
    </row>
    <row r="1960" spans="1:9" x14ac:dyDescent="0.35">
      <c r="A1960" s="27"/>
      <c r="B1960" s="27"/>
      <c r="C1960" s="27"/>
      <c r="D1960" s="27"/>
      <c r="E1960" s="27"/>
      <c r="F1960" s="27"/>
      <c r="G1960" s="27"/>
      <c r="H1960" s="27"/>
      <c r="I1960" s="27"/>
    </row>
    <row r="1961" spans="1:9" x14ac:dyDescent="0.35">
      <c r="A1961" s="27"/>
      <c r="B1961" s="27"/>
      <c r="C1961" s="27"/>
      <c r="D1961" s="27"/>
      <c r="E1961" s="27"/>
      <c r="F1961" s="27"/>
      <c r="G1961" s="27"/>
      <c r="H1961" s="27"/>
      <c r="I1961" s="27"/>
    </row>
    <row r="1962" spans="1:9" x14ac:dyDescent="0.35">
      <c r="A1962" s="27"/>
      <c r="B1962" s="27"/>
      <c r="C1962" s="27"/>
      <c r="D1962" s="27"/>
      <c r="E1962" s="27"/>
      <c r="F1962" s="27"/>
      <c r="G1962" s="27"/>
      <c r="H1962" s="27"/>
      <c r="I1962" s="27"/>
    </row>
    <row r="1963" spans="1:9" x14ac:dyDescent="0.35">
      <c r="A1963" s="27"/>
      <c r="B1963" s="27"/>
      <c r="C1963" s="27"/>
      <c r="D1963" s="27"/>
      <c r="E1963" s="27"/>
      <c r="F1963" s="27"/>
      <c r="G1963" s="27"/>
      <c r="H1963" s="27"/>
      <c r="I1963" s="27"/>
    </row>
    <row r="1964" spans="1:9" x14ac:dyDescent="0.35">
      <c r="A1964" s="27"/>
      <c r="B1964" s="27"/>
      <c r="C1964" s="27"/>
      <c r="D1964" s="27"/>
      <c r="E1964" s="27"/>
      <c r="F1964" s="27"/>
      <c r="G1964" s="27"/>
      <c r="H1964" s="27"/>
      <c r="I1964" s="27"/>
    </row>
    <row r="1965" spans="1:9" x14ac:dyDescent="0.35">
      <c r="A1965" s="27"/>
      <c r="B1965" s="27"/>
      <c r="C1965" s="27"/>
      <c r="D1965" s="27"/>
      <c r="E1965" s="27"/>
      <c r="F1965" s="27"/>
      <c r="G1965" s="27"/>
      <c r="H1965" s="27"/>
      <c r="I1965" s="27"/>
    </row>
    <row r="1966" spans="1:9" x14ac:dyDescent="0.35">
      <c r="A1966" s="27"/>
      <c r="B1966" s="27"/>
      <c r="C1966" s="27"/>
      <c r="D1966" s="27"/>
      <c r="E1966" s="27"/>
      <c r="F1966" s="27"/>
      <c r="G1966" s="27"/>
      <c r="H1966" s="27"/>
      <c r="I1966" s="27"/>
    </row>
    <row r="1967" spans="1:9" x14ac:dyDescent="0.35">
      <c r="A1967" s="27"/>
      <c r="B1967" s="27"/>
      <c r="C1967" s="27"/>
      <c r="D1967" s="27"/>
      <c r="E1967" s="27"/>
      <c r="F1967" s="27"/>
      <c r="G1967" s="27"/>
      <c r="H1967" s="27"/>
      <c r="I1967" s="27"/>
    </row>
    <row r="1968" spans="1:9" x14ac:dyDescent="0.35">
      <c r="A1968" s="27"/>
      <c r="B1968" s="27"/>
      <c r="C1968" s="27"/>
      <c r="D1968" s="27"/>
      <c r="E1968" s="27"/>
      <c r="F1968" s="27"/>
      <c r="G1968" s="27"/>
      <c r="H1968" s="27"/>
      <c r="I1968" s="27"/>
    </row>
    <row r="1969" spans="1:9" x14ac:dyDescent="0.35">
      <c r="A1969" s="27"/>
      <c r="B1969" s="27"/>
      <c r="C1969" s="27"/>
      <c r="D1969" s="27"/>
      <c r="E1969" s="27"/>
      <c r="F1969" s="27"/>
      <c r="G1969" s="27"/>
      <c r="H1969" s="27"/>
      <c r="I1969" s="27"/>
    </row>
    <row r="1970" spans="1:9" x14ac:dyDescent="0.35">
      <c r="A1970" s="27"/>
      <c r="B1970" s="27"/>
      <c r="C1970" s="27"/>
      <c r="D1970" s="27"/>
      <c r="E1970" s="27"/>
      <c r="F1970" s="27"/>
      <c r="G1970" s="27"/>
      <c r="H1970" s="27"/>
      <c r="I1970" s="27"/>
    </row>
    <row r="1971" spans="1:9" x14ac:dyDescent="0.35">
      <c r="A1971" s="27"/>
      <c r="B1971" s="27"/>
      <c r="C1971" s="27"/>
      <c r="D1971" s="27"/>
      <c r="E1971" s="27"/>
      <c r="F1971" s="27"/>
      <c r="G1971" s="27"/>
      <c r="H1971" s="27"/>
      <c r="I1971" s="27"/>
    </row>
    <row r="1972" spans="1:9" x14ac:dyDescent="0.35">
      <c r="A1972" s="27"/>
      <c r="B1972" s="27"/>
      <c r="C1972" s="27"/>
      <c r="D1972" s="27"/>
      <c r="E1972" s="27"/>
      <c r="F1972" s="27"/>
      <c r="G1972" s="27"/>
      <c r="H1972" s="27"/>
      <c r="I1972" s="27"/>
    </row>
    <row r="1973" spans="1:9" x14ac:dyDescent="0.35">
      <c r="A1973" s="27"/>
      <c r="B1973" s="27"/>
      <c r="C1973" s="27"/>
      <c r="D1973" s="27"/>
      <c r="E1973" s="27"/>
      <c r="F1973" s="27"/>
      <c r="G1973" s="27"/>
      <c r="H1973" s="27"/>
      <c r="I1973" s="27"/>
    </row>
    <row r="1974" spans="1:9" x14ac:dyDescent="0.35">
      <c r="A1974" s="27"/>
      <c r="B1974" s="27"/>
      <c r="C1974" s="27"/>
      <c r="D1974" s="27"/>
      <c r="E1974" s="27"/>
      <c r="F1974" s="27"/>
      <c r="G1974" s="27"/>
      <c r="H1974" s="27"/>
      <c r="I1974" s="27"/>
    </row>
    <row r="1975" spans="1:9" x14ac:dyDescent="0.35">
      <c r="A1975" s="27"/>
      <c r="B1975" s="27"/>
      <c r="C1975" s="27"/>
      <c r="D1975" s="27"/>
      <c r="E1975" s="27"/>
      <c r="F1975" s="27"/>
      <c r="G1975" s="27"/>
      <c r="H1975" s="27"/>
      <c r="I1975" s="27"/>
    </row>
    <row r="1976" spans="1:9" x14ac:dyDescent="0.35">
      <c r="A1976" s="27"/>
      <c r="B1976" s="27"/>
      <c r="C1976" s="27"/>
      <c r="D1976" s="27"/>
      <c r="E1976" s="27"/>
      <c r="F1976" s="27"/>
      <c r="G1976" s="27"/>
      <c r="H1976" s="27"/>
      <c r="I1976" s="27"/>
    </row>
    <row r="1977" spans="1:9" x14ac:dyDescent="0.35">
      <c r="A1977" s="27"/>
      <c r="B1977" s="27"/>
      <c r="C1977" s="27"/>
      <c r="D1977" s="27"/>
      <c r="E1977" s="27"/>
      <c r="F1977" s="27"/>
      <c r="G1977" s="27"/>
      <c r="H1977" s="27"/>
      <c r="I1977" s="27"/>
    </row>
    <row r="1978" spans="1:9" x14ac:dyDescent="0.35">
      <c r="A1978" s="27"/>
      <c r="B1978" s="27"/>
      <c r="C1978" s="27"/>
      <c r="D1978" s="27"/>
      <c r="E1978" s="27"/>
      <c r="F1978" s="27"/>
      <c r="G1978" s="27"/>
      <c r="H1978" s="27"/>
      <c r="I1978" s="27"/>
    </row>
    <row r="1979" spans="1:9" x14ac:dyDescent="0.35">
      <c r="A1979" s="27"/>
      <c r="B1979" s="27"/>
      <c r="C1979" s="27"/>
      <c r="D1979" s="27"/>
      <c r="E1979" s="27"/>
      <c r="F1979" s="27"/>
      <c r="G1979" s="27"/>
      <c r="H1979" s="27"/>
      <c r="I1979" s="27"/>
    </row>
    <row r="1980" spans="1:9" x14ac:dyDescent="0.35">
      <c r="A1980" s="27"/>
      <c r="B1980" s="27"/>
      <c r="C1980" s="27"/>
      <c r="D1980" s="27"/>
      <c r="E1980" s="27"/>
      <c r="F1980" s="27"/>
      <c r="G1980" s="27"/>
      <c r="H1980" s="27"/>
      <c r="I1980" s="27"/>
    </row>
    <row r="1981" spans="1:9" x14ac:dyDescent="0.35">
      <c r="A1981" s="27"/>
      <c r="B1981" s="27"/>
      <c r="C1981" s="27"/>
      <c r="D1981" s="27"/>
      <c r="E1981" s="27"/>
      <c r="F1981" s="27"/>
      <c r="G1981" s="27"/>
      <c r="H1981" s="27"/>
      <c r="I1981" s="27"/>
    </row>
    <row r="1982" spans="1:9" x14ac:dyDescent="0.35">
      <c r="A1982" s="27"/>
      <c r="B1982" s="27"/>
      <c r="C1982" s="27"/>
      <c r="D1982" s="27"/>
      <c r="E1982" s="27"/>
      <c r="F1982" s="27"/>
      <c r="G1982" s="27"/>
      <c r="H1982" s="27"/>
      <c r="I1982" s="27"/>
    </row>
    <row r="1983" spans="1:9" x14ac:dyDescent="0.35">
      <c r="A1983" s="27"/>
      <c r="B1983" s="27"/>
      <c r="C1983" s="27"/>
      <c r="D1983" s="27"/>
      <c r="E1983" s="27"/>
      <c r="F1983" s="27"/>
      <c r="G1983" s="27"/>
      <c r="H1983" s="27"/>
      <c r="I1983" s="27"/>
    </row>
    <row r="1984" spans="1:9" x14ac:dyDescent="0.35">
      <c r="A1984" s="27"/>
      <c r="B1984" s="27"/>
      <c r="C1984" s="27"/>
      <c r="D1984" s="27"/>
      <c r="E1984" s="27"/>
      <c r="F1984" s="27"/>
      <c r="G1984" s="27"/>
      <c r="H1984" s="27"/>
      <c r="I1984" s="27"/>
    </row>
    <row r="1985" spans="1:9" x14ac:dyDescent="0.35">
      <c r="A1985" s="27"/>
      <c r="B1985" s="27"/>
      <c r="C1985" s="27"/>
      <c r="D1985" s="27"/>
      <c r="E1985" s="27"/>
      <c r="F1985" s="27"/>
      <c r="G1985" s="27"/>
      <c r="H1985" s="27"/>
      <c r="I1985" s="27"/>
    </row>
    <row r="1986" spans="1:9" x14ac:dyDescent="0.35">
      <c r="A1986" s="27"/>
      <c r="B1986" s="27"/>
      <c r="C1986" s="27"/>
      <c r="D1986" s="27"/>
      <c r="E1986" s="27"/>
      <c r="F1986" s="27"/>
      <c r="G1986" s="27"/>
      <c r="H1986" s="27"/>
      <c r="I1986" s="27"/>
    </row>
    <row r="1987" spans="1:9" x14ac:dyDescent="0.35">
      <c r="A1987" s="27"/>
      <c r="B1987" s="27"/>
      <c r="C1987" s="27"/>
      <c r="D1987" s="27"/>
      <c r="E1987" s="27"/>
      <c r="F1987" s="27"/>
      <c r="G1987" s="27"/>
      <c r="H1987" s="27"/>
      <c r="I1987" s="27"/>
    </row>
    <row r="1988" spans="1:9" x14ac:dyDescent="0.35">
      <c r="A1988" s="27"/>
      <c r="B1988" s="27"/>
      <c r="C1988" s="27"/>
      <c r="D1988" s="27"/>
      <c r="E1988" s="27"/>
      <c r="F1988" s="27"/>
      <c r="G1988" s="27"/>
      <c r="H1988" s="27"/>
      <c r="I1988" s="27"/>
    </row>
    <row r="1989" spans="1:9" x14ac:dyDescent="0.35">
      <c r="A1989" s="27"/>
      <c r="B1989" s="27"/>
      <c r="C1989" s="27"/>
      <c r="D1989" s="27"/>
      <c r="E1989" s="27"/>
      <c r="F1989" s="27"/>
      <c r="G1989" s="27"/>
      <c r="H1989" s="27"/>
      <c r="I1989" s="27"/>
    </row>
    <row r="1990" spans="1:9" x14ac:dyDescent="0.35">
      <c r="A1990" s="27"/>
      <c r="B1990" s="27"/>
      <c r="C1990" s="27"/>
      <c r="D1990" s="27"/>
      <c r="E1990" s="27"/>
      <c r="F1990" s="27"/>
      <c r="G1990" s="27"/>
      <c r="H1990" s="27"/>
      <c r="I1990" s="27"/>
    </row>
    <row r="1991" spans="1:9" x14ac:dyDescent="0.35">
      <c r="A1991" s="27"/>
      <c r="B1991" s="27"/>
      <c r="C1991" s="27"/>
      <c r="D1991" s="27"/>
      <c r="E1991" s="27"/>
      <c r="F1991" s="27"/>
      <c r="G1991" s="27"/>
      <c r="H1991" s="27"/>
      <c r="I1991" s="27"/>
    </row>
    <row r="1992" spans="1:9" x14ac:dyDescent="0.35">
      <c r="A1992" s="27"/>
      <c r="B1992" s="27"/>
      <c r="C1992" s="27"/>
      <c r="D1992" s="27"/>
      <c r="E1992" s="27"/>
      <c r="F1992" s="27"/>
      <c r="G1992" s="27"/>
      <c r="H1992" s="27"/>
      <c r="I1992" s="27"/>
    </row>
    <row r="1993" spans="1:9" x14ac:dyDescent="0.35">
      <c r="A1993" s="27"/>
      <c r="B1993" s="27"/>
      <c r="C1993" s="27"/>
      <c r="D1993" s="27"/>
      <c r="E1993" s="27"/>
      <c r="F1993" s="27"/>
      <c r="G1993" s="27"/>
      <c r="H1993" s="27"/>
      <c r="I1993" s="27"/>
    </row>
    <row r="1994" spans="1:9" x14ac:dyDescent="0.35">
      <c r="A1994" s="27"/>
      <c r="B1994" s="27"/>
      <c r="C1994" s="27"/>
      <c r="D1994" s="27"/>
      <c r="E1994" s="27"/>
      <c r="F1994" s="27"/>
      <c r="G1994" s="27"/>
      <c r="H1994" s="27"/>
      <c r="I1994" s="27"/>
    </row>
    <row r="1995" spans="1:9" x14ac:dyDescent="0.35">
      <c r="A1995" s="27"/>
      <c r="B1995" s="27"/>
      <c r="C1995" s="27"/>
      <c r="D1995" s="27"/>
      <c r="E1995" s="27"/>
      <c r="F1995" s="27"/>
      <c r="G1995" s="27"/>
      <c r="H1995" s="27"/>
      <c r="I1995" s="27"/>
    </row>
    <row r="1996" spans="1:9" x14ac:dyDescent="0.35">
      <c r="A1996" s="27"/>
      <c r="B1996" s="27"/>
      <c r="C1996" s="27"/>
      <c r="D1996" s="27"/>
      <c r="E1996" s="27"/>
      <c r="F1996" s="27"/>
      <c r="G1996" s="27"/>
      <c r="H1996" s="27"/>
      <c r="I1996" s="27"/>
    </row>
    <row r="1997" spans="1:9" x14ac:dyDescent="0.35">
      <c r="A1997" s="27"/>
      <c r="B1997" s="27"/>
      <c r="C1997" s="27"/>
      <c r="D1997" s="27"/>
      <c r="E1997" s="27"/>
      <c r="F1997" s="27"/>
      <c r="G1997" s="27"/>
      <c r="H1997" s="27"/>
      <c r="I1997" s="27"/>
    </row>
    <row r="1998" spans="1:9" x14ac:dyDescent="0.35">
      <c r="A1998" s="27"/>
      <c r="B1998" s="27"/>
      <c r="C1998" s="27"/>
      <c r="D1998" s="27"/>
      <c r="E1998" s="27"/>
      <c r="F1998" s="27"/>
      <c r="G1998" s="27"/>
      <c r="H1998" s="27"/>
      <c r="I1998" s="27"/>
    </row>
    <row r="1999" spans="1:9" x14ac:dyDescent="0.35">
      <c r="A1999" s="27"/>
      <c r="B1999" s="27"/>
      <c r="C1999" s="27"/>
      <c r="D1999" s="27"/>
      <c r="E1999" s="27"/>
      <c r="F1999" s="27"/>
      <c r="G1999" s="27"/>
      <c r="H1999" s="27"/>
      <c r="I1999" s="27"/>
    </row>
    <row r="2000" spans="1:9" x14ac:dyDescent="0.35">
      <c r="A2000" s="27"/>
      <c r="B2000" s="27"/>
      <c r="C2000" s="27"/>
      <c r="D2000" s="27"/>
      <c r="E2000" s="27"/>
      <c r="F2000" s="27"/>
      <c r="G2000" s="27"/>
      <c r="H2000" s="27"/>
      <c r="I2000" s="27"/>
    </row>
    <row r="2001" spans="1:9" x14ac:dyDescent="0.35">
      <c r="A2001" s="27"/>
      <c r="B2001" s="27"/>
      <c r="C2001" s="27"/>
      <c r="D2001" s="27"/>
      <c r="E2001" s="27"/>
      <c r="F2001" s="27"/>
      <c r="G2001" s="27"/>
      <c r="H2001" s="27"/>
      <c r="I2001" s="27"/>
    </row>
    <row r="2002" spans="1:9" x14ac:dyDescent="0.35">
      <c r="A2002" s="27"/>
      <c r="B2002" s="27"/>
      <c r="C2002" s="27"/>
      <c r="D2002" s="27"/>
      <c r="E2002" s="27"/>
      <c r="F2002" s="27"/>
      <c r="G2002" s="27"/>
      <c r="H2002" s="27"/>
      <c r="I2002" s="27"/>
    </row>
    <row r="2003" spans="1:9" x14ac:dyDescent="0.35">
      <c r="A2003" s="27"/>
      <c r="B2003" s="27"/>
      <c r="C2003" s="27"/>
      <c r="D2003" s="27"/>
      <c r="E2003" s="27"/>
      <c r="F2003" s="27"/>
      <c r="G2003" s="27"/>
      <c r="H2003" s="27"/>
      <c r="I2003" s="27"/>
    </row>
    <row r="2004" spans="1:9" x14ac:dyDescent="0.35">
      <c r="A2004" s="27"/>
      <c r="B2004" s="27"/>
      <c r="C2004" s="27"/>
      <c r="D2004" s="27"/>
      <c r="E2004" s="27"/>
      <c r="F2004" s="27"/>
      <c r="G2004" s="27"/>
      <c r="H2004" s="27"/>
      <c r="I2004" s="27"/>
    </row>
    <row r="2005" spans="1:9" x14ac:dyDescent="0.35">
      <c r="A2005" s="27"/>
      <c r="B2005" s="27"/>
      <c r="C2005" s="27"/>
      <c r="D2005" s="27"/>
      <c r="E2005" s="27"/>
      <c r="F2005" s="27"/>
      <c r="G2005" s="27"/>
      <c r="H2005" s="27"/>
      <c r="I2005" s="27"/>
    </row>
    <row r="2006" spans="1:9" x14ac:dyDescent="0.35">
      <c r="A2006" s="27"/>
      <c r="B2006" s="27"/>
      <c r="C2006" s="27"/>
      <c r="D2006" s="27"/>
      <c r="E2006" s="27"/>
      <c r="F2006" s="27"/>
      <c r="G2006" s="27"/>
      <c r="H2006" s="27"/>
      <c r="I2006" s="27"/>
    </row>
    <row r="2007" spans="1:9" x14ac:dyDescent="0.35">
      <c r="A2007" s="27"/>
      <c r="B2007" s="27"/>
      <c r="C2007" s="27"/>
      <c r="D2007" s="27"/>
      <c r="E2007" s="27"/>
      <c r="F2007" s="27"/>
      <c r="G2007" s="27"/>
      <c r="H2007" s="27"/>
      <c r="I2007" s="27"/>
    </row>
    <row r="2008" spans="1:9" x14ac:dyDescent="0.35">
      <c r="A2008" s="27"/>
      <c r="B2008" s="27"/>
      <c r="C2008" s="27"/>
      <c r="D2008" s="27"/>
      <c r="E2008" s="27"/>
      <c r="F2008" s="27"/>
      <c r="G2008" s="27"/>
      <c r="H2008" s="27"/>
      <c r="I2008" s="27"/>
    </row>
    <row r="2009" spans="1:9" x14ac:dyDescent="0.35">
      <c r="A2009" s="27"/>
      <c r="B2009" s="27"/>
      <c r="C2009" s="27"/>
      <c r="D2009" s="27"/>
      <c r="E2009" s="27"/>
      <c r="F2009" s="27"/>
      <c r="G2009" s="27"/>
      <c r="H2009" s="27"/>
      <c r="I2009" s="27"/>
    </row>
    <row r="2010" spans="1:9" x14ac:dyDescent="0.35">
      <c r="A2010" s="27"/>
      <c r="B2010" s="27"/>
      <c r="C2010" s="27"/>
      <c r="D2010" s="27"/>
      <c r="E2010" s="27"/>
      <c r="F2010" s="27"/>
      <c r="G2010" s="27"/>
      <c r="H2010" s="27"/>
      <c r="I2010" s="27"/>
    </row>
    <row r="2011" spans="1:9" x14ac:dyDescent="0.35">
      <c r="A2011" s="27"/>
      <c r="B2011" s="27"/>
      <c r="C2011" s="27"/>
      <c r="D2011" s="27"/>
      <c r="E2011" s="27"/>
      <c r="F2011" s="27"/>
      <c r="G2011" s="27"/>
      <c r="H2011" s="27"/>
      <c r="I2011" s="27"/>
    </row>
    <row r="2012" spans="1:9" x14ac:dyDescent="0.35">
      <c r="A2012" s="27"/>
      <c r="B2012" s="27"/>
      <c r="C2012" s="27"/>
      <c r="D2012" s="27"/>
      <c r="E2012" s="27"/>
      <c r="F2012" s="27"/>
      <c r="G2012" s="27"/>
      <c r="H2012" s="27"/>
      <c r="I2012" s="27"/>
    </row>
    <row r="2013" spans="1:9" x14ac:dyDescent="0.35">
      <c r="A2013" s="27"/>
      <c r="B2013" s="27"/>
      <c r="C2013" s="27"/>
      <c r="D2013" s="27"/>
      <c r="E2013" s="27"/>
      <c r="F2013" s="27"/>
      <c r="G2013" s="27"/>
      <c r="H2013" s="27"/>
      <c r="I2013" s="27"/>
    </row>
    <row r="2014" spans="1:9" x14ac:dyDescent="0.35">
      <c r="A2014" s="27"/>
      <c r="B2014" s="27"/>
      <c r="C2014" s="27"/>
      <c r="D2014" s="27"/>
      <c r="E2014" s="27"/>
      <c r="F2014" s="27"/>
      <c r="G2014" s="27"/>
      <c r="H2014" s="27"/>
      <c r="I2014" s="27"/>
    </row>
    <row r="2015" spans="1:9" x14ac:dyDescent="0.35">
      <c r="A2015" s="27"/>
      <c r="B2015" s="27"/>
      <c r="C2015" s="27"/>
      <c r="D2015" s="27"/>
      <c r="E2015" s="27"/>
      <c r="F2015" s="27"/>
      <c r="G2015" s="27"/>
      <c r="H2015" s="27"/>
      <c r="I2015" s="27"/>
    </row>
    <row r="2016" spans="1:9" x14ac:dyDescent="0.35">
      <c r="A2016" s="27"/>
      <c r="B2016" s="27"/>
      <c r="C2016" s="27"/>
      <c r="D2016" s="27"/>
      <c r="E2016" s="27"/>
      <c r="F2016" s="27"/>
      <c r="G2016" s="27"/>
      <c r="H2016" s="27"/>
      <c r="I2016" s="27"/>
    </row>
    <row r="2017" spans="1:9" x14ac:dyDescent="0.35">
      <c r="A2017" s="27"/>
      <c r="B2017" s="27"/>
      <c r="C2017" s="27"/>
      <c r="D2017" s="27"/>
      <c r="E2017" s="27"/>
      <c r="F2017" s="27"/>
      <c r="G2017" s="27"/>
      <c r="H2017" s="27"/>
      <c r="I2017" s="27"/>
    </row>
    <row r="2018" spans="1:9" x14ac:dyDescent="0.35">
      <c r="A2018" s="27"/>
      <c r="B2018" s="27"/>
      <c r="C2018" s="27"/>
      <c r="D2018" s="27"/>
      <c r="E2018" s="27"/>
      <c r="F2018" s="27"/>
      <c r="G2018" s="27"/>
      <c r="H2018" s="27"/>
      <c r="I2018" s="27"/>
    </row>
    <row r="2019" spans="1:9" x14ac:dyDescent="0.35">
      <c r="A2019" s="27"/>
      <c r="B2019" s="27"/>
      <c r="C2019" s="27"/>
      <c r="D2019" s="27"/>
      <c r="E2019" s="27"/>
      <c r="F2019" s="27"/>
      <c r="G2019" s="27"/>
      <c r="H2019" s="27"/>
      <c r="I2019" s="27"/>
    </row>
    <row r="2020" spans="1:9" x14ac:dyDescent="0.35">
      <c r="A2020" s="27"/>
      <c r="B2020" s="27"/>
      <c r="C2020" s="27"/>
      <c r="D2020" s="27"/>
      <c r="E2020" s="27"/>
      <c r="F2020" s="27"/>
      <c r="G2020" s="27"/>
      <c r="H2020" s="27"/>
      <c r="I2020" s="27"/>
    </row>
    <row r="2021" spans="1:9" x14ac:dyDescent="0.35">
      <c r="A2021" s="27"/>
      <c r="B2021" s="27"/>
      <c r="C2021" s="27"/>
      <c r="D2021" s="27"/>
      <c r="E2021" s="27"/>
      <c r="F2021" s="27"/>
      <c r="G2021" s="27"/>
      <c r="H2021" s="27"/>
      <c r="I2021" s="27"/>
    </row>
    <row r="2022" spans="1:9" x14ac:dyDescent="0.35">
      <c r="A2022" s="27"/>
      <c r="B2022" s="27"/>
      <c r="C2022" s="27"/>
      <c r="D2022" s="27"/>
      <c r="E2022" s="27"/>
      <c r="F2022" s="27"/>
      <c r="G2022" s="27"/>
      <c r="H2022" s="27"/>
      <c r="I2022" s="27"/>
    </row>
    <row r="2023" spans="1:9" x14ac:dyDescent="0.35">
      <c r="A2023" s="27"/>
      <c r="B2023" s="27"/>
      <c r="C2023" s="27"/>
      <c r="D2023" s="27"/>
      <c r="E2023" s="27"/>
      <c r="F2023" s="27"/>
      <c r="G2023" s="27"/>
      <c r="H2023" s="27"/>
      <c r="I2023" s="27"/>
    </row>
    <row r="2024" spans="1:9" x14ac:dyDescent="0.35">
      <c r="A2024" s="27"/>
      <c r="B2024" s="27"/>
      <c r="C2024" s="27"/>
      <c r="D2024" s="27"/>
      <c r="E2024" s="27"/>
      <c r="F2024" s="27"/>
      <c r="G2024" s="27"/>
      <c r="H2024" s="27"/>
      <c r="I2024" s="27"/>
    </row>
    <row r="2025" spans="1:9" x14ac:dyDescent="0.35">
      <c r="A2025" s="27"/>
      <c r="B2025" s="27"/>
      <c r="C2025" s="27"/>
      <c r="D2025" s="27"/>
      <c r="E2025" s="27"/>
      <c r="F2025" s="27"/>
      <c r="G2025" s="27"/>
      <c r="H2025" s="27"/>
      <c r="I2025" s="27"/>
    </row>
    <row r="2026" spans="1:9" x14ac:dyDescent="0.35">
      <c r="A2026" s="27"/>
      <c r="B2026" s="27"/>
      <c r="C2026" s="27"/>
      <c r="D2026" s="27"/>
      <c r="E2026" s="27"/>
      <c r="F2026" s="27"/>
      <c r="G2026" s="27"/>
      <c r="H2026" s="27"/>
      <c r="I2026" s="27"/>
    </row>
    <row r="2027" spans="1:9" x14ac:dyDescent="0.35">
      <c r="A2027" s="27"/>
      <c r="B2027" s="27"/>
      <c r="C2027" s="27"/>
      <c r="D2027" s="27"/>
      <c r="E2027" s="27"/>
      <c r="F2027" s="27"/>
      <c r="G2027" s="27"/>
      <c r="H2027" s="27"/>
      <c r="I2027" s="27"/>
    </row>
    <row r="2028" spans="1:9" x14ac:dyDescent="0.35">
      <c r="A2028" s="27"/>
      <c r="B2028" s="27"/>
      <c r="C2028" s="27"/>
      <c r="D2028" s="27"/>
      <c r="E2028" s="27"/>
      <c r="F2028" s="27"/>
      <c r="G2028" s="27"/>
      <c r="H2028" s="27"/>
      <c r="I2028" s="27"/>
    </row>
    <row r="2029" spans="1:9" x14ac:dyDescent="0.35">
      <c r="A2029" s="27"/>
      <c r="B2029" s="27"/>
      <c r="C2029" s="27"/>
      <c r="D2029" s="27"/>
      <c r="E2029" s="27"/>
      <c r="F2029" s="27"/>
      <c r="G2029" s="27"/>
      <c r="H2029" s="27"/>
      <c r="I2029" s="27"/>
    </row>
    <row r="2030" spans="1:9" x14ac:dyDescent="0.35">
      <c r="A2030" s="27"/>
      <c r="B2030" s="27"/>
      <c r="C2030" s="27"/>
      <c r="D2030" s="27"/>
      <c r="E2030" s="27"/>
      <c r="F2030" s="27"/>
      <c r="G2030" s="27"/>
      <c r="H2030" s="27"/>
      <c r="I2030" s="27"/>
    </row>
    <row r="2031" spans="1:9" x14ac:dyDescent="0.35">
      <c r="A2031" s="27"/>
      <c r="B2031" s="27"/>
      <c r="C2031" s="27"/>
      <c r="D2031" s="27"/>
      <c r="E2031" s="27"/>
      <c r="F2031" s="27"/>
      <c r="G2031" s="27"/>
      <c r="H2031" s="27"/>
      <c r="I2031" s="27"/>
    </row>
    <row r="2032" spans="1:9" x14ac:dyDescent="0.35">
      <c r="A2032" s="27"/>
      <c r="B2032" s="27"/>
      <c r="C2032" s="27"/>
      <c r="D2032" s="27"/>
      <c r="E2032" s="27"/>
      <c r="F2032" s="27"/>
      <c r="G2032" s="27"/>
      <c r="H2032" s="27"/>
      <c r="I2032" s="27"/>
    </row>
    <row r="2033" spans="1:9" x14ac:dyDescent="0.35">
      <c r="A2033" s="27"/>
      <c r="B2033" s="27"/>
      <c r="C2033" s="27"/>
      <c r="D2033" s="27"/>
      <c r="E2033" s="27"/>
      <c r="F2033" s="27"/>
      <c r="G2033" s="27"/>
      <c r="H2033" s="27"/>
      <c r="I2033" s="27"/>
    </row>
    <row r="2034" spans="1:9" x14ac:dyDescent="0.35">
      <c r="A2034" s="27"/>
      <c r="B2034" s="27"/>
      <c r="C2034" s="27"/>
      <c r="D2034" s="27"/>
      <c r="E2034" s="27"/>
      <c r="F2034" s="27"/>
      <c r="G2034" s="27"/>
      <c r="H2034" s="27"/>
      <c r="I2034" s="27"/>
    </row>
    <row r="2035" spans="1:9" x14ac:dyDescent="0.35">
      <c r="A2035" s="27"/>
      <c r="B2035" s="27"/>
      <c r="C2035" s="27"/>
      <c r="D2035" s="27"/>
      <c r="E2035" s="27"/>
      <c r="F2035" s="27"/>
      <c r="G2035" s="27"/>
      <c r="H2035" s="27"/>
      <c r="I2035" s="27"/>
    </row>
    <row r="2036" spans="1:9" x14ac:dyDescent="0.35">
      <c r="A2036" s="27"/>
      <c r="B2036" s="27"/>
      <c r="C2036" s="27"/>
      <c r="D2036" s="27"/>
      <c r="E2036" s="27"/>
      <c r="F2036" s="27"/>
      <c r="G2036" s="27"/>
      <c r="H2036" s="27"/>
      <c r="I2036" s="27"/>
    </row>
    <row r="2037" spans="1:9" x14ac:dyDescent="0.35">
      <c r="A2037" s="27"/>
      <c r="B2037" s="27"/>
      <c r="C2037" s="27"/>
      <c r="D2037" s="27"/>
      <c r="E2037" s="27"/>
      <c r="F2037" s="27"/>
      <c r="G2037" s="27"/>
      <c r="H2037" s="27"/>
      <c r="I2037" s="27"/>
    </row>
    <row r="2038" spans="1:9" x14ac:dyDescent="0.35">
      <c r="A2038" s="27"/>
      <c r="B2038" s="27"/>
      <c r="C2038" s="27"/>
      <c r="D2038" s="27"/>
      <c r="E2038" s="27"/>
      <c r="F2038" s="27"/>
      <c r="G2038" s="27"/>
      <c r="H2038" s="27"/>
      <c r="I2038" s="27"/>
    </row>
    <row r="2039" spans="1:9" x14ac:dyDescent="0.35">
      <c r="A2039" s="27"/>
      <c r="B2039" s="27"/>
      <c r="C2039" s="27"/>
      <c r="D2039" s="27"/>
      <c r="E2039" s="27"/>
      <c r="F2039" s="27"/>
      <c r="G2039" s="27"/>
      <c r="H2039" s="27"/>
      <c r="I2039" s="27"/>
    </row>
    <row r="2040" spans="1:9" x14ac:dyDescent="0.35">
      <c r="A2040" s="27"/>
      <c r="B2040" s="27"/>
      <c r="C2040" s="27"/>
      <c r="D2040" s="27"/>
      <c r="E2040" s="27"/>
      <c r="F2040" s="27"/>
      <c r="G2040" s="27"/>
      <c r="H2040" s="27"/>
      <c r="I2040" s="27"/>
    </row>
    <row r="2041" spans="1:9" x14ac:dyDescent="0.35">
      <c r="A2041" s="27"/>
      <c r="B2041" s="27"/>
      <c r="C2041" s="27"/>
      <c r="D2041" s="27"/>
      <c r="E2041" s="27"/>
      <c r="F2041" s="27"/>
      <c r="G2041" s="27"/>
      <c r="H2041" s="27"/>
      <c r="I2041" s="27"/>
    </row>
    <row r="2042" spans="1:9" x14ac:dyDescent="0.35">
      <c r="A2042" s="27"/>
      <c r="B2042" s="27"/>
      <c r="C2042" s="27"/>
      <c r="D2042" s="27"/>
      <c r="E2042" s="27"/>
      <c r="F2042" s="27"/>
      <c r="G2042" s="27"/>
      <c r="H2042" s="27"/>
      <c r="I2042" s="27"/>
    </row>
    <row r="2043" spans="1:9" x14ac:dyDescent="0.35">
      <c r="A2043" s="27"/>
      <c r="B2043" s="27"/>
      <c r="C2043" s="27"/>
      <c r="D2043" s="27"/>
      <c r="E2043" s="27"/>
      <c r="F2043" s="27"/>
      <c r="G2043" s="27"/>
      <c r="H2043" s="27"/>
      <c r="I2043" s="27"/>
    </row>
    <row r="2044" spans="1:9" x14ac:dyDescent="0.35">
      <c r="A2044" s="27"/>
      <c r="B2044" s="27"/>
      <c r="C2044" s="27"/>
      <c r="D2044" s="27"/>
      <c r="E2044" s="27"/>
      <c r="F2044" s="27"/>
      <c r="G2044" s="27"/>
      <c r="H2044" s="27"/>
      <c r="I2044" s="27"/>
    </row>
    <row r="2045" spans="1:9" x14ac:dyDescent="0.35">
      <c r="A2045" s="27"/>
      <c r="B2045" s="27"/>
      <c r="C2045" s="27"/>
      <c r="D2045" s="27"/>
      <c r="E2045" s="27"/>
      <c r="F2045" s="27"/>
      <c r="G2045" s="27"/>
      <c r="H2045" s="27"/>
      <c r="I2045" s="27"/>
    </row>
    <row r="2046" spans="1:9" x14ac:dyDescent="0.35">
      <c r="A2046" s="27"/>
      <c r="B2046" s="27"/>
      <c r="C2046" s="27"/>
      <c r="D2046" s="27"/>
      <c r="E2046" s="27"/>
      <c r="F2046" s="27"/>
      <c r="G2046" s="27"/>
      <c r="H2046" s="27"/>
      <c r="I2046" s="27"/>
    </row>
    <row r="2047" spans="1:9" x14ac:dyDescent="0.35">
      <c r="A2047" s="27"/>
      <c r="B2047" s="27"/>
      <c r="C2047" s="27"/>
      <c r="D2047" s="27"/>
      <c r="E2047" s="27"/>
      <c r="F2047" s="27"/>
      <c r="G2047" s="27"/>
      <c r="H2047" s="27"/>
      <c r="I2047" s="27"/>
    </row>
    <row r="2048" spans="1:9" x14ac:dyDescent="0.35">
      <c r="A2048" s="27"/>
      <c r="B2048" s="27"/>
      <c r="C2048" s="27"/>
      <c r="D2048" s="27"/>
      <c r="E2048" s="27"/>
      <c r="F2048" s="27"/>
      <c r="G2048" s="27"/>
      <c r="H2048" s="27"/>
      <c r="I2048" s="27"/>
    </row>
    <row r="2049" spans="1:9" x14ac:dyDescent="0.35">
      <c r="A2049" s="27"/>
      <c r="B2049" s="27"/>
      <c r="C2049" s="27"/>
      <c r="D2049" s="27"/>
      <c r="E2049" s="27"/>
      <c r="F2049" s="27"/>
      <c r="G2049" s="27"/>
      <c r="H2049" s="27"/>
      <c r="I2049" s="27"/>
    </row>
    <row r="2050" spans="1:9" x14ac:dyDescent="0.35">
      <c r="A2050" s="27"/>
      <c r="B2050" s="27"/>
      <c r="C2050" s="27"/>
      <c r="D2050" s="27"/>
      <c r="E2050" s="27"/>
      <c r="F2050" s="27"/>
      <c r="G2050" s="27"/>
      <c r="H2050" s="27"/>
      <c r="I2050" s="27"/>
    </row>
    <row r="2051" spans="1:9" x14ac:dyDescent="0.35">
      <c r="A2051" s="27"/>
      <c r="B2051" s="27"/>
      <c r="C2051" s="27"/>
      <c r="D2051" s="27"/>
      <c r="E2051" s="27"/>
      <c r="F2051" s="27"/>
      <c r="G2051" s="27"/>
      <c r="H2051" s="27"/>
      <c r="I2051" s="27"/>
    </row>
    <row r="2052" spans="1:9" x14ac:dyDescent="0.35">
      <c r="A2052" s="27"/>
      <c r="B2052" s="27"/>
      <c r="C2052" s="27"/>
      <c r="D2052" s="27"/>
      <c r="E2052" s="27"/>
      <c r="F2052" s="27"/>
      <c r="G2052" s="27"/>
      <c r="H2052" s="27"/>
      <c r="I2052" s="27"/>
    </row>
    <row r="2053" spans="1:9" x14ac:dyDescent="0.35">
      <c r="A2053" s="27"/>
      <c r="B2053" s="27"/>
      <c r="C2053" s="27"/>
      <c r="D2053" s="27"/>
      <c r="E2053" s="27"/>
      <c r="F2053" s="27"/>
      <c r="G2053" s="27"/>
      <c r="H2053" s="27"/>
      <c r="I2053" s="27"/>
    </row>
    <row r="2054" spans="1:9" x14ac:dyDescent="0.35">
      <c r="A2054" s="27"/>
      <c r="B2054" s="27"/>
      <c r="C2054" s="27"/>
      <c r="D2054" s="27"/>
      <c r="E2054" s="27"/>
      <c r="F2054" s="27"/>
      <c r="G2054" s="27"/>
      <c r="H2054" s="27"/>
      <c r="I2054" s="27"/>
    </row>
    <row r="2055" spans="1:9" x14ac:dyDescent="0.35">
      <c r="A2055" s="27"/>
      <c r="B2055" s="27"/>
      <c r="C2055" s="27"/>
      <c r="D2055" s="27"/>
      <c r="E2055" s="27"/>
      <c r="F2055" s="27"/>
      <c r="G2055" s="27"/>
      <c r="H2055" s="27"/>
      <c r="I2055" s="27"/>
    </row>
    <row r="2056" spans="1:9" x14ac:dyDescent="0.35">
      <c r="A2056" s="27"/>
      <c r="B2056" s="27"/>
      <c r="C2056" s="27"/>
      <c r="D2056" s="27"/>
      <c r="E2056" s="27"/>
      <c r="F2056" s="27"/>
      <c r="G2056" s="27"/>
      <c r="H2056" s="27"/>
      <c r="I2056" s="27"/>
    </row>
    <row r="2057" spans="1:9" x14ac:dyDescent="0.35">
      <c r="A2057" s="27"/>
      <c r="B2057" s="27"/>
      <c r="C2057" s="27"/>
      <c r="D2057" s="27"/>
      <c r="E2057" s="27"/>
      <c r="F2057" s="27"/>
      <c r="G2057" s="27"/>
      <c r="H2057" s="27"/>
      <c r="I2057" s="27"/>
    </row>
    <row r="2058" spans="1:9" x14ac:dyDescent="0.35">
      <c r="A2058" s="27"/>
      <c r="B2058" s="27"/>
      <c r="C2058" s="27"/>
      <c r="D2058" s="27"/>
      <c r="E2058" s="27"/>
      <c r="F2058" s="27"/>
      <c r="G2058" s="27"/>
      <c r="H2058" s="27"/>
      <c r="I2058" s="27"/>
    </row>
    <row r="2059" spans="1:9" x14ac:dyDescent="0.35">
      <c r="A2059" s="27"/>
      <c r="B2059" s="27"/>
      <c r="C2059" s="27"/>
      <c r="D2059" s="27"/>
      <c r="E2059" s="27"/>
      <c r="F2059" s="27"/>
      <c r="G2059" s="27"/>
      <c r="H2059" s="27"/>
      <c r="I2059" s="27"/>
    </row>
    <row r="2060" spans="1:9" x14ac:dyDescent="0.35">
      <c r="A2060" s="27"/>
      <c r="B2060" s="27"/>
      <c r="C2060" s="27"/>
      <c r="D2060" s="27"/>
      <c r="E2060" s="27"/>
      <c r="F2060" s="27"/>
      <c r="G2060" s="27"/>
      <c r="H2060" s="27"/>
      <c r="I2060" s="27"/>
    </row>
    <row r="2061" spans="1:9" x14ac:dyDescent="0.35">
      <c r="A2061" s="27"/>
      <c r="B2061" s="27"/>
      <c r="C2061" s="27"/>
      <c r="D2061" s="27"/>
      <c r="E2061" s="27"/>
      <c r="F2061" s="27"/>
      <c r="G2061" s="27"/>
      <c r="H2061" s="27"/>
      <c r="I2061" s="27"/>
    </row>
    <row r="2062" spans="1:9" x14ac:dyDescent="0.35">
      <c r="A2062" s="27"/>
      <c r="B2062" s="27"/>
      <c r="C2062" s="27"/>
      <c r="D2062" s="27"/>
      <c r="E2062" s="27"/>
      <c r="F2062" s="27"/>
      <c r="G2062" s="27"/>
      <c r="H2062" s="27"/>
      <c r="I2062" s="27"/>
    </row>
    <row r="2063" spans="1:9" x14ac:dyDescent="0.35">
      <c r="A2063" s="27"/>
      <c r="B2063" s="27"/>
      <c r="C2063" s="27"/>
      <c r="D2063" s="27"/>
      <c r="E2063" s="27"/>
      <c r="F2063" s="27"/>
      <c r="G2063" s="27"/>
      <c r="H2063" s="27"/>
      <c r="I2063" s="27"/>
    </row>
    <row r="2064" spans="1:9" x14ac:dyDescent="0.35">
      <c r="A2064" s="27"/>
      <c r="B2064" s="27"/>
      <c r="C2064" s="27"/>
      <c r="D2064" s="27"/>
      <c r="E2064" s="27"/>
      <c r="F2064" s="27"/>
      <c r="G2064" s="27"/>
      <c r="H2064" s="27"/>
      <c r="I2064" s="27"/>
    </row>
    <row r="2065" spans="1:9" x14ac:dyDescent="0.35">
      <c r="A2065" s="27"/>
      <c r="B2065" s="27"/>
      <c r="C2065" s="27"/>
      <c r="D2065" s="27"/>
      <c r="E2065" s="27"/>
      <c r="F2065" s="27"/>
      <c r="G2065" s="27"/>
      <c r="H2065" s="27"/>
      <c r="I2065" s="27"/>
    </row>
    <row r="2066" spans="1:9" x14ac:dyDescent="0.35">
      <c r="A2066" s="27"/>
      <c r="B2066" s="27"/>
      <c r="C2066" s="27"/>
      <c r="D2066" s="27"/>
      <c r="E2066" s="27"/>
      <c r="F2066" s="27"/>
      <c r="G2066" s="27"/>
      <c r="H2066" s="27"/>
      <c r="I2066" s="27"/>
    </row>
    <row r="2067" spans="1:9" x14ac:dyDescent="0.35">
      <c r="A2067" s="27"/>
      <c r="B2067" s="27"/>
      <c r="C2067" s="27"/>
      <c r="D2067" s="27"/>
      <c r="E2067" s="27"/>
      <c r="F2067" s="27"/>
      <c r="G2067" s="27"/>
      <c r="H2067" s="27"/>
      <c r="I2067" s="27"/>
    </row>
    <row r="2068" spans="1:9" x14ac:dyDescent="0.35">
      <c r="A2068" s="27"/>
      <c r="B2068" s="27"/>
      <c r="C2068" s="27"/>
      <c r="D2068" s="27"/>
      <c r="E2068" s="27"/>
      <c r="F2068" s="27"/>
      <c r="G2068" s="27"/>
      <c r="H2068" s="27"/>
      <c r="I2068" s="27"/>
    </row>
    <row r="2069" spans="1:9" x14ac:dyDescent="0.35">
      <c r="A2069" s="27"/>
      <c r="B2069" s="27"/>
      <c r="C2069" s="27"/>
      <c r="D2069" s="27"/>
      <c r="E2069" s="27"/>
      <c r="F2069" s="27"/>
      <c r="G2069" s="27"/>
      <c r="H2069" s="27"/>
      <c r="I2069" s="27"/>
    </row>
    <row r="2070" spans="1:9" x14ac:dyDescent="0.35">
      <c r="A2070" s="27"/>
      <c r="B2070" s="27"/>
      <c r="C2070" s="27"/>
      <c r="D2070" s="27"/>
      <c r="E2070" s="27"/>
      <c r="F2070" s="27"/>
      <c r="G2070" s="27"/>
      <c r="H2070" s="27"/>
      <c r="I2070" s="27"/>
    </row>
    <row r="2071" spans="1:9" x14ac:dyDescent="0.35">
      <c r="A2071" s="27"/>
      <c r="B2071" s="27"/>
      <c r="C2071" s="27"/>
      <c r="D2071" s="27"/>
      <c r="E2071" s="27"/>
      <c r="F2071" s="27"/>
      <c r="G2071" s="27"/>
      <c r="H2071" s="27"/>
      <c r="I2071" s="27"/>
    </row>
    <row r="2072" spans="1:9" x14ac:dyDescent="0.35">
      <c r="A2072" s="27"/>
      <c r="B2072" s="27"/>
      <c r="C2072" s="27"/>
      <c r="D2072" s="27"/>
      <c r="E2072" s="27"/>
      <c r="F2072" s="27"/>
      <c r="G2072" s="27"/>
      <c r="H2072" s="27"/>
      <c r="I2072" s="27"/>
    </row>
    <row r="2073" spans="1:9" x14ac:dyDescent="0.35">
      <c r="A2073" s="27"/>
      <c r="B2073" s="27"/>
      <c r="C2073" s="27"/>
      <c r="D2073" s="27"/>
      <c r="E2073" s="27"/>
      <c r="F2073" s="27"/>
      <c r="G2073" s="27"/>
      <c r="H2073" s="27"/>
      <c r="I2073" s="27"/>
    </row>
    <row r="2074" spans="1:9" x14ac:dyDescent="0.35">
      <c r="A2074" s="27"/>
      <c r="B2074" s="27"/>
      <c r="C2074" s="27"/>
      <c r="D2074" s="27"/>
      <c r="E2074" s="27"/>
      <c r="F2074" s="27"/>
      <c r="G2074" s="27"/>
      <c r="H2074" s="27"/>
      <c r="I2074" s="27"/>
    </row>
    <row r="2075" spans="1:9" x14ac:dyDescent="0.35">
      <c r="A2075" s="27"/>
      <c r="B2075" s="27"/>
      <c r="C2075" s="27"/>
      <c r="D2075" s="27"/>
      <c r="E2075" s="27"/>
      <c r="F2075" s="27"/>
      <c r="G2075" s="27"/>
      <c r="H2075" s="27"/>
      <c r="I2075" s="27"/>
    </row>
    <row r="2076" spans="1:9" x14ac:dyDescent="0.35">
      <c r="A2076" s="27"/>
      <c r="B2076" s="27"/>
      <c r="C2076" s="27"/>
      <c r="D2076" s="27"/>
      <c r="E2076" s="27"/>
      <c r="F2076" s="27"/>
      <c r="G2076" s="27"/>
      <c r="H2076" s="27"/>
      <c r="I2076" s="27"/>
    </row>
    <row r="2077" spans="1:9" x14ac:dyDescent="0.35">
      <c r="A2077" s="27"/>
      <c r="B2077" s="27"/>
      <c r="C2077" s="27"/>
      <c r="D2077" s="27"/>
      <c r="E2077" s="27"/>
      <c r="F2077" s="27"/>
      <c r="G2077" s="27"/>
      <c r="H2077" s="27"/>
      <c r="I2077" s="27"/>
    </row>
    <row r="2078" spans="1:9" x14ac:dyDescent="0.35">
      <c r="A2078" s="27"/>
      <c r="B2078" s="27"/>
      <c r="C2078" s="27"/>
      <c r="D2078" s="27"/>
      <c r="E2078" s="27"/>
      <c r="F2078" s="27"/>
      <c r="G2078" s="27"/>
      <c r="H2078" s="27"/>
      <c r="I2078" s="27"/>
    </row>
    <row r="2079" spans="1:9" x14ac:dyDescent="0.35">
      <c r="A2079" s="27"/>
      <c r="B2079" s="27"/>
      <c r="C2079" s="27"/>
      <c r="D2079" s="27"/>
      <c r="E2079" s="27"/>
      <c r="F2079" s="27"/>
      <c r="G2079" s="27"/>
      <c r="H2079" s="27"/>
      <c r="I2079" s="27"/>
    </row>
    <row r="2080" spans="1:9" x14ac:dyDescent="0.35">
      <c r="A2080" s="27"/>
      <c r="B2080" s="27"/>
      <c r="C2080" s="27"/>
      <c r="D2080" s="27"/>
      <c r="E2080" s="27"/>
      <c r="F2080" s="27"/>
      <c r="G2080" s="27"/>
      <c r="H2080" s="27"/>
      <c r="I2080" s="27"/>
    </row>
    <row r="2081" spans="1:9" x14ac:dyDescent="0.35">
      <c r="A2081" s="27"/>
      <c r="B2081" s="27"/>
      <c r="C2081" s="27"/>
      <c r="D2081" s="27"/>
      <c r="E2081" s="27"/>
      <c r="F2081" s="27"/>
      <c r="G2081" s="27"/>
      <c r="H2081" s="27"/>
      <c r="I2081" s="27"/>
    </row>
    <row r="2082" spans="1:9" x14ac:dyDescent="0.35">
      <c r="A2082" s="27"/>
      <c r="B2082" s="27"/>
      <c r="C2082" s="27"/>
      <c r="D2082" s="27"/>
      <c r="E2082" s="27"/>
      <c r="F2082" s="27"/>
      <c r="G2082" s="27"/>
      <c r="H2082" s="27"/>
      <c r="I2082" s="27"/>
    </row>
    <row r="2083" spans="1:9" x14ac:dyDescent="0.35">
      <c r="A2083" s="27"/>
      <c r="B2083" s="27"/>
      <c r="C2083" s="27"/>
      <c r="D2083" s="27"/>
      <c r="E2083" s="27"/>
      <c r="F2083" s="27"/>
      <c r="G2083" s="27"/>
      <c r="H2083" s="27"/>
      <c r="I2083" s="27"/>
    </row>
    <row r="2084" spans="1:9" x14ac:dyDescent="0.35">
      <c r="A2084" s="27"/>
      <c r="B2084" s="27"/>
      <c r="C2084" s="27"/>
      <c r="D2084" s="27"/>
      <c r="E2084" s="27"/>
      <c r="F2084" s="27"/>
      <c r="G2084" s="27"/>
      <c r="H2084" s="27"/>
      <c r="I2084" s="27"/>
    </row>
    <row r="2085" spans="1:9" x14ac:dyDescent="0.35">
      <c r="A2085" s="27"/>
      <c r="B2085" s="27"/>
      <c r="C2085" s="27"/>
      <c r="D2085" s="27"/>
      <c r="E2085" s="27"/>
      <c r="F2085" s="27"/>
      <c r="G2085" s="27"/>
      <c r="H2085" s="27"/>
      <c r="I2085" s="27"/>
    </row>
    <row r="2086" spans="1:9" x14ac:dyDescent="0.35">
      <c r="A2086" s="27"/>
      <c r="B2086" s="27"/>
      <c r="C2086" s="27"/>
      <c r="D2086" s="27"/>
      <c r="E2086" s="27"/>
      <c r="F2086" s="27"/>
      <c r="G2086" s="27"/>
      <c r="H2086" s="27"/>
      <c r="I2086" s="27"/>
    </row>
    <row r="2087" spans="1:9" x14ac:dyDescent="0.35">
      <c r="A2087" s="27"/>
      <c r="B2087" s="27"/>
      <c r="C2087" s="27"/>
      <c r="D2087" s="27"/>
      <c r="E2087" s="27"/>
      <c r="F2087" s="27"/>
      <c r="G2087" s="27"/>
      <c r="H2087" s="27"/>
      <c r="I2087" s="27"/>
    </row>
    <row r="2088" spans="1:9" x14ac:dyDescent="0.35">
      <c r="A2088" s="27"/>
      <c r="B2088" s="27"/>
      <c r="C2088" s="27"/>
      <c r="D2088" s="27"/>
      <c r="E2088" s="27"/>
      <c r="F2088" s="27"/>
      <c r="G2088" s="27"/>
      <c r="H2088" s="27"/>
      <c r="I2088" s="27"/>
    </row>
    <row r="2089" spans="1:9" x14ac:dyDescent="0.35">
      <c r="A2089" s="27"/>
      <c r="B2089" s="27"/>
      <c r="C2089" s="27"/>
      <c r="D2089" s="27"/>
      <c r="E2089" s="27"/>
      <c r="F2089" s="27"/>
      <c r="G2089" s="27"/>
      <c r="H2089" s="27"/>
      <c r="I2089" s="27"/>
    </row>
    <row r="2090" spans="1:9" x14ac:dyDescent="0.35">
      <c r="A2090" s="27"/>
      <c r="B2090" s="27"/>
      <c r="C2090" s="27"/>
      <c r="D2090" s="27"/>
      <c r="E2090" s="27"/>
      <c r="F2090" s="27"/>
      <c r="G2090" s="27"/>
      <c r="H2090" s="27"/>
      <c r="I2090" s="27"/>
    </row>
    <row r="2091" spans="1:9" x14ac:dyDescent="0.35">
      <c r="A2091" s="27"/>
      <c r="B2091" s="27"/>
      <c r="C2091" s="27"/>
      <c r="D2091" s="27"/>
      <c r="E2091" s="27"/>
      <c r="F2091" s="27"/>
      <c r="G2091" s="27"/>
      <c r="H2091" s="27"/>
      <c r="I2091" s="27"/>
    </row>
    <row r="2092" spans="1:9" x14ac:dyDescent="0.35">
      <c r="A2092" s="27"/>
      <c r="B2092" s="27"/>
      <c r="C2092" s="27"/>
      <c r="D2092" s="27"/>
      <c r="E2092" s="27"/>
      <c r="F2092" s="27"/>
      <c r="G2092" s="27"/>
      <c r="H2092" s="27"/>
      <c r="I2092" s="27"/>
    </row>
    <row r="2093" spans="1:9" x14ac:dyDescent="0.35">
      <c r="A2093" s="27"/>
      <c r="B2093" s="27"/>
      <c r="C2093" s="27"/>
      <c r="D2093" s="27"/>
      <c r="E2093" s="27"/>
      <c r="F2093" s="27"/>
      <c r="G2093" s="27"/>
      <c r="H2093" s="27"/>
      <c r="I2093" s="27"/>
    </row>
    <row r="2094" spans="1:9" x14ac:dyDescent="0.35">
      <c r="A2094" s="27"/>
      <c r="B2094" s="27"/>
      <c r="C2094" s="27"/>
      <c r="D2094" s="27"/>
      <c r="E2094" s="27"/>
      <c r="F2094" s="27"/>
      <c r="G2094" s="27"/>
      <c r="H2094" s="27"/>
      <c r="I2094" s="27"/>
    </row>
    <row r="2095" spans="1:9" x14ac:dyDescent="0.35">
      <c r="A2095" s="27"/>
      <c r="B2095" s="27"/>
      <c r="C2095" s="27"/>
      <c r="D2095" s="27"/>
      <c r="E2095" s="27"/>
      <c r="F2095" s="27"/>
      <c r="G2095" s="27"/>
      <c r="H2095" s="27"/>
      <c r="I2095" s="27"/>
    </row>
    <row r="2096" spans="1:9" x14ac:dyDescent="0.35">
      <c r="A2096" s="27"/>
      <c r="B2096" s="27"/>
      <c r="C2096" s="27"/>
      <c r="D2096" s="27"/>
      <c r="E2096" s="27"/>
      <c r="F2096" s="27"/>
      <c r="G2096" s="27"/>
      <c r="H2096" s="27"/>
      <c r="I2096" s="27"/>
    </row>
    <row r="2097" spans="1:9" x14ac:dyDescent="0.35">
      <c r="A2097" s="27"/>
      <c r="B2097" s="27"/>
      <c r="C2097" s="27"/>
      <c r="D2097" s="27"/>
      <c r="E2097" s="27"/>
      <c r="F2097" s="27"/>
      <c r="G2097" s="27"/>
      <c r="H2097" s="27"/>
      <c r="I2097" s="27"/>
    </row>
    <row r="2098" spans="1:9" x14ac:dyDescent="0.35">
      <c r="A2098" s="27"/>
      <c r="B2098" s="27"/>
      <c r="C2098" s="27"/>
      <c r="D2098" s="27"/>
      <c r="E2098" s="27"/>
      <c r="F2098" s="27"/>
      <c r="G2098" s="27"/>
      <c r="H2098" s="27"/>
      <c r="I2098" s="27"/>
    </row>
    <row r="2099" spans="1:9" x14ac:dyDescent="0.35">
      <c r="A2099" s="27"/>
      <c r="B2099" s="27"/>
      <c r="C2099" s="27"/>
      <c r="D2099" s="27"/>
      <c r="E2099" s="27"/>
      <c r="F2099" s="27"/>
      <c r="G2099" s="27"/>
      <c r="H2099" s="27"/>
      <c r="I2099" s="27"/>
    </row>
    <row r="2100" spans="1:9" x14ac:dyDescent="0.35">
      <c r="A2100" s="27"/>
      <c r="B2100" s="27"/>
      <c r="C2100" s="27"/>
      <c r="D2100" s="27"/>
      <c r="E2100" s="27"/>
      <c r="F2100" s="27"/>
      <c r="G2100" s="27"/>
      <c r="H2100" s="27"/>
      <c r="I2100" s="27"/>
    </row>
    <row r="2101" spans="1:9" x14ac:dyDescent="0.35">
      <c r="A2101" s="27"/>
      <c r="B2101" s="27"/>
      <c r="C2101" s="27"/>
      <c r="D2101" s="27"/>
      <c r="E2101" s="27"/>
      <c r="F2101" s="27"/>
      <c r="G2101" s="27"/>
      <c r="H2101" s="27"/>
      <c r="I2101" s="27"/>
    </row>
    <row r="2102" spans="1:9" x14ac:dyDescent="0.35">
      <c r="A2102" s="27"/>
      <c r="B2102" s="27"/>
      <c r="C2102" s="27"/>
      <c r="D2102" s="27"/>
      <c r="E2102" s="27"/>
      <c r="F2102" s="27"/>
      <c r="G2102" s="27"/>
      <c r="H2102" s="27"/>
      <c r="I2102" s="27"/>
    </row>
    <row r="2103" spans="1:9" x14ac:dyDescent="0.35">
      <c r="A2103" s="27"/>
      <c r="B2103" s="27"/>
      <c r="C2103" s="27"/>
      <c r="D2103" s="27"/>
      <c r="E2103" s="27"/>
      <c r="F2103" s="27"/>
      <c r="G2103" s="27"/>
      <c r="H2103" s="27"/>
      <c r="I2103" s="27"/>
    </row>
    <row r="2104" spans="1:9" x14ac:dyDescent="0.35">
      <c r="A2104" s="27"/>
      <c r="B2104" s="27"/>
      <c r="C2104" s="27"/>
      <c r="D2104" s="27"/>
      <c r="E2104" s="27"/>
      <c r="F2104" s="27"/>
      <c r="G2104" s="27"/>
      <c r="H2104" s="27"/>
      <c r="I2104" s="27"/>
    </row>
    <row r="2105" spans="1:9" x14ac:dyDescent="0.35">
      <c r="A2105" s="27"/>
      <c r="B2105" s="27"/>
      <c r="C2105" s="27"/>
      <c r="D2105" s="27"/>
      <c r="E2105" s="27"/>
      <c r="F2105" s="27"/>
      <c r="G2105" s="27"/>
      <c r="H2105" s="27"/>
      <c r="I2105" s="27"/>
    </row>
    <row r="2106" spans="1:9" x14ac:dyDescent="0.35">
      <c r="A2106" s="27"/>
      <c r="B2106" s="27"/>
      <c r="C2106" s="27"/>
      <c r="D2106" s="27"/>
      <c r="E2106" s="27"/>
      <c r="F2106" s="27"/>
      <c r="G2106" s="27"/>
      <c r="H2106" s="27"/>
      <c r="I2106" s="27"/>
    </row>
    <row r="2107" spans="1:9" x14ac:dyDescent="0.35">
      <c r="A2107" s="27"/>
      <c r="B2107" s="27"/>
      <c r="C2107" s="27"/>
      <c r="D2107" s="27"/>
      <c r="E2107" s="27"/>
      <c r="F2107" s="27"/>
      <c r="G2107" s="27"/>
      <c r="H2107" s="27"/>
      <c r="I2107" s="27"/>
    </row>
    <row r="2108" spans="1:9" x14ac:dyDescent="0.35">
      <c r="A2108" s="27"/>
      <c r="B2108" s="27"/>
      <c r="C2108" s="27"/>
      <c r="D2108" s="27"/>
      <c r="E2108" s="27"/>
      <c r="F2108" s="27"/>
      <c r="G2108" s="27"/>
      <c r="H2108" s="27"/>
      <c r="I2108" s="27"/>
    </row>
    <row r="2109" spans="1:9" x14ac:dyDescent="0.35">
      <c r="A2109" s="27"/>
      <c r="B2109" s="27"/>
      <c r="C2109" s="27"/>
      <c r="D2109" s="27"/>
      <c r="E2109" s="27"/>
      <c r="F2109" s="27"/>
      <c r="G2109" s="27"/>
      <c r="H2109" s="27"/>
      <c r="I2109" s="27"/>
    </row>
    <row r="2110" spans="1:9" x14ac:dyDescent="0.35">
      <c r="A2110" s="27"/>
      <c r="B2110" s="27"/>
      <c r="C2110" s="27"/>
      <c r="D2110" s="27"/>
      <c r="E2110" s="27"/>
      <c r="F2110" s="27"/>
      <c r="G2110" s="27"/>
      <c r="H2110" s="27"/>
      <c r="I2110" s="27"/>
    </row>
    <row r="2111" spans="1:9" x14ac:dyDescent="0.35">
      <c r="A2111" s="27"/>
      <c r="B2111" s="27"/>
      <c r="C2111" s="27"/>
      <c r="D2111" s="27"/>
      <c r="E2111" s="27"/>
      <c r="F2111" s="27"/>
      <c r="G2111" s="27"/>
      <c r="H2111" s="27"/>
      <c r="I2111" s="27"/>
    </row>
    <row r="2112" spans="1:9" x14ac:dyDescent="0.35">
      <c r="A2112" s="27"/>
      <c r="B2112" s="27"/>
      <c r="C2112" s="27"/>
      <c r="D2112" s="27"/>
      <c r="E2112" s="27"/>
      <c r="F2112" s="27"/>
      <c r="G2112" s="27"/>
      <c r="H2112" s="27"/>
      <c r="I2112" s="27"/>
    </row>
    <row r="2113" spans="1:9" x14ac:dyDescent="0.35">
      <c r="A2113" s="27"/>
      <c r="B2113" s="27"/>
      <c r="C2113" s="27"/>
      <c r="D2113" s="27"/>
      <c r="E2113" s="27"/>
      <c r="F2113" s="27"/>
      <c r="G2113" s="27"/>
      <c r="H2113" s="27"/>
      <c r="I2113" s="27"/>
    </row>
    <row r="2114" spans="1:9" x14ac:dyDescent="0.35">
      <c r="A2114" s="27"/>
      <c r="B2114" s="27"/>
      <c r="C2114" s="27"/>
      <c r="D2114" s="27"/>
      <c r="E2114" s="27"/>
      <c r="F2114" s="27"/>
      <c r="G2114" s="27"/>
      <c r="H2114" s="27"/>
      <c r="I2114" s="27"/>
    </row>
    <row r="2115" spans="1:9" x14ac:dyDescent="0.35">
      <c r="A2115" s="27"/>
      <c r="B2115" s="27"/>
      <c r="C2115" s="27"/>
      <c r="D2115" s="27"/>
      <c r="E2115" s="27"/>
      <c r="F2115" s="27"/>
      <c r="G2115" s="27"/>
      <c r="H2115" s="27"/>
      <c r="I2115" s="27"/>
    </row>
    <row r="2116" spans="1:9" x14ac:dyDescent="0.35">
      <c r="A2116" s="27"/>
      <c r="B2116" s="27"/>
      <c r="C2116" s="27"/>
      <c r="D2116" s="27"/>
      <c r="E2116" s="27"/>
      <c r="F2116" s="27"/>
      <c r="G2116" s="27"/>
      <c r="H2116" s="27"/>
      <c r="I2116" s="27"/>
    </row>
    <row r="2117" spans="1:9" x14ac:dyDescent="0.35">
      <c r="A2117" s="27"/>
      <c r="B2117" s="27"/>
      <c r="C2117" s="27"/>
      <c r="D2117" s="27"/>
      <c r="E2117" s="27"/>
      <c r="F2117" s="27"/>
      <c r="G2117" s="27"/>
      <c r="H2117" s="27"/>
      <c r="I2117" s="27"/>
    </row>
    <row r="2118" spans="1:9" x14ac:dyDescent="0.35">
      <c r="A2118" s="27"/>
      <c r="B2118" s="27"/>
      <c r="C2118" s="27"/>
      <c r="D2118" s="27"/>
      <c r="E2118" s="27"/>
      <c r="F2118" s="27"/>
      <c r="G2118" s="27"/>
      <c r="H2118" s="27"/>
      <c r="I2118" s="27"/>
    </row>
    <row r="2119" spans="1:9" x14ac:dyDescent="0.35">
      <c r="A2119" s="27"/>
      <c r="B2119" s="27"/>
      <c r="C2119" s="27"/>
      <c r="D2119" s="27"/>
      <c r="E2119" s="27"/>
      <c r="F2119" s="27"/>
      <c r="G2119" s="27"/>
      <c r="H2119" s="27"/>
      <c r="I2119" s="27"/>
    </row>
    <row r="2120" spans="1:9" x14ac:dyDescent="0.35">
      <c r="A2120" s="27"/>
      <c r="B2120" s="27"/>
      <c r="C2120" s="27"/>
      <c r="D2120" s="27"/>
      <c r="E2120" s="27"/>
      <c r="F2120" s="27"/>
      <c r="G2120" s="27"/>
      <c r="H2120" s="27"/>
      <c r="I2120" s="27"/>
    </row>
    <row r="2121" spans="1:9" x14ac:dyDescent="0.35">
      <c r="A2121" s="27"/>
      <c r="B2121" s="27"/>
      <c r="C2121" s="27"/>
      <c r="D2121" s="27"/>
      <c r="E2121" s="27"/>
      <c r="F2121" s="27"/>
      <c r="G2121" s="27"/>
      <c r="H2121" s="27"/>
      <c r="I2121" s="27"/>
    </row>
    <row r="2122" spans="1:9" x14ac:dyDescent="0.35">
      <c r="A2122" s="27"/>
      <c r="B2122" s="27"/>
      <c r="C2122" s="27"/>
      <c r="D2122" s="27"/>
      <c r="E2122" s="27"/>
      <c r="F2122" s="27"/>
      <c r="G2122" s="27"/>
      <c r="H2122" s="27"/>
      <c r="I2122" s="27"/>
    </row>
    <row r="2123" spans="1:9" x14ac:dyDescent="0.35">
      <c r="A2123" s="27"/>
      <c r="B2123" s="27"/>
      <c r="C2123" s="27"/>
      <c r="D2123" s="27"/>
      <c r="E2123" s="27"/>
      <c r="F2123" s="27"/>
      <c r="G2123" s="27"/>
      <c r="H2123" s="27"/>
      <c r="I2123" s="27"/>
    </row>
    <row r="2124" spans="1:9" x14ac:dyDescent="0.35">
      <c r="A2124" s="27"/>
      <c r="B2124" s="27"/>
      <c r="C2124" s="27"/>
      <c r="D2124" s="27"/>
      <c r="E2124" s="27"/>
      <c r="F2124" s="27"/>
      <c r="G2124" s="27"/>
      <c r="H2124" s="27"/>
      <c r="I2124" s="27"/>
    </row>
    <row r="2125" spans="1:9" x14ac:dyDescent="0.35">
      <c r="A2125" s="27"/>
      <c r="B2125" s="27"/>
      <c r="C2125" s="27"/>
      <c r="D2125" s="27"/>
      <c r="E2125" s="27"/>
      <c r="F2125" s="27"/>
      <c r="G2125" s="27"/>
      <c r="H2125" s="27"/>
      <c r="I2125" s="27"/>
    </row>
    <row r="2126" spans="1:9" x14ac:dyDescent="0.35">
      <c r="A2126" s="27"/>
      <c r="B2126" s="27"/>
      <c r="C2126" s="27"/>
      <c r="D2126" s="27"/>
      <c r="E2126" s="27"/>
      <c r="F2126" s="27"/>
      <c r="G2126" s="27"/>
      <c r="H2126" s="27"/>
      <c r="I2126" s="27"/>
    </row>
    <row r="2127" spans="1:9" x14ac:dyDescent="0.35">
      <c r="A2127" s="27"/>
      <c r="B2127" s="27"/>
      <c r="C2127" s="27"/>
      <c r="D2127" s="27"/>
      <c r="E2127" s="27"/>
      <c r="F2127" s="27"/>
      <c r="G2127" s="27"/>
      <c r="H2127" s="27"/>
      <c r="I2127" s="27"/>
    </row>
    <row r="2128" spans="1:9" x14ac:dyDescent="0.35">
      <c r="A2128" s="27"/>
      <c r="B2128" s="27"/>
      <c r="C2128" s="27"/>
      <c r="D2128" s="27"/>
      <c r="E2128" s="27"/>
      <c r="F2128" s="27"/>
      <c r="G2128" s="27"/>
      <c r="H2128" s="27"/>
      <c r="I2128" s="27"/>
    </row>
    <row r="2129" spans="1:9" x14ac:dyDescent="0.35">
      <c r="A2129" s="27"/>
      <c r="B2129" s="27"/>
      <c r="C2129" s="27"/>
      <c r="D2129" s="27"/>
      <c r="E2129" s="27"/>
      <c r="F2129" s="27"/>
      <c r="G2129" s="27"/>
      <c r="H2129" s="27"/>
      <c r="I2129" s="27"/>
    </row>
    <row r="2130" spans="1:9" x14ac:dyDescent="0.35">
      <c r="A2130" s="27"/>
      <c r="B2130" s="27"/>
      <c r="C2130" s="27"/>
      <c r="D2130" s="27"/>
      <c r="E2130" s="27"/>
      <c r="F2130" s="27"/>
      <c r="G2130" s="27"/>
      <c r="H2130" s="27"/>
      <c r="I2130" s="27"/>
    </row>
    <row r="2131" spans="1:9" x14ac:dyDescent="0.35">
      <c r="A2131" s="27"/>
      <c r="B2131" s="27"/>
      <c r="C2131" s="27"/>
      <c r="D2131" s="27"/>
      <c r="E2131" s="27"/>
      <c r="F2131" s="27"/>
      <c r="G2131" s="27"/>
      <c r="H2131" s="27"/>
      <c r="I2131" s="27"/>
    </row>
    <row r="2132" spans="1:9" x14ac:dyDescent="0.35">
      <c r="A2132" s="27"/>
      <c r="B2132" s="27"/>
      <c r="C2132" s="27"/>
      <c r="D2132" s="27"/>
      <c r="E2132" s="27"/>
      <c r="F2132" s="27"/>
      <c r="G2132" s="27"/>
      <c r="H2132" s="27"/>
      <c r="I2132" s="27"/>
    </row>
    <row r="2133" spans="1:9" x14ac:dyDescent="0.35">
      <c r="A2133" s="27"/>
      <c r="B2133" s="27"/>
      <c r="C2133" s="27"/>
      <c r="D2133" s="27"/>
      <c r="E2133" s="27"/>
      <c r="F2133" s="27"/>
      <c r="G2133" s="27"/>
      <c r="H2133" s="27"/>
      <c r="I2133" s="27"/>
    </row>
    <row r="2134" spans="1:9" x14ac:dyDescent="0.35">
      <c r="A2134" s="27"/>
      <c r="B2134" s="27"/>
      <c r="C2134" s="27"/>
      <c r="D2134" s="27"/>
      <c r="E2134" s="27"/>
      <c r="F2134" s="27"/>
      <c r="G2134" s="27"/>
      <c r="H2134" s="27"/>
      <c r="I2134" s="27"/>
    </row>
    <row r="2135" spans="1:9" x14ac:dyDescent="0.35">
      <c r="A2135" s="27"/>
      <c r="B2135" s="27"/>
      <c r="C2135" s="27"/>
      <c r="D2135" s="27"/>
      <c r="E2135" s="27"/>
      <c r="F2135" s="27"/>
      <c r="G2135" s="27"/>
      <c r="H2135" s="27"/>
      <c r="I2135" s="27"/>
    </row>
    <row r="2136" spans="1:9" x14ac:dyDescent="0.35">
      <c r="A2136" s="27"/>
      <c r="B2136" s="27"/>
      <c r="C2136" s="27"/>
      <c r="D2136" s="27"/>
      <c r="E2136" s="27"/>
      <c r="F2136" s="27"/>
      <c r="G2136" s="27"/>
      <c r="H2136" s="27"/>
      <c r="I2136" s="27"/>
    </row>
    <row r="2137" spans="1:9" x14ac:dyDescent="0.35">
      <c r="A2137" s="27"/>
      <c r="B2137" s="27"/>
      <c r="C2137" s="27"/>
      <c r="D2137" s="27"/>
      <c r="E2137" s="27"/>
      <c r="F2137" s="27"/>
      <c r="G2137" s="27"/>
      <c r="H2137" s="27"/>
      <c r="I2137" s="27"/>
    </row>
    <row r="2138" spans="1:9" x14ac:dyDescent="0.35">
      <c r="A2138" s="27"/>
      <c r="B2138" s="27"/>
      <c r="C2138" s="27"/>
      <c r="D2138" s="27"/>
      <c r="E2138" s="27"/>
      <c r="F2138" s="27"/>
      <c r="G2138" s="27"/>
      <c r="H2138" s="27"/>
      <c r="I2138" s="27"/>
    </row>
    <row r="2139" spans="1:9" x14ac:dyDescent="0.35">
      <c r="A2139" s="27"/>
      <c r="B2139" s="27"/>
      <c r="C2139" s="27"/>
      <c r="D2139" s="27"/>
      <c r="E2139" s="27"/>
      <c r="F2139" s="27"/>
      <c r="G2139" s="27"/>
      <c r="H2139" s="27"/>
      <c r="I2139" s="27"/>
    </row>
    <row r="2140" spans="1:9" x14ac:dyDescent="0.35">
      <c r="A2140" s="27"/>
      <c r="B2140" s="27"/>
      <c r="C2140" s="27"/>
      <c r="D2140" s="27"/>
      <c r="E2140" s="27"/>
      <c r="F2140" s="27"/>
      <c r="G2140" s="27"/>
      <c r="H2140" s="27"/>
      <c r="I2140" s="27"/>
    </row>
    <row r="2141" spans="1:9" x14ac:dyDescent="0.35">
      <c r="A2141" s="27"/>
      <c r="B2141" s="27"/>
      <c r="C2141" s="27"/>
      <c r="D2141" s="27"/>
      <c r="E2141" s="27"/>
      <c r="F2141" s="27"/>
      <c r="G2141" s="27"/>
      <c r="H2141" s="27"/>
      <c r="I2141" s="27"/>
    </row>
    <row r="2142" spans="1:9" x14ac:dyDescent="0.35">
      <c r="A2142" s="27"/>
      <c r="B2142" s="27"/>
      <c r="C2142" s="27"/>
      <c r="D2142" s="27"/>
      <c r="E2142" s="27"/>
      <c r="F2142" s="27"/>
      <c r="G2142" s="27"/>
      <c r="H2142" s="27"/>
      <c r="I2142" s="27"/>
    </row>
    <row r="2143" spans="1:9" x14ac:dyDescent="0.35">
      <c r="A2143" s="27"/>
      <c r="B2143" s="27"/>
      <c r="C2143" s="27"/>
      <c r="D2143" s="27"/>
      <c r="E2143" s="27"/>
      <c r="F2143" s="27"/>
      <c r="G2143" s="27"/>
      <c r="H2143" s="27"/>
      <c r="I2143" s="27"/>
    </row>
    <row r="2144" spans="1:9" x14ac:dyDescent="0.35">
      <c r="A2144" s="27"/>
      <c r="B2144" s="27"/>
      <c r="C2144" s="27"/>
      <c r="D2144" s="27"/>
      <c r="E2144" s="27"/>
      <c r="F2144" s="27"/>
      <c r="G2144" s="27"/>
      <c r="H2144" s="27"/>
      <c r="I2144" s="27"/>
    </row>
    <row r="2145" spans="1:9" x14ac:dyDescent="0.35">
      <c r="A2145" s="27"/>
      <c r="B2145" s="27"/>
      <c r="C2145" s="27"/>
      <c r="D2145" s="27"/>
      <c r="E2145" s="27"/>
      <c r="F2145" s="27"/>
      <c r="G2145" s="27"/>
      <c r="H2145" s="27"/>
      <c r="I2145" s="27"/>
    </row>
    <row r="2146" spans="1:9" x14ac:dyDescent="0.35">
      <c r="A2146" s="27"/>
      <c r="B2146" s="27"/>
      <c r="C2146" s="27"/>
      <c r="D2146" s="27"/>
      <c r="E2146" s="27"/>
      <c r="F2146" s="27"/>
      <c r="G2146" s="27"/>
      <c r="H2146" s="27"/>
      <c r="I2146" s="27"/>
    </row>
    <row r="2147" spans="1:9" x14ac:dyDescent="0.35">
      <c r="A2147" s="27"/>
      <c r="B2147" s="27"/>
      <c r="C2147" s="27"/>
      <c r="D2147" s="27"/>
      <c r="E2147" s="27"/>
      <c r="F2147" s="27"/>
      <c r="G2147" s="27"/>
      <c r="H2147" s="27"/>
      <c r="I2147" s="27"/>
    </row>
    <row r="2148" spans="1:9" x14ac:dyDescent="0.35">
      <c r="A2148" s="27"/>
      <c r="B2148" s="27"/>
      <c r="C2148" s="27"/>
      <c r="D2148" s="27"/>
      <c r="E2148" s="27"/>
      <c r="F2148" s="27"/>
      <c r="G2148" s="27"/>
      <c r="H2148" s="27"/>
      <c r="I2148" s="27"/>
    </row>
    <row r="2149" spans="1:9" x14ac:dyDescent="0.35">
      <c r="A2149" s="27"/>
      <c r="B2149" s="27"/>
      <c r="C2149" s="27"/>
      <c r="D2149" s="27"/>
      <c r="E2149" s="27"/>
      <c r="F2149" s="27"/>
      <c r="G2149" s="27"/>
      <c r="H2149" s="27"/>
      <c r="I2149" s="27"/>
    </row>
    <row r="2150" spans="1:9" x14ac:dyDescent="0.35">
      <c r="A2150" s="27"/>
      <c r="B2150" s="27"/>
      <c r="C2150" s="27"/>
      <c r="D2150" s="27"/>
      <c r="E2150" s="27"/>
      <c r="F2150" s="27"/>
      <c r="G2150" s="27"/>
      <c r="H2150" s="27"/>
      <c r="I2150" s="27"/>
    </row>
    <row r="2151" spans="1:9" x14ac:dyDescent="0.35">
      <c r="A2151" s="27"/>
      <c r="B2151" s="27"/>
      <c r="C2151" s="27"/>
      <c r="D2151" s="27"/>
      <c r="E2151" s="27"/>
      <c r="F2151" s="27"/>
      <c r="G2151" s="27"/>
      <c r="H2151" s="27"/>
      <c r="I2151" s="27"/>
    </row>
    <row r="2152" spans="1:9" x14ac:dyDescent="0.35">
      <c r="A2152" s="27"/>
      <c r="B2152" s="27"/>
      <c r="C2152" s="27"/>
      <c r="D2152" s="27"/>
      <c r="E2152" s="27"/>
      <c r="F2152" s="27"/>
      <c r="G2152" s="27"/>
      <c r="H2152" s="27"/>
      <c r="I2152" s="27"/>
    </row>
    <row r="2153" spans="1:9" x14ac:dyDescent="0.35">
      <c r="A2153" s="27"/>
      <c r="B2153" s="27"/>
      <c r="C2153" s="27"/>
      <c r="D2153" s="27"/>
      <c r="E2153" s="27"/>
      <c r="F2153" s="27"/>
      <c r="G2153" s="27"/>
      <c r="H2153" s="27"/>
      <c r="I2153" s="27"/>
    </row>
    <row r="2154" spans="1:9" x14ac:dyDescent="0.35">
      <c r="A2154" s="27"/>
      <c r="B2154" s="27"/>
      <c r="C2154" s="27"/>
      <c r="D2154" s="27"/>
      <c r="E2154" s="27"/>
      <c r="F2154" s="27"/>
      <c r="G2154" s="27"/>
      <c r="H2154" s="27"/>
      <c r="I2154" s="27"/>
    </row>
    <row r="2155" spans="1:9" x14ac:dyDescent="0.35">
      <c r="A2155" s="27"/>
      <c r="B2155" s="27"/>
      <c r="C2155" s="27"/>
      <c r="D2155" s="27"/>
      <c r="E2155" s="27"/>
      <c r="F2155" s="27"/>
      <c r="G2155" s="27"/>
      <c r="H2155" s="27"/>
      <c r="I2155" s="27"/>
    </row>
    <row r="2156" spans="1:9" x14ac:dyDescent="0.35">
      <c r="A2156" s="27"/>
      <c r="B2156" s="27"/>
      <c r="C2156" s="27"/>
      <c r="D2156" s="27"/>
      <c r="E2156" s="27"/>
      <c r="F2156" s="27"/>
      <c r="G2156" s="27"/>
      <c r="H2156" s="27"/>
      <c r="I2156" s="27"/>
    </row>
    <row r="2157" spans="1:9" x14ac:dyDescent="0.35">
      <c r="A2157" s="27"/>
      <c r="B2157" s="27"/>
      <c r="C2157" s="27"/>
      <c r="D2157" s="27"/>
      <c r="E2157" s="27"/>
      <c r="F2157" s="27"/>
      <c r="G2157" s="27"/>
      <c r="H2157" s="27"/>
      <c r="I2157" s="27"/>
    </row>
    <row r="2158" spans="1:9" x14ac:dyDescent="0.35">
      <c r="A2158" s="27"/>
      <c r="B2158" s="27"/>
      <c r="C2158" s="27"/>
      <c r="D2158" s="27"/>
      <c r="E2158" s="27"/>
      <c r="F2158" s="27"/>
      <c r="G2158" s="27"/>
      <c r="H2158" s="27"/>
      <c r="I2158" s="27"/>
    </row>
    <row r="2159" spans="1:9" x14ac:dyDescent="0.35">
      <c r="A2159" s="27"/>
      <c r="B2159" s="27"/>
      <c r="C2159" s="27"/>
      <c r="D2159" s="27"/>
      <c r="E2159" s="27"/>
      <c r="F2159" s="27"/>
      <c r="G2159" s="27"/>
      <c r="H2159" s="27"/>
      <c r="I2159" s="27"/>
    </row>
    <row r="2160" spans="1:9" x14ac:dyDescent="0.35">
      <c r="A2160" s="27"/>
      <c r="B2160" s="27"/>
      <c r="C2160" s="27"/>
      <c r="D2160" s="27"/>
      <c r="E2160" s="27"/>
      <c r="F2160" s="27"/>
      <c r="G2160" s="27"/>
      <c r="H2160" s="27"/>
      <c r="I2160" s="27"/>
    </row>
    <row r="2161" spans="1:9" x14ac:dyDescent="0.35">
      <c r="A2161" s="27"/>
      <c r="B2161" s="27"/>
      <c r="C2161" s="27"/>
      <c r="D2161" s="27"/>
      <c r="E2161" s="27"/>
      <c r="F2161" s="27"/>
      <c r="G2161" s="27"/>
      <c r="H2161" s="27"/>
      <c r="I2161" s="27"/>
    </row>
    <row r="2162" spans="1:9" x14ac:dyDescent="0.35">
      <c r="A2162" s="27"/>
      <c r="B2162" s="27"/>
      <c r="C2162" s="27"/>
      <c r="D2162" s="27"/>
      <c r="E2162" s="27"/>
      <c r="F2162" s="27"/>
      <c r="G2162" s="27"/>
      <c r="H2162" s="27"/>
      <c r="I2162" s="27"/>
    </row>
    <row r="2163" spans="1:9" x14ac:dyDescent="0.35">
      <c r="A2163" s="27"/>
      <c r="B2163" s="27"/>
      <c r="C2163" s="27"/>
      <c r="D2163" s="27"/>
      <c r="E2163" s="27"/>
      <c r="F2163" s="27"/>
      <c r="G2163" s="27"/>
      <c r="H2163" s="27"/>
      <c r="I2163" s="27"/>
    </row>
    <row r="2164" spans="1:9" x14ac:dyDescent="0.35">
      <c r="A2164" s="27"/>
      <c r="B2164" s="27"/>
      <c r="C2164" s="27"/>
      <c r="D2164" s="27"/>
      <c r="E2164" s="27"/>
      <c r="F2164" s="27"/>
      <c r="G2164" s="27"/>
      <c r="H2164" s="27"/>
      <c r="I2164" s="27"/>
    </row>
    <row r="2165" spans="1:9" x14ac:dyDescent="0.35">
      <c r="A2165" s="27"/>
      <c r="B2165" s="27"/>
      <c r="C2165" s="27"/>
      <c r="D2165" s="27"/>
      <c r="E2165" s="27"/>
      <c r="F2165" s="27"/>
      <c r="G2165" s="27"/>
      <c r="H2165" s="27"/>
      <c r="I2165" s="27"/>
    </row>
    <row r="2166" spans="1:9" x14ac:dyDescent="0.35">
      <c r="A2166" s="27"/>
      <c r="B2166" s="27"/>
      <c r="C2166" s="27"/>
      <c r="D2166" s="27"/>
      <c r="E2166" s="27"/>
      <c r="F2166" s="27"/>
      <c r="G2166" s="27"/>
      <c r="H2166" s="27"/>
      <c r="I2166" s="27"/>
    </row>
    <row r="2167" spans="1:9" x14ac:dyDescent="0.35">
      <c r="A2167" s="27"/>
      <c r="B2167" s="27"/>
      <c r="C2167" s="27"/>
      <c r="D2167" s="27"/>
      <c r="E2167" s="27"/>
      <c r="F2167" s="27"/>
      <c r="G2167" s="27"/>
      <c r="H2167" s="27"/>
      <c r="I2167" s="27"/>
    </row>
    <row r="2168" spans="1:9" x14ac:dyDescent="0.35">
      <c r="A2168" s="27"/>
      <c r="B2168" s="27"/>
      <c r="C2168" s="27"/>
      <c r="D2168" s="27"/>
      <c r="E2168" s="27"/>
      <c r="F2168" s="27"/>
      <c r="G2168" s="27"/>
      <c r="H2168" s="27"/>
      <c r="I2168" s="27"/>
    </row>
    <row r="2169" spans="1:9" x14ac:dyDescent="0.35">
      <c r="A2169" s="27"/>
      <c r="B2169" s="27"/>
      <c r="C2169" s="27"/>
      <c r="D2169" s="27"/>
      <c r="E2169" s="27"/>
      <c r="F2169" s="27"/>
      <c r="G2169" s="27"/>
      <c r="H2169" s="27"/>
      <c r="I2169" s="27"/>
    </row>
    <row r="2170" spans="1:9" x14ac:dyDescent="0.35">
      <c r="A2170" s="27"/>
      <c r="B2170" s="27"/>
      <c r="C2170" s="27"/>
      <c r="D2170" s="27"/>
      <c r="E2170" s="27"/>
      <c r="F2170" s="27"/>
      <c r="G2170" s="27"/>
      <c r="H2170" s="27"/>
      <c r="I2170" s="27"/>
    </row>
    <row r="2171" spans="1:9" x14ac:dyDescent="0.35">
      <c r="A2171" s="27"/>
      <c r="B2171" s="27"/>
      <c r="C2171" s="27"/>
      <c r="D2171" s="27"/>
      <c r="E2171" s="27"/>
      <c r="F2171" s="27"/>
      <c r="G2171" s="27"/>
      <c r="H2171" s="27"/>
      <c r="I2171" s="27"/>
    </row>
    <row r="2172" spans="1:9" x14ac:dyDescent="0.35">
      <c r="A2172" s="27"/>
      <c r="B2172" s="27"/>
      <c r="C2172" s="27"/>
      <c r="D2172" s="27"/>
      <c r="E2172" s="27"/>
      <c r="F2172" s="27"/>
      <c r="G2172" s="27"/>
      <c r="H2172" s="27"/>
      <c r="I2172" s="27"/>
    </row>
    <row r="2173" spans="1:9" x14ac:dyDescent="0.35">
      <c r="A2173" s="27"/>
      <c r="B2173" s="27"/>
      <c r="C2173" s="27"/>
      <c r="D2173" s="27"/>
      <c r="E2173" s="27"/>
      <c r="F2173" s="27"/>
      <c r="G2173" s="27"/>
      <c r="H2173" s="27"/>
      <c r="I2173" s="27"/>
    </row>
    <row r="2174" spans="1:9" x14ac:dyDescent="0.35">
      <c r="A2174" s="27"/>
      <c r="B2174" s="27"/>
      <c r="C2174" s="27"/>
      <c r="D2174" s="27"/>
      <c r="E2174" s="27"/>
      <c r="F2174" s="27"/>
      <c r="G2174" s="27"/>
      <c r="H2174" s="27"/>
      <c r="I2174" s="27"/>
    </row>
    <row r="2175" spans="1:9" x14ac:dyDescent="0.35">
      <c r="A2175" s="27"/>
      <c r="B2175" s="27"/>
      <c r="C2175" s="27"/>
      <c r="D2175" s="27"/>
      <c r="E2175" s="27"/>
      <c r="F2175" s="27"/>
      <c r="G2175" s="27"/>
      <c r="H2175" s="27"/>
      <c r="I2175" s="27"/>
    </row>
    <row r="2176" spans="1:9" x14ac:dyDescent="0.35">
      <c r="A2176" s="27"/>
      <c r="B2176" s="27"/>
      <c r="C2176" s="27"/>
      <c r="D2176" s="27"/>
      <c r="E2176" s="27"/>
      <c r="F2176" s="27"/>
      <c r="G2176" s="27"/>
      <c r="H2176" s="27"/>
      <c r="I2176" s="27"/>
    </row>
    <row r="2177" spans="1:9" x14ac:dyDescent="0.35">
      <c r="A2177" s="27"/>
      <c r="B2177" s="27"/>
      <c r="C2177" s="27"/>
      <c r="D2177" s="27"/>
      <c r="E2177" s="27"/>
      <c r="F2177" s="27"/>
      <c r="G2177" s="27"/>
      <c r="H2177" s="27"/>
      <c r="I2177" s="27"/>
    </row>
    <row r="2178" spans="1:9" x14ac:dyDescent="0.35">
      <c r="A2178" s="27"/>
      <c r="B2178" s="27"/>
      <c r="C2178" s="27"/>
      <c r="D2178" s="27"/>
      <c r="E2178" s="27"/>
      <c r="F2178" s="27"/>
      <c r="G2178" s="27"/>
      <c r="H2178" s="27"/>
      <c r="I2178" s="27"/>
    </row>
    <row r="2179" spans="1:9" x14ac:dyDescent="0.35">
      <c r="A2179" s="27"/>
      <c r="B2179" s="27"/>
      <c r="C2179" s="27"/>
      <c r="D2179" s="27"/>
      <c r="E2179" s="27"/>
      <c r="F2179" s="27"/>
      <c r="G2179" s="27"/>
      <c r="H2179" s="27"/>
      <c r="I2179" s="27"/>
    </row>
    <row r="2180" spans="1:9" x14ac:dyDescent="0.35">
      <c r="A2180" s="27"/>
      <c r="B2180" s="27"/>
      <c r="C2180" s="27"/>
      <c r="D2180" s="27"/>
      <c r="E2180" s="27"/>
      <c r="F2180" s="27"/>
      <c r="G2180" s="27"/>
      <c r="H2180" s="27"/>
      <c r="I2180" s="27"/>
    </row>
    <row r="2181" spans="1:9" x14ac:dyDescent="0.35">
      <c r="A2181" s="27"/>
      <c r="B2181" s="27"/>
      <c r="C2181" s="27"/>
      <c r="D2181" s="27"/>
      <c r="E2181" s="27"/>
      <c r="F2181" s="27"/>
      <c r="G2181" s="27"/>
      <c r="H2181" s="27"/>
      <c r="I2181" s="27"/>
    </row>
    <row r="2182" spans="1:9" x14ac:dyDescent="0.35">
      <c r="A2182" s="27"/>
      <c r="B2182" s="27"/>
      <c r="C2182" s="27"/>
      <c r="D2182" s="27"/>
      <c r="E2182" s="27"/>
      <c r="F2182" s="27"/>
      <c r="G2182" s="27"/>
      <c r="H2182" s="27"/>
      <c r="I2182" s="27"/>
    </row>
    <row r="2183" spans="1:9" x14ac:dyDescent="0.35">
      <c r="A2183" s="27"/>
      <c r="B2183" s="27"/>
      <c r="C2183" s="27"/>
      <c r="D2183" s="27"/>
      <c r="E2183" s="27"/>
      <c r="F2183" s="27"/>
      <c r="G2183" s="27"/>
      <c r="H2183" s="27"/>
      <c r="I2183" s="27"/>
    </row>
    <row r="2184" spans="1:9" x14ac:dyDescent="0.35">
      <c r="A2184" s="27"/>
      <c r="B2184" s="27"/>
      <c r="C2184" s="27"/>
      <c r="D2184" s="27"/>
      <c r="E2184" s="27"/>
      <c r="F2184" s="27"/>
      <c r="G2184" s="27"/>
      <c r="H2184" s="27"/>
      <c r="I2184" s="27"/>
    </row>
    <row r="2185" spans="1:9" x14ac:dyDescent="0.35">
      <c r="A2185" s="27"/>
      <c r="B2185" s="27"/>
      <c r="C2185" s="27"/>
      <c r="D2185" s="27"/>
      <c r="E2185" s="27"/>
      <c r="F2185" s="27"/>
      <c r="G2185" s="27"/>
      <c r="H2185" s="27"/>
      <c r="I2185" s="27"/>
    </row>
    <row r="2186" spans="1:9" x14ac:dyDescent="0.35">
      <c r="A2186" s="27"/>
      <c r="B2186" s="27"/>
      <c r="C2186" s="27"/>
      <c r="D2186" s="27"/>
      <c r="E2186" s="27"/>
      <c r="F2186" s="27"/>
      <c r="G2186" s="27"/>
      <c r="H2186" s="27"/>
      <c r="I2186" s="27"/>
    </row>
    <row r="2187" spans="1:9" x14ac:dyDescent="0.35">
      <c r="A2187" s="27"/>
      <c r="B2187" s="27"/>
      <c r="C2187" s="27"/>
      <c r="D2187" s="27"/>
      <c r="E2187" s="27"/>
      <c r="F2187" s="27"/>
      <c r="G2187" s="27"/>
      <c r="H2187" s="27"/>
      <c r="I2187" s="27"/>
    </row>
    <row r="2188" spans="1:9" x14ac:dyDescent="0.35">
      <c r="A2188" s="27"/>
      <c r="B2188" s="27"/>
      <c r="C2188" s="27"/>
      <c r="D2188" s="27"/>
      <c r="E2188" s="27"/>
      <c r="F2188" s="27"/>
      <c r="G2188" s="27"/>
      <c r="H2188" s="27"/>
      <c r="I2188" s="27"/>
    </row>
    <row r="2189" spans="1:9" x14ac:dyDescent="0.35">
      <c r="A2189" s="27"/>
      <c r="B2189" s="27"/>
      <c r="C2189" s="27"/>
      <c r="D2189" s="27"/>
      <c r="E2189" s="27"/>
      <c r="F2189" s="27"/>
      <c r="G2189" s="27"/>
      <c r="H2189" s="27"/>
      <c r="I2189" s="27"/>
    </row>
    <row r="2190" spans="1:9" x14ac:dyDescent="0.35">
      <c r="A2190" s="27"/>
      <c r="B2190" s="27"/>
      <c r="C2190" s="27"/>
      <c r="D2190" s="27"/>
      <c r="E2190" s="27"/>
      <c r="F2190" s="27"/>
      <c r="G2190" s="27"/>
      <c r="H2190" s="27"/>
      <c r="I2190" s="27"/>
    </row>
    <row r="2191" spans="1:9" x14ac:dyDescent="0.35">
      <c r="A2191" s="27"/>
      <c r="B2191" s="27"/>
      <c r="C2191" s="27"/>
      <c r="D2191" s="27"/>
      <c r="E2191" s="27"/>
      <c r="F2191" s="27"/>
      <c r="G2191" s="27"/>
      <c r="H2191" s="27"/>
      <c r="I2191" s="27"/>
    </row>
    <row r="2192" spans="1:9" x14ac:dyDescent="0.35">
      <c r="A2192" s="27"/>
      <c r="B2192" s="27"/>
      <c r="C2192" s="27"/>
      <c r="D2192" s="27"/>
      <c r="E2192" s="27"/>
      <c r="F2192" s="27"/>
      <c r="G2192" s="27"/>
      <c r="H2192" s="27"/>
      <c r="I2192" s="27"/>
    </row>
    <row r="2193" spans="1:9" x14ac:dyDescent="0.35">
      <c r="A2193" s="27"/>
      <c r="B2193" s="27"/>
      <c r="C2193" s="27"/>
      <c r="D2193" s="27"/>
      <c r="E2193" s="27"/>
      <c r="F2193" s="27"/>
      <c r="G2193" s="27"/>
      <c r="H2193" s="27"/>
      <c r="I2193" s="27"/>
    </row>
    <row r="2194" spans="1:9" x14ac:dyDescent="0.35">
      <c r="A2194" s="27"/>
      <c r="B2194" s="27"/>
      <c r="C2194" s="27"/>
      <c r="D2194" s="27"/>
      <c r="E2194" s="27"/>
      <c r="F2194" s="27"/>
      <c r="G2194" s="27"/>
      <c r="H2194" s="27"/>
      <c r="I2194" s="27"/>
    </row>
    <row r="2195" spans="1:9" x14ac:dyDescent="0.35">
      <c r="A2195" s="27"/>
      <c r="B2195" s="27"/>
      <c r="C2195" s="27"/>
      <c r="D2195" s="27"/>
      <c r="E2195" s="27"/>
      <c r="F2195" s="27"/>
      <c r="G2195" s="27"/>
      <c r="H2195" s="27"/>
      <c r="I2195" s="27"/>
    </row>
    <row r="2196" spans="1:9" x14ac:dyDescent="0.35">
      <c r="A2196" s="27"/>
      <c r="B2196" s="27"/>
      <c r="C2196" s="27"/>
      <c r="D2196" s="27"/>
      <c r="E2196" s="27"/>
      <c r="F2196" s="27"/>
      <c r="G2196" s="27"/>
      <c r="H2196" s="27"/>
      <c r="I2196" s="27"/>
    </row>
    <row r="2197" spans="1:9" x14ac:dyDescent="0.35">
      <c r="A2197" s="27"/>
      <c r="B2197" s="27"/>
      <c r="C2197" s="27"/>
      <c r="D2197" s="27"/>
      <c r="E2197" s="27"/>
      <c r="F2197" s="27"/>
      <c r="G2197" s="27"/>
      <c r="H2197" s="27"/>
      <c r="I2197" s="27"/>
    </row>
    <row r="2198" spans="1:9" x14ac:dyDescent="0.35">
      <c r="A2198" s="27"/>
      <c r="B2198" s="27"/>
      <c r="C2198" s="27"/>
      <c r="D2198" s="27"/>
      <c r="E2198" s="27"/>
      <c r="F2198" s="27"/>
      <c r="G2198" s="27"/>
      <c r="H2198" s="27"/>
      <c r="I2198" s="27"/>
    </row>
    <row r="2199" spans="1:9" x14ac:dyDescent="0.35">
      <c r="A2199" s="27"/>
      <c r="B2199" s="27"/>
      <c r="C2199" s="27"/>
      <c r="D2199" s="27"/>
      <c r="E2199" s="27"/>
      <c r="F2199" s="27"/>
      <c r="G2199" s="27"/>
      <c r="H2199" s="27"/>
      <c r="I2199" s="27"/>
    </row>
    <row r="2200" spans="1:9" x14ac:dyDescent="0.35">
      <c r="A2200" s="27"/>
      <c r="B2200" s="27"/>
      <c r="C2200" s="27"/>
      <c r="D2200" s="27"/>
      <c r="E2200" s="27"/>
      <c r="F2200" s="27"/>
      <c r="G2200" s="27"/>
      <c r="H2200" s="27"/>
      <c r="I2200" s="27"/>
    </row>
    <row r="2201" spans="1:9" x14ac:dyDescent="0.35">
      <c r="A2201" s="27"/>
      <c r="B2201" s="27"/>
      <c r="C2201" s="27"/>
      <c r="D2201" s="27"/>
      <c r="E2201" s="27"/>
      <c r="F2201" s="27"/>
      <c r="G2201" s="27"/>
      <c r="H2201" s="27"/>
      <c r="I2201" s="27"/>
    </row>
    <row r="2202" spans="1:9" x14ac:dyDescent="0.35">
      <c r="A2202" s="27"/>
      <c r="B2202" s="27"/>
      <c r="C2202" s="27"/>
      <c r="D2202" s="27"/>
      <c r="E2202" s="27"/>
      <c r="F2202" s="27"/>
      <c r="G2202" s="27"/>
      <c r="H2202" s="27"/>
      <c r="I2202" s="27"/>
    </row>
    <row r="2203" spans="1:9" x14ac:dyDescent="0.35">
      <c r="A2203" s="27"/>
      <c r="B2203" s="27"/>
      <c r="C2203" s="27"/>
      <c r="D2203" s="27"/>
      <c r="E2203" s="27"/>
      <c r="F2203" s="27"/>
      <c r="G2203" s="27"/>
      <c r="H2203" s="27"/>
      <c r="I2203" s="27"/>
    </row>
    <row r="2204" spans="1:9" x14ac:dyDescent="0.35">
      <c r="A2204" s="27"/>
      <c r="B2204" s="27"/>
      <c r="C2204" s="27"/>
      <c r="D2204" s="27"/>
      <c r="E2204" s="27"/>
      <c r="F2204" s="27"/>
      <c r="G2204" s="27"/>
      <c r="H2204" s="27"/>
      <c r="I2204" s="27"/>
    </row>
    <row r="2205" spans="1:9" x14ac:dyDescent="0.35">
      <c r="A2205" s="27"/>
      <c r="B2205" s="27"/>
      <c r="C2205" s="27"/>
      <c r="D2205" s="27"/>
      <c r="E2205" s="27"/>
      <c r="F2205" s="27"/>
      <c r="G2205" s="27"/>
      <c r="H2205" s="27"/>
      <c r="I2205" s="27"/>
    </row>
    <row r="2206" spans="1:9" x14ac:dyDescent="0.35">
      <c r="A2206" s="27"/>
      <c r="B2206" s="27"/>
      <c r="C2206" s="27"/>
      <c r="D2206" s="27"/>
      <c r="E2206" s="27"/>
      <c r="F2206" s="27"/>
      <c r="G2206" s="27"/>
      <c r="H2206" s="27"/>
      <c r="I2206" s="27"/>
    </row>
    <row r="2207" spans="1:9" x14ac:dyDescent="0.35">
      <c r="A2207" s="27"/>
      <c r="B2207" s="27"/>
      <c r="C2207" s="27"/>
      <c r="D2207" s="27"/>
      <c r="E2207" s="27"/>
      <c r="F2207" s="27"/>
      <c r="G2207" s="27"/>
      <c r="H2207" s="27"/>
      <c r="I2207" s="27"/>
    </row>
    <row r="2208" spans="1:9" x14ac:dyDescent="0.35">
      <c r="A2208" s="27"/>
      <c r="B2208" s="27"/>
      <c r="C2208" s="27"/>
      <c r="D2208" s="27"/>
      <c r="E2208" s="27"/>
      <c r="F2208" s="27"/>
      <c r="G2208" s="27"/>
      <c r="H2208" s="27"/>
      <c r="I2208" s="27"/>
    </row>
    <row r="2209" spans="1:9" x14ac:dyDescent="0.35">
      <c r="A2209" s="27"/>
      <c r="B2209" s="27"/>
      <c r="C2209" s="27"/>
      <c r="D2209" s="27"/>
      <c r="E2209" s="27"/>
      <c r="F2209" s="27"/>
      <c r="G2209" s="27"/>
      <c r="H2209" s="27"/>
      <c r="I2209" s="27"/>
    </row>
    <row r="2210" spans="1:9" x14ac:dyDescent="0.35">
      <c r="A2210" s="27"/>
      <c r="B2210" s="27"/>
      <c r="C2210" s="27"/>
      <c r="D2210" s="27"/>
      <c r="E2210" s="27"/>
      <c r="F2210" s="27"/>
      <c r="G2210" s="27"/>
      <c r="H2210" s="27"/>
      <c r="I2210" s="27"/>
    </row>
    <row r="2211" spans="1:9" x14ac:dyDescent="0.35">
      <c r="A2211" s="27"/>
      <c r="B2211" s="27"/>
      <c r="C2211" s="27"/>
      <c r="D2211" s="27"/>
      <c r="E2211" s="27"/>
      <c r="F2211" s="27"/>
      <c r="G2211" s="27"/>
      <c r="H2211" s="27"/>
      <c r="I2211" s="27"/>
    </row>
    <row r="2212" spans="1:9" x14ac:dyDescent="0.35">
      <c r="A2212" s="27"/>
      <c r="B2212" s="27"/>
      <c r="C2212" s="27"/>
      <c r="D2212" s="27"/>
      <c r="E2212" s="27"/>
      <c r="F2212" s="27"/>
      <c r="G2212" s="27"/>
      <c r="H2212" s="27"/>
      <c r="I2212" s="27"/>
    </row>
    <row r="2213" spans="1:9" x14ac:dyDescent="0.35">
      <c r="A2213" s="27"/>
      <c r="B2213" s="27"/>
      <c r="C2213" s="27"/>
      <c r="D2213" s="27"/>
      <c r="E2213" s="27"/>
      <c r="F2213" s="27"/>
      <c r="G2213" s="27"/>
      <c r="H2213" s="27"/>
      <c r="I2213" s="27"/>
    </row>
    <row r="2214" spans="1:9" x14ac:dyDescent="0.35">
      <c r="A2214" s="27"/>
      <c r="B2214" s="27"/>
      <c r="C2214" s="27"/>
      <c r="D2214" s="27"/>
      <c r="E2214" s="27"/>
      <c r="F2214" s="27"/>
      <c r="G2214" s="27"/>
      <c r="H2214" s="27"/>
      <c r="I2214" s="27"/>
    </row>
    <row r="2215" spans="1:9" x14ac:dyDescent="0.35">
      <c r="A2215" s="27"/>
      <c r="B2215" s="27"/>
      <c r="C2215" s="27"/>
      <c r="D2215" s="27"/>
      <c r="E2215" s="27"/>
      <c r="F2215" s="27"/>
      <c r="G2215" s="27"/>
      <c r="H2215" s="27"/>
      <c r="I2215" s="27"/>
    </row>
    <row r="2216" spans="1:9" x14ac:dyDescent="0.35">
      <c r="A2216" s="27"/>
      <c r="B2216" s="27"/>
      <c r="C2216" s="27"/>
      <c r="D2216" s="27"/>
      <c r="E2216" s="27"/>
      <c r="F2216" s="27"/>
      <c r="G2216" s="27"/>
      <c r="H2216" s="27"/>
      <c r="I2216" s="27"/>
    </row>
    <row r="2217" spans="1:9" x14ac:dyDescent="0.35">
      <c r="A2217" s="27"/>
      <c r="B2217" s="27"/>
      <c r="C2217" s="27"/>
      <c r="D2217" s="27"/>
      <c r="E2217" s="27"/>
      <c r="F2217" s="27"/>
      <c r="G2217" s="27"/>
      <c r="H2217" s="27"/>
      <c r="I2217" s="27"/>
    </row>
    <row r="2218" spans="1:9" x14ac:dyDescent="0.35">
      <c r="A2218" s="27"/>
      <c r="B2218" s="27"/>
      <c r="C2218" s="27"/>
      <c r="D2218" s="27"/>
      <c r="E2218" s="27"/>
      <c r="F2218" s="27"/>
      <c r="G2218" s="27"/>
      <c r="H2218" s="27"/>
      <c r="I2218" s="27"/>
    </row>
    <row r="2219" spans="1:9" x14ac:dyDescent="0.35">
      <c r="A2219" s="27"/>
      <c r="B2219" s="27"/>
      <c r="C2219" s="27"/>
      <c r="D2219" s="27"/>
      <c r="E2219" s="27"/>
      <c r="F2219" s="27"/>
      <c r="G2219" s="27"/>
      <c r="H2219" s="27"/>
      <c r="I2219" s="27"/>
    </row>
    <row r="2220" spans="1:9" x14ac:dyDescent="0.35">
      <c r="A2220" s="27"/>
      <c r="B2220" s="27"/>
      <c r="C2220" s="27"/>
      <c r="D2220" s="27"/>
      <c r="E2220" s="27"/>
      <c r="F2220" s="27"/>
      <c r="G2220" s="27"/>
      <c r="H2220" s="27"/>
      <c r="I2220" s="27"/>
    </row>
    <row r="2221" spans="1:9" x14ac:dyDescent="0.35">
      <c r="A2221" s="27"/>
      <c r="B2221" s="27"/>
      <c r="C2221" s="27"/>
      <c r="D2221" s="27"/>
      <c r="E2221" s="27"/>
      <c r="F2221" s="27"/>
      <c r="G2221" s="27"/>
      <c r="H2221" s="27"/>
      <c r="I2221" s="27"/>
    </row>
    <row r="2222" spans="1:9" x14ac:dyDescent="0.35">
      <c r="A2222" s="27"/>
      <c r="B2222" s="27"/>
      <c r="C2222" s="27"/>
      <c r="D2222" s="27"/>
      <c r="E2222" s="27"/>
      <c r="F2222" s="27"/>
      <c r="G2222" s="27"/>
      <c r="H2222" s="27"/>
      <c r="I2222" s="27"/>
    </row>
    <row r="2223" spans="1:9" x14ac:dyDescent="0.35">
      <c r="A2223" s="27"/>
      <c r="B2223" s="27"/>
      <c r="C2223" s="27"/>
      <c r="D2223" s="27"/>
      <c r="E2223" s="27"/>
      <c r="F2223" s="27"/>
      <c r="G2223" s="27"/>
      <c r="H2223" s="27"/>
      <c r="I2223" s="27"/>
    </row>
    <row r="2224" spans="1:9" x14ac:dyDescent="0.35">
      <c r="A2224" s="27"/>
      <c r="B2224" s="27"/>
      <c r="C2224" s="27"/>
      <c r="D2224" s="27"/>
      <c r="E2224" s="27"/>
      <c r="F2224" s="27"/>
      <c r="G2224" s="27"/>
      <c r="H2224" s="27"/>
      <c r="I2224" s="27"/>
    </row>
    <row r="2225" spans="1:9" x14ac:dyDescent="0.35">
      <c r="A2225" s="27"/>
      <c r="B2225" s="27"/>
      <c r="C2225" s="27"/>
      <c r="D2225" s="27"/>
      <c r="E2225" s="27"/>
      <c r="F2225" s="27"/>
      <c r="G2225" s="27"/>
      <c r="H2225" s="27"/>
      <c r="I2225" s="27"/>
    </row>
    <row r="2226" spans="1:9" x14ac:dyDescent="0.35">
      <c r="A2226" s="27"/>
      <c r="B2226" s="27"/>
      <c r="C2226" s="27"/>
      <c r="D2226" s="27"/>
      <c r="E2226" s="27"/>
      <c r="F2226" s="27"/>
      <c r="G2226" s="27"/>
      <c r="H2226" s="27"/>
      <c r="I2226" s="27"/>
    </row>
    <row r="2227" spans="1:9" x14ac:dyDescent="0.35">
      <c r="A2227" s="27"/>
      <c r="B2227" s="27"/>
      <c r="C2227" s="27"/>
      <c r="D2227" s="27"/>
      <c r="E2227" s="27"/>
      <c r="F2227" s="27"/>
      <c r="G2227" s="27"/>
      <c r="H2227" s="27"/>
      <c r="I2227" s="27"/>
    </row>
    <row r="2228" spans="1:9" x14ac:dyDescent="0.35">
      <c r="A2228" s="27"/>
      <c r="B2228" s="27"/>
      <c r="C2228" s="27"/>
      <c r="D2228" s="27"/>
      <c r="E2228" s="27"/>
      <c r="F2228" s="27"/>
      <c r="G2228" s="27"/>
      <c r="H2228" s="27"/>
      <c r="I2228" s="27"/>
    </row>
    <row r="2229" spans="1:9" x14ac:dyDescent="0.35">
      <c r="A2229" s="27"/>
      <c r="B2229" s="27"/>
      <c r="C2229" s="27"/>
      <c r="D2229" s="27"/>
      <c r="E2229" s="27"/>
      <c r="F2229" s="27"/>
      <c r="G2229" s="27"/>
      <c r="H2229" s="27"/>
      <c r="I2229" s="27"/>
    </row>
    <row r="2230" spans="1:9" x14ac:dyDescent="0.35">
      <c r="A2230" s="27"/>
      <c r="B2230" s="27"/>
      <c r="C2230" s="27"/>
      <c r="D2230" s="27"/>
      <c r="E2230" s="27"/>
      <c r="F2230" s="27"/>
      <c r="G2230" s="27"/>
      <c r="H2230" s="27"/>
      <c r="I2230" s="27"/>
    </row>
    <row r="2231" spans="1:9" x14ac:dyDescent="0.35">
      <c r="A2231" s="27"/>
      <c r="B2231" s="27"/>
      <c r="C2231" s="27"/>
      <c r="D2231" s="27"/>
      <c r="E2231" s="27"/>
      <c r="F2231" s="27"/>
      <c r="G2231" s="27"/>
      <c r="H2231" s="27"/>
      <c r="I2231" s="27"/>
    </row>
    <row r="2232" spans="1:9" x14ac:dyDescent="0.35">
      <c r="A2232" s="27"/>
      <c r="B2232" s="27"/>
      <c r="C2232" s="27"/>
      <c r="D2232" s="27"/>
      <c r="E2232" s="27"/>
      <c r="F2232" s="27"/>
      <c r="G2232" s="27"/>
      <c r="H2232" s="27"/>
      <c r="I2232" s="27"/>
    </row>
    <row r="2233" spans="1:9" x14ac:dyDescent="0.35">
      <c r="A2233" s="27"/>
      <c r="B2233" s="27"/>
      <c r="C2233" s="27"/>
      <c r="D2233" s="27"/>
      <c r="E2233" s="27"/>
      <c r="F2233" s="27"/>
      <c r="G2233" s="27"/>
      <c r="H2233" s="27"/>
      <c r="I2233" s="27"/>
    </row>
    <row r="2234" spans="1:9" x14ac:dyDescent="0.35">
      <c r="A2234" s="27"/>
      <c r="B2234" s="27"/>
      <c r="C2234" s="27"/>
      <c r="D2234" s="27"/>
      <c r="E2234" s="27"/>
      <c r="F2234" s="27"/>
      <c r="G2234" s="27"/>
      <c r="H2234" s="27"/>
      <c r="I2234" s="27"/>
    </row>
    <row r="2235" spans="1:9" x14ac:dyDescent="0.35">
      <c r="A2235" s="27"/>
      <c r="B2235" s="27"/>
      <c r="C2235" s="27"/>
      <c r="D2235" s="27"/>
      <c r="E2235" s="27"/>
      <c r="F2235" s="27"/>
      <c r="G2235" s="27"/>
      <c r="H2235" s="27"/>
      <c r="I2235" s="27"/>
    </row>
    <row r="2236" spans="1:9" x14ac:dyDescent="0.35">
      <c r="A2236" s="27"/>
      <c r="B2236" s="27"/>
      <c r="C2236" s="27"/>
      <c r="D2236" s="27"/>
      <c r="E2236" s="27"/>
      <c r="F2236" s="27"/>
      <c r="G2236" s="27"/>
      <c r="H2236" s="27"/>
      <c r="I2236" s="27"/>
    </row>
    <row r="2237" spans="1:9" x14ac:dyDescent="0.35">
      <c r="A2237" s="27"/>
      <c r="B2237" s="27"/>
      <c r="C2237" s="27"/>
      <c r="D2237" s="27"/>
      <c r="E2237" s="27"/>
      <c r="F2237" s="27"/>
      <c r="G2237" s="27"/>
      <c r="H2237" s="27"/>
      <c r="I2237" s="27"/>
    </row>
    <row r="2238" spans="1:9" x14ac:dyDescent="0.35">
      <c r="A2238" s="27"/>
      <c r="B2238" s="27"/>
      <c r="C2238" s="27"/>
      <c r="D2238" s="27"/>
      <c r="E2238" s="27"/>
      <c r="F2238" s="27"/>
      <c r="G2238" s="27"/>
      <c r="H2238" s="27"/>
      <c r="I2238" s="27"/>
    </row>
    <row r="2239" spans="1:9" x14ac:dyDescent="0.35">
      <c r="A2239" s="27"/>
      <c r="B2239" s="27"/>
      <c r="C2239" s="27"/>
      <c r="D2239" s="27"/>
      <c r="E2239" s="27"/>
      <c r="F2239" s="27"/>
      <c r="G2239" s="27"/>
      <c r="H2239" s="27"/>
      <c r="I2239" s="27"/>
    </row>
    <row r="2240" spans="1:9" x14ac:dyDescent="0.35">
      <c r="A2240" s="27"/>
      <c r="B2240" s="27"/>
      <c r="C2240" s="27"/>
      <c r="D2240" s="27"/>
      <c r="E2240" s="27"/>
      <c r="F2240" s="27"/>
      <c r="G2240" s="27"/>
      <c r="H2240" s="27"/>
      <c r="I2240" s="27"/>
    </row>
    <row r="2241" spans="1:9" x14ac:dyDescent="0.35">
      <c r="A2241" s="27"/>
      <c r="B2241" s="27"/>
      <c r="C2241" s="27"/>
      <c r="D2241" s="27"/>
      <c r="E2241" s="27"/>
      <c r="F2241" s="27"/>
      <c r="G2241" s="27"/>
      <c r="H2241" s="27"/>
      <c r="I2241" s="27"/>
    </row>
    <row r="2242" spans="1:9" x14ac:dyDescent="0.35">
      <c r="A2242" s="27"/>
      <c r="B2242" s="27"/>
      <c r="C2242" s="27"/>
      <c r="D2242" s="27"/>
      <c r="E2242" s="27"/>
      <c r="F2242" s="27"/>
      <c r="G2242" s="27"/>
      <c r="H2242" s="27"/>
      <c r="I2242" s="27"/>
    </row>
    <row r="2243" spans="1:9" x14ac:dyDescent="0.35">
      <c r="A2243" s="27"/>
      <c r="B2243" s="27"/>
      <c r="C2243" s="27"/>
      <c r="D2243" s="27"/>
      <c r="E2243" s="27"/>
      <c r="F2243" s="27"/>
      <c r="G2243" s="27"/>
      <c r="H2243" s="27"/>
      <c r="I2243" s="27"/>
    </row>
    <row r="2244" spans="1:9" x14ac:dyDescent="0.35">
      <c r="A2244" s="27"/>
      <c r="B2244" s="27"/>
      <c r="C2244" s="27"/>
      <c r="D2244" s="27"/>
      <c r="E2244" s="27"/>
      <c r="F2244" s="27"/>
      <c r="G2244" s="27"/>
      <c r="H2244" s="27"/>
      <c r="I2244" s="27"/>
    </row>
    <row r="2245" spans="1:9" x14ac:dyDescent="0.35">
      <c r="A2245" s="27"/>
      <c r="B2245" s="27"/>
      <c r="C2245" s="27"/>
      <c r="D2245" s="27"/>
      <c r="E2245" s="27"/>
      <c r="F2245" s="27"/>
      <c r="G2245" s="27"/>
      <c r="H2245" s="27"/>
      <c r="I2245" s="27"/>
    </row>
    <row r="2246" spans="1:9" x14ac:dyDescent="0.35">
      <c r="A2246" s="27"/>
      <c r="B2246" s="27"/>
      <c r="C2246" s="27"/>
      <c r="D2246" s="27"/>
      <c r="E2246" s="27"/>
      <c r="F2246" s="27"/>
      <c r="G2246" s="27"/>
      <c r="H2246" s="27"/>
      <c r="I2246" s="27"/>
    </row>
    <row r="2247" spans="1:9" x14ac:dyDescent="0.35">
      <c r="A2247" s="27"/>
      <c r="B2247" s="27"/>
      <c r="C2247" s="27"/>
      <c r="D2247" s="27"/>
      <c r="E2247" s="27"/>
      <c r="F2247" s="27"/>
      <c r="G2247" s="27"/>
      <c r="H2247" s="27"/>
      <c r="I2247" s="27"/>
    </row>
    <row r="2248" spans="1:9" x14ac:dyDescent="0.35">
      <c r="A2248" s="27"/>
      <c r="B2248" s="27"/>
      <c r="C2248" s="27"/>
      <c r="D2248" s="27"/>
      <c r="E2248" s="27"/>
      <c r="F2248" s="27"/>
      <c r="G2248" s="27"/>
      <c r="H2248" s="27"/>
      <c r="I2248" s="27"/>
    </row>
    <row r="2249" spans="1:9" x14ac:dyDescent="0.35">
      <c r="A2249" s="27"/>
      <c r="B2249" s="27"/>
      <c r="C2249" s="27"/>
      <c r="D2249" s="27"/>
      <c r="E2249" s="27"/>
      <c r="F2249" s="27"/>
      <c r="G2249" s="27"/>
      <c r="H2249" s="27"/>
      <c r="I2249" s="27"/>
    </row>
    <row r="2250" spans="1:9" x14ac:dyDescent="0.35">
      <c r="A2250" s="27"/>
      <c r="B2250" s="27"/>
      <c r="C2250" s="27"/>
      <c r="D2250" s="27"/>
      <c r="E2250" s="27"/>
      <c r="F2250" s="27"/>
      <c r="G2250" s="27"/>
      <c r="H2250" s="27"/>
      <c r="I2250" s="27"/>
    </row>
    <row r="2251" spans="1:9" x14ac:dyDescent="0.35">
      <c r="A2251" s="27"/>
      <c r="B2251" s="27"/>
      <c r="C2251" s="27"/>
      <c r="D2251" s="27"/>
      <c r="E2251" s="27"/>
      <c r="F2251" s="27"/>
      <c r="G2251" s="27"/>
      <c r="H2251" s="27"/>
      <c r="I2251" s="27"/>
    </row>
    <row r="2252" spans="1:9" x14ac:dyDescent="0.35">
      <c r="A2252" s="27"/>
      <c r="B2252" s="27"/>
      <c r="C2252" s="27"/>
      <c r="D2252" s="27"/>
      <c r="E2252" s="27"/>
      <c r="F2252" s="27"/>
      <c r="G2252" s="27"/>
      <c r="H2252" s="27"/>
      <c r="I2252" s="27"/>
    </row>
    <row r="2253" spans="1:9" x14ac:dyDescent="0.35">
      <c r="A2253" s="27"/>
      <c r="B2253" s="27"/>
      <c r="C2253" s="27"/>
      <c r="D2253" s="27"/>
      <c r="E2253" s="27"/>
      <c r="F2253" s="27"/>
      <c r="G2253" s="27"/>
      <c r="H2253" s="27"/>
      <c r="I2253" s="27"/>
    </row>
    <row r="2254" spans="1:9" x14ac:dyDescent="0.35">
      <c r="A2254" s="27"/>
      <c r="B2254" s="27"/>
      <c r="C2254" s="27"/>
      <c r="D2254" s="27"/>
      <c r="E2254" s="27"/>
      <c r="F2254" s="27"/>
      <c r="G2254" s="27"/>
      <c r="H2254" s="27"/>
      <c r="I2254" s="27"/>
    </row>
    <row r="2255" spans="1:9" x14ac:dyDescent="0.35">
      <c r="A2255" s="27"/>
      <c r="B2255" s="27"/>
      <c r="C2255" s="27"/>
      <c r="D2255" s="27"/>
      <c r="E2255" s="27"/>
      <c r="F2255" s="27"/>
      <c r="G2255" s="27"/>
      <c r="H2255" s="27"/>
      <c r="I2255" s="27"/>
    </row>
    <row r="2256" spans="1:9" x14ac:dyDescent="0.35">
      <c r="A2256" s="27"/>
      <c r="B2256" s="27"/>
      <c r="C2256" s="27"/>
      <c r="D2256" s="27"/>
      <c r="E2256" s="27"/>
      <c r="F2256" s="27"/>
      <c r="G2256" s="27"/>
      <c r="H2256" s="27"/>
      <c r="I2256" s="27"/>
    </row>
    <row r="2257" spans="1:9" x14ac:dyDescent="0.35">
      <c r="A2257" s="27"/>
      <c r="B2257" s="27"/>
      <c r="C2257" s="27"/>
      <c r="D2257" s="27"/>
      <c r="E2257" s="27"/>
      <c r="F2257" s="27"/>
      <c r="G2257" s="27"/>
      <c r="H2257" s="27"/>
      <c r="I2257" s="27"/>
    </row>
    <row r="2258" spans="1:9" x14ac:dyDescent="0.35">
      <c r="A2258" s="27"/>
      <c r="B2258" s="27"/>
      <c r="C2258" s="27"/>
      <c r="D2258" s="27"/>
      <c r="E2258" s="27"/>
      <c r="F2258" s="27"/>
      <c r="G2258" s="27"/>
      <c r="H2258" s="27"/>
      <c r="I2258" s="27"/>
    </row>
    <row r="2259" spans="1:9" x14ac:dyDescent="0.35">
      <c r="A2259" s="27"/>
      <c r="B2259" s="27"/>
      <c r="C2259" s="27"/>
      <c r="D2259" s="27"/>
      <c r="E2259" s="27"/>
      <c r="F2259" s="27"/>
      <c r="G2259" s="27"/>
      <c r="H2259" s="27"/>
      <c r="I2259" s="27"/>
    </row>
    <row r="2260" spans="1:9" x14ac:dyDescent="0.35">
      <c r="A2260" s="27"/>
      <c r="B2260" s="27"/>
      <c r="C2260" s="27"/>
      <c r="D2260" s="27"/>
      <c r="E2260" s="27"/>
      <c r="F2260" s="27"/>
      <c r="G2260" s="27"/>
      <c r="H2260" s="27"/>
      <c r="I2260" s="27"/>
    </row>
    <row r="2261" spans="1:9" x14ac:dyDescent="0.35">
      <c r="A2261" s="27"/>
      <c r="B2261" s="27"/>
      <c r="C2261" s="27"/>
      <c r="D2261" s="27"/>
      <c r="E2261" s="27"/>
      <c r="F2261" s="27"/>
      <c r="G2261" s="27"/>
      <c r="H2261" s="27"/>
      <c r="I2261" s="27"/>
    </row>
    <row r="2262" spans="1:9" x14ac:dyDescent="0.35">
      <c r="A2262" s="27"/>
      <c r="B2262" s="27"/>
      <c r="C2262" s="27"/>
      <c r="D2262" s="27"/>
      <c r="E2262" s="27"/>
      <c r="F2262" s="27"/>
      <c r="G2262" s="27"/>
      <c r="H2262" s="27"/>
      <c r="I2262" s="27"/>
    </row>
    <row r="2263" spans="1:9" x14ac:dyDescent="0.35">
      <c r="A2263" s="27"/>
      <c r="B2263" s="27"/>
      <c r="C2263" s="27"/>
      <c r="D2263" s="27"/>
      <c r="E2263" s="27"/>
      <c r="F2263" s="27"/>
      <c r="G2263" s="27"/>
      <c r="H2263" s="27"/>
      <c r="I2263" s="27"/>
    </row>
    <row r="2264" spans="1:9" x14ac:dyDescent="0.35">
      <c r="A2264" s="27"/>
      <c r="B2264" s="27"/>
      <c r="C2264" s="27"/>
      <c r="D2264" s="27"/>
      <c r="E2264" s="27"/>
      <c r="F2264" s="27"/>
      <c r="G2264" s="27"/>
      <c r="H2264" s="27"/>
      <c r="I2264" s="27"/>
    </row>
    <row r="2265" spans="1:9" x14ac:dyDescent="0.35">
      <c r="A2265" s="27"/>
      <c r="B2265" s="27"/>
      <c r="C2265" s="27"/>
      <c r="D2265" s="27"/>
      <c r="E2265" s="27"/>
      <c r="F2265" s="27"/>
      <c r="G2265" s="27"/>
      <c r="H2265" s="27"/>
      <c r="I2265" s="27"/>
    </row>
    <row r="2266" spans="1:9" x14ac:dyDescent="0.35">
      <c r="A2266" s="27"/>
      <c r="B2266" s="27"/>
      <c r="C2266" s="27"/>
      <c r="D2266" s="27"/>
      <c r="E2266" s="27"/>
      <c r="F2266" s="27"/>
      <c r="G2266" s="27"/>
      <c r="H2266" s="27"/>
      <c r="I2266" s="27"/>
    </row>
    <row r="2267" spans="1:9" x14ac:dyDescent="0.35">
      <c r="A2267" s="27"/>
      <c r="B2267" s="27"/>
      <c r="C2267" s="27"/>
      <c r="D2267" s="27"/>
      <c r="E2267" s="27"/>
      <c r="F2267" s="27"/>
      <c r="G2267" s="27"/>
      <c r="H2267" s="27"/>
      <c r="I2267" s="27"/>
    </row>
    <row r="2268" spans="1:9" x14ac:dyDescent="0.35">
      <c r="A2268" s="27"/>
      <c r="B2268" s="27"/>
      <c r="C2268" s="27"/>
      <c r="D2268" s="27"/>
      <c r="E2268" s="27"/>
      <c r="F2268" s="27"/>
      <c r="G2268" s="27"/>
      <c r="H2268" s="27"/>
      <c r="I2268" s="27"/>
    </row>
    <row r="2269" spans="1:9" x14ac:dyDescent="0.35">
      <c r="A2269" s="27"/>
      <c r="B2269" s="27"/>
      <c r="C2269" s="27"/>
      <c r="D2269" s="27"/>
      <c r="E2269" s="27"/>
      <c r="F2269" s="27"/>
      <c r="G2269" s="27"/>
      <c r="H2269" s="27"/>
      <c r="I2269" s="27"/>
    </row>
    <row r="2270" spans="1:9" x14ac:dyDescent="0.35">
      <c r="A2270" s="27"/>
      <c r="B2270" s="27"/>
      <c r="C2270" s="27"/>
      <c r="D2270" s="27"/>
      <c r="E2270" s="27"/>
      <c r="F2270" s="27"/>
      <c r="G2270" s="27"/>
      <c r="H2270" s="27"/>
      <c r="I2270" s="27"/>
    </row>
    <row r="2271" spans="1:9" x14ac:dyDescent="0.35">
      <c r="A2271" s="27"/>
      <c r="B2271" s="27"/>
      <c r="C2271" s="27"/>
      <c r="D2271" s="27"/>
      <c r="E2271" s="27"/>
      <c r="F2271" s="27"/>
      <c r="G2271" s="27"/>
      <c r="H2271" s="27"/>
      <c r="I2271" s="27"/>
    </row>
    <row r="2272" spans="1:9" x14ac:dyDescent="0.35">
      <c r="A2272" s="27"/>
      <c r="B2272" s="27"/>
      <c r="C2272" s="27"/>
      <c r="D2272" s="27"/>
      <c r="E2272" s="27"/>
      <c r="F2272" s="27"/>
      <c r="G2272" s="27"/>
      <c r="H2272" s="27"/>
      <c r="I2272" s="27"/>
    </row>
    <row r="2273" spans="1:9" x14ac:dyDescent="0.35">
      <c r="A2273" s="27"/>
      <c r="B2273" s="27"/>
      <c r="C2273" s="27"/>
      <c r="D2273" s="27"/>
      <c r="E2273" s="27"/>
      <c r="F2273" s="27"/>
      <c r="G2273" s="27"/>
      <c r="H2273" s="27"/>
      <c r="I2273" s="27"/>
    </row>
    <row r="2274" spans="1:9" x14ac:dyDescent="0.35">
      <c r="A2274" s="27"/>
      <c r="B2274" s="27"/>
      <c r="C2274" s="27"/>
      <c r="D2274" s="27"/>
      <c r="E2274" s="27"/>
      <c r="F2274" s="27"/>
      <c r="G2274" s="27"/>
      <c r="H2274" s="27"/>
      <c r="I2274" s="27"/>
    </row>
    <row r="2275" spans="1:9" x14ac:dyDescent="0.35">
      <c r="A2275" s="27"/>
      <c r="B2275" s="27"/>
      <c r="C2275" s="27"/>
      <c r="D2275" s="27"/>
      <c r="E2275" s="27"/>
      <c r="F2275" s="27"/>
      <c r="G2275" s="27"/>
      <c r="H2275" s="27"/>
      <c r="I2275" s="27"/>
    </row>
    <row r="2276" spans="1:9" x14ac:dyDescent="0.35">
      <c r="A2276" s="27"/>
      <c r="B2276" s="27"/>
      <c r="C2276" s="27"/>
      <c r="D2276" s="27"/>
      <c r="E2276" s="27"/>
      <c r="F2276" s="27"/>
      <c r="G2276" s="27"/>
      <c r="H2276" s="27"/>
      <c r="I2276" s="27"/>
    </row>
    <row r="2277" spans="1:9" x14ac:dyDescent="0.35">
      <c r="A2277" s="27"/>
      <c r="B2277" s="27"/>
      <c r="C2277" s="27"/>
      <c r="D2277" s="27"/>
      <c r="E2277" s="27"/>
      <c r="F2277" s="27"/>
      <c r="G2277" s="27"/>
      <c r="H2277" s="27"/>
      <c r="I2277" s="27"/>
    </row>
    <row r="2278" spans="1:9" x14ac:dyDescent="0.35">
      <c r="A2278" s="27"/>
      <c r="B2278" s="27"/>
      <c r="C2278" s="27"/>
      <c r="D2278" s="27"/>
      <c r="E2278" s="27"/>
      <c r="F2278" s="27"/>
      <c r="G2278" s="27"/>
      <c r="H2278" s="27"/>
      <c r="I2278" s="27"/>
    </row>
    <row r="2279" spans="1:9" x14ac:dyDescent="0.35">
      <c r="A2279" s="27"/>
      <c r="B2279" s="27"/>
      <c r="C2279" s="27"/>
      <c r="D2279" s="27"/>
      <c r="E2279" s="27"/>
      <c r="F2279" s="27"/>
      <c r="G2279" s="27"/>
      <c r="H2279" s="27"/>
      <c r="I2279" s="27"/>
    </row>
    <row r="2280" spans="1:9" x14ac:dyDescent="0.35">
      <c r="A2280" s="27"/>
      <c r="B2280" s="27"/>
      <c r="C2280" s="27"/>
      <c r="D2280" s="27"/>
      <c r="E2280" s="27"/>
      <c r="F2280" s="27"/>
      <c r="G2280" s="27"/>
      <c r="H2280" s="27"/>
      <c r="I2280" s="27"/>
    </row>
    <row r="2281" spans="1:9" x14ac:dyDescent="0.35">
      <c r="A2281" s="27"/>
      <c r="B2281" s="27"/>
      <c r="C2281" s="27"/>
      <c r="D2281" s="27"/>
      <c r="E2281" s="27"/>
      <c r="F2281" s="27"/>
      <c r="G2281" s="27"/>
      <c r="H2281" s="27"/>
      <c r="I2281" s="27"/>
    </row>
    <row r="2282" spans="1:9" x14ac:dyDescent="0.35">
      <c r="A2282" s="27"/>
      <c r="B2282" s="27"/>
      <c r="C2282" s="27"/>
      <c r="D2282" s="27"/>
      <c r="E2282" s="27"/>
      <c r="F2282" s="27"/>
      <c r="G2282" s="27"/>
      <c r="H2282" s="27"/>
      <c r="I2282" s="27"/>
    </row>
    <row r="2283" spans="1:9" x14ac:dyDescent="0.35">
      <c r="A2283" s="27"/>
      <c r="B2283" s="27"/>
      <c r="C2283" s="27"/>
      <c r="D2283" s="27"/>
      <c r="E2283" s="27"/>
      <c r="F2283" s="27"/>
      <c r="G2283" s="27"/>
      <c r="H2283" s="27"/>
      <c r="I2283" s="27"/>
    </row>
    <row r="2284" spans="1:9" x14ac:dyDescent="0.35">
      <c r="A2284" s="27"/>
      <c r="B2284" s="27"/>
      <c r="C2284" s="27"/>
      <c r="D2284" s="27"/>
      <c r="E2284" s="27"/>
      <c r="F2284" s="27"/>
      <c r="G2284" s="27"/>
      <c r="H2284" s="27"/>
      <c r="I2284" s="27"/>
    </row>
    <row r="2285" spans="1:9" x14ac:dyDescent="0.35">
      <c r="A2285" s="27"/>
      <c r="B2285" s="27"/>
      <c r="C2285" s="27"/>
      <c r="D2285" s="27"/>
      <c r="E2285" s="27"/>
      <c r="F2285" s="27"/>
      <c r="G2285" s="27"/>
      <c r="H2285" s="27"/>
      <c r="I2285" s="27"/>
    </row>
    <row r="2286" spans="1:9" x14ac:dyDescent="0.35">
      <c r="A2286" s="27"/>
      <c r="B2286" s="27"/>
      <c r="C2286" s="27"/>
      <c r="D2286" s="27"/>
      <c r="E2286" s="27"/>
      <c r="F2286" s="27"/>
      <c r="G2286" s="27"/>
      <c r="H2286" s="27"/>
      <c r="I2286" s="27"/>
    </row>
    <row r="2287" spans="1:9" x14ac:dyDescent="0.35">
      <c r="A2287" s="27"/>
      <c r="B2287" s="27"/>
      <c r="C2287" s="27"/>
      <c r="D2287" s="27"/>
      <c r="E2287" s="27"/>
      <c r="F2287" s="27"/>
      <c r="G2287" s="27"/>
      <c r="H2287" s="27"/>
      <c r="I2287" s="27"/>
    </row>
    <row r="2288" spans="1:9" x14ac:dyDescent="0.35">
      <c r="A2288" s="27"/>
      <c r="B2288" s="27"/>
      <c r="C2288" s="27"/>
      <c r="D2288" s="27"/>
      <c r="E2288" s="27"/>
      <c r="F2288" s="27"/>
      <c r="G2288" s="27"/>
      <c r="H2288" s="27"/>
      <c r="I2288" s="27"/>
    </row>
    <row r="2289" spans="1:9" x14ac:dyDescent="0.35">
      <c r="A2289" s="27"/>
      <c r="B2289" s="27"/>
      <c r="C2289" s="27"/>
      <c r="D2289" s="27"/>
      <c r="E2289" s="27"/>
      <c r="F2289" s="27"/>
      <c r="G2289" s="27"/>
      <c r="H2289" s="27"/>
      <c r="I2289" s="27"/>
    </row>
    <row r="2290" spans="1:9" x14ac:dyDescent="0.35">
      <c r="A2290" s="27"/>
      <c r="B2290" s="27"/>
      <c r="C2290" s="27"/>
      <c r="D2290" s="27"/>
      <c r="E2290" s="27"/>
      <c r="F2290" s="27"/>
      <c r="G2290" s="27"/>
      <c r="H2290" s="27"/>
      <c r="I2290" s="27"/>
    </row>
    <row r="2291" spans="1:9" x14ac:dyDescent="0.35">
      <c r="A2291" s="27"/>
      <c r="B2291" s="27"/>
      <c r="C2291" s="27"/>
      <c r="D2291" s="27"/>
      <c r="E2291" s="27"/>
      <c r="F2291" s="27"/>
      <c r="G2291" s="27"/>
      <c r="H2291" s="27"/>
      <c r="I2291" s="27"/>
    </row>
    <row r="2292" spans="1:9" x14ac:dyDescent="0.35">
      <c r="A2292" s="27"/>
      <c r="B2292" s="27"/>
      <c r="C2292" s="27"/>
      <c r="D2292" s="27"/>
      <c r="E2292" s="27"/>
      <c r="F2292" s="27"/>
      <c r="G2292" s="27"/>
      <c r="H2292" s="27"/>
      <c r="I2292" s="27"/>
    </row>
    <row r="2293" spans="1:9" x14ac:dyDescent="0.35">
      <c r="A2293" s="27"/>
      <c r="B2293" s="27"/>
      <c r="C2293" s="27"/>
      <c r="D2293" s="27"/>
      <c r="E2293" s="27"/>
      <c r="F2293" s="27"/>
      <c r="G2293" s="27"/>
      <c r="H2293" s="27"/>
      <c r="I2293" s="27"/>
    </row>
    <row r="2294" spans="1:9" x14ac:dyDescent="0.35">
      <c r="A2294" s="27"/>
      <c r="B2294" s="27"/>
      <c r="C2294" s="27"/>
      <c r="D2294" s="27"/>
      <c r="E2294" s="27"/>
      <c r="F2294" s="27"/>
      <c r="G2294" s="27"/>
      <c r="H2294" s="27"/>
      <c r="I2294" s="27"/>
    </row>
    <row r="2295" spans="1:9" x14ac:dyDescent="0.35">
      <c r="A2295" s="27"/>
      <c r="B2295" s="27"/>
      <c r="C2295" s="27"/>
      <c r="D2295" s="27"/>
      <c r="E2295" s="27"/>
      <c r="F2295" s="27"/>
      <c r="G2295" s="27"/>
      <c r="H2295" s="27"/>
      <c r="I2295" s="27"/>
    </row>
    <row r="2296" spans="1:9" x14ac:dyDescent="0.35">
      <c r="A2296" s="27"/>
      <c r="B2296" s="27"/>
      <c r="C2296" s="27"/>
      <c r="D2296" s="27"/>
      <c r="E2296" s="27"/>
      <c r="F2296" s="27"/>
      <c r="G2296" s="27"/>
      <c r="H2296" s="27"/>
      <c r="I2296" s="27"/>
    </row>
    <row r="2297" spans="1:9" x14ac:dyDescent="0.35">
      <c r="A2297" s="27"/>
      <c r="B2297" s="27"/>
      <c r="C2297" s="27"/>
      <c r="D2297" s="27"/>
      <c r="E2297" s="27"/>
      <c r="F2297" s="27"/>
      <c r="G2297" s="27"/>
      <c r="H2297" s="27"/>
      <c r="I2297" s="27"/>
    </row>
    <row r="2298" spans="1:9" x14ac:dyDescent="0.35">
      <c r="A2298" s="27"/>
      <c r="B2298" s="27"/>
      <c r="C2298" s="27"/>
      <c r="D2298" s="27"/>
      <c r="E2298" s="27"/>
      <c r="F2298" s="27"/>
      <c r="G2298" s="27"/>
      <c r="H2298" s="27"/>
      <c r="I2298" s="27"/>
    </row>
    <row r="2299" spans="1:9" x14ac:dyDescent="0.35">
      <c r="A2299" s="27"/>
      <c r="B2299" s="27"/>
      <c r="C2299" s="27"/>
      <c r="D2299" s="27"/>
      <c r="E2299" s="27"/>
      <c r="F2299" s="27"/>
      <c r="G2299" s="27"/>
      <c r="H2299" s="27"/>
      <c r="I2299" s="27"/>
    </row>
    <row r="2300" spans="1:9" x14ac:dyDescent="0.35">
      <c r="A2300" s="27"/>
      <c r="B2300" s="27"/>
      <c r="C2300" s="27"/>
      <c r="D2300" s="27"/>
      <c r="E2300" s="27"/>
      <c r="F2300" s="27"/>
      <c r="G2300" s="27"/>
      <c r="H2300" s="27"/>
      <c r="I2300" s="27"/>
    </row>
    <row r="2301" spans="1:9" x14ac:dyDescent="0.35">
      <c r="A2301" s="27"/>
      <c r="B2301" s="27"/>
      <c r="C2301" s="27"/>
      <c r="D2301" s="27"/>
      <c r="E2301" s="27"/>
      <c r="F2301" s="27"/>
      <c r="G2301" s="27"/>
      <c r="H2301" s="27"/>
      <c r="I2301" s="27"/>
    </row>
    <row r="2302" spans="1:9" x14ac:dyDescent="0.35">
      <c r="A2302" s="27"/>
      <c r="B2302" s="27"/>
      <c r="C2302" s="27"/>
      <c r="D2302" s="27"/>
      <c r="E2302" s="27"/>
      <c r="F2302" s="27"/>
      <c r="G2302" s="27"/>
      <c r="H2302" s="27"/>
      <c r="I2302" s="27"/>
    </row>
    <row r="2303" spans="1:9" x14ac:dyDescent="0.35">
      <c r="A2303" s="27"/>
      <c r="B2303" s="27"/>
      <c r="C2303" s="27"/>
      <c r="D2303" s="27"/>
      <c r="E2303" s="27"/>
      <c r="F2303" s="27"/>
      <c r="G2303" s="27"/>
      <c r="H2303" s="27"/>
      <c r="I2303" s="27"/>
    </row>
    <row r="2304" spans="1:9" x14ac:dyDescent="0.35">
      <c r="A2304" s="27"/>
      <c r="B2304" s="27"/>
      <c r="C2304" s="27"/>
      <c r="D2304" s="27"/>
      <c r="E2304" s="27"/>
      <c r="F2304" s="27"/>
      <c r="G2304" s="27"/>
      <c r="H2304" s="27"/>
      <c r="I2304" s="27"/>
    </row>
    <row r="2305" spans="1:9" x14ac:dyDescent="0.35">
      <c r="A2305" s="27"/>
      <c r="B2305" s="27"/>
      <c r="C2305" s="27"/>
      <c r="D2305" s="27"/>
      <c r="E2305" s="27"/>
      <c r="F2305" s="27"/>
      <c r="G2305" s="27"/>
      <c r="H2305" s="27"/>
      <c r="I2305" s="27"/>
    </row>
    <row r="2306" spans="1:9" x14ac:dyDescent="0.35">
      <c r="A2306" s="27"/>
      <c r="B2306" s="27"/>
      <c r="C2306" s="27"/>
      <c r="D2306" s="27"/>
      <c r="E2306" s="27"/>
      <c r="F2306" s="27"/>
      <c r="G2306" s="27"/>
      <c r="H2306" s="27"/>
      <c r="I2306" s="27"/>
    </row>
    <row r="2307" spans="1:9" x14ac:dyDescent="0.35">
      <c r="A2307" s="27"/>
      <c r="B2307" s="27"/>
      <c r="C2307" s="27"/>
      <c r="D2307" s="27"/>
      <c r="E2307" s="27"/>
      <c r="F2307" s="27"/>
      <c r="G2307" s="27"/>
      <c r="H2307" s="27"/>
      <c r="I2307" s="27"/>
    </row>
    <row r="2308" spans="1:9" x14ac:dyDescent="0.35">
      <c r="A2308" s="27"/>
      <c r="B2308" s="27"/>
      <c r="C2308" s="27"/>
      <c r="D2308" s="27"/>
      <c r="E2308" s="27"/>
      <c r="F2308" s="27"/>
      <c r="G2308" s="27"/>
      <c r="H2308" s="27"/>
      <c r="I2308" s="27"/>
    </row>
    <row r="2309" spans="1:9" x14ac:dyDescent="0.35">
      <c r="A2309" s="27"/>
      <c r="B2309" s="27"/>
      <c r="C2309" s="27"/>
      <c r="D2309" s="27"/>
      <c r="E2309" s="27"/>
      <c r="F2309" s="27"/>
      <c r="G2309" s="27"/>
      <c r="H2309" s="27"/>
      <c r="I2309" s="27"/>
    </row>
    <row r="2310" spans="1:9" x14ac:dyDescent="0.35">
      <c r="A2310" s="27"/>
      <c r="B2310" s="27"/>
      <c r="C2310" s="27"/>
      <c r="D2310" s="27"/>
      <c r="E2310" s="27"/>
      <c r="F2310" s="27"/>
      <c r="G2310" s="27"/>
      <c r="H2310" s="27"/>
      <c r="I2310" s="27"/>
    </row>
    <row r="2311" spans="1:9" x14ac:dyDescent="0.35">
      <c r="A2311" s="27"/>
      <c r="B2311" s="27"/>
      <c r="C2311" s="27"/>
      <c r="D2311" s="27"/>
      <c r="E2311" s="27"/>
      <c r="F2311" s="27"/>
      <c r="G2311" s="27"/>
      <c r="H2311" s="27"/>
      <c r="I2311" s="27"/>
    </row>
    <row r="2312" spans="1:9" x14ac:dyDescent="0.35">
      <c r="A2312" s="27"/>
      <c r="B2312" s="27"/>
      <c r="C2312" s="27"/>
      <c r="D2312" s="27"/>
      <c r="E2312" s="27"/>
      <c r="F2312" s="27"/>
      <c r="G2312" s="27"/>
      <c r="H2312" s="27"/>
      <c r="I2312" s="27"/>
    </row>
    <row r="2313" spans="1:9" x14ac:dyDescent="0.35">
      <c r="A2313" s="27"/>
      <c r="B2313" s="27"/>
      <c r="C2313" s="27"/>
      <c r="D2313" s="27"/>
      <c r="E2313" s="27"/>
      <c r="F2313" s="27"/>
      <c r="G2313" s="27"/>
      <c r="H2313" s="27"/>
      <c r="I2313" s="27"/>
    </row>
    <row r="2314" spans="1:9" x14ac:dyDescent="0.35">
      <c r="A2314" s="27"/>
      <c r="B2314" s="27"/>
      <c r="C2314" s="27"/>
      <c r="D2314" s="27"/>
      <c r="E2314" s="27"/>
      <c r="F2314" s="27"/>
      <c r="G2314" s="27"/>
      <c r="H2314" s="27"/>
      <c r="I2314" s="27"/>
    </row>
    <row r="2315" spans="1:9" x14ac:dyDescent="0.35">
      <c r="A2315" s="27"/>
      <c r="B2315" s="27"/>
      <c r="C2315" s="27"/>
      <c r="D2315" s="27"/>
      <c r="E2315" s="27"/>
      <c r="F2315" s="27"/>
      <c r="G2315" s="27"/>
      <c r="H2315" s="27"/>
      <c r="I2315" s="27"/>
    </row>
    <row r="2316" spans="1:9" x14ac:dyDescent="0.35">
      <c r="A2316" s="27"/>
      <c r="B2316" s="27"/>
      <c r="C2316" s="27"/>
      <c r="D2316" s="27"/>
      <c r="E2316" s="27"/>
      <c r="F2316" s="27"/>
      <c r="G2316" s="27"/>
      <c r="H2316" s="27"/>
      <c r="I2316" s="27"/>
    </row>
    <row r="2317" spans="1:9" x14ac:dyDescent="0.35">
      <c r="A2317" s="27"/>
      <c r="B2317" s="27"/>
      <c r="C2317" s="27"/>
      <c r="D2317" s="27"/>
      <c r="E2317" s="27"/>
      <c r="F2317" s="27"/>
      <c r="G2317" s="27"/>
      <c r="H2317" s="27"/>
      <c r="I2317" s="27"/>
    </row>
    <row r="2318" spans="1:9" x14ac:dyDescent="0.35">
      <c r="A2318" s="27"/>
      <c r="B2318" s="27"/>
      <c r="C2318" s="27"/>
      <c r="D2318" s="27"/>
      <c r="E2318" s="27"/>
      <c r="F2318" s="27"/>
      <c r="G2318" s="27"/>
      <c r="H2318" s="27"/>
      <c r="I2318" s="27"/>
    </row>
    <row r="2319" spans="1:9" x14ac:dyDescent="0.35">
      <c r="A2319" s="27"/>
      <c r="B2319" s="27"/>
      <c r="C2319" s="27"/>
      <c r="D2319" s="27"/>
      <c r="E2319" s="27"/>
      <c r="F2319" s="27"/>
      <c r="G2319" s="27"/>
      <c r="H2319" s="27"/>
      <c r="I2319" s="27"/>
    </row>
    <row r="2320" spans="1:9" x14ac:dyDescent="0.35">
      <c r="A2320" s="27"/>
      <c r="B2320" s="27"/>
      <c r="C2320" s="27"/>
      <c r="D2320" s="27"/>
      <c r="E2320" s="27"/>
      <c r="F2320" s="27"/>
      <c r="G2320" s="27"/>
      <c r="H2320" s="27"/>
      <c r="I2320" s="27"/>
    </row>
    <row r="2321" spans="1:9" x14ac:dyDescent="0.35">
      <c r="A2321" s="27"/>
      <c r="B2321" s="27"/>
      <c r="C2321" s="27"/>
      <c r="D2321" s="27"/>
      <c r="E2321" s="27"/>
      <c r="F2321" s="27"/>
      <c r="G2321" s="27"/>
      <c r="H2321" s="27"/>
      <c r="I2321" s="27"/>
    </row>
    <row r="2322" spans="1:9" x14ac:dyDescent="0.35">
      <c r="A2322" s="27"/>
      <c r="B2322" s="27"/>
      <c r="C2322" s="27"/>
      <c r="D2322" s="27"/>
      <c r="E2322" s="27"/>
      <c r="F2322" s="27"/>
      <c r="G2322" s="27"/>
      <c r="H2322" s="27"/>
      <c r="I2322" s="27"/>
    </row>
    <row r="2323" spans="1:9" x14ac:dyDescent="0.35">
      <c r="A2323" s="27"/>
      <c r="B2323" s="27"/>
      <c r="C2323" s="27"/>
      <c r="D2323" s="27"/>
      <c r="E2323" s="27"/>
      <c r="F2323" s="27"/>
      <c r="G2323" s="27"/>
      <c r="H2323" s="27"/>
      <c r="I2323" s="27"/>
    </row>
    <row r="2324" spans="1:9" x14ac:dyDescent="0.35">
      <c r="A2324" s="27"/>
      <c r="B2324" s="27"/>
      <c r="C2324" s="27"/>
      <c r="D2324" s="27"/>
      <c r="E2324" s="27"/>
      <c r="F2324" s="27"/>
      <c r="G2324" s="27"/>
      <c r="H2324" s="27"/>
      <c r="I2324" s="27"/>
    </row>
    <row r="2325" spans="1:9" x14ac:dyDescent="0.35">
      <c r="A2325" s="27"/>
      <c r="B2325" s="27"/>
      <c r="C2325" s="27"/>
      <c r="D2325" s="27"/>
      <c r="E2325" s="27"/>
      <c r="F2325" s="27"/>
      <c r="G2325" s="27"/>
      <c r="H2325" s="27"/>
      <c r="I2325" s="27"/>
    </row>
    <row r="2326" spans="1:9" x14ac:dyDescent="0.35">
      <c r="A2326" s="27"/>
      <c r="B2326" s="27"/>
      <c r="C2326" s="27"/>
      <c r="D2326" s="27"/>
      <c r="E2326" s="27"/>
      <c r="F2326" s="27"/>
      <c r="G2326" s="27"/>
      <c r="H2326" s="27"/>
      <c r="I2326" s="27"/>
    </row>
    <row r="2327" spans="1:9" x14ac:dyDescent="0.35">
      <c r="A2327" s="27"/>
      <c r="B2327" s="27"/>
      <c r="C2327" s="27"/>
      <c r="D2327" s="27"/>
      <c r="E2327" s="27"/>
      <c r="F2327" s="27"/>
      <c r="G2327" s="27"/>
      <c r="H2327" s="27"/>
      <c r="I2327" s="27"/>
    </row>
    <row r="2328" spans="1:9" x14ac:dyDescent="0.35">
      <c r="A2328" s="27"/>
      <c r="B2328" s="27"/>
      <c r="C2328" s="27"/>
      <c r="D2328" s="27"/>
      <c r="E2328" s="27"/>
      <c r="F2328" s="27"/>
      <c r="G2328" s="27"/>
      <c r="H2328" s="27"/>
      <c r="I2328" s="27"/>
    </row>
    <row r="2329" spans="1:9" x14ac:dyDescent="0.35">
      <c r="A2329" s="27"/>
      <c r="B2329" s="27"/>
      <c r="C2329" s="27"/>
      <c r="D2329" s="27"/>
      <c r="E2329" s="27"/>
      <c r="F2329" s="27"/>
      <c r="G2329" s="27"/>
      <c r="H2329" s="27"/>
      <c r="I2329" s="27"/>
    </row>
    <row r="2330" spans="1:9" x14ac:dyDescent="0.35">
      <c r="A2330" s="27"/>
      <c r="B2330" s="27"/>
      <c r="C2330" s="27"/>
      <c r="D2330" s="27"/>
      <c r="E2330" s="27"/>
      <c r="F2330" s="27"/>
      <c r="G2330" s="27"/>
      <c r="H2330" s="27"/>
      <c r="I2330" s="27"/>
    </row>
    <row r="2331" spans="1:9" x14ac:dyDescent="0.35">
      <c r="A2331" s="27"/>
      <c r="B2331" s="27"/>
      <c r="C2331" s="27"/>
      <c r="D2331" s="27"/>
      <c r="E2331" s="27"/>
      <c r="F2331" s="27"/>
      <c r="G2331" s="27"/>
      <c r="H2331" s="27"/>
      <c r="I2331" s="27"/>
    </row>
    <row r="2332" spans="1:9" x14ac:dyDescent="0.35">
      <c r="A2332" s="27"/>
      <c r="B2332" s="27"/>
      <c r="C2332" s="27"/>
      <c r="D2332" s="27"/>
      <c r="E2332" s="27"/>
      <c r="F2332" s="27"/>
      <c r="G2332" s="27"/>
      <c r="H2332" s="27"/>
      <c r="I2332" s="27"/>
    </row>
    <row r="2333" spans="1:9" x14ac:dyDescent="0.35">
      <c r="A2333" s="27"/>
      <c r="B2333" s="27"/>
      <c r="C2333" s="27"/>
      <c r="D2333" s="27"/>
      <c r="E2333" s="27"/>
      <c r="F2333" s="27"/>
      <c r="G2333" s="27"/>
      <c r="H2333" s="27"/>
      <c r="I2333" s="27"/>
    </row>
    <row r="2334" spans="1:9" x14ac:dyDescent="0.35">
      <c r="A2334" s="27"/>
      <c r="B2334" s="27"/>
      <c r="C2334" s="27"/>
      <c r="D2334" s="27"/>
      <c r="E2334" s="27"/>
      <c r="F2334" s="27"/>
      <c r="G2334" s="27"/>
      <c r="H2334" s="27"/>
      <c r="I2334" s="27"/>
    </row>
    <row r="2335" spans="1:9" x14ac:dyDescent="0.35">
      <c r="A2335" s="27"/>
      <c r="B2335" s="27"/>
      <c r="C2335" s="27"/>
      <c r="D2335" s="27"/>
      <c r="E2335" s="27"/>
      <c r="F2335" s="27"/>
      <c r="G2335" s="27"/>
      <c r="H2335" s="27"/>
      <c r="I2335" s="27"/>
    </row>
    <row r="2336" spans="1:9" x14ac:dyDescent="0.35">
      <c r="A2336" s="27"/>
      <c r="B2336" s="27"/>
      <c r="C2336" s="27"/>
      <c r="D2336" s="27"/>
      <c r="E2336" s="27"/>
      <c r="F2336" s="27"/>
      <c r="G2336" s="27"/>
      <c r="H2336" s="27"/>
      <c r="I2336" s="27"/>
    </row>
    <row r="2337" spans="1:9" x14ac:dyDescent="0.35">
      <c r="A2337" s="27"/>
      <c r="B2337" s="27"/>
      <c r="C2337" s="27"/>
      <c r="D2337" s="27"/>
      <c r="E2337" s="27"/>
      <c r="F2337" s="27"/>
      <c r="G2337" s="27"/>
      <c r="H2337" s="27"/>
      <c r="I2337" s="27"/>
    </row>
    <row r="2338" spans="1:9" x14ac:dyDescent="0.35">
      <c r="A2338" s="27"/>
      <c r="B2338" s="27"/>
      <c r="C2338" s="27"/>
      <c r="D2338" s="27"/>
      <c r="E2338" s="27"/>
      <c r="F2338" s="27"/>
      <c r="G2338" s="27"/>
      <c r="H2338" s="27"/>
      <c r="I2338" s="27"/>
    </row>
    <row r="2339" spans="1:9" x14ac:dyDescent="0.35">
      <c r="A2339" s="27"/>
      <c r="B2339" s="27"/>
      <c r="C2339" s="27"/>
      <c r="D2339" s="27"/>
      <c r="E2339" s="27"/>
      <c r="F2339" s="27"/>
      <c r="G2339" s="27"/>
      <c r="H2339" s="27"/>
      <c r="I2339" s="27"/>
    </row>
    <row r="2340" spans="1:9" x14ac:dyDescent="0.35">
      <c r="A2340" s="27"/>
      <c r="B2340" s="27"/>
      <c r="C2340" s="27"/>
      <c r="D2340" s="27"/>
      <c r="E2340" s="27"/>
      <c r="F2340" s="27"/>
      <c r="G2340" s="27"/>
      <c r="H2340" s="27"/>
      <c r="I2340" s="27"/>
    </row>
    <row r="2341" spans="1:9" x14ac:dyDescent="0.35">
      <c r="A2341" s="27"/>
      <c r="B2341" s="27"/>
      <c r="C2341" s="27"/>
      <c r="D2341" s="27"/>
      <c r="E2341" s="27"/>
      <c r="F2341" s="27"/>
      <c r="G2341" s="27"/>
      <c r="H2341" s="27"/>
      <c r="I2341" s="27"/>
    </row>
    <row r="2342" spans="1:9" x14ac:dyDescent="0.35">
      <c r="A2342" s="27"/>
      <c r="B2342" s="27"/>
      <c r="C2342" s="27"/>
      <c r="D2342" s="27"/>
      <c r="E2342" s="27"/>
      <c r="F2342" s="27"/>
      <c r="G2342" s="27"/>
      <c r="H2342" s="27"/>
      <c r="I2342" s="27"/>
    </row>
    <row r="2343" spans="1:9" x14ac:dyDescent="0.35">
      <c r="A2343" s="27"/>
      <c r="B2343" s="27"/>
      <c r="C2343" s="27"/>
      <c r="D2343" s="27"/>
      <c r="E2343" s="27"/>
      <c r="F2343" s="27"/>
      <c r="G2343" s="27"/>
      <c r="H2343" s="27"/>
      <c r="I2343" s="27"/>
    </row>
    <row r="2344" spans="1:9" x14ac:dyDescent="0.35">
      <c r="A2344" s="27"/>
      <c r="B2344" s="27"/>
      <c r="C2344" s="27"/>
      <c r="D2344" s="27"/>
      <c r="E2344" s="27"/>
      <c r="F2344" s="27"/>
      <c r="G2344" s="27"/>
      <c r="H2344" s="27"/>
      <c r="I2344" s="27"/>
    </row>
    <row r="2345" spans="1:9" x14ac:dyDescent="0.35">
      <c r="A2345" s="27"/>
      <c r="B2345" s="27"/>
      <c r="C2345" s="27"/>
      <c r="D2345" s="27"/>
      <c r="E2345" s="27"/>
      <c r="F2345" s="27"/>
      <c r="G2345" s="27"/>
      <c r="H2345" s="27"/>
      <c r="I2345" s="27"/>
    </row>
    <row r="2346" spans="1:9" x14ac:dyDescent="0.35">
      <c r="A2346" s="27"/>
      <c r="B2346" s="27"/>
      <c r="C2346" s="27"/>
      <c r="D2346" s="27"/>
      <c r="E2346" s="27"/>
      <c r="F2346" s="27"/>
      <c r="G2346" s="27"/>
      <c r="H2346" s="27"/>
      <c r="I2346" s="27"/>
    </row>
    <row r="2347" spans="1:9" x14ac:dyDescent="0.35">
      <c r="A2347" s="27"/>
      <c r="B2347" s="27"/>
      <c r="C2347" s="27"/>
      <c r="D2347" s="27"/>
      <c r="E2347" s="27"/>
      <c r="F2347" s="27"/>
      <c r="G2347" s="27"/>
      <c r="H2347" s="27"/>
      <c r="I2347" s="27"/>
    </row>
    <row r="2348" spans="1:9" x14ac:dyDescent="0.35">
      <c r="A2348" s="27"/>
      <c r="B2348" s="27"/>
      <c r="C2348" s="27"/>
      <c r="D2348" s="27"/>
      <c r="E2348" s="27"/>
      <c r="F2348" s="27"/>
      <c r="G2348" s="27"/>
      <c r="H2348" s="27"/>
      <c r="I2348" s="27"/>
    </row>
    <row r="2349" spans="1:9" x14ac:dyDescent="0.35">
      <c r="A2349" s="27"/>
      <c r="B2349" s="27"/>
      <c r="C2349" s="27"/>
      <c r="D2349" s="27"/>
      <c r="E2349" s="27"/>
      <c r="F2349" s="27"/>
      <c r="G2349" s="27"/>
      <c r="H2349" s="27"/>
      <c r="I2349" s="27"/>
    </row>
    <row r="2350" spans="1:9" x14ac:dyDescent="0.35">
      <c r="A2350" s="27"/>
      <c r="B2350" s="27"/>
      <c r="C2350" s="27"/>
      <c r="D2350" s="27"/>
      <c r="E2350" s="27"/>
      <c r="F2350" s="27"/>
      <c r="G2350" s="27"/>
      <c r="H2350" s="27"/>
      <c r="I2350" s="27"/>
    </row>
    <row r="2351" spans="1:9" x14ac:dyDescent="0.35">
      <c r="A2351" s="27"/>
      <c r="B2351" s="27"/>
      <c r="C2351" s="27"/>
      <c r="D2351" s="27"/>
      <c r="E2351" s="27"/>
      <c r="F2351" s="27"/>
      <c r="G2351" s="27"/>
      <c r="H2351" s="27"/>
      <c r="I2351" s="27"/>
    </row>
    <row r="2352" spans="1:9" x14ac:dyDescent="0.35">
      <c r="A2352" s="27"/>
      <c r="B2352" s="27"/>
      <c r="C2352" s="27"/>
      <c r="D2352" s="27"/>
      <c r="E2352" s="27"/>
      <c r="F2352" s="27"/>
      <c r="G2352" s="27"/>
      <c r="H2352" s="27"/>
      <c r="I2352" s="27"/>
    </row>
    <row r="2353" spans="1:9" x14ac:dyDescent="0.35">
      <c r="A2353" s="27"/>
      <c r="B2353" s="27"/>
      <c r="C2353" s="27"/>
      <c r="D2353" s="27"/>
      <c r="E2353" s="27"/>
      <c r="F2353" s="27"/>
      <c r="G2353" s="27"/>
      <c r="H2353" s="27"/>
      <c r="I2353" s="27"/>
    </row>
    <row r="2354" spans="1:9" x14ac:dyDescent="0.35">
      <c r="A2354" s="27"/>
      <c r="B2354" s="27"/>
      <c r="C2354" s="27"/>
      <c r="D2354" s="27"/>
      <c r="E2354" s="27"/>
      <c r="F2354" s="27"/>
      <c r="G2354" s="27"/>
      <c r="H2354" s="27"/>
      <c r="I2354" s="27"/>
    </row>
    <row r="2355" spans="1:9" x14ac:dyDescent="0.35">
      <c r="A2355" s="27"/>
      <c r="B2355" s="27"/>
      <c r="C2355" s="27"/>
      <c r="D2355" s="27"/>
      <c r="E2355" s="27"/>
      <c r="F2355" s="27"/>
      <c r="G2355" s="27"/>
      <c r="H2355" s="27"/>
      <c r="I2355" s="27"/>
    </row>
    <row r="2356" spans="1:9" x14ac:dyDescent="0.35">
      <c r="A2356" s="27"/>
      <c r="B2356" s="27"/>
      <c r="C2356" s="27"/>
      <c r="D2356" s="27"/>
      <c r="E2356" s="27"/>
      <c r="F2356" s="27"/>
      <c r="G2356" s="27"/>
      <c r="H2356" s="27"/>
      <c r="I2356" s="27"/>
    </row>
    <row r="2357" spans="1:9" x14ac:dyDescent="0.35">
      <c r="A2357" s="27"/>
      <c r="B2357" s="27"/>
      <c r="C2357" s="27"/>
      <c r="D2357" s="27"/>
      <c r="E2357" s="27"/>
      <c r="F2357" s="27"/>
      <c r="G2357" s="27"/>
      <c r="H2357" s="27"/>
      <c r="I2357" s="27"/>
    </row>
    <row r="2358" spans="1:9" x14ac:dyDescent="0.35">
      <c r="A2358" s="27"/>
      <c r="B2358" s="27"/>
      <c r="C2358" s="27"/>
      <c r="D2358" s="27"/>
      <c r="E2358" s="27"/>
      <c r="F2358" s="27"/>
      <c r="G2358" s="27"/>
      <c r="H2358" s="27"/>
      <c r="I2358" s="27"/>
    </row>
    <row r="2359" spans="1:9" x14ac:dyDescent="0.35">
      <c r="A2359" s="27"/>
      <c r="B2359" s="27"/>
      <c r="C2359" s="27"/>
      <c r="D2359" s="27"/>
      <c r="E2359" s="27"/>
      <c r="F2359" s="27"/>
      <c r="G2359" s="27"/>
      <c r="H2359" s="27"/>
      <c r="I2359" s="27"/>
    </row>
    <row r="2360" spans="1:9" x14ac:dyDescent="0.35">
      <c r="A2360" s="27"/>
      <c r="B2360" s="27"/>
      <c r="C2360" s="27"/>
      <c r="D2360" s="27"/>
      <c r="E2360" s="27"/>
      <c r="F2360" s="27"/>
      <c r="G2360" s="27"/>
      <c r="H2360" s="27"/>
      <c r="I2360" s="27"/>
    </row>
    <row r="2361" spans="1:9" x14ac:dyDescent="0.35">
      <c r="A2361" s="27"/>
      <c r="B2361" s="27"/>
      <c r="C2361" s="27"/>
      <c r="D2361" s="27"/>
      <c r="E2361" s="27"/>
      <c r="F2361" s="27"/>
      <c r="G2361" s="27"/>
      <c r="H2361" s="27"/>
      <c r="I2361" s="27"/>
    </row>
    <row r="2362" spans="1:9" x14ac:dyDescent="0.35">
      <c r="A2362" s="27"/>
      <c r="B2362" s="27"/>
      <c r="C2362" s="27"/>
      <c r="D2362" s="27"/>
      <c r="E2362" s="27"/>
      <c r="F2362" s="27"/>
      <c r="G2362" s="27"/>
      <c r="H2362" s="27"/>
      <c r="I2362" s="27"/>
    </row>
    <row r="2363" spans="1:9" x14ac:dyDescent="0.35">
      <c r="A2363" s="27"/>
      <c r="B2363" s="27"/>
      <c r="C2363" s="27"/>
      <c r="D2363" s="27"/>
      <c r="E2363" s="27"/>
      <c r="F2363" s="27"/>
      <c r="G2363" s="27"/>
      <c r="H2363" s="27"/>
      <c r="I2363" s="27"/>
    </row>
    <row r="2364" spans="1:9" x14ac:dyDescent="0.35">
      <c r="A2364" s="27"/>
      <c r="B2364" s="27"/>
      <c r="C2364" s="27"/>
      <c r="D2364" s="27"/>
      <c r="E2364" s="27"/>
      <c r="F2364" s="27"/>
      <c r="G2364" s="27"/>
      <c r="H2364" s="27"/>
      <c r="I2364" s="27"/>
    </row>
    <row r="2365" spans="1:9" x14ac:dyDescent="0.35">
      <c r="A2365" s="27"/>
      <c r="B2365" s="27"/>
      <c r="C2365" s="27"/>
      <c r="D2365" s="27"/>
      <c r="E2365" s="27"/>
      <c r="F2365" s="27"/>
      <c r="G2365" s="27"/>
      <c r="H2365" s="27"/>
      <c r="I2365" s="27"/>
    </row>
    <row r="2366" spans="1:9" x14ac:dyDescent="0.35">
      <c r="A2366" s="27"/>
      <c r="B2366" s="27"/>
      <c r="C2366" s="27"/>
      <c r="D2366" s="27"/>
      <c r="E2366" s="27"/>
      <c r="F2366" s="27"/>
      <c r="G2366" s="27"/>
      <c r="H2366" s="27"/>
      <c r="I2366" s="27"/>
    </row>
    <row r="2367" spans="1:9" x14ac:dyDescent="0.35">
      <c r="A2367" s="27"/>
      <c r="B2367" s="27"/>
      <c r="C2367" s="27"/>
      <c r="D2367" s="27"/>
      <c r="E2367" s="27"/>
      <c r="F2367" s="27"/>
      <c r="G2367" s="27"/>
      <c r="H2367" s="27"/>
      <c r="I2367" s="27"/>
    </row>
    <row r="2368" spans="1:9" x14ac:dyDescent="0.35">
      <c r="A2368" s="27"/>
      <c r="B2368" s="27"/>
      <c r="C2368" s="27"/>
      <c r="D2368" s="27"/>
      <c r="E2368" s="27"/>
      <c r="F2368" s="27"/>
      <c r="G2368" s="27"/>
      <c r="H2368" s="27"/>
      <c r="I2368" s="27"/>
    </row>
    <row r="2369" spans="1:9" x14ac:dyDescent="0.35">
      <c r="A2369" s="27"/>
      <c r="B2369" s="27"/>
      <c r="C2369" s="27"/>
      <c r="D2369" s="27"/>
      <c r="E2369" s="27"/>
      <c r="F2369" s="27"/>
      <c r="G2369" s="27"/>
      <c r="H2369" s="27"/>
      <c r="I2369" s="27"/>
    </row>
    <row r="2370" spans="1:9" x14ac:dyDescent="0.35">
      <c r="A2370" s="27"/>
      <c r="B2370" s="27"/>
      <c r="C2370" s="27"/>
      <c r="D2370" s="27"/>
      <c r="E2370" s="27"/>
      <c r="F2370" s="27"/>
      <c r="G2370" s="27"/>
      <c r="H2370" s="27"/>
      <c r="I2370" s="27"/>
    </row>
    <row r="2371" spans="1:9" x14ac:dyDescent="0.35">
      <c r="A2371" s="27"/>
      <c r="B2371" s="27"/>
      <c r="C2371" s="27"/>
      <c r="D2371" s="27"/>
      <c r="E2371" s="27"/>
      <c r="F2371" s="27"/>
      <c r="G2371" s="27"/>
      <c r="H2371" s="27"/>
      <c r="I2371" s="27"/>
    </row>
    <row r="2372" spans="1:9" x14ac:dyDescent="0.35">
      <c r="A2372" s="27"/>
      <c r="B2372" s="27"/>
      <c r="C2372" s="27"/>
      <c r="D2372" s="27"/>
      <c r="E2372" s="27"/>
      <c r="F2372" s="27"/>
      <c r="G2372" s="27"/>
      <c r="H2372" s="27"/>
      <c r="I2372" s="27"/>
    </row>
    <row r="2373" spans="1:9" x14ac:dyDescent="0.35">
      <c r="A2373" s="27"/>
      <c r="B2373" s="27"/>
      <c r="C2373" s="27"/>
      <c r="D2373" s="27"/>
      <c r="E2373" s="27"/>
      <c r="F2373" s="27"/>
      <c r="G2373" s="27"/>
      <c r="H2373" s="27"/>
      <c r="I2373" s="27"/>
    </row>
    <row r="2374" spans="1:9" x14ac:dyDescent="0.35">
      <c r="A2374" s="27"/>
      <c r="B2374" s="27"/>
      <c r="C2374" s="27"/>
      <c r="D2374" s="27"/>
      <c r="E2374" s="27"/>
      <c r="F2374" s="27"/>
      <c r="G2374" s="27"/>
      <c r="H2374" s="27"/>
      <c r="I2374" s="27"/>
    </row>
    <row r="2375" spans="1:9" x14ac:dyDescent="0.35">
      <c r="A2375" s="27"/>
      <c r="B2375" s="27"/>
      <c r="C2375" s="27"/>
      <c r="D2375" s="27"/>
      <c r="E2375" s="27"/>
      <c r="F2375" s="27"/>
      <c r="G2375" s="27"/>
      <c r="H2375" s="27"/>
      <c r="I2375" s="27"/>
    </row>
    <row r="2376" spans="1:9" x14ac:dyDescent="0.35">
      <c r="A2376" s="27"/>
      <c r="B2376" s="27"/>
      <c r="C2376" s="27"/>
      <c r="D2376" s="27"/>
      <c r="E2376" s="27"/>
      <c r="F2376" s="27"/>
      <c r="G2376" s="27"/>
      <c r="H2376" s="27"/>
      <c r="I2376" s="27"/>
    </row>
    <row r="2377" spans="1:9" x14ac:dyDescent="0.35">
      <c r="A2377" s="27"/>
      <c r="B2377" s="27"/>
      <c r="C2377" s="27"/>
      <c r="D2377" s="27"/>
      <c r="E2377" s="27"/>
      <c r="F2377" s="27"/>
      <c r="G2377" s="27"/>
      <c r="H2377" s="27"/>
      <c r="I2377" s="27"/>
    </row>
    <row r="2378" spans="1:9" x14ac:dyDescent="0.35">
      <c r="A2378" s="27"/>
      <c r="B2378" s="27"/>
      <c r="C2378" s="27"/>
      <c r="D2378" s="27"/>
      <c r="E2378" s="27"/>
      <c r="F2378" s="27"/>
      <c r="G2378" s="27"/>
      <c r="H2378" s="27"/>
      <c r="I2378" s="27"/>
    </row>
    <row r="2379" spans="1:9" x14ac:dyDescent="0.35">
      <c r="A2379" s="27"/>
      <c r="B2379" s="27"/>
      <c r="C2379" s="27"/>
      <c r="D2379" s="27"/>
      <c r="E2379" s="27"/>
      <c r="F2379" s="27"/>
      <c r="G2379" s="27"/>
      <c r="H2379" s="27"/>
      <c r="I2379" s="27"/>
    </row>
    <row r="2380" spans="1:9" x14ac:dyDescent="0.35">
      <c r="A2380" s="27"/>
      <c r="B2380" s="27"/>
      <c r="C2380" s="27"/>
      <c r="D2380" s="27"/>
      <c r="E2380" s="27"/>
      <c r="F2380" s="27"/>
      <c r="G2380" s="27"/>
      <c r="H2380" s="27"/>
      <c r="I2380" s="27"/>
    </row>
    <row r="2381" spans="1:9" x14ac:dyDescent="0.35">
      <c r="A2381" s="27"/>
      <c r="B2381" s="27"/>
      <c r="C2381" s="27"/>
      <c r="D2381" s="27"/>
      <c r="E2381" s="27"/>
      <c r="F2381" s="27"/>
      <c r="G2381" s="27"/>
      <c r="H2381" s="27"/>
      <c r="I2381" s="27"/>
    </row>
    <row r="2382" spans="1:9" x14ac:dyDescent="0.35">
      <c r="A2382" s="27"/>
      <c r="B2382" s="27"/>
      <c r="C2382" s="27"/>
      <c r="D2382" s="27"/>
      <c r="E2382" s="27"/>
      <c r="F2382" s="27"/>
      <c r="G2382" s="27"/>
      <c r="H2382" s="27"/>
      <c r="I2382" s="27"/>
    </row>
    <row r="2383" spans="1:9" x14ac:dyDescent="0.35">
      <c r="A2383" s="27"/>
      <c r="B2383" s="27"/>
      <c r="C2383" s="27"/>
      <c r="D2383" s="27"/>
      <c r="E2383" s="27"/>
      <c r="F2383" s="27"/>
      <c r="G2383" s="27"/>
      <c r="H2383" s="27"/>
      <c r="I2383" s="27"/>
    </row>
    <row r="2384" spans="1:9" x14ac:dyDescent="0.35">
      <c r="A2384" s="27"/>
      <c r="B2384" s="27"/>
      <c r="C2384" s="27"/>
      <c r="D2384" s="27"/>
      <c r="E2384" s="27"/>
      <c r="F2384" s="27"/>
      <c r="G2384" s="27"/>
      <c r="H2384" s="27"/>
      <c r="I2384" s="27"/>
    </row>
    <row r="2385" spans="1:9" x14ac:dyDescent="0.35">
      <c r="A2385" s="27"/>
      <c r="B2385" s="27"/>
      <c r="C2385" s="27"/>
      <c r="D2385" s="27"/>
      <c r="E2385" s="27"/>
      <c r="F2385" s="27"/>
      <c r="G2385" s="27"/>
      <c r="H2385" s="27"/>
      <c r="I2385" s="27"/>
    </row>
    <row r="2386" spans="1:9" x14ac:dyDescent="0.35">
      <c r="A2386" s="27"/>
      <c r="B2386" s="27"/>
      <c r="C2386" s="27"/>
      <c r="D2386" s="27"/>
      <c r="E2386" s="27"/>
      <c r="F2386" s="27"/>
      <c r="G2386" s="27"/>
      <c r="H2386" s="27"/>
      <c r="I2386" s="27"/>
    </row>
    <row r="2387" spans="1:9" x14ac:dyDescent="0.35">
      <c r="A2387" s="27"/>
      <c r="B2387" s="27"/>
      <c r="C2387" s="27"/>
      <c r="D2387" s="27"/>
      <c r="E2387" s="27"/>
      <c r="F2387" s="27"/>
      <c r="G2387" s="27"/>
      <c r="H2387" s="27"/>
      <c r="I2387" s="27"/>
    </row>
    <row r="2388" spans="1:9" x14ac:dyDescent="0.35">
      <c r="A2388" s="27"/>
      <c r="B2388" s="27"/>
      <c r="C2388" s="27"/>
      <c r="D2388" s="27"/>
      <c r="E2388" s="27"/>
      <c r="F2388" s="27"/>
      <c r="G2388" s="27"/>
      <c r="H2388" s="27"/>
      <c r="I2388" s="27"/>
    </row>
    <row r="2389" spans="1:9" x14ac:dyDescent="0.35">
      <c r="A2389" s="27"/>
      <c r="B2389" s="27"/>
      <c r="C2389" s="27"/>
      <c r="D2389" s="27"/>
      <c r="E2389" s="27"/>
      <c r="F2389" s="27"/>
      <c r="G2389" s="27"/>
      <c r="H2389" s="27"/>
      <c r="I2389" s="27"/>
    </row>
    <row r="2390" spans="1:9" x14ac:dyDescent="0.35">
      <c r="A2390" s="27"/>
      <c r="B2390" s="27"/>
      <c r="C2390" s="27"/>
      <c r="D2390" s="27"/>
      <c r="E2390" s="27"/>
      <c r="F2390" s="27"/>
      <c r="G2390" s="27"/>
      <c r="H2390" s="27"/>
      <c r="I2390" s="27"/>
    </row>
    <row r="2391" spans="1:9" x14ac:dyDescent="0.35">
      <c r="A2391" s="27"/>
      <c r="B2391" s="27"/>
      <c r="C2391" s="27"/>
      <c r="D2391" s="27"/>
      <c r="E2391" s="27"/>
      <c r="F2391" s="27"/>
      <c r="G2391" s="27"/>
      <c r="H2391" s="27"/>
      <c r="I2391" s="27"/>
    </row>
    <row r="2392" spans="1:9" x14ac:dyDescent="0.35">
      <c r="A2392" s="27"/>
      <c r="B2392" s="27"/>
      <c r="C2392" s="27"/>
      <c r="D2392" s="27"/>
      <c r="E2392" s="27"/>
      <c r="F2392" s="27"/>
      <c r="G2392" s="27"/>
      <c r="H2392" s="27"/>
      <c r="I2392" s="27"/>
    </row>
    <row r="2393" spans="1:9" x14ac:dyDescent="0.35">
      <c r="A2393" s="27"/>
      <c r="B2393" s="27"/>
      <c r="C2393" s="27"/>
      <c r="D2393" s="27"/>
      <c r="E2393" s="27"/>
      <c r="F2393" s="27"/>
      <c r="G2393" s="27"/>
      <c r="H2393" s="27"/>
      <c r="I2393" s="27"/>
    </row>
    <row r="2394" spans="1:9" x14ac:dyDescent="0.35">
      <c r="A2394" s="27"/>
      <c r="B2394" s="27"/>
      <c r="C2394" s="27"/>
      <c r="D2394" s="27"/>
      <c r="E2394" s="27"/>
      <c r="F2394" s="27"/>
      <c r="G2394" s="27"/>
      <c r="H2394" s="27"/>
      <c r="I2394" s="27"/>
    </row>
    <row r="2395" spans="1:9" x14ac:dyDescent="0.35">
      <c r="A2395" s="27"/>
      <c r="B2395" s="27"/>
      <c r="C2395" s="27"/>
      <c r="D2395" s="27"/>
      <c r="E2395" s="27"/>
      <c r="F2395" s="27"/>
      <c r="G2395" s="27"/>
      <c r="H2395" s="27"/>
      <c r="I2395" s="27"/>
    </row>
    <row r="2396" spans="1:9" x14ac:dyDescent="0.35">
      <c r="A2396" s="27"/>
      <c r="B2396" s="27"/>
      <c r="C2396" s="27"/>
      <c r="D2396" s="27"/>
      <c r="E2396" s="27"/>
      <c r="F2396" s="27"/>
      <c r="G2396" s="27"/>
      <c r="H2396" s="27"/>
      <c r="I2396" s="27"/>
    </row>
    <row r="2397" spans="1:9" x14ac:dyDescent="0.35">
      <c r="A2397" s="27"/>
      <c r="B2397" s="27"/>
      <c r="C2397" s="27"/>
      <c r="D2397" s="27"/>
      <c r="E2397" s="27"/>
      <c r="F2397" s="27"/>
      <c r="G2397" s="27"/>
      <c r="H2397" s="27"/>
      <c r="I2397" s="27"/>
    </row>
    <row r="2398" spans="1:9" x14ac:dyDescent="0.35">
      <c r="A2398" s="27"/>
      <c r="B2398" s="27"/>
      <c r="C2398" s="27"/>
      <c r="D2398" s="27"/>
      <c r="E2398" s="27"/>
      <c r="F2398" s="27"/>
      <c r="G2398" s="27"/>
      <c r="H2398" s="27"/>
      <c r="I2398" s="27"/>
    </row>
    <row r="2399" spans="1:9" x14ac:dyDescent="0.35">
      <c r="A2399" s="27"/>
      <c r="B2399" s="27"/>
      <c r="C2399" s="27"/>
      <c r="D2399" s="27"/>
      <c r="E2399" s="27"/>
      <c r="F2399" s="27"/>
      <c r="G2399" s="27"/>
      <c r="H2399" s="27"/>
      <c r="I2399" s="27"/>
    </row>
    <row r="2400" spans="1:9" x14ac:dyDescent="0.35">
      <c r="A2400" s="27"/>
      <c r="B2400" s="27"/>
      <c r="C2400" s="27"/>
      <c r="D2400" s="27"/>
      <c r="E2400" s="27"/>
      <c r="F2400" s="27"/>
      <c r="G2400" s="27"/>
      <c r="H2400" s="27"/>
      <c r="I2400" s="27"/>
    </row>
    <row r="2401" spans="1:9" x14ac:dyDescent="0.35">
      <c r="A2401" s="27"/>
      <c r="B2401" s="27"/>
      <c r="C2401" s="27"/>
      <c r="D2401" s="27"/>
      <c r="E2401" s="27"/>
      <c r="F2401" s="27"/>
      <c r="G2401" s="27"/>
      <c r="H2401" s="27"/>
      <c r="I2401" s="27"/>
    </row>
    <row r="2402" spans="1:9" x14ac:dyDescent="0.35">
      <c r="A2402" s="27"/>
      <c r="B2402" s="27"/>
      <c r="C2402" s="27"/>
      <c r="D2402" s="27"/>
      <c r="E2402" s="27"/>
      <c r="F2402" s="27"/>
      <c r="G2402" s="27"/>
      <c r="H2402" s="27"/>
      <c r="I2402" s="27"/>
    </row>
    <row r="2403" spans="1:9" x14ac:dyDescent="0.35">
      <c r="A2403" s="27"/>
      <c r="B2403" s="27"/>
      <c r="C2403" s="27"/>
      <c r="D2403" s="27"/>
      <c r="E2403" s="27"/>
      <c r="F2403" s="27"/>
      <c r="G2403" s="27"/>
      <c r="H2403" s="27"/>
      <c r="I2403" s="27"/>
    </row>
    <row r="2404" spans="1:9" x14ac:dyDescent="0.35">
      <c r="A2404" s="27"/>
      <c r="B2404" s="27"/>
      <c r="C2404" s="27"/>
      <c r="D2404" s="27"/>
      <c r="E2404" s="27"/>
      <c r="F2404" s="27"/>
      <c r="G2404" s="27"/>
      <c r="H2404" s="27"/>
      <c r="I2404" s="27"/>
    </row>
    <row r="2405" spans="1:9" x14ac:dyDescent="0.35">
      <c r="A2405" s="27"/>
      <c r="B2405" s="27"/>
      <c r="C2405" s="27"/>
      <c r="D2405" s="27"/>
      <c r="E2405" s="27"/>
      <c r="F2405" s="27"/>
      <c r="G2405" s="27"/>
      <c r="H2405" s="27"/>
      <c r="I2405" s="27"/>
    </row>
    <row r="2406" spans="1:9" x14ac:dyDescent="0.35">
      <c r="A2406" s="27"/>
      <c r="B2406" s="27"/>
      <c r="C2406" s="27"/>
      <c r="D2406" s="27"/>
      <c r="E2406" s="27"/>
      <c r="F2406" s="27"/>
      <c r="G2406" s="27"/>
      <c r="H2406" s="27"/>
      <c r="I2406" s="27"/>
    </row>
    <row r="2407" spans="1:9" x14ac:dyDescent="0.35">
      <c r="A2407" s="27"/>
      <c r="B2407" s="27"/>
      <c r="C2407" s="27"/>
      <c r="D2407" s="27"/>
      <c r="E2407" s="27"/>
      <c r="F2407" s="27"/>
      <c r="G2407" s="27"/>
      <c r="H2407" s="27"/>
      <c r="I2407" s="27"/>
    </row>
    <row r="2408" spans="1:9" x14ac:dyDescent="0.35">
      <c r="A2408" s="27"/>
      <c r="B2408" s="27"/>
      <c r="C2408" s="27"/>
      <c r="D2408" s="27"/>
      <c r="E2408" s="27"/>
      <c r="F2408" s="27"/>
      <c r="G2408" s="27"/>
      <c r="H2408" s="27"/>
      <c r="I2408" s="27"/>
    </row>
    <row r="2409" spans="1:9" x14ac:dyDescent="0.35">
      <c r="A2409" s="27"/>
      <c r="B2409" s="27"/>
      <c r="C2409" s="27"/>
      <c r="D2409" s="27"/>
      <c r="E2409" s="27"/>
      <c r="F2409" s="27"/>
      <c r="G2409" s="27"/>
      <c r="H2409" s="27"/>
      <c r="I2409" s="27"/>
    </row>
    <row r="2410" spans="1:9" x14ac:dyDescent="0.35">
      <c r="A2410" s="27"/>
      <c r="B2410" s="27"/>
      <c r="C2410" s="27"/>
      <c r="D2410" s="27"/>
      <c r="E2410" s="27"/>
      <c r="F2410" s="27"/>
      <c r="G2410" s="27"/>
      <c r="H2410" s="27"/>
      <c r="I2410" s="27"/>
    </row>
    <row r="2411" spans="1:9" x14ac:dyDescent="0.35">
      <c r="A2411" s="27"/>
      <c r="B2411" s="27"/>
      <c r="C2411" s="27"/>
      <c r="D2411" s="27"/>
      <c r="E2411" s="27"/>
      <c r="F2411" s="27"/>
      <c r="G2411" s="27"/>
      <c r="H2411" s="27"/>
      <c r="I2411" s="27"/>
    </row>
    <row r="2412" spans="1:9" x14ac:dyDescent="0.35">
      <c r="A2412" s="27"/>
      <c r="B2412" s="27"/>
      <c r="C2412" s="27"/>
      <c r="D2412" s="27"/>
      <c r="E2412" s="27"/>
      <c r="F2412" s="27"/>
      <c r="G2412" s="27"/>
      <c r="H2412" s="27"/>
      <c r="I2412" s="27"/>
    </row>
    <row r="2413" spans="1:9" x14ac:dyDescent="0.35">
      <c r="A2413" s="27"/>
      <c r="B2413" s="27"/>
      <c r="C2413" s="27"/>
      <c r="D2413" s="27"/>
      <c r="E2413" s="27"/>
      <c r="F2413" s="27"/>
      <c r="G2413" s="27"/>
      <c r="H2413" s="27"/>
      <c r="I2413" s="27"/>
    </row>
    <row r="2414" spans="1:9" x14ac:dyDescent="0.35">
      <c r="A2414" s="27"/>
      <c r="B2414" s="27"/>
      <c r="C2414" s="27"/>
      <c r="D2414" s="27"/>
      <c r="E2414" s="27"/>
      <c r="F2414" s="27"/>
      <c r="G2414" s="27"/>
      <c r="H2414" s="27"/>
      <c r="I2414" s="27"/>
    </row>
    <row r="2415" spans="1:9" x14ac:dyDescent="0.35">
      <c r="A2415" s="27"/>
      <c r="B2415" s="27"/>
      <c r="C2415" s="27"/>
      <c r="D2415" s="27"/>
      <c r="E2415" s="27"/>
      <c r="F2415" s="27"/>
      <c r="G2415" s="27"/>
      <c r="H2415" s="27"/>
      <c r="I2415" s="27"/>
    </row>
    <row r="2416" spans="1:9" x14ac:dyDescent="0.35">
      <c r="A2416" s="27"/>
      <c r="B2416" s="27"/>
      <c r="C2416" s="27"/>
      <c r="D2416" s="27"/>
      <c r="E2416" s="27"/>
      <c r="F2416" s="27"/>
      <c r="G2416" s="27"/>
      <c r="H2416" s="27"/>
      <c r="I2416" s="27"/>
    </row>
    <row r="2417" spans="1:9" x14ac:dyDescent="0.35">
      <c r="A2417" s="27"/>
      <c r="B2417" s="27"/>
      <c r="C2417" s="27"/>
      <c r="D2417" s="27"/>
      <c r="E2417" s="27"/>
      <c r="F2417" s="27"/>
      <c r="G2417" s="27"/>
      <c r="H2417" s="27"/>
      <c r="I2417" s="27"/>
    </row>
    <row r="2418" spans="1:9" x14ac:dyDescent="0.35">
      <c r="A2418" s="27"/>
      <c r="B2418" s="27"/>
      <c r="C2418" s="27"/>
      <c r="D2418" s="27"/>
      <c r="E2418" s="27"/>
      <c r="F2418" s="27"/>
      <c r="G2418" s="27"/>
      <c r="H2418" s="27"/>
      <c r="I2418" s="27"/>
    </row>
    <row r="2419" spans="1:9" x14ac:dyDescent="0.35">
      <c r="A2419" s="27"/>
      <c r="B2419" s="27"/>
      <c r="C2419" s="27"/>
      <c r="D2419" s="27"/>
      <c r="E2419" s="27"/>
      <c r="F2419" s="27"/>
      <c r="G2419" s="27"/>
      <c r="H2419" s="27"/>
      <c r="I2419" s="27"/>
    </row>
    <row r="2420" spans="1:9" x14ac:dyDescent="0.35">
      <c r="A2420" s="27"/>
      <c r="B2420" s="27"/>
      <c r="C2420" s="27"/>
      <c r="D2420" s="27"/>
      <c r="E2420" s="27"/>
      <c r="F2420" s="27"/>
      <c r="G2420" s="27"/>
      <c r="H2420" s="27"/>
      <c r="I2420" s="27"/>
    </row>
    <row r="2421" spans="1:9" x14ac:dyDescent="0.35">
      <c r="A2421" s="27"/>
      <c r="B2421" s="27"/>
      <c r="C2421" s="27"/>
      <c r="D2421" s="27"/>
      <c r="E2421" s="27"/>
      <c r="F2421" s="27"/>
      <c r="G2421" s="27"/>
      <c r="H2421" s="27"/>
      <c r="I2421" s="27"/>
    </row>
    <row r="2422" spans="1:9" x14ac:dyDescent="0.35">
      <c r="A2422" s="27"/>
      <c r="B2422" s="27"/>
      <c r="C2422" s="27"/>
      <c r="D2422" s="27"/>
      <c r="E2422" s="27"/>
      <c r="F2422" s="27"/>
      <c r="G2422" s="27"/>
      <c r="H2422" s="27"/>
      <c r="I2422" s="27"/>
    </row>
    <row r="2423" spans="1:9" x14ac:dyDescent="0.35">
      <c r="A2423" s="27"/>
      <c r="B2423" s="27"/>
      <c r="C2423" s="27"/>
      <c r="D2423" s="27"/>
      <c r="E2423" s="27"/>
      <c r="F2423" s="27"/>
      <c r="G2423" s="27"/>
      <c r="H2423" s="27"/>
      <c r="I2423" s="27"/>
    </row>
    <row r="2424" spans="1:9" x14ac:dyDescent="0.35">
      <c r="A2424" s="27"/>
      <c r="B2424" s="27"/>
      <c r="C2424" s="27"/>
      <c r="D2424" s="27"/>
      <c r="E2424" s="27"/>
      <c r="F2424" s="27"/>
      <c r="G2424" s="27"/>
      <c r="H2424" s="27"/>
      <c r="I2424" s="27"/>
    </row>
    <row r="2425" spans="1:9" x14ac:dyDescent="0.35">
      <c r="A2425" s="27"/>
      <c r="B2425" s="27"/>
      <c r="C2425" s="27"/>
      <c r="D2425" s="27"/>
      <c r="E2425" s="27"/>
      <c r="F2425" s="27"/>
      <c r="G2425" s="27"/>
      <c r="H2425" s="27"/>
      <c r="I2425" s="27"/>
    </row>
    <row r="2426" spans="1:9" x14ac:dyDescent="0.35">
      <c r="A2426" s="27"/>
      <c r="B2426" s="27"/>
      <c r="C2426" s="27"/>
      <c r="D2426" s="27"/>
      <c r="E2426" s="27"/>
      <c r="F2426" s="27"/>
      <c r="G2426" s="27"/>
      <c r="H2426" s="27"/>
      <c r="I2426" s="27"/>
    </row>
    <row r="2427" spans="1:9" x14ac:dyDescent="0.35">
      <c r="A2427" s="27"/>
      <c r="B2427" s="27"/>
      <c r="C2427" s="27"/>
      <c r="D2427" s="27"/>
      <c r="E2427" s="27"/>
      <c r="F2427" s="27"/>
      <c r="G2427" s="27"/>
      <c r="H2427" s="27"/>
      <c r="I2427" s="27"/>
    </row>
    <row r="2428" spans="1:9" x14ac:dyDescent="0.35">
      <c r="A2428" s="27"/>
      <c r="B2428" s="27"/>
      <c r="C2428" s="27"/>
      <c r="D2428" s="27"/>
      <c r="E2428" s="27"/>
      <c r="F2428" s="27"/>
      <c r="G2428" s="27"/>
      <c r="H2428" s="27"/>
      <c r="I2428" s="27"/>
    </row>
    <row r="2429" spans="1:9" x14ac:dyDescent="0.35">
      <c r="A2429" s="27"/>
      <c r="B2429" s="27"/>
      <c r="C2429" s="27"/>
      <c r="D2429" s="27"/>
      <c r="E2429" s="27"/>
      <c r="F2429" s="27"/>
      <c r="G2429" s="27"/>
      <c r="H2429" s="27"/>
      <c r="I2429" s="27"/>
    </row>
    <row r="2430" spans="1:9" x14ac:dyDescent="0.35">
      <c r="A2430" s="27"/>
      <c r="B2430" s="27"/>
      <c r="C2430" s="27"/>
      <c r="D2430" s="27"/>
      <c r="E2430" s="27"/>
      <c r="F2430" s="27"/>
      <c r="G2430" s="27"/>
      <c r="H2430" s="27"/>
      <c r="I2430" s="27"/>
    </row>
    <row r="2431" spans="1:9" x14ac:dyDescent="0.35">
      <c r="A2431" s="27"/>
      <c r="B2431" s="27"/>
      <c r="C2431" s="27"/>
      <c r="D2431" s="27"/>
      <c r="E2431" s="27"/>
      <c r="F2431" s="27"/>
      <c r="G2431" s="27"/>
      <c r="H2431" s="27"/>
      <c r="I2431" s="27"/>
    </row>
    <row r="2432" spans="1:9" x14ac:dyDescent="0.35">
      <c r="A2432" s="27"/>
      <c r="B2432" s="27"/>
      <c r="C2432" s="27"/>
      <c r="D2432" s="27"/>
      <c r="E2432" s="27"/>
      <c r="F2432" s="27"/>
      <c r="G2432" s="27"/>
      <c r="H2432" s="27"/>
      <c r="I2432" s="27"/>
    </row>
    <row r="2433" spans="1:9" x14ac:dyDescent="0.35">
      <c r="A2433" s="27"/>
      <c r="B2433" s="27"/>
      <c r="C2433" s="27"/>
      <c r="D2433" s="27"/>
      <c r="E2433" s="27"/>
      <c r="F2433" s="27"/>
      <c r="G2433" s="27"/>
      <c r="H2433" s="27"/>
      <c r="I2433" s="27"/>
    </row>
    <row r="2434" spans="1:9" x14ac:dyDescent="0.35">
      <c r="A2434" s="27"/>
      <c r="B2434" s="27"/>
      <c r="C2434" s="27"/>
      <c r="D2434" s="27"/>
      <c r="E2434" s="27"/>
      <c r="F2434" s="27"/>
      <c r="G2434" s="27"/>
      <c r="H2434" s="27"/>
      <c r="I2434" s="27"/>
    </row>
    <row r="2435" spans="1:9" x14ac:dyDescent="0.35">
      <c r="A2435" s="27"/>
      <c r="B2435" s="27"/>
      <c r="C2435" s="27"/>
      <c r="D2435" s="27"/>
      <c r="E2435" s="27"/>
      <c r="F2435" s="27"/>
      <c r="G2435" s="27"/>
      <c r="H2435" s="27"/>
      <c r="I2435" s="27"/>
    </row>
    <row r="2436" spans="1:9" x14ac:dyDescent="0.35">
      <c r="A2436" s="27"/>
      <c r="B2436" s="27"/>
      <c r="C2436" s="27"/>
      <c r="D2436" s="27"/>
      <c r="E2436" s="27"/>
      <c r="F2436" s="27"/>
      <c r="G2436" s="27"/>
      <c r="H2436" s="27"/>
      <c r="I2436" s="27"/>
    </row>
    <row r="2437" spans="1:9" x14ac:dyDescent="0.35">
      <c r="A2437" s="27"/>
      <c r="B2437" s="27"/>
      <c r="C2437" s="27"/>
      <c r="D2437" s="27"/>
      <c r="E2437" s="27"/>
      <c r="F2437" s="27"/>
      <c r="G2437" s="27"/>
      <c r="H2437" s="27"/>
      <c r="I2437" s="27"/>
    </row>
    <row r="2438" spans="1:9" x14ac:dyDescent="0.35">
      <c r="A2438" s="27"/>
      <c r="B2438" s="27"/>
      <c r="C2438" s="27"/>
      <c r="D2438" s="27"/>
      <c r="E2438" s="27"/>
      <c r="F2438" s="27"/>
      <c r="G2438" s="27"/>
      <c r="H2438" s="27"/>
      <c r="I2438" s="27"/>
    </row>
    <row r="2439" spans="1:9" x14ac:dyDescent="0.35">
      <c r="A2439" s="27"/>
      <c r="B2439" s="27"/>
      <c r="C2439" s="27"/>
      <c r="D2439" s="27"/>
      <c r="E2439" s="27"/>
      <c r="F2439" s="27"/>
      <c r="G2439" s="27"/>
      <c r="H2439" s="27"/>
      <c r="I2439" s="27"/>
    </row>
    <row r="2440" spans="1:9" x14ac:dyDescent="0.35">
      <c r="A2440" s="27"/>
      <c r="B2440" s="27"/>
      <c r="C2440" s="27"/>
      <c r="D2440" s="27"/>
      <c r="E2440" s="27"/>
      <c r="F2440" s="27"/>
      <c r="G2440" s="27"/>
      <c r="H2440" s="27"/>
      <c r="I2440" s="27"/>
    </row>
    <row r="2441" spans="1:9" x14ac:dyDescent="0.35">
      <c r="A2441" s="27"/>
      <c r="B2441" s="27"/>
      <c r="C2441" s="27"/>
      <c r="D2441" s="27"/>
      <c r="E2441" s="27"/>
      <c r="F2441" s="27"/>
      <c r="G2441" s="27"/>
      <c r="H2441" s="27"/>
      <c r="I2441" s="27"/>
    </row>
    <row r="2442" spans="1:9" x14ac:dyDescent="0.35">
      <c r="A2442" s="27"/>
      <c r="B2442" s="27"/>
      <c r="C2442" s="27"/>
      <c r="D2442" s="27"/>
      <c r="E2442" s="27"/>
      <c r="F2442" s="27"/>
      <c r="G2442" s="27"/>
      <c r="H2442" s="27"/>
      <c r="I2442" s="27"/>
    </row>
    <row r="2443" spans="1:9" x14ac:dyDescent="0.35">
      <c r="A2443" s="27"/>
      <c r="B2443" s="27"/>
      <c r="C2443" s="27"/>
      <c r="D2443" s="27"/>
      <c r="E2443" s="27"/>
      <c r="F2443" s="27"/>
      <c r="G2443" s="27"/>
      <c r="H2443" s="27"/>
      <c r="I2443" s="27"/>
    </row>
    <row r="2444" spans="1:9" x14ac:dyDescent="0.35">
      <c r="A2444" s="27"/>
      <c r="B2444" s="27"/>
      <c r="C2444" s="27"/>
      <c r="D2444" s="27"/>
      <c r="E2444" s="27"/>
      <c r="F2444" s="27"/>
      <c r="G2444" s="27"/>
      <c r="H2444" s="27"/>
      <c r="I2444" s="27"/>
    </row>
    <row r="2445" spans="1:9" x14ac:dyDescent="0.35">
      <c r="A2445" s="27"/>
      <c r="B2445" s="27"/>
      <c r="C2445" s="27"/>
      <c r="D2445" s="27"/>
      <c r="E2445" s="27"/>
      <c r="F2445" s="27"/>
      <c r="G2445" s="27"/>
      <c r="H2445" s="27"/>
      <c r="I2445" s="27"/>
    </row>
    <row r="2446" spans="1:9" x14ac:dyDescent="0.35">
      <c r="A2446" s="27"/>
      <c r="B2446" s="27"/>
      <c r="C2446" s="27"/>
      <c r="D2446" s="27"/>
      <c r="E2446" s="27"/>
      <c r="F2446" s="27"/>
      <c r="G2446" s="27"/>
      <c r="H2446" s="27"/>
      <c r="I2446" s="27"/>
    </row>
    <row r="2447" spans="1:9" x14ac:dyDescent="0.35">
      <c r="A2447" s="27"/>
      <c r="B2447" s="27"/>
      <c r="C2447" s="27"/>
      <c r="D2447" s="27"/>
      <c r="E2447" s="27"/>
      <c r="F2447" s="27"/>
      <c r="G2447" s="27"/>
      <c r="H2447" s="27"/>
      <c r="I2447" s="27"/>
    </row>
    <row r="2448" spans="1:9" x14ac:dyDescent="0.35">
      <c r="A2448" s="27"/>
      <c r="B2448" s="27"/>
      <c r="C2448" s="27"/>
      <c r="D2448" s="27"/>
      <c r="E2448" s="27"/>
      <c r="F2448" s="27"/>
      <c r="G2448" s="27"/>
      <c r="H2448" s="27"/>
      <c r="I2448" s="27"/>
    </row>
    <row r="2449" spans="1:9" x14ac:dyDescent="0.35">
      <c r="A2449" s="27"/>
      <c r="B2449" s="27"/>
      <c r="C2449" s="27"/>
      <c r="D2449" s="27"/>
      <c r="E2449" s="27"/>
      <c r="F2449" s="27"/>
      <c r="G2449" s="27"/>
      <c r="H2449" s="27"/>
      <c r="I2449" s="27"/>
    </row>
    <row r="2450" spans="1:9" x14ac:dyDescent="0.35">
      <c r="A2450" s="27"/>
      <c r="B2450" s="27"/>
      <c r="C2450" s="27"/>
      <c r="D2450" s="27"/>
      <c r="E2450" s="27"/>
      <c r="F2450" s="27"/>
      <c r="G2450" s="27"/>
      <c r="H2450" s="27"/>
      <c r="I2450" s="27"/>
    </row>
    <row r="2451" spans="1:9" x14ac:dyDescent="0.35">
      <c r="A2451" s="27"/>
      <c r="B2451" s="27"/>
      <c r="C2451" s="27"/>
      <c r="D2451" s="27"/>
      <c r="E2451" s="27"/>
      <c r="F2451" s="27"/>
      <c r="G2451" s="27"/>
      <c r="H2451" s="27"/>
      <c r="I2451" s="27"/>
    </row>
    <row r="2452" spans="1:9" x14ac:dyDescent="0.35">
      <c r="A2452" s="27"/>
      <c r="B2452" s="27"/>
      <c r="C2452" s="27"/>
      <c r="D2452" s="27"/>
      <c r="E2452" s="27"/>
      <c r="F2452" s="27"/>
      <c r="G2452" s="27"/>
      <c r="H2452" s="27"/>
      <c r="I2452" s="27"/>
    </row>
    <row r="2453" spans="1:9" x14ac:dyDescent="0.35">
      <c r="A2453" s="27"/>
      <c r="B2453" s="27"/>
      <c r="C2453" s="27"/>
      <c r="D2453" s="27"/>
      <c r="E2453" s="27"/>
      <c r="F2453" s="27"/>
      <c r="G2453" s="27"/>
      <c r="H2453" s="27"/>
      <c r="I2453" s="27"/>
    </row>
    <row r="2454" spans="1:9" x14ac:dyDescent="0.35">
      <c r="A2454" s="27"/>
      <c r="B2454" s="27"/>
      <c r="C2454" s="27"/>
      <c r="D2454" s="27"/>
      <c r="E2454" s="27"/>
      <c r="F2454" s="27"/>
      <c r="G2454" s="27"/>
      <c r="H2454" s="27"/>
      <c r="I2454" s="27"/>
    </row>
    <row r="2455" spans="1:9" x14ac:dyDescent="0.35">
      <c r="A2455" s="27"/>
      <c r="B2455" s="27"/>
      <c r="C2455" s="27"/>
      <c r="D2455" s="27"/>
      <c r="E2455" s="27"/>
      <c r="F2455" s="27"/>
      <c r="G2455" s="27"/>
      <c r="H2455" s="27"/>
      <c r="I2455" s="27"/>
    </row>
    <row r="2456" spans="1:9" x14ac:dyDescent="0.35">
      <c r="A2456" s="27"/>
      <c r="B2456" s="27"/>
      <c r="C2456" s="27"/>
      <c r="D2456" s="27"/>
      <c r="E2456" s="27"/>
      <c r="F2456" s="27"/>
      <c r="G2456" s="27"/>
      <c r="H2456" s="27"/>
      <c r="I2456" s="27"/>
    </row>
    <row r="2457" spans="1:9" x14ac:dyDescent="0.35">
      <c r="A2457" s="27"/>
      <c r="B2457" s="27"/>
      <c r="C2457" s="27"/>
      <c r="D2457" s="27"/>
      <c r="E2457" s="27"/>
      <c r="F2457" s="27"/>
      <c r="G2457" s="27"/>
      <c r="H2457" s="27"/>
      <c r="I2457" s="27"/>
    </row>
    <row r="2458" spans="1:9" x14ac:dyDescent="0.35">
      <c r="A2458" s="27"/>
      <c r="B2458" s="27"/>
      <c r="C2458" s="27"/>
      <c r="D2458" s="27"/>
      <c r="E2458" s="27"/>
      <c r="F2458" s="27"/>
      <c r="G2458" s="27"/>
      <c r="H2458" s="27"/>
      <c r="I2458" s="27"/>
    </row>
    <row r="2459" spans="1:9" x14ac:dyDescent="0.35">
      <c r="A2459" s="27"/>
      <c r="B2459" s="27"/>
      <c r="C2459" s="27"/>
      <c r="D2459" s="27"/>
      <c r="E2459" s="27"/>
      <c r="F2459" s="27"/>
      <c r="G2459" s="27"/>
      <c r="H2459" s="27"/>
      <c r="I2459" s="27"/>
    </row>
    <row r="2460" spans="1:9" x14ac:dyDescent="0.35">
      <c r="A2460" s="27"/>
      <c r="B2460" s="27"/>
      <c r="C2460" s="27"/>
      <c r="D2460" s="27"/>
      <c r="E2460" s="27"/>
      <c r="F2460" s="27"/>
      <c r="G2460" s="27"/>
      <c r="H2460" s="27"/>
      <c r="I2460" s="27"/>
    </row>
    <row r="2461" spans="1:9" x14ac:dyDescent="0.35">
      <c r="A2461" s="27"/>
      <c r="B2461" s="27"/>
      <c r="C2461" s="27"/>
      <c r="D2461" s="27"/>
      <c r="E2461" s="27"/>
      <c r="F2461" s="27"/>
      <c r="G2461" s="27"/>
      <c r="H2461" s="27"/>
      <c r="I2461" s="27"/>
    </row>
    <row r="2462" spans="1:9" x14ac:dyDescent="0.35">
      <c r="A2462" s="27"/>
      <c r="B2462" s="27"/>
      <c r="C2462" s="27"/>
      <c r="D2462" s="27"/>
      <c r="E2462" s="27"/>
      <c r="F2462" s="27"/>
      <c r="G2462" s="27"/>
      <c r="H2462" s="27"/>
      <c r="I2462" s="27"/>
    </row>
    <row r="2463" spans="1:9" x14ac:dyDescent="0.35">
      <c r="A2463" s="27"/>
      <c r="B2463" s="27"/>
      <c r="C2463" s="27"/>
      <c r="D2463" s="27"/>
      <c r="E2463" s="27"/>
      <c r="F2463" s="27"/>
      <c r="G2463" s="27"/>
      <c r="H2463" s="27"/>
      <c r="I2463" s="27"/>
    </row>
    <row r="2464" spans="1:9" x14ac:dyDescent="0.35">
      <c r="A2464" s="27"/>
      <c r="B2464" s="27"/>
      <c r="C2464" s="27"/>
      <c r="D2464" s="27"/>
      <c r="E2464" s="27"/>
      <c r="F2464" s="27"/>
      <c r="G2464" s="27"/>
      <c r="H2464" s="27"/>
      <c r="I2464" s="27"/>
    </row>
    <row r="2465" spans="1:9" x14ac:dyDescent="0.35">
      <c r="A2465" s="27"/>
      <c r="B2465" s="27"/>
      <c r="C2465" s="27"/>
      <c r="D2465" s="27"/>
      <c r="E2465" s="27"/>
      <c r="F2465" s="27"/>
      <c r="G2465" s="27"/>
      <c r="H2465" s="27"/>
      <c r="I2465" s="27"/>
    </row>
    <row r="2466" spans="1:9" x14ac:dyDescent="0.35">
      <c r="A2466" s="27"/>
      <c r="B2466" s="27"/>
      <c r="C2466" s="27"/>
      <c r="D2466" s="27"/>
      <c r="E2466" s="27"/>
      <c r="F2466" s="27"/>
      <c r="G2466" s="27"/>
      <c r="H2466" s="27"/>
      <c r="I2466" s="27"/>
    </row>
    <row r="2467" spans="1:9" x14ac:dyDescent="0.35">
      <c r="A2467" s="27"/>
      <c r="B2467" s="27"/>
      <c r="C2467" s="27"/>
      <c r="D2467" s="27"/>
      <c r="E2467" s="27"/>
      <c r="F2467" s="27"/>
      <c r="G2467" s="27"/>
      <c r="H2467" s="27"/>
      <c r="I2467" s="27"/>
    </row>
    <row r="2468" spans="1:9" x14ac:dyDescent="0.35">
      <c r="A2468" s="27"/>
      <c r="B2468" s="27"/>
      <c r="C2468" s="27"/>
      <c r="D2468" s="27"/>
      <c r="E2468" s="27"/>
      <c r="F2468" s="27"/>
      <c r="G2468" s="27"/>
      <c r="H2468" s="27"/>
      <c r="I2468" s="27"/>
    </row>
    <row r="2469" spans="1:9" x14ac:dyDescent="0.35">
      <c r="A2469" s="27"/>
      <c r="B2469" s="27"/>
      <c r="C2469" s="27"/>
      <c r="D2469" s="27"/>
      <c r="E2469" s="27"/>
      <c r="F2469" s="27"/>
      <c r="G2469" s="27"/>
      <c r="H2469" s="27"/>
      <c r="I2469" s="27"/>
    </row>
    <row r="2470" spans="1:9" x14ac:dyDescent="0.35">
      <c r="A2470" s="27"/>
      <c r="B2470" s="27"/>
      <c r="C2470" s="27"/>
      <c r="D2470" s="27"/>
      <c r="E2470" s="27"/>
      <c r="F2470" s="27"/>
      <c r="G2470" s="27"/>
      <c r="H2470" s="27"/>
      <c r="I2470" s="27"/>
    </row>
    <row r="2471" spans="1:9" x14ac:dyDescent="0.35">
      <c r="A2471" s="27"/>
      <c r="B2471" s="27"/>
      <c r="C2471" s="27"/>
      <c r="D2471" s="27"/>
      <c r="E2471" s="27"/>
      <c r="F2471" s="27"/>
      <c r="G2471" s="27"/>
      <c r="H2471" s="27"/>
      <c r="I2471" s="27"/>
    </row>
    <row r="2472" spans="1:9" x14ac:dyDescent="0.35">
      <c r="A2472" s="27"/>
      <c r="B2472" s="27"/>
      <c r="C2472" s="27"/>
      <c r="D2472" s="27"/>
      <c r="E2472" s="27"/>
      <c r="F2472" s="27"/>
      <c r="G2472" s="27"/>
      <c r="H2472" s="27"/>
      <c r="I2472" s="27"/>
    </row>
    <row r="2473" spans="1:9" x14ac:dyDescent="0.35">
      <c r="A2473" s="27"/>
      <c r="B2473" s="27"/>
      <c r="C2473" s="27"/>
      <c r="D2473" s="27"/>
      <c r="E2473" s="27"/>
      <c r="F2473" s="27"/>
      <c r="G2473" s="27"/>
      <c r="H2473" s="27"/>
      <c r="I2473" s="27"/>
    </row>
    <row r="2474" spans="1:9" x14ac:dyDescent="0.35">
      <c r="A2474" s="27"/>
      <c r="B2474" s="27"/>
      <c r="C2474" s="27"/>
      <c r="D2474" s="27"/>
      <c r="E2474" s="27"/>
      <c r="F2474" s="27"/>
      <c r="G2474" s="27"/>
      <c r="H2474" s="27"/>
      <c r="I2474" s="27"/>
    </row>
    <row r="2475" spans="1:9" x14ac:dyDescent="0.35">
      <c r="A2475" s="27"/>
      <c r="B2475" s="27"/>
      <c r="C2475" s="27"/>
      <c r="D2475" s="27"/>
      <c r="E2475" s="27"/>
      <c r="F2475" s="27"/>
      <c r="G2475" s="27"/>
      <c r="H2475" s="27"/>
      <c r="I2475" s="27"/>
    </row>
    <row r="2476" spans="1:9" x14ac:dyDescent="0.35">
      <c r="A2476" s="27"/>
      <c r="B2476" s="27"/>
      <c r="C2476" s="27"/>
      <c r="D2476" s="27"/>
      <c r="E2476" s="27"/>
      <c r="F2476" s="27"/>
      <c r="G2476" s="27"/>
      <c r="H2476" s="27"/>
      <c r="I2476" s="27"/>
    </row>
    <row r="2477" spans="1:9" x14ac:dyDescent="0.35">
      <c r="A2477" s="27"/>
      <c r="B2477" s="27"/>
      <c r="C2477" s="27"/>
      <c r="D2477" s="27"/>
      <c r="E2477" s="27"/>
      <c r="F2477" s="27"/>
      <c r="G2477" s="27"/>
      <c r="H2477" s="27"/>
      <c r="I2477" s="27"/>
    </row>
    <row r="2478" spans="1:9" x14ac:dyDescent="0.35">
      <c r="A2478" s="27"/>
      <c r="B2478" s="27"/>
      <c r="C2478" s="27"/>
      <c r="D2478" s="27"/>
      <c r="E2478" s="27"/>
      <c r="F2478" s="27"/>
      <c r="G2478" s="27"/>
      <c r="H2478" s="27"/>
      <c r="I2478" s="27"/>
    </row>
    <row r="2479" spans="1:9" x14ac:dyDescent="0.35">
      <c r="A2479" s="27"/>
      <c r="B2479" s="27"/>
      <c r="C2479" s="27"/>
      <c r="D2479" s="27"/>
      <c r="E2479" s="27"/>
      <c r="F2479" s="27"/>
      <c r="G2479" s="27"/>
      <c r="H2479" s="27"/>
      <c r="I2479" s="27"/>
    </row>
    <row r="2480" spans="1:9" x14ac:dyDescent="0.35">
      <c r="A2480" s="27"/>
      <c r="B2480" s="27"/>
      <c r="C2480" s="27"/>
      <c r="D2480" s="27"/>
      <c r="E2480" s="27"/>
      <c r="F2480" s="27"/>
      <c r="G2480" s="27"/>
      <c r="H2480" s="27"/>
      <c r="I2480" s="27"/>
    </row>
    <row r="2481" spans="1:9" x14ac:dyDescent="0.35">
      <c r="A2481" s="27"/>
      <c r="B2481" s="27"/>
      <c r="C2481" s="27"/>
      <c r="D2481" s="27"/>
      <c r="E2481" s="27"/>
      <c r="F2481" s="27"/>
      <c r="G2481" s="27"/>
      <c r="H2481" s="27"/>
      <c r="I2481" s="27"/>
    </row>
    <row r="2482" spans="1:9" x14ac:dyDescent="0.35">
      <c r="A2482" s="27"/>
      <c r="B2482" s="27"/>
      <c r="C2482" s="27"/>
      <c r="D2482" s="27"/>
      <c r="E2482" s="27"/>
      <c r="F2482" s="27"/>
      <c r="G2482" s="27"/>
      <c r="H2482" s="27"/>
      <c r="I2482" s="27"/>
    </row>
    <row r="2483" spans="1:9" x14ac:dyDescent="0.35">
      <c r="A2483" s="27"/>
      <c r="B2483" s="27"/>
      <c r="C2483" s="27"/>
      <c r="D2483" s="27"/>
      <c r="E2483" s="27"/>
      <c r="F2483" s="27"/>
      <c r="G2483" s="27"/>
      <c r="H2483" s="27"/>
      <c r="I2483" s="27"/>
    </row>
    <row r="2484" spans="1:9" x14ac:dyDescent="0.35">
      <c r="A2484" s="27"/>
      <c r="B2484" s="27"/>
      <c r="C2484" s="27"/>
      <c r="D2484" s="27"/>
      <c r="E2484" s="27"/>
      <c r="F2484" s="27"/>
      <c r="G2484" s="27"/>
      <c r="H2484" s="27"/>
      <c r="I2484" s="27"/>
    </row>
    <row r="2485" spans="1:9" x14ac:dyDescent="0.35">
      <c r="A2485" s="27"/>
      <c r="B2485" s="27"/>
      <c r="C2485" s="27"/>
      <c r="D2485" s="27"/>
      <c r="E2485" s="27"/>
      <c r="F2485" s="27"/>
      <c r="G2485" s="27"/>
      <c r="H2485" s="27"/>
      <c r="I2485" s="27"/>
    </row>
    <row r="2486" spans="1:9" x14ac:dyDescent="0.35">
      <c r="A2486" s="27"/>
      <c r="B2486" s="27"/>
      <c r="C2486" s="27"/>
      <c r="D2486" s="27"/>
      <c r="E2486" s="27"/>
      <c r="F2486" s="27"/>
      <c r="G2486" s="27"/>
      <c r="H2486" s="27"/>
      <c r="I2486" s="27"/>
    </row>
    <row r="2487" spans="1:9" x14ac:dyDescent="0.35">
      <c r="A2487" s="27"/>
      <c r="B2487" s="27"/>
      <c r="C2487" s="27"/>
      <c r="D2487" s="27"/>
      <c r="E2487" s="27"/>
      <c r="F2487" s="27"/>
      <c r="G2487" s="27"/>
      <c r="H2487" s="27"/>
      <c r="I2487" s="27"/>
    </row>
    <row r="2488" spans="1:9" x14ac:dyDescent="0.35">
      <c r="A2488" s="27"/>
      <c r="B2488" s="27"/>
      <c r="C2488" s="27"/>
      <c r="D2488" s="27"/>
      <c r="E2488" s="27"/>
      <c r="F2488" s="27"/>
      <c r="G2488" s="27"/>
      <c r="H2488" s="27"/>
      <c r="I2488" s="27"/>
    </row>
    <row r="2489" spans="1:9" x14ac:dyDescent="0.35">
      <c r="A2489" s="27"/>
      <c r="B2489" s="27"/>
      <c r="C2489" s="27"/>
      <c r="D2489" s="27"/>
      <c r="E2489" s="27"/>
      <c r="F2489" s="27"/>
      <c r="G2489" s="27"/>
      <c r="H2489" s="27"/>
      <c r="I2489" s="27"/>
    </row>
    <row r="2490" spans="1:9" x14ac:dyDescent="0.35">
      <c r="A2490" s="27"/>
      <c r="B2490" s="27"/>
      <c r="C2490" s="27"/>
      <c r="D2490" s="27"/>
      <c r="E2490" s="27"/>
      <c r="F2490" s="27"/>
      <c r="G2490" s="27"/>
      <c r="H2490" s="27"/>
      <c r="I2490" s="27"/>
    </row>
    <row r="2491" spans="1:9" x14ac:dyDescent="0.35">
      <c r="A2491" s="27"/>
      <c r="B2491" s="27"/>
      <c r="C2491" s="27"/>
      <c r="D2491" s="27"/>
      <c r="E2491" s="27"/>
      <c r="F2491" s="27"/>
      <c r="G2491" s="27"/>
      <c r="H2491" s="27"/>
      <c r="I2491" s="27"/>
    </row>
    <row r="2492" spans="1:9" x14ac:dyDescent="0.35">
      <c r="A2492" s="27"/>
      <c r="B2492" s="27"/>
      <c r="C2492" s="27"/>
      <c r="D2492" s="27"/>
      <c r="E2492" s="27"/>
      <c r="F2492" s="27"/>
      <c r="G2492" s="27"/>
      <c r="H2492" s="27"/>
      <c r="I2492" s="27"/>
    </row>
    <row r="2493" spans="1:9" x14ac:dyDescent="0.35">
      <c r="A2493" s="27"/>
      <c r="B2493" s="27"/>
      <c r="C2493" s="27"/>
      <c r="D2493" s="27"/>
      <c r="E2493" s="27"/>
      <c r="F2493" s="27"/>
      <c r="G2493" s="27"/>
      <c r="H2493" s="27"/>
      <c r="I2493" s="27"/>
    </row>
    <row r="2494" spans="1:9" x14ac:dyDescent="0.35">
      <c r="A2494" s="27"/>
      <c r="B2494" s="27"/>
      <c r="C2494" s="27"/>
      <c r="D2494" s="27"/>
      <c r="E2494" s="27"/>
      <c r="F2494" s="27"/>
      <c r="G2494" s="27"/>
      <c r="H2494" s="27"/>
      <c r="I2494" s="27"/>
    </row>
    <row r="2495" spans="1:9" x14ac:dyDescent="0.35">
      <c r="A2495" s="27"/>
      <c r="B2495" s="27"/>
      <c r="C2495" s="27"/>
      <c r="D2495" s="27"/>
      <c r="E2495" s="27"/>
      <c r="F2495" s="27"/>
      <c r="G2495" s="27"/>
      <c r="H2495" s="27"/>
      <c r="I2495" s="27"/>
    </row>
    <row r="2496" spans="1:9" x14ac:dyDescent="0.35">
      <c r="A2496" s="27"/>
      <c r="B2496" s="27"/>
      <c r="C2496" s="27"/>
      <c r="D2496" s="27"/>
      <c r="E2496" s="27"/>
      <c r="F2496" s="27"/>
      <c r="G2496" s="27"/>
      <c r="H2496" s="27"/>
      <c r="I2496" s="27"/>
    </row>
    <row r="2497" spans="1:9" x14ac:dyDescent="0.35">
      <c r="A2497" s="27"/>
      <c r="B2497" s="27"/>
      <c r="C2497" s="27"/>
      <c r="D2497" s="27"/>
      <c r="E2497" s="27"/>
      <c r="F2497" s="27"/>
      <c r="G2497" s="27"/>
      <c r="H2497" s="27"/>
      <c r="I2497" s="27"/>
    </row>
    <row r="2498" spans="1:9" x14ac:dyDescent="0.35">
      <c r="A2498" s="27"/>
      <c r="B2498" s="27"/>
      <c r="C2498" s="27"/>
      <c r="D2498" s="27"/>
      <c r="E2498" s="27"/>
      <c r="F2498" s="27"/>
      <c r="G2498" s="27"/>
      <c r="H2498" s="27"/>
      <c r="I2498" s="27"/>
    </row>
    <row r="2499" spans="1:9" x14ac:dyDescent="0.35">
      <c r="A2499" s="27"/>
      <c r="B2499" s="27"/>
      <c r="C2499" s="27"/>
      <c r="D2499" s="27"/>
      <c r="E2499" s="27"/>
      <c r="F2499" s="27"/>
      <c r="G2499" s="27"/>
      <c r="H2499" s="27"/>
      <c r="I2499" s="27"/>
    </row>
    <row r="2500" spans="1:9" x14ac:dyDescent="0.35">
      <c r="A2500" s="27"/>
      <c r="B2500" s="27"/>
      <c r="C2500" s="27"/>
      <c r="D2500" s="27"/>
      <c r="E2500" s="27"/>
      <c r="F2500" s="27"/>
      <c r="G2500" s="27"/>
      <c r="H2500" s="27"/>
      <c r="I2500" s="27"/>
    </row>
    <row r="2501" spans="1:9" x14ac:dyDescent="0.35">
      <c r="A2501" s="27"/>
      <c r="B2501" s="27"/>
      <c r="C2501" s="27"/>
      <c r="D2501" s="27"/>
      <c r="E2501" s="27"/>
      <c r="F2501" s="27"/>
      <c r="G2501" s="27"/>
      <c r="H2501" s="27"/>
      <c r="I2501" s="27"/>
    </row>
    <row r="2502" spans="1:9" x14ac:dyDescent="0.35">
      <c r="A2502" s="27"/>
      <c r="B2502" s="27"/>
      <c r="C2502" s="27"/>
      <c r="D2502" s="27"/>
      <c r="E2502" s="27"/>
      <c r="F2502" s="27"/>
      <c r="G2502" s="27"/>
      <c r="H2502" s="27"/>
      <c r="I2502" s="27"/>
    </row>
    <row r="2503" spans="1:9" x14ac:dyDescent="0.35">
      <c r="A2503" s="27"/>
      <c r="B2503" s="27"/>
      <c r="C2503" s="27"/>
      <c r="D2503" s="27"/>
      <c r="E2503" s="27"/>
      <c r="F2503" s="27"/>
      <c r="G2503" s="27"/>
      <c r="H2503" s="27"/>
      <c r="I2503" s="27"/>
    </row>
    <row r="2504" spans="1:9" x14ac:dyDescent="0.35">
      <c r="A2504" s="27"/>
      <c r="B2504" s="27"/>
      <c r="C2504" s="27"/>
      <c r="D2504" s="27"/>
      <c r="E2504" s="27"/>
      <c r="F2504" s="27"/>
      <c r="G2504" s="27"/>
      <c r="H2504" s="27"/>
      <c r="I2504" s="27"/>
    </row>
    <row r="2505" spans="1:9" x14ac:dyDescent="0.35">
      <c r="A2505" s="27"/>
      <c r="B2505" s="27"/>
      <c r="C2505" s="27"/>
      <c r="D2505" s="27"/>
      <c r="E2505" s="27"/>
      <c r="F2505" s="27"/>
      <c r="G2505" s="27"/>
      <c r="H2505" s="27"/>
      <c r="I2505" s="27"/>
    </row>
    <row r="2506" spans="1:9" x14ac:dyDescent="0.35">
      <c r="A2506" s="27"/>
      <c r="B2506" s="27"/>
      <c r="C2506" s="27"/>
      <c r="D2506" s="27"/>
      <c r="E2506" s="27"/>
      <c r="F2506" s="27"/>
      <c r="G2506" s="27"/>
      <c r="H2506" s="27"/>
      <c r="I2506" s="27"/>
    </row>
    <row r="2507" spans="1:9" x14ac:dyDescent="0.35">
      <c r="A2507" s="27"/>
      <c r="B2507" s="27"/>
      <c r="C2507" s="27"/>
      <c r="D2507" s="27"/>
      <c r="E2507" s="27"/>
      <c r="F2507" s="27"/>
      <c r="G2507" s="27"/>
      <c r="H2507" s="27"/>
      <c r="I2507" s="27"/>
    </row>
    <row r="2508" spans="1:9" x14ac:dyDescent="0.35">
      <c r="A2508" s="27"/>
      <c r="B2508" s="27"/>
      <c r="C2508" s="27"/>
      <c r="D2508" s="27"/>
      <c r="E2508" s="27"/>
      <c r="F2508" s="27"/>
      <c r="G2508" s="27"/>
      <c r="H2508" s="27"/>
      <c r="I2508" s="27"/>
    </row>
    <row r="2509" spans="1:9" x14ac:dyDescent="0.35">
      <c r="A2509" s="27"/>
      <c r="B2509" s="27"/>
      <c r="C2509" s="27"/>
      <c r="D2509" s="27"/>
      <c r="E2509" s="27"/>
      <c r="F2509" s="27"/>
      <c r="G2509" s="27"/>
      <c r="H2509" s="27"/>
      <c r="I2509" s="27"/>
    </row>
    <row r="2510" spans="1:9" x14ac:dyDescent="0.35">
      <c r="A2510" s="27"/>
      <c r="B2510" s="27"/>
      <c r="C2510" s="27"/>
      <c r="D2510" s="27"/>
      <c r="E2510" s="27"/>
      <c r="F2510" s="27"/>
      <c r="G2510" s="27"/>
      <c r="H2510" s="27"/>
      <c r="I2510" s="27"/>
    </row>
    <row r="2511" spans="1:9" x14ac:dyDescent="0.35">
      <c r="A2511" s="27"/>
      <c r="B2511" s="27"/>
      <c r="C2511" s="27"/>
      <c r="D2511" s="27"/>
      <c r="E2511" s="27"/>
      <c r="F2511" s="27"/>
      <c r="G2511" s="27"/>
      <c r="H2511" s="27"/>
      <c r="I2511" s="27"/>
    </row>
    <row r="2512" spans="1:9" x14ac:dyDescent="0.35">
      <c r="A2512" s="27"/>
      <c r="B2512" s="27"/>
      <c r="C2512" s="27"/>
      <c r="D2512" s="27"/>
      <c r="E2512" s="27"/>
      <c r="F2512" s="27"/>
      <c r="G2512" s="27"/>
      <c r="H2512" s="27"/>
      <c r="I2512" s="27"/>
    </row>
    <row r="2513" spans="1:9" x14ac:dyDescent="0.35">
      <c r="A2513" s="27"/>
      <c r="B2513" s="27"/>
      <c r="C2513" s="27"/>
      <c r="D2513" s="27"/>
      <c r="E2513" s="27"/>
      <c r="F2513" s="27"/>
      <c r="G2513" s="27"/>
      <c r="H2513" s="27"/>
      <c r="I2513" s="27"/>
    </row>
    <row r="2514" spans="1:9" x14ac:dyDescent="0.35">
      <c r="A2514" s="27"/>
      <c r="B2514" s="27"/>
      <c r="C2514" s="27"/>
      <c r="D2514" s="27"/>
      <c r="E2514" s="27"/>
      <c r="F2514" s="27"/>
      <c r="G2514" s="27"/>
      <c r="H2514" s="27"/>
      <c r="I2514" s="27"/>
    </row>
    <row r="2515" spans="1:9" x14ac:dyDescent="0.35">
      <c r="A2515" s="27"/>
      <c r="B2515" s="27"/>
      <c r="C2515" s="27"/>
      <c r="D2515" s="27"/>
      <c r="E2515" s="27"/>
      <c r="F2515" s="27"/>
      <c r="G2515" s="27"/>
      <c r="H2515" s="27"/>
      <c r="I2515" s="27"/>
    </row>
    <row r="2516" spans="1:9" x14ac:dyDescent="0.35">
      <c r="A2516" s="27"/>
      <c r="B2516" s="27"/>
      <c r="C2516" s="27"/>
      <c r="D2516" s="27"/>
      <c r="E2516" s="27"/>
      <c r="F2516" s="27"/>
      <c r="G2516" s="27"/>
      <c r="H2516" s="27"/>
      <c r="I2516" s="27"/>
    </row>
    <row r="2517" spans="1:9" x14ac:dyDescent="0.35">
      <c r="A2517" s="27"/>
      <c r="B2517" s="27"/>
      <c r="C2517" s="27"/>
      <c r="D2517" s="27"/>
      <c r="E2517" s="27"/>
      <c r="F2517" s="27"/>
      <c r="G2517" s="27"/>
      <c r="H2517" s="27"/>
      <c r="I2517" s="27"/>
    </row>
    <row r="2518" spans="1:9" x14ac:dyDescent="0.35">
      <c r="A2518" s="27"/>
      <c r="B2518" s="27"/>
      <c r="C2518" s="27"/>
      <c r="D2518" s="27"/>
      <c r="E2518" s="27"/>
      <c r="F2518" s="27"/>
      <c r="G2518" s="27"/>
      <c r="H2518" s="27"/>
      <c r="I2518" s="27"/>
    </row>
    <row r="2519" spans="1:9" x14ac:dyDescent="0.35">
      <c r="A2519" s="27"/>
      <c r="B2519" s="27"/>
      <c r="C2519" s="27"/>
      <c r="D2519" s="27"/>
      <c r="E2519" s="27"/>
      <c r="F2519" s="27"/>
      <c r="G2519" s="27"/>
      <c r="H2519" s="27"/>
      <c r="I2519" s="27"/>
    </row>
    <row r="2520" spans="1:9" x14ac:dyDescent="0.35">
      <c r="A2520" s="27"/>
      <c r="B2520" s="27"/>
      <c r="C2520" s="27"/>
      <c r="D2520" s="27"/>
      <c r="E2520" s="27"/>
      <c r="F2520" s="27"/>
      <c r="G2520" s="27"/>
      <c r="H2520" s="27"/>
      <c r="I2520" s="27"/>
    </row>
    <row r="2521" spans="1:9" x14ac:dyDescent="0.35">
      <c r="A2521" s="27"/>
      <c r="B2521" s="27"/>
      <c r="C2521" s="27"/>
      <c r="D2521" s="27"/>
      <c r="E2521" s="27"/>
      <c r="F2521" s="27"/>
      <c r="G2521" s="27"/>
      <c r="H2521" s="27"/>
      <c r="I2521" s="27"/>
    </row>
    <row r="2522" spans="1:9" x14ac:dyDescent="0.35">
      <c r="A2522" s="27"/>
      <c r="B2522" s="27"/>
      <c r="C2522" s="27"/>
      <c r="D2522" s="27"/>
      <c r="E2522" s="27"/>
      <c r="F2522" s="27"/>
      <c r="G2522" s="27"/>
      <c r="H2522" s="27"/>
      <c r="I2522" s="27"/>
    </row>
    <row r="2523" spans="1:9" x14ac:dyDescent="0.35">
      <c r="A2523" s="27"/>
      <c r="B2523" s="27"/>
      <c r="C2523" s="27"/>
      <c r="D2523" s="27"/>
      <c r="E2523" s="27"/>
      <c r="F2523" s="27"/>
      <c r="G2523" s="27"/>
      <c r="H2523" s="27"/>
      <c r="I2523" s="27"/>
    </row>
    <row r="2524" spans="1:9" x14ac:dyDescent="0.35">
      <c r="A2524" s="27"/>
      <c r="B2524" s="27"/>
      <c r="C2524" s="27"/>
      <c r="D2524" s="27"/>
      <c r="E2524" s="27"/>
      <c r="F2524" s="27"/>
      <c r="G2524" s="27"/>
      <c r="H2524" s="27"/>
      <c r="I2524" s="27"/>
    </row>
    <row r="2525" spans="1:9" x14ac:dyDescent="0.35">
      <c r="A2525" s="27"/>
      <c r="B2525" s="27"/>
      <c r="C2525" s="27"/>
      <c r="D2525" s="27"/>
      <c r="E2525" s="27"/>
      <c r="F2525" s="27"/>
      <c r="G2525" s="27"/>
      <c r="H2525" s="27"/>
      <c r="I2525" s="27"/>
    </row>
    <row r="2526" spans="1:9" x14ac:dyDescent="0.35">
      <c r="A2526" s="27"/>
      <c r="B2526" s="27"/>
      <c r="C2526" s="27"/>
      <c r="D2526" s="27"/>
      <c r="E2526" s="27"/>
      <c r="F2526" s="27"/>
      <c r="G2526" s="27"/>
      <c r="H2526" s="27"/>
      <c r="I2526" s="27"/>
    </row>
    <row r="2527" spans="1:9" x14ac:dyDescent="0.35">
      <c r="A2527" s="27"/>
      <c r="B2527" s="27"/>
      <c r="C2527" s="27"/>
      <c r="D2527" s="27"/>
      <c r="E2527" s="27"/>
      <c r="F2527" s="27"/>
      <c r="G2527" s="27"/>
      <c r="H2527" s="27"/>
      <c r="I2527" s="27"/>
    </row>
    <row r="2528" spans="1:9" x14ac:dyDescent="0.35">
      <c r="A2528" s="27"/>
      <c r="B2528" s="27"/>
      <c r="C2528" s="27"/>
      <c r="D2528" s="27"/>
      <c r="E2528" s="27"/>
      <c r="F2528" s="27"/>
      <c r="G2528" s="27"/>
      <c r="H2528" s="27"/>
      <c r="I2528" s="27"/>
    </row>
    <row r="2529" spans="1:9" x14ac:dyDescent="0.35">
      <c r="A2529" s="27"/>
      <c r="B2529" s="27"/>
      <c r="C2529" s="27"/>
      <c r="D2529" s="27"/>
      <c r="E2529" s="27"/>
      <c r="F2529" s="27"/>
      <c r="G2529" s="27"/>
      <c r="H2529" s="27"/>
      <c r="I2529" s="27"/>
    </row>
    <row r="2530" spans="1:9" x14ac:dyDescent="0.35">
      <c r="A2530" s="27"/>
      <c r="B2530" s="27"/>
      <c r="C2530" s="27"/>
      <c r="D2530" s="27"/>
      <c r="E2530" s="27"/>
      <c r="F2530" s="27"/>
      <c r="G2530" s="27"/>
      <c r="H2530" s="27"/>
      <c r="I2530" s="27"/>
    </row>
    <row r="2531" spans="1:9" x14ac:dyDescent="0.35">
      <c r="A2531" s="27"/>
      <c r="B2531" s="27"/>
      <c r="C2531" s="27"/>
      <c r="D2531" s="27"/>
      <c r="E2531" s="27"/>
      <c r="F2531" s="27"/>
      <c r="G2531" s="27"/>
      <c r="H2531" s="27"/>
      <c r="I2531" s="27"/>
    </row>
    <row r="2532" spans="1:9" x14ac:dyDescent="0.35">
      <c r="A2532" s="27"/>
      <c r="B2532" s="27"/>
      <c r="C2532" s="27"/>
      <c r="D2532" s="27"/>
      <c r="E2532" s="27"/>
      <c r="F2532" s="27"/>
      <c r="G2532" s="27"/>
      <c r="H2532" s="27"/>
      <c r="I2532" s="27"/>
    </row>
    <row r="2533" spans="1:9" x14ac:dyDescent="0.35">
      <c r="A2533" s="27"/>
      <c r="B2533" s="27"/>
      <c r="C2533" s="27"/>
      <c r="D2533" s="27"/>
      <c r="E2533" s="27"/>
      <c r="F2533" s="27"/>
      <c r="G2533" s="27"/>
      <c r="H2533" s="27"/>
      <c r="I2533" s="27"/>
    </row>
    <row r="2534" spans="1:9" x14ac:dyDescent="0.35">
      <c r="A2534" s="27"/>
      <c r="B2534" s="27"/>
      <c r="C2534" s="27"/>
      <c r="D2534" s="27"/>
      <c r="E2534" s="27"/>
      <c r="F2534" s="27"/>
      <c r="G2534" s="27"/>
      <c r="H2534" s="27"/>
      <c r="I2534" s="27"/>
    </row>
    <row r="2535" spans="1:9" x14ac:dyDescent="0.35">
      <c r="A2535" s="27"/>
      <c r="B2535" s="27"/>
      <c r="C2535" s="27"/>
      <c r="D2535" s="27"/>
      <c r="E2535" s="27"/>
      <c r="F2535" s="27"/>
      <c r="G2535" s="27"/>
      <c r="H2535" s="27"/>
      <c r="I2535" s="27"/>
    </row>
    <row r="2536" spans="1:9" x14ac:dyDescent="0.35">
      <c r="A2536" s="27"/>
      <c r="B2536" s="27"/>
      <c r="C2536" s="27"/>
      <c r="D2536" s="27"/>
      <c r="E2536" s="27"/>
      <c r="F2536" s="27"/>
      <c r="G2536" s="27"/>
      <c r="H2536" s="27"/>
      <c r="I2536" s="27"/>
    </row>
    <row r="2537" spans="1:9" x14ac:dyDescent="0.35">
      <c r="A2537" s="27"/>
      <c r="B2537" s="27"/>
      <c r="C2537" s="27"/>
      <c r="D2537" s="27"/>
      <c r="E2537" s="27"/>
      <c r="F2537" s="27"/>
      <c r="G2537" s="27"/>
      <c r="H2537" s="27"/>
      <c r="I2537" s="27"/>
    </row>
    <row r="2538" spans="1:9" x14ac:dyDescent="0.35">
      <c r="A2538" s="27"/>
      <c r="B2538" s="27"/>
      <c r="C2538" s="27"/>
      <c r="D2538" s="27"/>
      <c r="E2538" s="27"/>
      <c r="F2538" s="27"/>
      <c r="G2538" s="27"/>
      <c r="H2538" s="27"/>
      <c r="I2538" s="27"/>
    </row>
    <row r="2539" spans="1:9" x14ac:dyDescent="0.35">
      <c r="A2539" s="27"/>
      <c r="B2539" s="27"/>
      <c r="C2539" s="27"/>
      <c r="D2539" s="27"/>
      <c r="E2539" s="27"/>
      <c r="F2539" s="27"/>
      <c r="G2539" s="27"/>
      <c r="H2539" s="27"/>
      <c r="I2539" s="27"/>
    </row>
    <row r="2540" spans="1:9" x14ac:dyDescent="0.35">
      <c r="A2540" s="27"/>
      <c r="B2540" s="27"/>
      <c r="C2540" s="27"/>
      <c r="D2540" s="27"/>
      <c r="E2540" s="27"/>
      <c r="F2540" s="27"/>
      <c r="G2540" s="27"/>
      <c r="H2540" s="27"/>
      <c r="I2540" s="27"/>
    </row>
    <row r="2541" spans="1:9" x14ac:dyDescent="0.35">
      <c r="A2541" s="27"/>
      <c r="B2541" s="27"/>
      <c r="C2541" s="27"/>
      <c r="D2541" s="27"/>
      <c r="E2541" s="27"/>
      <c r="F2541" s="27"/>
      <c r="G2541" s="27"/>
      <c r="H2541" s="27"/>
      <c r="I2541" s="27"/>
    </row>
    <row r="2542" spans="1:9" x14ac:dyDescent="0.35">
      <c r="A2542" s="27"/>
      <c r="B2542" s="27"/>
      <c r="C2542" s="27"/>
      <c r="D2542" s="27"/>
      <c r="E2542" s="27"/>
      <c r="F2542" s="27"/>
      <c r="G2542" s="27"/>
      <c r="H2542" s="27"/>
      <c r="I2542" s="27"/>
    </row>
    <row r="2543" spans="1:9" x14ac:dyDescent="0.35">
      <c r="A2543" s="27"/>
      <c r="B2543" s="27"/>
      <c r="C2543" s="27"/>
      <c r="D2543" s="27"/>
      <c r="E2543" s="27"/>
      <c r="F2543" s="27"/>
      <c r="G2543" s="27"/>
      <c r="H2543" s="27"/>
      <c r="I2543" s="27"/>
    </row>
    <row r="2544" spans="1:9" x14ac:dyDescent="0.35">
      <c r="A2544" s="27"/>
      <c r="B2544" s="27"/>
      <c r="C2544" s="27"/>
      <c r="D2544" s="27"/>
      <c r="E2544" s="27"/>
      <c r="F2544" s="27"/>
      <c r="G2544" s="27"/>
      <c r="H2544" s="27"/>
      <c r="I2544" s="27"/>
    </row>
    <row r="2545" spans="1:9" x14ac:dyDescent="0.35">
      <c r="A2545" s="27"/>
      <c r="B2545" s="27"/>
      <c r="C2545" s="27"/>
      <c r="D2545" s="27"/>
      <c r="E2545" s="27"/>
      <c r="F2545" s="27"/>
      <c r="G2545" s="27"/>
      <c r="H2545" s="27"/>
      <c r="I2545" s="27"/>
    </row>
    <row r="2546" spans="1:9" x14ac:dyDescent="0.35">
      <c r="A2546" s="27"/>
      <c r="B2546" s="27"/>
      <c r="C2546" s="27"/>
      <c r="D2546" s="27"/>
      <c r="E2546" s="27"/>
      <c r="F2546" s="27"/>
      <c r="G2546" s="27"/>
      <c r="H2546" s="27"/>
      <c r="I2546" s="27"/>
    </row>
    <row r="2547" spans="1:9" x14ac:dyDescent="0.35">
      <c r="A2547" s="27"/>
      <c r="B2547" s="27"/>
      <c r="C2547" s="27"/>
      <c r="D2547" s="27"/>
      <c r="E2547" s="27"/>
      <c r="F2547" s="27"/>
      <c r="G2547" s="27"/>
      <c r="H2547" s="27"/>
      <c r="I2547" s="27"/>
    </row>
    <row r="2548" spans="1:9" x14ac:dyDescent="0.35">
      <c r="A2548" s="27"/>
      <c r="B2548" s="27"/>
      <c r="C2548" s="27"/>
      <c r="D2548" s="27"/>
      <c r="E2548" s="27"/>
      <c r="F2548" s="27"/>
      <c r="G2548" s="27"/>
      <c r="H2548" s="27"/>
      <c r="I2548" s="27"/>
    </row>
    <row r="2549" spans="1:9" x14ac:dyDescent="0.35">
      <c r="A2549" s="27"/>
      <c r="B2549" s="27"/>
      <c r="C2549" s="27"/>
      <c r="D2549" s="27"/>
      <c r="E2549" s="27"/>
      <c r="F2549" s="27"/>
      <c r="G2549" s="27"/>
      <c r="H2549" s="27"/>
      <c r="I2549" s="27"/>
    </row>
    <row r="2550" spans="1:9" x14ac:dyDescent="0.35">
      <c r="A2550" s="27"/>
      <c r="B2550" s="27"/>
      <c r="C2550" s="27"/>
      <c r="D2550" s="27"/>
      <c r="E2550" s="27"/>
      <c r="F2550" s="27"/>
      <c r="G2550" s="27"/>
      <c r="H2550" s="27"/>
      <c r="I2550" s="27"/>
    </row>
    <row r="2551" spans="1:9" x14ac:dyDescent="0.35">
      <c r="A2551" s="27"/>
      <c r="B2551" s="27"/>
      <c r="C2551" s="27"/>
      <c r="D2551" s="27"/>
      <c r="E2551" s="27"/>
      <c r="F2551" s="27"/>
      <c r="G2551" s="27"/>
      <c r="H2551" s="27"/>
      <c r="I2551" s="27"/>
    </row>
    <row r="2552" spans="1:9" x14ac:dyDescent="0.35">
      <c r="A2552" s="27"/>
      <c r="B2552" s="27"/>
      <c r="C2552" s="27"/>
      <c r="D2552" s="27"/>
      <c r="E2552" s="27"/>
      <c r="F2552" s="27"/>
      <c r="G2552" s="27"/>
      <c r="H2552" s="27"/>
      <c r="I2552" s="27"/>
    </row>
    <row r="2553" spans="1:9" x14ac:dyDescent="0.35">
      <c r="A2553" s="27"/>
      <c r="B2553" s="27"/>
      <c r="C2553" s="27"/>
      <c r="D2553" s="27"/>
      <c r="E2553" s="27"/>
      <c r="F2553" s="27"/>
      <c r="G2553" s="27"/>
      <c r="H2553" s="27"/>
      <c r="I2553" s="27"/>
    </row>
    <row r="2554" spans="1:9" x14ac:dyDescent="0.35">
      <c r="A2554" s="27"/>
      <c r="B2554" s="27"/>
      <c r="C2554" s="27"/>
      <c r="D2554" s="27"/>
      <c r="E2554" s="27"/>
      <c r="F2554" s="27"/>
      <c r="G2554" s="27"/>
      <c r="H2554" s="27"/>
      <c r="I2554" s="27"/>
    </row>
    <row r="2555" spans="1:9" x14ac:dyDescent="0.35">
      <c r="A2555" s="27"/>
      <c r="B2555" s="27"/>
      <c r="C2555" s="27"/>
      <c r="D2555" s="27"/>
      <c r="E2555" s="27"/>
      <c r="F2555" s="27"/>
      <c r="G2555" s="27"/>
      <c r="H2555" s="27"/>
      <c r="I2555" s="27"/>
    </row>
    <row r="2556" spans="1:9" x14ac:dyDescent="0.35">
      <c r="A2556" s="27"/>
      <c r="B2556" s="27"/>
      <c r="C2556" s="27"/>
      <c r="D2556" s="27"/>
      <c r="E2556" s="27"/>
      <c r="F2556" s="27"/>
      <c r="G2556" s="27"/>
      <c r="H2556" s="27"/>
      <c r="I2556" s="27"/>
    </row>
    <row r="2557" spans="1:9" x14ac:dyDescent="0.35">
      <c r="A2557" s="27"/>
      <c r="B2557" s="27"/>
      <c r="C2557" s="27"/>
      <c r="D2557" s="27"/>
      <c r="E2557" s="27"/>
      <c r="F2557" s="27"/>
      <c r="G2557" s="27"/>
      <c r="H2557" s="27"/>
      <c r="I2557" s="27"/>
    </row>
    <row r="2558" spans="1:9" x14ac:dyDescent="0.35">
      <c r="A2558" s="27"/>
      <c r="B2558" s="27"/>
      <c r="C2558" s="27"/>
      <c r="D2558" s="27"/>
      <c r="E2558" s="27"/>
      <c r="F2558" s="27"/>
      <c r="G2558" s="27"/>
      <c r="H2558" s="27"/>
      <c r="I2558" s="27"/>
    </row>
    <row r="2559" spans="1:9" x14ac:dyDescent="0.35">
      <c r="A2559" s="27"/>
      <c r="B2559" s="27"/>
      <c r="C2559" s="27"/>
      <c r="D2559" s="27"/>
      <c r="E2559" s="27"/>
      <c r="F2559" s="27"/>
      <c r="G2559" s="27"/>
      <c r="H2559" s="27"/>
      <c r="I2559" s="27"/>
    </row>
    <row r="2560" spans="1:9" x14ac:dyDescent="0.35">
      <c r="A2560" s="27"/>
      <c r="B2560" s="27"/>
      <c r="C2560" s="27"/>
      <c r="D2560" s="27"/>
      <c r="E2560" s="27"/>
      <c r="F2560" s="27"/>
      <c r="G2560" s="27"/>
      <c r="H2560" s="27"/>
      <c r="I2560" s="27"/>
    </row>
    <row r="2561" spans="1:9" x14ac:dyDescent="0.35">
      <c r="A2561" s="27"/>
      <c r="B2561" s="27"/>
      <c r="C2561" s="27"/>
      <c r="D2561" s="27"/>
      <c r="E2561" s="27"/>
      <c r="F2561" s="27"/>
      <c r="G2561" s="27"/>
      <c r="H2561" s="27"/>
      <c r="I2561" s="27"/>
    </row>
    <row r="2562" spans="1:9" x14ac:dyDescent="0.35">
      <c r="A2562" s="27"/>
      <c r="B2562" s="27"/>
      <c r="C2562" s="27"/>
      <c r="D2562" s="27"/>
      <c r="E2562" s="27"/>
      <c r="F2562" s="27"/>
      <c r="G2562" s="27"/>
      <c r="H2562" s="27"/>
      <c r="I2562" s="27"/>
    </row>
    <row r="2563" spans="1:9" x14ac:dyDescent="0.35">
      <c r="A2563" s="27"/>
      <c r="B2563" s="27"/>
      <c r="C2563" s="27"/>
      <c r="D2563" s="27"/>
      <c r="E2563" s="27"/>
      <c r="F2563" s="27"/>
      <c r="G2563" s="27"/>
      <c r="H2563" s="27"/>
      <c r="I2563" s="27"/>
    </row>
    <row r="2564" spans="1:9" x14ac:dyDescent="0.35">
      <c r="A2564" s="27"/>
      <c r="B2564" s="27"/>
      <c r="C2564" s="27"/>
      <c r="D2564" s="27"/>
      <c r="E2564" s="27"/>
      <c r="F2564" s="27"/>
      <c r="G2564" s="27"/>
      <c r="H2564" s="27"/>
      <c r="I2564" s="27"/>
    </row>
    <row r="2565" spans="1:9" x14ac:dyDescent="0.35">
      <c r="A2565" s="27"/>
      <c r="B2565" s="27"/>
      <c r="C2565" s="27"/>
      <c r="D2565" s="27"/>
      <c r="E2565" s="27"/>
      <c r="F2565" s="27"/>
      <c r="G2565" s="27"/>
      <c r="H2565" s="27"/>
      <c r="I2565" s="27"/>
    </row>
    <row r="2566" spans="1:9" x14ac:dyDescent="0.35">
      <c r="A2566" s="27"/>
      <c r="B2566" s="27"/>
      <c r="C2566" s="27"/>
      <c r="D2566" s="27"/>
      <c r="E2566" s="27"/>
      <c r="F2566" s="27"/>
      <c r="G2566" s="27"/>
      <c r="H2566" s="27"/>
      <c r="I2566" s="27"/>
    </row>
    <row r="2567" spans="1:9" x14ac:dyDescent="0.35">
      <c r="A2567" s="27"/>
      <c r="B2567" s="27"/>
      <c r="C2567" s="27"/>
      <c r="D2567" s="27"/>
      <c r="E2567" s="27"/>
      <c r="F2567" s="27"/>
      <c r="G2567" s="27"/>
      <c r="H2567" s="27"/>
      <c r="I2567" s="27"/>
    </row>
    <row r="2568" spans="1:9" x14ac:dyDescent="0.35">
      <c r="A2568" s="27"/>
      <c r="B2568" s="27"/>
      <c r="C2568" s="27"/>
      <c r="D2568" s="27"/>
      <c r="E2568" s="27"/>
      <c r="F2568" s="27"/>
      <c r="G2568" s="27"/>
      <c r="H2568" s="27"/>
      <c r="I2568" s="27"/>
    </row>
    <row r="2569" spans="1:9" x14ac:dyDescent="0.35">
      <c r="A2569" s="27"/>
      <c r="B2569" s="27"/>
      <c r="C2569" s="27"/>
      <c r="D2569" s="27"/>
      <c r="E2569" s="27"/>
      <c r="F2569" s="27"/>
      <c r="G2569" s="27"/>
      <c r="H2569" s="27"/>
      <c r="I2569" s="27"/>
    </row>
    <row r="2570" spans="1:9" x14ac:dyDescent="0.35">
      <c r="A2570" s="27"/>
      <c r="B2570" s="27"/>
      <c r="C2570" s="27"/>
      <c r="D2570" s="27"/>
      <c r="E2570" s="27"/>
      <c r="F2570" s="27"/>
      <c r="G2570" s="27"/>
      <c r="H2570" s="27"/>
      <c r="I2570" s="27"/>
    </row>
    <row r="2571" spans="1:9" x14ac:dyDescent="0.35">
      <c r="A2571" s="27"/>
      <c r="B2571" s="27"/>
      <c r="C2571" s="27"/>
      <c r="D2571" s="27"/>
      <c r="E2571" s="27"/>
      <c r="F2571" s="27"/>
      <c r="G2571" s="27"/>
      <c r="H2571" s="27"/>
      <c r="I2571" s="27"/>
    </row>
    <row r="2572" spans="1:9" x14ac:dyDescent="0.35">
      <c r="A2572" s="27"/>
      <c r="B2572" s="27"/>
      <c r="C2572" s="27"/>
      <c r="D2572" s="27"/>
      <c r="E2572" s="27"/>
      <c r="F2572" s="27"/>
      <c r="G2572" s="27"/>
      <c r="H2572" s="27"/>
      <c r="I2572" s="27"/>
    </row>
    <row r="2573" spans="1:9" x14ac:dyDescent="0.35">
      <c r="A2573" s="27"/>
      <c r="B2573" s="27"/>
      <c r="C2573" s="27"/>
      <c r="D2573" s="27"/>
      <c r="E2573" s="27"/>
      <c r="F2573" s="27"/>
      <c r="G2573" s="27"/>
      <c r="H2573" s="27"/>
      <c r="I2573" s="27"/>
    </row>
    <row r="2574" spans="1:9" x14ac:dyDescent="0.35">
      <c r="A2574" s="27"/>
      <c r="B2574" s="27"/>
      <c r="C2574" s="27"/>
      <c r="D2574" s="27"/>
      <c r="E2574" s="27"/>
      <c r="F2574" s="27"/>
      <c r="G2574" s="27"/>
      <c r="H2574" s="27"/>
      <c r="I2574" s="27"/>
    </row>
    <row r="2575" spans="1:9" x14ac:dyDescent="0.35">
      <c r="A2575" s="27"/>
      <c r="B2575" s="27"/>
      <c r="C2575" s="27"/>
      <c r="D2575" s="27"/>
      <c r="E2575" s="27"/>
      <c r="F2575" s="27"/>
      <c r="G2575" s="27"/>
      <c r="H2575" s="27"/>
      <c r="I2575" s="27"/>
    </row>
    <row r="2576" spans="1:9" x14ac:dyDescent="0.35">
      <c r="A2576" s="27"/>
      <c r="B2576" s="27"/>
      <c r="C2576" s="27"/>
      <c r="D2576" s="27"/>
      <c r="E2576" s="27"/>
      <c r="F2576" s="27"/>
      <c r="G2576" s="27"/>
      <c r="H2576" s="27"/>
      <c r="I2576" s="27"/>
    </row>
    <row r="2577" spans="1:9" x14ac:dyDescent="0.35">
      <c r="A2577" s="27"/>
      <c r="B2577" s="27"/>
      <c r="C2577" s="27"/>
      <c r="D2577" s="27"/>
      <c r="E2577" s="27"/>
      <c r="F2577" s="27"/>
      <c r="G2577" s="27"/>
      <c r="H2577" s="27"/>
      <c r="I2577" s="27"/>
    </row>
    <row r="2578" spans="1:9" x14ac:dyDescent="0.35">
      <c r="A2578" s="27"/>
      <c r="B2578" s="27"/>
      <c r="C2578" s="27"/>
      <c r="D2578" s="27"/>
      <c r="E2578" s="27"/>
      <c r="F2578" s="27"/>
      <c r="G2578" s="27"/>
      <c r="H2578" s="27"/>
      <c r="I2578" s="27"/>
    </row>
    <row r="2579" spans="1:9" x14ac:dyDescent="0.35">
      <c r="A2579" s="27"/>
      <c r="B2579" s="27"/>
      <c r="C2579" s="27"/>
      <c r="D2579" s="27"/>
      <c r="E2579" s="27"/>
      <c r="F2579" s="27"/>
      <c r="G2579" s="27"/>
      <c r="H2579" s="27"/>
      <c r="I2579" s="27"/>
    </row>
    <row r="2580" spans="1:9" x14ac:dyDescent="0.35">
      <c r="A2580" s="27"/>
      <c r="B2580" s="27"/>
      <c r="C2580" s="27"/>
      <c r="D2580" s="27"/>
      <c r="E2580" s="27"/>
      <c r="F2580" s="27"/>
      <c r="G2580" s="27"/>
      <c r="H2580" s="27"/>
      <c r="I2580" s="27"/>
    </row>
    <row r="2581" spans="1:9" x14ac:dyDescent="0.35">
      <c r="A2581" s="27"/>
      <c r="B2581" s="27"/>
      <c r="C2581" s="27"/>
      <c r="D2581" s="27"/>
      <c r="E2581" s="27"/>
      <c r="F2581" s="27"/>
      <c r="G2581" s="27"/>
      <c r="H2581" s="27"/>
      <c r="I2581" s="27"/>
    </row>
    <row r="2582" spans="1:9" x14ac:dyDescent="0.35">
      <c r="A2582" s="27"/>
      <c r="B2582" s="27"/>
      <c r="C2582" s="27"/>
      <c r="D2582" s="27"/>
      <c r="E2582" s="27"/>
      <c r="F2582" s="27"/>
      <c r="G2582" s="27"/>
      <c r="H2582" s="27"/>
      <c r="I2582" s="27"/>
    </row>
    <row r="2583" spans="1:9" x14ac:dyDescent="0.35">
      <c r="A2583" s="27"/>
      <c r="B2583" s="27"/>
      <c r="C2583" s="27"/>
      <c r="D2583" s="27"/>
      <c r="E2583" s="27"/>
      <c r="F2583" s="27"/>
      <c r="G2583" s="27"/>
      <c r="H2583" s="27"/>
      <c r="I2583" s="27"/>
    </row>
    <row r="2584" spans="1:9" x14ac:dyDescent="0.35">
      <c r="A2584" s="27"/>
      <c r="B2584" s="27"/>
      <c r="C2584" s="27"/>
      <c r="D2584" s="27"/>
      <c r="E2584" s="27"/>
      <c r="F2584" s="27"/>
      <c r="G2584" s="27"/>
      <c r="H2584" s="27"/>
      <c r="I2584" s="27"/>
    </row>
    <row r="2585" spans="1:9" x14ac:dyDescent="0.35">
      <c r="A2585" s="27"/>
      <c r="B2585" s="27"/>
      <c r="C2585" s="27"/>
      <c r="D2585" s="27"/>
      <c r="E2585" s="27"/>
      <c r="F2585" s="27"/>
      <c r="G2585" s="27"/>
      <c r="H2585" s="27"/>
      <c r="I2585" s="27"/>
    </row>
    <row r="2586" spans="1:9" x14ac:dyDescent="0.35">
      <c r="A2586" s="27"/>
      <c r="B2586" s="27"/>
      <c r="C2586" s="27"/>
      <c r="D2586" s="27"/>
      <c r="E2586" s="27"/>
      <c r="F2586" s="27"/>
      <c r="G2586" s="27"/>
      <c r="H2586" s="27"/>
      <c r="I2586" s="27"/>
    </row>
    <row r="2587" spans="1:9" x14ac:dyDescent="0.35">
      <c r="A2587" s="27"/>
      <c r="B2587" s="27"/>
      <c r="C2587" s="27"/>
      <c r="D2587" s="27"/>
      <c r="E2587" s="27"/>
      <c r="F2587" s="27"/>
      <c r="G2587" s="27"/>
      <c r="H2587" s="27"/>
      <c r="I2587" s="27"/>
    </row>
    <row r="2588" spans="1:9" x14ac:dyDescent="0.35">
      <c r="A2588" s="27"/>
      <c r="B2588" s="27"/>
      <c r="C2588" s="27"/>
      <c r="D2588" s="27"/>
      <c r="E2588" s="27"/>
      <c r="F2588" s="27"/>
      <c r="G2588" s="27"/>
      <c r="H2588" s="27"/>
      <c r="I2588" s="27"/>
    </row>
    <row r="2589" spans="1:9" x14ac:dyDescent="0.35">
      <c r="A2589" s="27"/>
      <c r="B2589" s="27"/>
      <c r="C2589" s="27"/>
      <c r="D2589" s="27"/>
      <c r="E2589" s="27"/>
      <c r="F2589" s="27"/>
      <c r="G2589" s="27"/>
      <c r="H2589" s="27"/>
      <c r="I2589" s="27"/>
    </row>
    <row r="2590" spans="1:9" x14ac:dyDescent="0.35">
      <c r="A2590" s="27"/>
      <c r="B2590" s="27"/>
      <c r="C2590" s="27"/>
      <c r="D2590" s="27"/>
      <c r="E2590" s="27"/>
      <c r="F2590" s="27"/>
      <c r="G2590" s="27"/>
      <c r="H2590" s="27"/>
      <c r="I2590" s="27"/>
    </row>
    <row r="2591" spans="1:9" x14ac:dyDescent="0.35">
      <c r="A2591" s="27"/>
      <c r="B2591" s="27"/>
      <c r="C2591" s="27"/>
      <c r="D2591" s="27"/>
      <c r="E2591" s="27"/>
      <c r="F2591" s="27"/>
      <c r="G2591" s="27"/>
      <c r="H2591" s="27"/>
      <c r="I2591" s="27"/>
    </row>
    <row r="2592" spans="1:9" x14ac:dyDescent="0.35">
      <c r="A2592" s="27"/>
      <c r="B2592" s="27"/>
      <c r="C2592" s="27"/>
      <c r="D2592" s="27"/>
      <c r="E2592" s="27"/>
      <c r="F2592" s="27"/>
      <c r="G2592" s="27"/>
      <c r="H2592" s="27"/>
      <c r="I2592" s="27"/>
    </row>
    <row r="2593" spans="1:9" x14ac:dyDescent="0.35">
      <c r="A2593" s="27"/>
      <c r="B2593" s="27"/>
      <c r="C2593" s="27"/>
      <c r="D2593" s="27"/>
      <c r="E2593" s="27"/>
      <c r="F2593" s="27"/>
      <c r="G2593" s="27"/>
      <c r="H2593" s="27"/>
      <c r="I2593" s="27"/>
    </row>
    <row r="2594" spans="1:9" x14ac:dyDescent="0.35">
      <c r="A2594" s="27"/>
      <c r="B2594" s="27"/>
      <c r="C2594" s="27"/>
      <c r="D2594" s="27"/>
      <c r="E2594" s="27"/>
      <c r="F2594" s="27"/>
      <c r="G2594" s="27"/>
      <c r="H2594" s="27"/>
      <c r="I2594" s="27"/>
    </row>
    <row r="2595" spans="1:9" x14ac:dyDescent="0.35">
      <c r="A2595" s="27"/>
      <c r="B2595" s="27"/>
      <c r="C2595" s="27"/>
      <c r="D2595" s="27"/>
      <c r="E2595" s="27"/>
      <c r="F2595" s="27"/>
      <c r="G2595" s="27"/>
      <c r="H2595" s="27"/>
      <c r="I2595" s="27"/>
    </row>
    <row r="2596" spans="1:9" x14ac:dyDescent="0.35">
      <c r="A2596" s="27"/>
      <c r="B2596" s="27"/>
      <c r="C2596" s="27"/>
      <c r="D2596" s="27"/>
      <c r="E2596" s="27"/>
      <c r="F2596" s="27"/>
      <c r="G2596" s="27"/>
      <c r="H2596" s="27"/>
      <c r="I2596" s="27"/>
    </row>
    <row r="2597" spans="1:9" x14ac:dyDescent="0.35">
      <c r="A2597" s="27"/>
      <c r="B2597" s="27"/>
      <c r="C2597" s="27"/>
      <c r="D2597" s="27"/>
      <c r="E2597" s="27"/>
      <c r="F2597" s="27"/>
      <c r="G2597" s="27"/>
      <c r="H2597" s="27"/>
      <c r="I2597" s="27"/>
    </row>
    <row r="2598" spans="1:9" x14ac:dyDescent="0.35">
      <c r="A2598" s="27"/>
      <c r="B2598" s="27"/>
      <c r="C2598" s="27"/>
      <c r="D2598" s="27"/>
      <c r="E2598" s="27"/>
      <c r="F2598" s="27"/>
      <c r="G2598" s="27"/>
      <c r="H2598" s="27"/>
      <c r="I2598" s="27"/>
    </row>
    <row r="2599" spans="1:9" x14ac:dyDescent="0.35">
      <c r="A2599" s="27"/>
      <c r="B2599" s="27"/>
      <c r="C2599" s="27"/>
      <c r="D2599" s="27"/>
      <c r="E2599" s="27"/>
      <c r="F2599" s="27"/>
      <c r="G2599" s="27"/>
      <c r="H2599" s="27"/>
      <c r="I2599" s="27"/>
    </row>
    <row r="2600" spans="1:9" x14ac:dyDescent="0.35">
      <c r="A2600" s="27"/>
      <c r="B2600" s="27"/>
      <c r="C2600" s="27"/>
      <c r="D2600" s="27"/>
      <c r="E2600" s="27"/>
      <c r="F2600" s="27"/>
      <c r="G2600" s="27"/>
      <c r="H2600" s="27"/>
      <c r="I2600" s="27"/>
    </row>
    <row r="2601" spans="1:9" x14ac:dyDescent="0.35">
      <c r="A2601" s="27"/>
      <c r="B2601" s="27"/>
      <c r="C2601" s="27"/>
      <c r="D2601" s="27"/>
      <c r="E2601" s="27"/>
      <c r="F2601" s="27"/>
      <c r="G2601" s="27"/>
      <c r="H2601" s="27"/>
      <c r="I2601" s="27"/>
    </row>
    <row r="2602" spans="1:9" x14ac:dyDescent="0.35">
      <c r="A2602" s="27"/>
      <c r="B2602" s="27"/>
      <c r="C2602" s="27"/>
      <c r="D2602" s="27"/>
      <c r="E2602" s="27"/>
      <c r="F2602" s="27"/>
      <c r="G2602" s="27"/>
      <c r="H2602" s="27"/>
      <c r="I2602" s="27"/>
    </row>
    <row r="2603" spans="1:9" x14ac:dyDescent="0.35">
      <c r="A2603" s="27"/>
      <c r="B2603" s="27"/>
      <c r="C2603" s="27"/>
      <c r="D2603" s="27"/>
      <c r="E2603" s="27"/>
      <c r="F2603" s="27"/>
      <c r="G2603" s="27"/>
      <c r="H2603" s="27"/>
      <c r="I2603" s="27"/>
    </row>
    <row r="2604" spans="1:9" x14ac:dyDescent="0.35">
      <c r="A2604" s="27"/>
      <c r="B2604" s="27"/>
      <c r="C2604" s="27"/>
      <c r="D2604" s="27"/>
      <c r="E2604" s="27"/>
      <c r="F2604" s="27"/>
      <c r="G2604" s="27"/>
      <c r="H2604" s="27"/>
      <c r="I2604" s="27"/>
    </row>
    <row r="2605" spans="1:9" x14ac:dyDescent="0.35">
      <c r="A2605" s="27"/>
      <c r="B2605" s="27"/>
      <c r="C2605" s="27"/>
      <c r="D2605" s="27"/>
      <c r="E2605" s="27"/>
      <c r="F2605" s="27"/>
      <c r="G2605" s="27"/>
      <c r="H2605" s="27"/>
      <c r="I2605" s="27"/>
    </row>
    <row r="2606" spans="1:9" x14ac:dyDescent="0.35">
      <c r="A2606" s="27"/>
      <c r="B2606" s="27"/>
      <c r="C2606" s="27"/>
      <c r="D2606" s="27"/>
      <c r="E2606" s="27"/>
      <c r="F2606" s="27"/>
      <c r="G2606" s="27"/>
      <c r="H2606" s="27"/>
      <c r="I2606" s="27"/>
    </row>
    <row r="2607" spans="1:9" x14ac:dyDescent="0.35">
      <c r="A2607" s="27"/>
      <c r="B2607" s="27"/>
      <c r="C2607" s="27"/>
      <c r="D2607" s="27"/>
      <c r="E2607" s="27"/>
      <c r="F2607" s="27"/>
      <c r="G2607" s="27"/>
      <c r="H2607" s="27"/>
      <c r="I2607" s="27"/>
    </row>
    <row r="2608" spans="1:9" x14ac:dyDescent="0.35">
      <c r="A2608" s="27"/>
      <c r="B2608" s="27"/>
      <c r="C2608" s="27"/>
      <c r="D2608" s="27"/>
      <c r="E2608" s="27"/>
      <c r="F2608" s="27"/>
      <c r="G2608" s="27"/>
      <c r="H2608" s="27"/>
      <c r="I2608" s="27"/>
    </row>
    <row r="2609" spans="1:9" x14ac:dyDescent="0.35">
      <c r="A2609" s="27"/>
      <c r="B2609" s="27"/>
      <c r="C2609" s="27"/>
      <c r="D2609" s="27"/>
      <c r="E2609" s="27"/>
      <c r="F2609" s="27"/>
      <c r="G2609" s="27"/>
      <c r="H2609" s="27"/>
      <c r="I2609" s="27"/>
    </row>
    <row r="2610" spans="1:9" x14ac:dyDescent="0.35">
      <c r="A2610" s="27"/>
      <c r="B2610" s="27"/>
      <c r="C2610" s="27"/>
      <c r="D2610" s="27"/>
      <c r="E2610" s="27"/>
      <c r="F2610" s="27"/>
      <c r="G2610" s="27"/>
      <c r="H2610" s="27"/>
      <c r="I2610" s="27"/>
    </row>
    <row r="2611" spans="1:9" x14ac:dyDescent="0.35">
      <c r="A2611" s="27"/>
      <c r="B2611" s="27"/>
      <c r="C2611" s="27"/>
      <c r="D2611" s="27"/>
      <c r="E2611" s="27"/>
      <c r="F2611" s="27"/>
      <c r="G2611" s="27"/>
      <c r="H2611" s="27"/>
      <c r="I2611" s="27"/>
    </row>
    <row r="2612" spans="1:9" x14ac:dyDescent="0.35">
      <c r="A2612" s="27"/>
      <c r="B2612" s="27"/>
      <c r="C2612" s="27"/>
      <c r="D2612" s="27"/>
      <c r="E2612" s="27"/>
      <c r="F2612" s="27"/>
      <c r="G2612" s="27"/>
      <c r="H2612" s="27"/>
      <c r="I2612" s="27"/>
    </row>
    <row r="2613" spans="1:9" x14ac:dyDescent="0.35">
      <c r="A2613" s="27"/>
      <c r="B2613" s="27"/>
      <c r="C2613" s="27"/>
      <c r="D2613" s="27"/>
      <c r="E2613" s="27"/>
      <c r="F2613" s="27"/>
      <c r="G2613" s="27"/>
      <c r="H2613" s="27"/>
      <c r="I2613" s="27"/>
    </row>
    <row r="2614" spans="1:9" x14ac:dyDescent="0.35">
      <c r="A2614" s="27"/>
      <c r="B2614" s="27"/>
      <c r="C2614" s="27"/>
      <c r="D2614" s="27"/>
      <c r="E2614" s="27"/>
      <c r="F2614" s="27"/>
      <c r="G2614" s="27"/>
      <c r="H2614" s="27"/>
      <c r="I2614" s="27"/>
    </row>
    <row r="2615" spans="1:9" x14ac:dyDescent="0.35">
      <c r="A2615" s="27"/>
      <c r="B2615" s="27"/>
      <c r="C2615" s="27"/>
      <c r="D2615" s="27"/>
      <c r="E2615" s="27"/>
      <c r="F2615" s="27"/>
      <c r="G2615" s="27"/>
      <c r="H2615" s="27"/>
      <c r="I2615" s="27"/>
    </row>
    <row r="2616" spans="1:9" x14ac:dyDescent="0.35">
      <c r="A2616" s="27"/>
      <c r="B2616" s="27"/>
      <c r="C2616" s="27"/>
      <c r="D2616" s="27"/>
      <c r="E2616" s="27"/>
      <c r="F2616" s="27"/>
      <c r="G2616" s="27"/>
      <c r="H2616" s="27"/>
      <c r="I2616" s="27"/>
    </row>
    <row r="2617" spans="1:9" x14ac:dyDescent="0.35">
      <c r="A2617" s="27"/>
      <c r="B2617" s="27"/>
      <c r="C2617" s="27"/>
      <c r="D2617" s="27"/>
      <c r="E2617" s="27"/>
      <c r="F2617" s="27"/>
      <c r="G2617" s="27"/>
      <c r="H2617" s="27"/>
      <c r="I2617" s="27"/>
    </row>
    <row r="2618" spans="1:9" x14ac:dyDescent="0.35">
      <c r="A2618" s="27"/>
      <c r="B2618" s="27"/>
      <c r="C2618" s="27"/>
      <c r="D2618" s="27"/>
      <c r="E2618" s="27"/>
      <c r="F2618" s="27"/>
      <c r="G2618" s="27"/>
      <c r="H2618" s="27"/>
      <c r="I2618" s="27"/>
    </row>
    <row r="2619" spans="1:9" x14ac:dyDescent="0.35">
      <c r="A2619" s="27"/>
      <c r="B2619" s="27"/>
      <c r="C2619" s="27"/>
      <c r="D2619" s="27"/>
      <c r="E2619" s="27"/>
      <c r="F2619" s="27"/>
      <c r="G2619" s="27"/>
      <c r="H2619" s="27"/>
      <c r="I2619" s="27"/>
    </row>
    <row r="2620" spans="1:9" x14ac:dyDescent="0.35">
      <c r="A2620" s="27"/>
      <c r="B2620" s="27"/>
      <c r="C2620" s="27"/>
      <c r="D2620" s="27"/>
      <c r="E2620" s="27"/>
      <c r="F2620" s="27"/>
      <c r="G2620" s="27"/>
      <c r="H2620" s="27"/>
      <c r="I2620" s="27"/>
    </row>
    <row r="2621" spans="1:9" x14ac:dyDescent="0.35">
      <c r="A2621" s="27"/>
      <c r="B2621" s="27"/>
      <c r="C2621" s="27"/>
      <c r="D2621" s="27"/>
      <c r="E2621" s="27"/>
      <c r="F2621" s="27"/>
      <c r="G2621" s="27"/>
      <c r="H2621" s="27"/>
      <c r="I2621" s="27"/>
    </row>
    <row r="2622" spans="1:9" x14ac:dyDescent="0.35">
      <c r="A2622" s="27"/>
      <c r="B2622" s="27"/>
      <c r="C2622" s="27"/>
      <c r="D2622" s="27"/>
      <c r="E2622" s="27"/>
      <c r="F2622" s="27"/>
      <c r="G2622" s="27"/>
      <c r="H2622" s="27"/>
      <c r="I2622" s="27"/>
    </row>
    <row r="2623" spans="1:9" x14ac:dyDescent="0.35">
      <c r="A2623" s="27"/>
      <c r="B2623" s="27"/>
      <c r="C2623" s="27"/>
      <c r="D2623" s="27"/>
      <c r="E2623" s="27"/>
      <c r="F2623" s="27"/>
      <c r="G2623" s="27"/>
      <c r="H2623" s="27"/>
      <c r="I2623" s="27"/>
    </row>
    <row r="2624" spans="1:9" x14ac:dyDescent="0.35">
      <c r="A2624" s="27"/>
      <c r="B2624" s="27"/>
      <c r="C2624" s="27"/>
      <c r="D2624" s="27"/>
      <c r="E2624" s="27"/>
      <c r="F2624" s="27"/>
      <c r="G2624" s="27"/>
      <c r="H2624" s="27"/>
      <c r="I2624" s="27"/>
    </row>
    <row r="2625" spans="1:9" x14ac:dyDescent="0.35">
      <c r="A2625" s="27"/>
      <c r="B2625" s="27"/>
      <c r="C2625" s="27"/>
      <c r="D2625" s="27"/>
      <c r="E2625" s="27"/>
      <c r="F2625" s="27"/>
      <c r="G2625" s="27"/>
      <c r="H2625" s="27"/>
      <c r="I2625" s="27"/>
    </row>
    <row r="2626" spans="1:9" x14ac:dyDescent="0.35">
      <c r="A2626" s="27"/>
      <c r="B2626" s="27"/>
      <c r="C2626" s="27"/>
      <c r="D2626" s="27"/>
      <c r="E2626" s="27"/>
      <c r="F2626" s="27"/>
      <c r="G2626" s="27"/>
      <c r="H2626" s="27"/>
      <c r="I2626" s="27"/>
    </row>
    <row r="2627" spans="1:9" x14ac:dyDescent="0.35">
      <c r="A2627" s="27"/>
      <c r="B2627" s="27"/>
      <c r="C2627" s="27"/>
      <c r="D2627" s="27"/>
      <c r="E2627" s="27"/>
      <c r="F2627" s="27"/>
      <c r="G2627" s="27"/>
      <c r="H2627" s="27"/>
      <c r="I2627" s="27"/>
    </row>
    <row r="2628" spans="1:9" x14ac:dyDescent="0.35">
      <c r="A2628" s="27"/>
      <c r="B2628" s="27"/>
      <c r="C2628" s="27"/>
      <c r="D2628" s="27"/>
      <c r="E2628" s="27"/>
      <c r="F2628" s="27"/>
      <c r="G2628" s="27"/>
      <c r="H2628" s="27"/>
      <c r="I2628" s="27"/>
    </row>
    <row r="2629" spans="1:9" x14ac:dyDescent="0.35">
      <c r="A2629" s="27"/>
      <c r="B2629" s="27"/>
      <c r="C2629" s="27"/>
      <c r="D2629" s="27"/>
      <c r="E2629" s="27"/>
      <c r="F2629" s="27"/>
      <c r="G2629" s="27"/>
      <c r="H2629" s="27"/>
      <c r="I2629" s="27"/>
    </row>
    <row r="2630" spans="1:9" x14ac:dyDescent="0.35">
      <c r="A2630" s="27"/>
      <c r="B2630" s="27"/>
      <c r="C2630" s="27"/>
      <c r="D2630" s="27"/>
      <c r="E2630" s="27"/>
      <c r="F2630" s="27"/>
      <c r="G2630" s="27"/>
      <c r="H2630" s="27"/>
      <c r="I2630" s="27"/>
    </row>
    <row r="2631" spans="1:9" x14ac:dyDescent="0.35">
      <c r="A2631" s="27"/>
      <c r="B2631" s="27"/>
      <c r="C2631" s="27"/>
      <c r="D2631" s="27"/>
      <c r="E2631" s="27"/>
      <c r="F2631" s="27"/>
      <c r="G2631" s="27"/>
      <c r="H2631" s="27"/>
      <c r="I2631" s="27"/>
    </row>
    <row r="2632" spans="1:9" x14ac:dyDescent="0.35">
      <c r="A2632" s="27"/>
      <c r="B2632" s="27"/>
      <c r="C2632" s="27"/>
      <c r="D2632" s="27"/>
      <c r="E2632" s="27"/>
      <c r="F2632" s="27"/>
      <c r="G2632" s="27"/>
      <c r="H2632" s="27"/>
      <c r="I2632" s="27"/>
    </row>
    <row r="2633" spans="1:9" x14ac:dyDescent="0.35">
      <c r="A2633" s="27"/>
      <c r="B2633" s="27"/>
      <c r="C2633" s="27"/>
      <c r="D2633" s="27"/>
      <c r="E2633" s="27"/>
      <c r="F2633" s="27"/>
      <c r="G2633" s="27"/>
      <c r="H2633" s="27"/>
      <c r="I2633" s="27"/>
    </row>
    <row r="2634" spans="1:9" x14ac:dyDescent="0.35">
      <c r="A2634" s="27"/>
      <c r="B2634" s="27"/>
      <c r="C2634" s="27"/>
      <c r="D2634" s="27"/>
      <c r="E2634" s="27"/>
      <c r="F2634" s="27"/>
      <c r="G2634" s="27"/>
      <c r="H2634" s="27"/>
      <c r="I2634" s="27"/>
    </row>
    <row r="2635" spans="1:9" x14ac:dyDescent="0.35">
      <c r="A2635" s="27"/>
      <c r="B2635" s="27"/>
      <c r="C2635" s="27"/>
      <c r="D2635" s="27"/>
      <c r="E2635" s="27"/>
      <c r="F2635" s="27"/>
      <c r="G2635" s="27"/>
      <c r="H2635" s="27"/>
      <c r="I2635" s="27"/>
    </row>
    <row r="2636" spans="1:9" x14ac:dyDescent="0.35">
      <c r="A2636" s="27"/>
      <c r="B2636" s="27"/>
      <c r="C2636" s="27"/>
      <c r="D2636" s="27"/>
      <c r="E2636" s="27"/>
      <c r="F2636" s="27"/>
      <c r="G2636" s="27"/>
      <c r="H2636" s="27"/>
      <c r="I2636" s="27"/>
    </row>
    <row r="2637" spans="1:9" x14ac:dyDescent="0.35">
      <c r="A2637" s="27"/>
      <c r="B2637" s="27"/>
      <c r="C2637" s="27"/>
      <c r="D2637" s="27"/>
      <c r="E2637" s="27"/>
      <c r="F2637" s="27"/>
      <c r="G2637" s="27"/>
      <c r="H2637" s="27"/>
      <c r="I2637" s="27"/>
    </row>
    <row r="2638" spans="1:9" x14ac:dyDescent="0.35">
      <c r="A2638" s="27"/>
      <c r="B2638" s="27"/>
      <c r="C2638" s="27"/>
      <c r="D2638" s="27"/>
      <c r="E2638" s="27"/>
      <c r="F2638" s="27"/>
      <c r="G2638" s="27"/>
      <c r="H2638" s="27"/>
      <c r="I2638" s="27"/>
    </row>
    <row r="2639" spans="1:9" x14ac:dyDescent="0.35">
      <c r="A2639" s="27"/>
      <c r="B2639" s="27"/>
      <c r="C2639" s="27"/>
      <c r="D2639" s="27"/>
      <c r="E2639" s="27"/>
      <c r="F2639" s="27"/>
      <c r="G2639" s="27"/>
      <c r="H2639" s="27"/>
      <c r="I2639" s="27"/>
    </row>
    <row r="2640" spans="1:9" x14ac:dyDescent="0.35">
      <c r="A2640" s="27"/>
      <c r="B2640" s="27"/>
      <c r="C2640" s="27"/>
      <c r="D2640" s="27"/>
      <c r="E2640" s="27"/>
      <c r="F2640" s="27"/>
      <c r="G2640" s="27"/>
      <c r="H2640" s="27"/>
      <c r="I2640" s="27"/>
    </row>
    <row r="2641" spans="1:9" x14ac:dyDescent="0.35">
      <c r="A2641" s="27"/>
      <c r="B2641" s="27"/>
      <c r="C2641" s="27"/>
      <c r="D2641" s="27"/>
      <c r="E2641" s="27"/>
      <c r="F2641" s="27"/>
      <c r="G2641" s="27"/>
      <c r="H2641" s="27"/>
      <c r="I2641" s="27"/>
    </row>
    <row r="2642" spans="1:9" x14ac:dyDescent="0.35">
      <c r="A2642" s="27"/>
      <c r="B2642" s="27"/>
      <c r="C2642" s="27"/>
      <c r="D2642" s="27"/>
      <c r="E2642" s="27"/>
      <c r="F2642" s="27"/>
      <c r="G2642" s="27"/>
      <c r="H2642" s="27"/>
      <c r="I2642" s="27"/>
    </row>
    <row r="2643" spans="1:9" x14ac:dyDescent="0.35">
      <c r="A2643" s="27"/>
      <c r="B2643" s="27"/>
      <c r="C2643" s="27"/>
      <c r="D2643" s="27"/>
      <c r="E2643" s="27"/>
      <c r="F2643" s="27"/>
      <c r="G2643" s="27"/>
      <c r="H2643" s="27"/>
      <c r="I2643" s="27"/>
    </row>
    <row r="2644" spans="1:9" x14ac:dyDescent="0.35">
      <c r="A2644" s="27"/>
      <c r="B2644" s="27"/>
      <c r="C2644" s="27"/>
      <c r="D2644" s="27"/>
      <c r="E2644" s="27"/>
      <c r="F2644" s="27"/>
      <c r="G2644" s="27"/>
      <c r="H2644" s="27"/>
      <c r="I2644" s="27"/>
    </row>
    <row r="2645" spans="1:9" x14ac:dyDescent="0.35">
      <c r="A2645" s="27"/>
      <c r="B2645" s="27"/>
      <c r="C2645" s="27"/>
      <c r="D2645" s="27"/>
      <c r="E2645" s="27"/>
      <c r="F2645" s="27"/>
      <c r="G2645" s="27"/>
      <c r="H2645" s="27"/>
      <c r="I2645" s="27"/>
    </row>
    <row r="2646" spans="1:9" x14ac:dyDescent="0.35">
      <c r="A2646" s="27"/>
      <c r="B2646" s="27"/>
      <c r="C2646" s="27"/>
      <c r="D2646" s="27"/>
      <c r="E2646" s="27"/>
      <c r="F2646" s="27"/>
      <c r="G2646" s="27"/>
      <c r="H2646" s="27"/>
      <c r="I2646" s="27"/>
    </row>
    <row r="2647" spans="1:9" x14ac:dyDescent="0.35">
      <c r="A2647" s="27"/>
      <c r="B2647" s="27"/>
      <c r="C2647" s="27"/>
      <c r="D2647" s="27"/>
      <c r="E2647" s="27"/>
      <c r="F2647" s="27"/>
      <c r="G2647" s="27"/>
      <c r="H2647" s="27"/>
      <c r="I2647" s="27"/>
    </row>
    <row r="2648" spans="1:9" x14ac:dyDescent="0.35">
      <c r="A2648" s="27"/>
      <c r="B2648" s="27"/>
      <c r="C2648" s="27"/>
      <c r="D2648" s="27"/>
      <c r="E2648" s="27"/>
      <c r="F2648" s="27"/>
      <c r="G2648" s="27"/>
      <c r="H2648" s="27"/>
      <c r="I2648" s="27"/>
    </row>
    <row r="2649" spans="1:9" x14ac:dyDescent="0.35">
      <c r="A2649" s="27"/>
      <c r="B2649" s="27"/>
      <c r="C2649" s="27"/>
      <c r="D2649" s="27"/>
      <c r="E2649" s="27"/>
      <c r="F2649" s="27"/>
      <c r="G2649" s="27"/>
      <c r="H2649" s="27"/>
      <c r="I2649" s="27"/>
    </row>
    <row r="2650" spans="1:9" x14ac:dyDescent="0.35">
      <c r="A2650" s="27"/>
      <c r="B2650" s="27"/>
      <c r="C2650" s="27"/>
      <c r="D2650" s="27"/>
      <c r="E2650" s="27"/>
      <c r="F2650" s="27"/>
      <c r="G2650" s="27"/>
      <c r="H2650" s="27"/>
      <c r="I2650" s="27"/>
    </row>
    <row r="2651" spans="1:9" x14ac:dyDescent="0.35">
      <c r="A2651" s="27"/>
      <c r="B2651" s="27"/>
      <c r="C2651" s="27"/>
      <c r="D2651" s="27"/>
      <c r="E2651" s="27"/>
      <c r="F2651" s="27"/>
      <c r="G2651" s="27"/>
      <c r="H2651" s="27"/>
      <c r="I2651" s="27"/>
    </row>
    <row r="2652" spans="1:9" x14ac:dyDescent="0.35">
      <c r="A2652" s="27"/>
      <c r="B2652" s="27"/>
      <c r="C2652" s="27"/>
      <c r="D2652" s="27"/>
      <c r="E2652" s="27"/>
      <c r="F2652" s="27"/>
      <c r="G2652" s="27"/>
      <c r="H2652" s="27"/>
      <c r="I2652" s="27"/>
    </row>
    <row r="2653" spans="1:9" x14ac:dyDescent="0.35">
      <c r="A2653" s="27"/>
      <c r="B2653" s="27"/>
      <c r="C2653" s="27"/>
      <c r="D2653" s="27"/>
      <c r="E2653" s="27"/>
      <c r="F2653" s="27"/>
      <c r="G2653" s="27"/>
      <c r="H2653" s="27"/>
      <c r="I2653" s="27"/>
    </row>
    <row r="2654" spans="1:9" x14ac:dyDescent="0.35">
      <c r="A2654" s="27"/>
      <c r="B2654" s="27"/>
      <c r="C2654" s="27"/>
      <c r="D2654" s="27"/>
      <c r="E2654" s="27"/>
      <c r="F2654" s="27"/>
      <c r="G2654" s="27"/>
      <c r="H2654" s="27"/>
      <c r="I2654" s="27"/>
    </row>
    <row r="2655" spans="1:9" x14ac:dyDescent="0.35">
      <c r="A2655" s="27"/>
      <c r="B2655" s="27"/>
      <c r="C2655" s="27"/>
      <c r="D2655" s="27"/>
      <c r="E2655" s="27"/>
      <c r="F2655" s="27"/>
      <c r="G2655" s="27"/>
      <c r="H2655" s="27"/>
      <c r="I2655" s="27"/>
    </row>
    <row r="2656" spans="1:9" x14ac:dyDescent="0.35">
      <c r="A2656" s="27"/>
      <c r="B2656" s="27"/>
      <c r="C2656" s="27"/>
      <c r="D2656" s="27"/>
      <c r="E2656" s="27"/>
      <c r="F2656" s="27"/>
      <c r="G2656" s="27"/>
      <c r="H2656" s="27"/>
      <c r="I2656" s="27"/>
    </row>
    <row r="2657" spans="1:9" x14ac:dyDescent="0.35">
      <c r="A2657" s="27"/>
      <c r="B2657" s="27"/>
      <c r="C2657" s="27"/>
      <c r="D2657" s="27"/>
      <c r="E2657" s="27"/>
      <c r="F2657" s="27"/>
      <c r="G2657" s="27"/>
      <c r="H2657" s="27"/>
      <c r="I2657" s="27"/>
    </row>
    <row r="2658" spans="1:9" x14ac:dyDescent="0.35">
      <c r="A2658" s="27"/>
      <c r="B2658" s="27"/>
      <c r="C2658" s="27"/>
      <c r="D2658" s="27"/>
      <c r="E2658" s="27"/>
      <c r="F2658" s="27"/>
      <c r="G2658" s="27"/>
      <c r="H2658" s="27"/>
      <c r="I2658" s="27"/>
    </row>
    <row r="2659" spans="1:9" x14ac:dyDescent="0.35">
      <c r="A2659" s="27"/>
      <c r="B2659" s="27"/>
      <c r="C2659" s="27"/>
      <c r="D2659" s="27"/>
      <c r="E2659" s="27"/>
      <c r="F2659" s="27"/>
      <c r="G2659" s="27"/>
      <c r="H2659" s="27"/>
      <c r="I2659" s="27"/>
    </row>
    <row r="2660" spans="1:9" x14ac:dyDescent="0.35">
      <c r="A2660" s="27"/>
      <c r="B2660" s="27"/>
      <c r="C2660" s="27"/>
      <c r="D2660" s="27"/>
      <c r="E2660" s="27"/>
      <c r="F2660" s="27"/>
      <c r="G2660" s="27"/>
      <c r="H2660" s="27"/>
      <c r="I2660" s="27"/>
    </row>
    <row r="2661" spans="1:9" x14ac:dyDescent="0.35">
      <c r="A2661" s="27"/>
      <c r="B2661" s="27"/>
      <c r="C2661" s="27"/>
      <c r="D2661" s="27"/>
      <c r="E2661" s="27"/>
      <c r="F2661" s="27"/>
      <c r="G2661" s="27"/>
      <c r="H2661" s="27"/>
      <c r="I2661" s="27"/>
    </row>
    <row r="2662" spans="1:9" x14ac:dyDescent="0.35">
      <c r="A2662" s="27"/>
      <c r="B2662" s="27"/>
      <c r="C2662" s="27"/>
      <c r="D2662" s="27"/>
      <c r="E2662" s="27"/>
      <c r="F2662" s="27"/>
      <c r="G2662" s="27"/>
      <c r="H2662" s="27"/>
      <c r="I2662" s="27"/>
    </row>
    <row r="2663" spans="1:9" x14ac:dyDescent="0.35">
      <c r="A2663" s="27"/>
      <c r="B2663" s="27"/>
      <c r="C2663" s="27"/>
      <c r="D2663" s="27"/>
      <c r="E2663" s="27"/>
      <c r="F2663" s="27"/>
      <c r="G2663" s="27"/>
      <c r="H2663" s="27"/>
      <c r="I2663" s="27"/>
    </row>
    <row r="2664" spans="1:9" x14ac:dyDescent="0.35">
      <c r="A2664" s="27"/>
      <c r="B2664" s="27"/>
      <c r="C2664" s="27"/>
      <c r="D2664" s="27"/>
      <c r="E2664" s="27"/>
      <c r="F2664" s="27"/>
      <c r="G2664" s="27"/>
      <c r="H2664" s="27"/>
      <c r="I2664" s="27"/>
    </row>
    <row r="2665" spans="1:9" x14ac:dyDescent="0.35">
      <c r="A2665" s="27"/>
      <c r="B2665" s="27"/>
      <c r="C2665" s="27"/>
      <c r="D2665" s="27"/>
      <c r="E2665" s="27"/>
      <c r="F2665" s="27"/>
      <c r="G2665" s="27"/>
      <c r="H2665" s="27"/>
      <c r="I2665" s="27"/>
    </row>
    <row r="2666" spans="1:9" x14ac:dyDescent="0.35">
      <c r="A2666" s="27"/>
      <c r="B2666" s="27"/>
      <c r="C2666" s="27"/>
      <c r="D2666" s="27"/>
      <c r="E2666" s="27"/>
      <c r="F2666" s="27"/>
      <c r="G2666" s="27"/>
      <c r="H2666" s="27"/>
      <c r="I2666" s="27"/>
    </row>
    <row r="2667" spans="1:9" x14ac:dyDescent="0.35">
      <c r="A2667" s="27"/>
      <c r="B2667" s="27"/>
      <c r="C2667" s="27"/>
      <c r="D2667" s="27"/>
      <c r="E2667" s="27"/>
      <c r="F2667" s="27"/>
      <c r="G2667" s="27"/>
      <c r="H2667" s="27"/>
      <c r="I2667" s="27"/>
    </row>
    <row r="2668" spans="1:9" x14ac:dyDescent="0.35">
      <c r="A2668" s="27"/>
      <c r="B2668" s="27"/>
      <c r="C2668" s="27"/>
      <c r="D2668" s="27"/>
      <c r="E2668" s="27"/>
      <c r="F2668" s="27"/>
      <c r="G2668" s="27"/>
      <c r="H2668" s="27"/>
      <c r="I2668" s="27"/>
    </row>
    <row r="2669" spans="1:9" x14ac:dyDescent="0.35">
      <c r="A2669" s="27"/>
      <c r="B2669" s="27"/>
      <c r="C2669" s="27"/>
      <c r="D2669" s="27"/>
      <c r="E2669" s="27"/>
      <c r="F2669" s="27"/>
      <c r="G2669" s="27"/>
      <c r="H2669" s="27"/>
      <c r="I2669" s="27"/>
    </row>
    <row r="2670" spans="1:9" x14ac:dyDescent="0.35">
      <c r="A2670" s="27"/>
      <c r="B2670" s="27"/>
      <c r="C2670" s="27"/>
      <c r="D2670" s="27"/>
      <c r="E2670" s="27"/>
      <c r="F2670" s="27"/>
      <c r="G2670" s="27"/>
      <c r="H2670" s="27"/>
      <c r="I2670" s="27"/>
    </row>
    <row r="2671" spans="1:9" x14ac:dyDescent="0.35">
      <c r="A2671" s="27"/>
      <c r="B2671" s="27"/>
      <c r="C2671" s="27"/>
      <c r="D2671" s="27"/>
      <c r="E2671" s="27"/>
      <c r="F2671" s="27"/>
      <c r="G2671" s="27"/>
      <c r="H2671" s="27"/>
      <c r="I2671" s="27"/>
    </row>
    <row r="2672" spans="1:9" x14ac:dyDescent="0.35">
      <c r="A2672" s="27"/>
      <c r="B2672" s="27"/>
      <c r="C2672" s="27"/>
      <c r="D2672" s="27"/>
      <c r="E2672" s="27"/>
      <c r="F2672" s="27"/>
      <c r="G2672" s="27"/>
      <c r="H2672" s="27"/>
      <c r="I2672" s="27"/>
    </row>
    <row r="2673" spans="1:9" x14ac:dyDescent="0.35">
      <c r="A2673" s="27"/>
      <c r="B2673" s="27"/>
      <c r="C2673" s="27"/>
      <c r="D2673" s="27"/>
      <c r="E2673" s="27"/>
      <c r="F2673" s="27"/>
      <c r="G2673" s="27"/>
      <c r="H2673" s="27"/>
      <c r="I2673" s="27"/>
    </row>
    <row r="2674" spans="1:9" x14ac:dyDescent="0.35">
      <c r="A2674" s="27"/>
      <c r="B2674" s="27"/>
      <c r="C2674" s="27"/>
      <c r="D2674" s="27"/>
      <c r="E2674" s="27"/>
      <c r="F2674" s="27"/>
      <c r="G2674" s="27"/>
      <c r="H2674" s="27"/>
      <c r="I2674" s="27"/>
    </row>
    <row r="2675" spans="1:9" x14ac:dyDescent="0.35">
      <c r="A2675" s="27"/>
      <c r="B2675" s="27"/>
      <c r="C2675" s="27"/>
      <c r="D2675" s="27"/>
      <c r="E2675" s="27"/>
      <c r="F2675" s="27"/>
      <c r="G2675" s="27"/>
      <c r="H2675" s="27"/>
      <c r="I2675" s="27"/>
    </row>
    <row r="2676" spans="1:9" x14ac:dyDescent="0.35">
      <c r="A2676" s="27"/>
      <c r="B2676" s="27"/>
      <c r="C2676" s="27"/>
      <c r="D2676" s="27"/>
      <c r="E2676" s="27"/>
      <c r="F2676" s="27"/>
      <c r="G2676" s="27"/>
      <c r="H2676" s="27"/>
      <c r="I2676" s="27"/>
    </row>
    <row r="2677" spans="1:9" x14ac:dyDescent="0.35">
      <c r="A2677" s="27"/>
      <c r="B2677" s="27"/>
      <c r="C2677" s="27"/>
      <c r="D2677" s="27"/>
      <c r="E2677" s="27"/>
      <c r="F2677" s="27"/>
      <c r="G2677" s="27"/>
      <c r="H2677" s="27"/>
      <c r="I2677" s="27"/>
    </row>
    <row r="2678" spans="1:9" x14ac:dyDescent="0.35">
      <c r="A2678" s="27"/>
      <c r="B2678" s="27"/>
      <c r="C2678" s="27"/>
      <c r="D2678" s="27"/>
      <c r="E2678" s="27"/>
      <c r="F2678" s="27"/>
      <c r="G2678" s="27"/>
      <c r="H2678" s="27"/>
      <c r="I2678" s="27"/>
    </row>
    <row r="2679" spans="1:9" x14ac:dyDescent="0.35">
      <c r="A2679" s="27"/>
      <c r="B2679" s="27"/>
      <c r="C2679" s="27"/>
      <c r="D2679" s="27"/>
      <c r="E2679" s="27"/>
      <c r="F2679" s="27"/>
      <c r="G2679" s="27"/>
      <c r="H2679" s="27"/>
      <c r="I2679" s="27"/>
    </row>
    <row r="2680" spans="1:9" x14ac:dyDescent="0.35">
      <c r="A2680" s="27"/>
      <c r="B2680" s="27"/>
      <c r="C2680" s="27"/>
      <c r="D2680" s="27"/>
      <c r="E2680" s="27"/>
      <c r="F2680" s="27"/>
      <c r="G2680" s="27"/>
      <c r="H2680" s="27"/>
      <c r="I2680" s="27"/>
    </row>
    <row r="2681" spans="1:9" x14ac:dyDescent="0.35">
      <c r="A2681" s="27"/>
      <c r="B2681" s="27"/>
      <c r="C2681" s="27"/>
      <c r="D2681" s="27"/>
      <c r="E2681" s="27"/>
      <c r="F2681" s="27"/>
      <c r="G2681" s="27"/>
      <c r="H2681" s="27"/>
      <c r="I2681" s="27"/>
    </row>
    <row r="2682" spans="1:9" x14ac:dyDescent="0.35">
      <c r="A2682" s="27"/>
      <c r="B2682" s="27"/>
      <c r="C2682" s="27"/>
      <c r="D2682" s="27"/>
      <c r="E2682" s="27"/>
      <c r="F2682" s="27"/>
      <c r="G2682" s="27"/>
      <c r="H2682" s="27"/>
      <c r="I2682" s="27"/>
    </row>
    <row r="2683" spans="1:9" x14ac:dyDescent="0.35">
      <c r="A2683" s="27"/>
      <c r="B2683" s="27"/>
      <c r="C2683" s="27"/>
      <c r="D2683" s="27"/>
      <c r="E2683" s="27"/>
      <c r="F2683" s="27"/>
      <c r="G2683" s="27"/>
      <c r="H2683" s="27"/>
      <c r="I2683" s="27"/>
    </row>
    <row r="2684" spans="1:9" x14ac:dyDescent="0.35">
      <c r="A2684" s="27"/>
      <c r="B2684" s="27"/>
      <c r="C2684" s="27"/>
      <c r="D2684" s="27"/>
      <c r="E2684" s="27"/>
      <c r="F2684" s="27"/>
      <c r="G2684" s="27"/>
      <c r="H2684" s="27"/>
      <c r="I2684" s="27"/>
    </row>
    <row r="2685" spans="1:9" x14ac:dyDescent="0.35">
      <c r="A2685" s="27"/>
      <c r="B2685" s="27"/>
      <c r="C2685" s="27"/>
      <c r="D2685" s="27"/>
      <c r="E2685" s="27"/>
      <c r="F2685" s="27"/>
      <c r="G2685" s="27"/>
      <c r="H2685" s="27"/>
      <c r="I2685" s="27"/>
    </row>
    <row r="2686" spans="1:9" x14ac:dyDescent="0.35">
      <c r="A2686" s="27"/>
      <c r="B2686" s="27"/>
      <c r="C2686" s="27"/>
      <c r="D2686" s="27"/>
      <c r="E2686" s="27"/>
      <c r="F2686" s="27"/>
      <c r="G2686" s="27"/>
      <c r="H2686" s="27"/>
      <c r="I2686" s="27"/>
    </row>
    <row r="2687" spans="1:9" x14ac:dyDescent="0.35">
      <c r="A2687" s="27"/>
      <c r="B2687" s="27"/>
      <c r="C2687" s="27"/>
      <c r="D2687" s="27"/>
      <c r="E2687" s="27"/>
      <c r="F2687" s="27"/>
      <c r="G2687" s="27"/>
      <c r="H2687" s="27"/>
      <c r="I2687" s="27"/>
    </row>
    <row r="2688" spans="1:9" x14ac:dyDescent="0.35">
      <c r="A2688" s="27"/>
      <c r="B2688" s="27"/>
      <c r="C2688" s="27"/>
      <c r="D2688" s="27"/>
      <c r="E2688" s="27"/>
      <c r="F2688" s="27"/>
      <c r="G2688" s="27"/>
      <c r="H2688" s="27"/>
      <c r="I2688" s="27"/>
    </row>
    <row r="2689" spans="1:9" x14ac:dyDescent="0.35">
      <c r="A2689" s="27"/>
      <c r="B2689" s="27"/>
      <c r="C2689" s="27"/>
      <c r="D2689" s="27"/>
      <c r="E2689" s="27"/>
      <c r="F2689" s="27"/>
      <c r="G2689" s="27"/>
      <c r="H2689" s="27"/>
      <c r="I2689" s="27"/>
    </row>
    <row r="2690" spans="1:9" x14ac:dyDescent="0.35">
      <c r="A2690" s="27"/>
      <c r="B2690" s="27"/>
      <c r="C2690" s="27"/>
      <c r="D2690" s="27"/>
      <c r="E2690" s="27"/>
      <c r="F2690" s="27"/>
      <c r="G2690" s="27"/>
      <c r="H2690" s="27"/>
      <c r="I2690" s="27"/>
    </row>
    <row r="2691" spans="1:9" x14ac:dyDescent="0.35">
      <c r="A2691" s="27"/>
      <c r="B2691" s="27"/>
      <c r="C2691" s="27"/>
      <c r="D2691" s="27"/>
      <c r="E2691" s="27"/>
      <c r="F2691" s="27"/>
      <c r="G2691" s="27"/>
      <c r="H2691" s="27"/>
      <c r="I2691" s="27"/>
    </row>
    <row r="2692" spans="1:9" x14ac:dyDescent="0.35">
      <c r="A2692" s="27"/>
      <c r="B2692" s="27"/>
      <c r="C2692" s="27"/>
      <c r="D2692" s="27"/>
      <c r="E2692" s="27"/>
      <c r="F2692" s="27"/>
      <c r="G2692" s="27"/>
      <c r="H2692" s="27"/>
      <c r="I2692" s="27"/>
    </row>
    <row r="2693" spans="1:9" x14ac:dyDescent="0.35">
      <c r="A2693" s="27"/>
      <c r="B2693" s="27"/>
      <c r="C2693" s="27"/>
      <c r="D2693" s="27"/>
      <c r="E2693" s="27"/>
      <c r="F2693" s="27"/>
      <c r="G2693" s="27"/>
      <c r="H2693" s="27"/>
      <c r="I2693" s="27"/>
    </row>
    <row r="2694" spans="1:9" x14ac:dyDescent="0.35">
      <c r="A2694" s="27"/>
      <c r="B2694" s="27"/>
      <c r="C2694" s="27"/>
      <c r="D2694" s="27"/>
      <c r="E2694" s="27"/>
      <c r="F2694" s="27"/>
      <c r="G2694" s="27"/>
      <c r="H2694" s="27"/>
      <c r="I2694" s="27"/>
    </row>
    <row r="2695" spans="1:9" x14ac:dyDescent="0.35">
      <c r="A2695" s="27"/>
      <c r="B2695" s="27"/>
      <c r="C2695" s="27"/>
      <c r="D2695" s="27"/>
      <c r="E2695" s="27"/>
      <c r="F2695" s="27"/>
      <c r="G2695" s="27"/>
      <c r="H2695" s="27"/>
      <c r="I2695" s="27"/>
    </row>
    <row r="2696" spans="1:9" x14ac:dyDescent="0.35">
      <c r="A2696" s="27"/>
      <c r="B2696" s="27"/>
      <c r="C2696" s="27"/>
      <c r="D2696" s="27"/>
      <c r="E2696" s="27"/>
      <c r="F2696" s="27"/>
      <c r="G2696" s="27"/>
      <c r="H2696" s="27"/>
      <c r="I2696" s="27"/>
    </row>
    <row r="2697" spans="1:9" x14ac:dyDescent="0.35">
      <c r="A2697" s="27"/>
      <c r="B2697" s="27"/>
      <c r="C2697" s="27"/>
      <c r="D2697" s="27"/>
      <c r="E2697" s="27"/>
      <c r="F2697" s="27"/>
      <c r="G2697" s="27"/>
      <c r="H2697" s="27"/>
      <c r="I2697" s="27"/>
    </row>
    <row r="2698" spans="1:9" x14ac:dyDescent="0.35">
      <c r="A2698" s="27"/>
      <c r="B2698" s="27"/>
      <c r="C2698" s="27"/>
      <c r="D2698" s="27"/>
      <c r="E2698" s="27"/>
      <c r="F2698" s="27"/>
      <c r="G2698" s="27"/>
      <c r="H2698" s="27"/>
      <c r="I2698" s="27"/>
    </row>
    <row r="2699" spans="1:9" x14ac:dyDescent="0.35">
      <c r="A2699" s="27"/>
      <c r="B2699" s="27"/>
      <c r="C2699" s="27"/>
      <c r="D2699" s="27"/>
      <c r="E2699" s="27"/>
      <c r="F2699" s="27"/>
      <c r="G2699" s="27"/>
      <c r="H2699" s="27"/>
      <c r="I2699" s="27"/>
    </row>
    <row r="2700" spans="1:9" x14ac:dyDescent="0.35">
      <c r="A2700" s="27"/>
      <c r="B2700" s="27"/>
      <c r="C2700" s="27"/>
      <c r="D2700" s="27"/>
      <c r="E2700" s="27"/>
      <c r="F2700" s="27"/>
      <c r="G2700" s="27"/>
      <c r="H2700" s="27"/>
      <c r="I2700" s="27"/>
    </row>
    <row r="2701" spans="1:9" x14ac:dyDescent="0.35">
      <c r="A2701" s="27"/>
      <c r="B2701" s="27"/>
      <c r="C2701" s="27"/>
      <c r="D2701" s="27"/>
      <c r="E2701" s="27"/>
      <c r="F2701" s="27"/>
      <c r="G2701" s="27"/>
      <c r="H2701" s="27"/>
      <c r="I2701" s="27"/>
    </row>
    <row r="2702" spans="1:9" x14ac:dyDescent="0.35">
      <c r="A2702" s="27"/>
      <c r="B2702" s="27"/>
      <c r="C2702" s="27"/>
      <c r="D2702" s="27"/>
      <c r="E2702" s="27"/>
      <c r="F2702" s="27"/>
      <c r="G2702" s="27"/>
      <c r="H2702" s="27"/>
      <c r="I2702" s="27"/>
    </row>
    <row r="2703" spans="1:9" x14ac:dyDescent="0.35">
      <c r="A2703" s="27"/>
      <c r="B2703" s="27"/>
      <c r="C2703" s="27"/>
      <c r="D2703" s="27"/>
      <c r="E2703" s="27"/>
      <c r="F2703" s="27"/>
      <c r="G2703" s="27"/>
      <c r="H2703" s="27"/>
      <c r="I2703" s="27"/>
    </row>
    <row r="2704" spans="1:9" x14ac:dyDescent="0.35">
      <c r="A2704" s="27"/>
      <c r="B2704" s="27"/>
      <c r="C2704" s="27"/>
      <c r="D2704" s="27"/>
      <c r="E2704" s="27"/>
      <c r="F2704" s="27"/>
      <c r="G2704" s="27"/>
      <c r="H2704" s="27"/>
      <c r="I2704" s="27"/>
    </row>
    <row r="2705" spans="1:9" x14ac:dyDescent="0.35">
      <c r="A2705" s="27"/>
      <c r="B2705" s="27"/>
      <c r="C2705" s="27"/>
      <c r="D2705" s="27"/>
      <c r="E2705" s="27"/>
      <c r="F2705" s="27"/>
      <c r="G2705" s="27"/>
      <c r="H2705" s="27"/>
      <c r="I2705" s="27"/>
    </row>
    <row r="2706" spans="1:9" x14ac:dyDescent="0.35">
      <c r="A2706" s="27"/>
      <c r="B2706" s="27"/>
      <c r="C2706" s="27"/>
      <c r="D2706" s="27"/>
      <c r="E2706" s="27"/>
      <c r="F2706" s="27"/>
      <c r="G2706" s="27"/>
      <c r="H2706" s="27"/>
      <c r="I2706" s="27"/>
    </row>
    <row r="2707" spans="1:9" x14ac:dyDescent="0.35">
      <c r="A2707" s="27"/>
      <c r="B2707" s="27"/>
      <c r="C2707" s="27"/>
      <c r="D2707" s="27"/>
      <c r="E2707" s="27"/>
      <c r="F2707" s="27"/>
      <c r="G2707" s="27"/>
      <c r="H2707" s="27"/>
      <c r="I2707" s="27"/>
    </row>
    <row r="2708" spans="1:9" x14ac:dyDescent="0.35">
      <c r="A2708" s="27"/>
      <c r="B2708" s="27"/>
      <c r="C2708" s="27"/>
      <c r="D2708" s="27"/>
      <c r="E2708" s="27"/>
      <c r="F2708" s="27"/>
      <c r="G2708" s="27"/>
      <c r="H2708" s="27"/>
      <c r="I2708" s="27"/>
    </row>
    <row r="2709" spans="1:9" x14ac:dyDescent="0.35">
      <c r="A2709" s="27"/>
      <c r="B2709" s="27"/>
      <c r="C2709" s="27"/>
      <c r="D2709" s="27"/>
      <c r="E2709" s="27"/>
      <c r="F2709" s="27"/>
      <c r="G2709" s="27"/>
      <c r="H2709" s="27"/>
      <c r="I2709" s="27"/>
    </row>
    <row r="2710" spans="1:9" x14ac:dyDescent="0.35">
      <c r="A2710" s="27"/>
      <c r="B2710" s="27"/>
      <c r="C2710" s="27"/>
      <c r="D2710" s="27"/>
      <c r="E2710" s="27"/>
      <c r="F2710" s="27"/>
      <c r="G2710" s="27"/>
      <c r="H2710" s="27"/>
      <c r="I2710" s="27"/>
    </row>
    <row r="2711" spans="1:9" x14ac:dyDescent="0.35">
      <c r="A2711" s="27"/>
      <c r="B2711" s="27"/>
      <c r="C2711" s="27"/>
      <c r="D2711" s="27"/>
      <c r="E2711" s="27"/>
      <c r="F2711" s="27"/>
      <c r="G2711" s="27"/>
      <c r="H2711" s="27"/>
      <c r="I2711" s="27"/>
    </row>
    <row r="2712" spans="1:9" x14ac:dyDescent="0.35">
      <c r="A2712" s="27"/>
      <c r="B2712" s="27"/>
      <c r="C2712" s="27"/>
      <c r="D2712" s="27"/>
      <c r="E2712" s="27"/>
      <c r="F2712" s="27"/>
      <c r="G2712" s="27"/>
      <c r="H2712" s="27"/>
      <c r="I2712" s="27"/>
    </row>
    <row r="2713" spans="1:9" x14ac:dyDescent="0.35">
      <c r="A2713" s="27"/>
      <c r="B2713" s="27"/>
      <c r="C2713" s="27"/>
      <c r="D2713" s="27"/>
      <c r="E2713" s="27"/>
      <c r="F2713" s="27"/>
      <c r="G2713" s="27"/>
      <c r="H2713" s="27"/>
      <c r="I2713" s="27"/>
    </row>
    <row r="2714" spans="1:9" x14ac:dyDescent="0.35">
      <c r="A2714" s="27"/>
      <c r="B2714" s="27"/>
      <c r="C2714" s="27"/>
      <c r="D2714" s="27"/>
      <c r="E2714" s="27"/>
      <c r="F2714" s="27"/>
      <c r="G2714" s="27"/>
      <c r="H2714" s="27"/>
      <c r="I2714" s="27"/>
    </row>
    <row r="2715" spans="1:9" x14ac:dyDescent="0.35">
      <c r="A2715" s="27"/>
      <c r="B2715" s="27"/>
      <c r="C2715" s="27"/>
      <c r="D2715" s="27"/>
      <c r="E2715" s="27"/>
      <c r="F2715" s="27"/>
      <c r="G2715" s="27"/>
      <c r="H2715" s="27"/>
      <c r="I2715" s="27"/>
    </row>
    <row r="2716" spans="1:9" x14ac:dyDescent="0.35">
      <c r="A2716" s="27"/>
      <c r="B2716" s="27"/>
      <c r="C2716" s="27"/>
      <c r="D2716" s="27"/>
      <c r="E2716" s="27"/>
      <c r="F2716" s="27"/>
      <c r="G2716" s="27"/>
      <c r="H2716" s="27"/>
      <c r="I2716" s="27"/>
    </row>
    <row r="2717" spans="1:9" x14ac:dyDescent="0.35">
      <c r="A2717" s="27"/>
      <c r="B2717" s="27"/>
      <c r="C2717" s="27"/>
      <c r="D2717" s="27"/>
      <c r="E2717" s="27"/>
      <c r="F2717" s="27"/>
      <c r="G2717" s="27"/>
      <c r="H2717" s="27"/>
      <c r="I2717" s="27"/>
    </row>
    <row r="2718" spans="1:9" x14ac:dyDescent="0.35">
      <c r="A2718" s="27"/>
      <c r="B2718" s="27"/>
      <c r="C2718" s="27"/>
      <c r="D2718" s="27"/>
      <c r="E2718" s="27"/>
      <c r="F2718" s="27"/>
      <c r="G2718" s="27"/>
      <c r="H2718" s="27"/>
      <c r="I2718" s="27"/>
    </row>
    <row r="2719" spans="1:9" x14ac:dyDescent="0.35">
      <c r="A2719" s="27"/>
      <c r="B2719" s="27"/>
      <c r="C2719" s="27"/>
      <c r="D2719" s="27"/>
      <c r="E2719" s="27"/>
      <c r="F2719" s="27"/>
      <c r="G2719" s="27"/>
      <c r="H2719" s="27"/>
      <c r="I2719" s="27"/>
    </row>
    <row r="2720" spans="1:9" x14ac:dyDescent="0.35">
      <c r="A2720" s="27"/>
      <c r="B2720" s="27"/>
      <c r="C2720" s="27"/>
      <c r="D2720" s="27"/>
      <c r="E2720" s="27"/>
      <c r="F2720" s="27"/>
      <c r="G2720" s="27"/>
      <c r="H2720" s="27"/>
      <c r="I2720" s="27"/>
    </row>
    <row r="2721" spans="1:9" x14ac:dyDescent="0.35">
      <c r="A2721" s="27"/>
      <c r="B2721" s="27"/>
      <c r="C2721" s="27"/>
      <c r="D2721" s="27"/>
      <c r="E2721" s="27"/>
      <c r="F2721" s="27"/>
      <c r="G2721" s="27"/>
      <c r="H2721" s="27"/>
      <c r="I2721" s="27"/>
    </row>
    <row r="2722" spans="1:9" x14ac:dyDescent="0.35">
      <c r="A2722" s="27"/>
      <c r="B2722" s="27"/>
      <c r="C2722" s="27"/>
      <c r="D2722" s="27"/>
      <c r="E2722" s="27"/>
      <c r="F2722" s="27"/>
      <c r="G2722" s="27"/>
      <c r="H2722" s="27"/>
      <c r="I2722" s="27"/>
    </row>
    <row r="2723" spans="1:9" x14ac:dyDescent="0.35">
      <c r="A2723" s="27"/>
      <c r="B2723" s="27"/>
      <c r="C2723" s="27"/>
      <c r="D2723" s="27"/>
      <c r="E2723" s="27"/>
      <c r="F2723" s="27"/>
      <c r="G2723" s="27"/>
      <c r="H2723" s="27"/>
      <c r="I2723" s="27"/>
    </row>
    <row r="2724" spans="1:9" x14ac:dyDescent="0.35">
      <c r="A2724" s="27"/>
      <c r="B2724" s="27"/>
      <c r="C2724" s="27"/>
      <c r="D2724" s="27"/>
      <c r="E2724" s="27"/>
      <c r="F2724" s="27"/>
      <c r="G2724" s="27"/>
      <c r="H2724" s="27"/>
      <c r="I2724" s="27"/>
    </row>
    <row r="2725" spans="1:9" x14ac:dyDescent="0.35">
      <c r="A2725" s="27"/>
      <c r="B2725" s="27"/>
      <c r="C2725" s="27"/>
      <c r="D2725" s="27"/>
      <c r="E2725" s="27"/>
      <c r="F2725" s="27"/>
      <c r="G2725" s="27"/>
      <c r="H2725" s="27"/>
      <c r="I2725" s="27"/>
    </row>
    <row r="2726" spans="1:9" x14ac:dyDescent="0.35">
      <c r="A2726" s="27"/>
      <c r="B2726" s="27"/>
      <c r="C2726" s="27"/>
      <c r="D2726" s="27"/>
      <c r="E2726" s="27"/>
      <c r="F2726" s="27"/>
      <c r="G2726" s="27"/>
      <c r="H2726" s="27"/>
      <c r="I2726" s="27"/>
    </row>
    <row r="2727" spans="1:9" x14ac:dyDescent="0.35">
      <c r="A2727" s="27"/>
      <c r="B2727" s="27"/>
      <c r="C2727" s="27"/>
      <c r="D2727" s="27"/>
      <c r="E2727" s="27"/>
      <c r="F2727" s="27"/>
      <c r="G2727" s="27"/>
      <c r="H2727" s="27"/>
      <c r="I2727" s="27"/>
    </row>
    <row r="2728" spans="1:9" x14ac:dyDescent="0.35">
      <c r="A2728" s="27"/>
      <c r="B2728" s="27"/>
      <c r="C2728" s="27"/>
      <c r="D2728" s="27"/>
      <c r="E2728" s="27"/>
      <c r="F2728" s="27"/>
      <c r="G2728" s="27"/>
      <c r="H2728" s="27"/>
      <c r="I2728" s="27"/>
    </row>
    <row r="2729" spans="1:9" x14ac:dyDescent="0.35">
      <c r="A2729" s="27"/>
      <c r="B2729" s="27"/>
      <c r="C2729" s="27"/>
      <c r="D2729" s="27"/>
      <c r="E2729" s="27"/>
      <c r="F2729" s="27"/>
      <c r="G2729" s="27"/>
      <c r="H2729" s="27"/>
      <c r="I2729" s="27"/>
    </row>
    <row r="2730" spans="1:9" x14ac:dyDescent="0.35">
      <c r="A2730" s="27"/>
      <c r="B2730" s="27"/>
      <c r="C2730" s="27"/>
      <c r="D2730" s="27"/>
      <c r="E2730" s="27"/>
      <c r="F2730" s="27"/>
      <c r="G2730" s="27"/>
      <c r="H2730" s="27"/>
      <c r="I2730" s="27"/>
    </row>
    <row r="2731" spans="1:9" x14ac:dyDescent="0.35">
      <c r="A2731" s="27"/>
      <c r="B2731" s="27"/>
      <c r="C2731" s="27"/>
      <c r="D2731" s="27"/>
      <c r="E2731" s="27"/>
      <c r="F2731" s="27"/>
      <c r="G2731" s="27"/>
      <c r="H2731" s="27"/>
      <c r="I2731" s="27"/>
    </row>
    <row r="2732" spans="1:9" x14ac:dyDescent="0.35">
      <c r="A2732" s="27"/>
      <c r="B2732" s="27"/>
      <c r="C2732" s="27"/>
      <c r="D2732" s="27"/>
      <c r="E2732" s="27"/>
      <c r="F2732" s="27"/>
      <c r="G2732" s="27"/>
      <c r="H2732" s="27"/>
      <c r="I2732" s="27"/>
    </row>
    <row r="2733" spans="1:9" x14ac:dyDescent="0.35">
      <c r="A2733" s="27"/>
      <c r="B2733" s="27"/>
      <c r="C2733" s="27"/>
      <c r="D2733" s="27"/>
      <c r="E2733" s="27"/>
      <c r="F2733" s="27"/>
      <c r="G2733" s="27"/>
      <c r="H2733" s="27"/>
      <c r="I2733" s="27"/>
    </row>
    <row r="2734" spans="1:9" x14ac:dyDescent="0.35">
      <c r="A2734" s="27"/>
      <c r="B2734" s="27"/>
      <c r="C2734" s="27"/>
      <c r="D2734" s="27"/>
      <c r="E2734" s="27"/>
      <c r="F2734" s="27"/>
      <c r="G2734" s="27"/>
      <c r="H2734" s="27"/>
      <c r="I2734" s="27"/>
    </row>
    <row r="2735" spans="1:9" x14ac:dyDescent="0.35">
      <c r="A2735" s="27"/>
      <c r="B2735" s="27"/>
      <c r="C2735" s="27"/>
      <c r="D2735" s="27"/>
      <c r="E2735" s="27"/>
      <c r="F2735" s="27"/>
      <c r="G2735" s="27"/>
      <c r="H2735" s="27"/>
      <c r="I2735" s="27"/>
    </row>
    <row r="2736" spans="1:9" x14ac:dyDescent="0.35">
      <c r="A2736" s="27"/>
      <c r="B2736" s="27"/>
      <c r="C2736" s="27"/>
      <c r="D2736" s="27"/>
      <c r="E2736" s="27"/>
      <c r="F2736" s="27"/>
      <c r="G2736" s="27"/>
      <c r="H2736" s="27"/>
      <c r="I2736" s="27"/>
    </row>
    <row r="2737" spans="1:9" x14ac:dyDescent="0.35">
      <c r="A2737" s="27"/>
      <c r="B2737" s="27"/>
      <c r="C2737" s="27"/>
      <c r="D2737" s="27"/>
      <c r="E2737" s="27"/>
      <c r="F2737" s="27"/>
      <c r="G2737" s="27"/>
      <c r="H2737" s="27"/>
      <c r="I2737" s="27"/>
    </row>
    <row r="2738" spans="1:9" x14ac:dyDescent="0.35">
      <c r="A2738" s="27"/>
      <c r="B2738" s="27"/>
      <c r="C2738" s="27"/>
      <c r="D2738" s="27"/>
      <c r="E2738" s="27"/>
      <c r="F2738" s="27"/>
      <c r="G2738" s="27"/>
      <c r="H2738" s="27"/>
      <c r="I2738" s="27"/>
    </row>
    <row r="2739" spans="1:9" x14ac:dyDescent="0.35">
      <c r="A2739" s="27"/>
      <c r="B2739" s="27"/>
      <c r="C2739" s="27"/>
      <c r="D2739" s="27"/>
      <c r="E2739" s="27"/>
      <c r="F2739" s="27"/>
      <c r="G2739" s="27"/>
      <c r="H2739" s="27"/>
      <c r="I2739" s="27"/>
    </row>
    <row r="2740" spans="1:9" x14ac:dyDescent="0.35">
      <c r="A2740" s="27"/>
      <c r="B2740" s="27"/>
      <c r="C2740" s="27"/>
      <c r="D2740" s="27"/>
      <c r="E2740" s="27"/>
      <c r="F2740" s="27"/>
      <c r="G2740" s="27"/>
      <c r="H2740" s="27"/>
      <c r="I2740" s="27"/>
    </row>
    <row r="2741" spans="1:9" x14ac:dyDescent="0.35">
      <c r="A2741" s="27"/>
      <c r="B2741" s="27"/>
      <c r="C2741" s="27"/>
      <c r="D2741" s="27"/>
      <c r="E2741" s="27"/>
      <c r="F2741" s="27"/>
      <c r="G2741" s="27"/>
      <c r="H2741" s="27"/>
      <c r="I2741" s="27"/>
    </row>
    <row r="2742" spans="1:9" x14ac:dyDescent="0.35">
      <c r="A2742" s="27"/>
      <c r="B2742" s="27"/>
      <c r="C2742" s="27"/>
      <c r="D2742" s="27"/>
      <c r="E2742" s="27"/>
      <c r="F2742" s="27"/>
      <c r="G2742" s="27"/>
      <c r="H2742" s="27"/>
      <c r="I2742" s="27"/>
    </row>
    <row r="2743" spans="1:9" x14ac:dyDescent="0.35">
      <c r="A2743" s="27"/>
      <c r="B2743" s="27"/>
      <c r="C2743" s="27"/>
      <c r="D2743" s="27"/>
      <c r="E2743" s="27"/>
      <c r="F2743" s="27"/>
      <c r="G2743" s="27"/>
      <c r="H2743" s="27"/>
      <c r="I2743" s="27"/>
    </row>
    <row r="2744" spans="1:9" x14ac:dyDescent="0.35">
      <c r="A2744" s="27"/>
      <c r="B2744" s="27"/>
      <c r="C2744" s="27"/>
      <c r="D2744" s="27"/>
      <c r="E2744" s="27"/>
      <c r="F2744" s="27"/>
      <c r="G2744" s="27"/>
      <c r="H2744" s="27"/>
      <c r="I2744" s="27"/>
    </row>
    <row r="2745" spans="1:9" x14ac:dyDescent="0.35">
      <c r="A2745" s="27"/>
      <c r="B2745" s="27"/>
      <c r="C2745" s="27"/>
      <c r="D2745" s="27"/>
      <c r="E2745" s="27"/>
      <c r="F2745" s="27"/>
      <c r="G2745" s="27"/>
      <c r="H2745" s="27"/>
      <c r="I2745" s="27"/>
    </row>
    <row r="2746" spans="1:9" x14ac:dyDescent="0.35">
      <c r="A2746" s="27"/>
      <c r="B2746" s="27"/>
      <c r="C2746" s="27"/>
      <c r="D2746" s="27"/>
      <c r="E2746" s="27"/>
      <c r="F2746" s="27"/>
      <c r="G2746" s="27"/>
      <c r="H2746" s="27"/>
      <c r="I2746" s="27"/>
    </row>
    <row r="2747" spans="1:9" x14ac:dyDescent="0.35">
      <c r="A2747" s="27"/>
      <c r="B2747" s="27"/>
      <c r="C2747" s="27"/>
      <c r="D2747" s="27"/>
      <c r="E2747" s="27"/>
      <c r="F2747" s="27"/>
      <c r="G2747" s="27"/>
      <c r="H2747" s="27"/>
      <c r="I2747" s="27"/>
    </row>
    <row r="2748" spans="1:9" x14ac:dyDescent="0.35">
      <c r="A2748" s="27"/>
      <c r="B2748" s="27"/>
      <c r="C2748" s="27"/>
      <c r="D2748" s="27"/>
      <c r="E2748" s="27"/>
      <c r="F2748" s="27"/>
      <c r="G2748" s="27"/>
      <c r="H2748" s="27"/>
      <c r="I2748" s="27"/>
    </row>
    <row r="2749" spans="1:9" x14ac:dyDescent="0.35">
      <c r="A2749" s="27"/>
      <c r="B2749" s="27"/>
      <c r="C2749" s="27"/>
      <c r="D2749" s="27"/>
      <c r="E2749" s="27"/>
      <c r="F2749" s="27"/>
      <c r="G2749" s="27"/>
      <c r="H2749" s="27"/>
      <c r="I2749" s="27"/>
    </row>
    <row r="2750" spans="1:9" x14ac:dyDescent="0.35">
      <c r="A2750" s="27"/>
      <c r="B2750" s="27"/>
      <c r="C2750" s="27"/>
      <c r="D2750" s="27"/>
      <c r="E2750" s="27"/>
      <c r="F2750" s="27"/>
      <c r="G2750" s="27"/>
      <c r="H2750" s="27"/>
      <c r="I2750" s="27"/>
    </row>
    <row r="2751" spans="1:9" x14ac:dyDescent="0.35">
      <c r="A2751" s="27"/>
      <c r="B2751" s="27"/>
      <c r="C2751" s="27"/>
      <c r="D2751" s="27"/>
      <c r="E2751" s="27"/>
      <c r="F2751" s="27"/>
      <c r="G2751" s="27"/>
      <c r="H2751" s="27"/>
      <c r="I2751" s="27"/>
    </row>
    <row r="2752" spans="1:9" x14ac:dyDescent="0.35">
      <c r="A2752" s="27"/>
      <c r="B2752" s="27"/>
      <c r="C2752" s="27"/>
      <c r="D2752" s="27"/>
      <c r="E2752" s="27"/>
      <c r="F2752" s="27"/>
      <c r="G2752" s="27"/>
      <c r="H2752" s="27"/>
      <c r="I2752" s="27"/>
    </row>
    <row r="2753" spans="1:9" x14ac:dyDescent="0.35">
      <c r="A2753" s="27"/>
      <c r="B2753" s="27"/>
      <c r="C2753" s="27"/>
      <c r="D2753" s="27"/>
      <c r="E2753" s="27"/>
      <c r="F2753" s="27"/>
      <c r="G2753" s="27"/>
      <c r="H2753" s="27"/>
      <c r="I2753" s="27"/>
    </row>
    <row r="2754" spans="1:9" x14ac:dyDescent="0.35">
      <c r="A2754" s="27"/>
      <c r="B2754" s="27"/>
      <c r="C2754" s="27"/>
      <c r="D2754" s="27"/>
      <c r="E2754" s="27"/>
      <c r="F2754" s="27"/>
      <c r="G2754" s="27"/>
      <c r="H2754" s="27"/>
      <c r="I2754" s="27"/>
    </row>
    <row r="2755" spans="1:9" x14ac:dyDescent="0.35">
      <c r="A2755" s="27"/>
      <c r="B2755" s="27"/>
      <c r="C2755" s="27"/>
      <c r="D2755" s="27"/>
      <c r="E2755" s="27"/>
      <c r="F2755" s="27"/>
      <c r="G2755" s="27"/>
      <c r="H2755" s="27"/>
      <c r="I2755" s="27"/>
    </row>
    <row r="2756" spans="1:9" x14ac:dyDescent="0.35">
      <c r="A2756" s="27"/>
      <c r="B2756" s="27"/>
      <c r="C2756" s="27"/>
      <c r="D2756" s="27"/>
      <c r="E2756" s="27"/>
      <c r="F2756" s="27"/>
      <c r="G2756" s="27"/>
      <c r="H2756" s="27"/>
      <c r="I2756" s="27"/>
    </row>
    <row r="2757" spans="1:9" x14ac:dyDescent="0.35">
      <c r="A2757" s="27"/>
      <c r="B2757" s="27"/>
      <c r="C2757" s="27"/>
      <c r="D2757" s="27"/>
      <c r="E2757" s="27"/>
      <c r="F2757" s="27"/>
      <c r="G2757" s="27"/>
      <c r="H2757" s="27"/>
      <c r="I2757" s="27"/>
    </row>
    <row r="2758" spans="1:9" x14ac:dyDescent="0.35">
      <c r="A2758" s="27"/>
      <c r="B2758" s="27"/>
      <c r="C2758" s="27"/>
      <c r="D2758" s="27"/>
      <c r="E2758" s="27"/>
      <c r="F2758" s="27"/>
      <c r="G2758" s="27"/>
      <c r="H2758" s="27"/>
      <c r="I2758" s="27"/>
    </row>
    <row r="2759" spans="1:9" x14ac:dyDescent="0.35">
      <c r="A2759" s="27"/>
      <c r="B2759" s="27"/>
      <c r="C2759" s="27"/>
      <c r="D2759" s="27"/>
      <c r="E2759" s="27"/>
      <c r="F2759" s="27"/>
      <c r="G2759" s="27"/>
      <c r="H2759" s="27"/>
      <c r="I2759" s="27"/>
    </row>
    <row r="2760" spans="1:9" x14ac:dyDescent="0.35">
      <c r="A2760" s="27"/>
      <c r="B2760" s="27"/>
      <c r="C2760" s="27"/>
      <c r="D2760" s="27"/>
      <c r="E2760" s="27"/>
      <c r="F2760" s="27"/>
      <c r="G2760" s="27"/>
      <c r="H2760" s="27"/>
      <c r="I2760" s="27"/>
    </row>
    <row r="2761" spans="1:9" x14ac:dyDescent="0.35">
      <c r="A2761" s="27"/>
      <c r="B2761" s="27"/>
      <c r="C2761" s="27"/>
      <c r="D2761" s="27"/>
      <c r="E2761" s="27"/>
      <c r="F2761" s="27"/>
      <c r="G2761" s="27"/>
      <c r="H2761" s="27"/>
      <c r="I2761" s="27"/>
    </row>
    <row r="2762" spans="1:9" x14ac:dyDescent="0.35">
      <c r="A2762" s="27"/>
      <c r="B2762" s="27"/>
      <c r="C2762" s="27"/>
      <c r="D2762" s="27"/>
      <c r="E2762" s="27"/>
      <c r="F2762" s="27"/>
      <c r="G2762" s="27"/>
      <c r="H2762" s="27"/>
      <c r="I2762" s="27"/>
    </row>
    <row r="2763" spans="1:9" x14ac:dyDescent="0.35">
      <c r="A2763" s="27"/>
      <c r="B2763" s="27"/>
      <c r="C2763" s="27"/>
      <c r="D2763" s="27"/>
      <c r="E2763" s="27"/>
      <c r="F2763" s="27"/>
      <c r="G2763" s="27"/>
      <c r="H2763" s="27"/>
      <c r="I2763" s="27"/>
    </row>
    <row r="2764" spans="1:9" x14ac:dyDescent="0.35">
      <c r="A2764" s="27"/>
      <c r="B2764" s="27"/>
      <c r="C2764" s="27"/>
      <c r="D2764" s="27"/>
      <c r="E2764" s="27"/>
      <c r="F2764" s="27"/>
      <c r="G2764" s="27"/>
      <c r="H2764" s="27"/>
      <c r="I2764" s="27"/>
    </row>
    <row r="2765" spans="1:9" x14ac:dyDescent="0.35">
      <c r="A2765" s="27"/>
      <c r="B2765" s="27"/>
      <c r="C2765" s="27"/>
      <c r="D2765" s="27"/>
      <c r="E2765" s="27"/>
      <c r="F2765" s="27"/>
      <c r="G2765" s="27"/>
      <c r="H2765" s="27"/>
      <c r="I2765" s="27"/>
    </row>
    <row r="2766" spans="1:9" x14ac:dyDescent="0.35">
      <c r="A2766" s="27"/>
      <c r="B2766" s="27"/>
      <c r="C2766" s="27"/>
      <c r="D2766" s="27"/>
      <c r="E2766" s="27"/>
      <c r="F2766" s="27"/>
      <c r="G2766" s="27"/>
      <c r="H2766" s="27"/>
      <c r="I2766" s="27"/>
    </row>
    <row r="2767" spans="1:9" x14ac:dyDescent="0.35">
      <c r="A2767" s="27"/>
      <c r="B2767" s="27"/>
      <c r="C2767" s="27"/>
      <c r="D2767" s="27"/>
      <c r="E2767" s="27"/>
      <c r="F2767" s="27"/>
      <c r="G2767" s="27"/>
      <c r="H2767" s="27"/>
      <c r="I2767" s="27"/>
    </row>
    <row r="2768" spans="1:9" x14ac:dyDescent="0.35">
      <c r="A2768" s="27"/>
      <c r="B2768" s="27"/>
      <c r="C2768" s="27"/>
      <c r="D2768" s="27"/>
      <c r="E2768" s="27"/>
      <c r="F2768" s="27"/>
      <c r="G2768" s="27"/>
      <c r="H2768" s="27"/>
      <c r="I2768" s="27"/>
    </row>
    <row r="2769" spans="1:9" x14ac:dyDescent="0.35">
      <c r="A2769" s="27"/>
      <c r="B2769" s="27"/>
      <c r="C2769" s="27"/>
      <c r="D2769" s="27"/>
      <c r="E2769" s="27"/>
      <c r="F2769" s="27"/>
      <c r="G2769" s="27"/>
      <c r="H2769" s="27"/>
      <c r="I2769" s="27"/>
    </row>
    <row r="2770" spans="1:9" x14ac:dyDescent="0.35">
      <c r="A2770" s="27"/>
      <c r="B2770" s="27"/>
      <c r="C2770" s="27"/>
      <c r="D2770" s="27"/>
      <c r="E2770" s="27"/>
      <c r="F2770" s="27"/>
      <c r="G2770" s="27"/>
      <c r="H2770" s="27"/>
      <c r="I2770" s="27"/>
    </row>
    <row r="2771" spans="1:9" x14ac:dyDescent="0.35">
      <c r="A2771" s="27"/>
      <c r="B2771" s="27"/>
      <c r="C2771" s="27"/>
      <c r="D2771" s="27"/>
      <c r="E2771" s="27"/>
      <c r="F2771" s="27"/>
      <c r="G2771" s="27"/>
      <c r="H2771" s="27"/>
      <c r="I2771" s="27"/>
    </row>
    <row r="2772" spans="1:9" x14ac:dyDescent="0.35">
      <c r="A2772" s="27"/>
      <c r="B2772" s="27"/>
      <c r="C2772" s="27"/>
      <c r="D2772" s="27"/>
      <c r="E2772" s="27"/>
      <c r="F2772" s="27"/>
      <c r="G2772" s="27"/>
      <c r="H2772" s="27"/>
      <c r="I2772" s="27"/>
    </row>
    <row r="2773" spans="1:9" x14ac:dyDescent="0.35">
      <c r="A2773" s="27"/>
      <c r="B2773" s="27"/>
      <c r="C2773" s="27"/>
      <c r="D2773" s="27"/>
      <c r="E2773" s="27"/>
      <c r="F2773" s="27"/>
      <c r="G2773" s="27"/>
      <c r="H2773" s="27"/>
      <c r="I2773" s="27"/>
    </row>
    <row r="2774" spans="1:9" x14ac:dyDescent="0.35">
      <c r="A2774" s="27"/>
      <c r="B2774" s="27"/>
      <c r="C2774" s="27"/>
      <c r="D2774" s="27"/>
      <c r="E2774" s="27"/>
      <c r="F2774" s="27"/>
      <c r="G2774" s="27"/>
      <c r="H2774" s="27"/>
      <c r="I2774" s="27"/>
    </row>
    <row r="2775" spans="1:9" x14ac:dyDescent="0.35">
      <c r="A2775" s="27"/>
      <c r="B2775" s="27"/>
      <c r="C2775" s="27"/>
      <c r="D2775" s="27"/>
      <c r="E2775" s="27"/>
      <c r="F2775" s="27"/>
      <c r="G2775" s="27"/>
      <c r="H2775" s="27"/>
      <c r="I2775" s="27"/>
    </row>
    <row r="2776" spans="1:9" x14ac:dyDescent="0.35">
      <c r="A2776" s="27"/>
      <c r="B2776" s="27"/>
      <c r="C2776" s="27"/>
      <c r="D2776" s="27"/>
      <c r="E2776" s="27"/>
      <c r="F2776" s="27"/>
      <c r="G2776" s="27"/>
      <c r="H2776" s="27"/>
      <c r="I2776" s="27"/>
    </row>
    <row r="2777" spans="1:9" x14ac:dyDescent="0.35">
      <c r="A2777" s="27"/>
      <c r="B2777" s="27"/>
      <c r="C2777" s="27"/>
      <c r="D2777" s="27"/>
      <c r="E2777" s="27"/>
      <c r="F2777" s="27"/>
      <c r="G2777" s="27"/>
      <c r="H2777" s="27"/>
      <c r="I2777" s="27"/>
    </row>
    <row r="2778" spans="1:9" x14ac:dyDescent="0.35">
      <c r="A2778" s="27"/>
      <c r="B2778" s="27"/>
      <c r="C2778" s="27"/>
      <c r="D2778" s="27"/>
      <c r="E2778" s="27"/>
      <c r="F2778" s="27"/>
      <c r="G2778" s="27"/>
      <c r="H2778" s="27"/>
      <c r="I2778" s="27"/>
    </row>
    <row r="2779" spans="1:9" x14ac:dyDescent="0.35">
      <c r="A2779" s="27"/>
      <c r="B2779" s="27"/>
      <c r="C2779" s="27"/>
      <c r="D2779" s="27"/>
      <c r="E2779" s="27"/>
      <c r="F2779" s="27"/>
      <c r="G2779" s="27"/>
      <c r="H2779" s="27"/>
      <c r="I2779" s="27"/>
    </row>
    <row r="2780" spans="1:9" x14ac:dyDescent="0.35">
      <c r="A2780" s="27"/>
      <c r="B2780" s="27"/>
      <c r="C2780" s="27"/>
      <c r="D2780" s="27"/>
      <c r="E2780" s="27"/>
      <c r="F2780" s="27"/>
      <c r="G2780" s="27"/>
      <c r="H2780" s="27"/>
      <c r="I2780" s="27"/>
    </row>
    <row r="2781" spans="1:9" x14ac:dyDescent="0.35">
      <c r="A2781" s="27"/>
      <c r="B2781" s="27"/>
      <c r="C2781" s="27"/>
      <c r="D2781" s="27"/>
      <c r="E2781" s="27"/>
      <c r="F2781" s="27"/>
      <c r="G2781" s="27"/>
      <c r="H2781" s="27"/>
      <c r="I2781" s="27"/>
    </row>
    <row r="2782" spans="1:9" x14ac:dyDescent="0.35">
      <c r="A2782" s="27"/>
      <c r="B2782" s="27"/>
      <c r="C2782" s="27"/>
      <c r="D2782" s="27"/>
      <c r="E2782" s="27"/>
      <c r="F2782" s="27"/>
      <c r="G2782" s="27"/>
      <c r="H2782" s="27"/>
      <c r="I2782" s="27"/>
    </row>
    <row r="2783" spans="1:9" x14ac:dyDescent="0.35">
      <c r="A2783" s="27"/>
      <c r="B2783" s="27"/>
      <c r="C2783" s="27"/>
      <c r="D2783" s="27"/>
      <c r="E2783" s="27"/>
      <c r="F2783" s="27"/>
      <c r="G2783" s="27"/>
      <c r="H2783" s="27"/>
      <c r="I2783" s="27"/>
    </row>
    <row r="2784" spans="1:9" x14ac:dyDescent="0.35">
      <c r="A2784" s="27"/>
      <c r="B2784" s="27"/>
      <c r="C2784" s="27"/>
      <c r="D2784" s="27"/>
      <c r="E2784" s="27"/>
      <c r="F2784" s="27"/>
      <c r="G2784" s="27"/>
      <c r="H2784" s="27"/>
      <c r="I2784" s="27"/>
    </row>
    <row r="2785" spans="1:9" x14ac:dyDescent="0.35">
      <c r="A2785" s="27"/>
      <c r="B2785" s="27"/>
      <c r="C2785" s="27"/>
      <c r="D2785" s="27"/>
      <c r="E2785" s="27"/>
      <c r="F2785" s="27"/>
      <c r="G2785" s="27"/>
      <c r="H2785" s="27"/>
      <c r="I2785" s="27"/>
    </row>
    <row r="2786" spans="1:9" x14ac:dyDescent="0.35">
      <c r="A2786" s="27"/>
      <c r="B2786" s="27"/>
      <c r="C2786" s="27"/>
      <c r="D2786" s="27"/>
      <c r="E2786" s="27"/>
      <c r="F2786" s="27"/>
      <c r="G2786" s="27"/>
      <c r="H2786" s="27"/>
      <c r="I2786" s="27"/>
    </row>
    <row r="2787" spans="1:9" x14ac:dyDescent="0.35">
      <c r="A2787" s="27"/>
      <c r="B2787" s="27"/>
      <c r="C2787" s="27"/>
      <c r="D2787" s="27"/>
      <c r="E2787" s="27"/>
      <c r="F2787" s="27"/>
      <c r="G2787" s="27"/>
      <c r="H2787" s="27"/>
      <c r="I2787" s="27"/>
    </row>
    <row r="2788" spans="1:9" x14ac:dyDescent="0.35">
      <c r="A2788" s="27"/>
      <c r="B2788" s="27"/>
      <c r="C2788" s="27"/>
      <c r="D2788" s="27"/>
      <c r="E2788" s="27"/>
      <c r="F2788" s="27"/>
      <c r="G2788" s="27"/>
      <c r="H2788" s="27"/>
      <c r="I2788" s="27"/>
    </row>
    <row r="2789" spans="1:9" x14ac:dyDescent="0.35">
      <c r="A2789" s="27"/>
      <c r="B2789" s="27"/>
      <c r="C2789" s="27"/>
      <c r="D2789" s="27"/>
      <c r="E2789" s="27"/>
      <c r="F2789" s="27"/>
      <c r="G2789" s="27"/>
      <c r="H2789" s="27"/>
      <c r="I2789" s="27"/>
    </row>
    <row r="2790" spans="1:9" x14ac:dyDescent="0.35">
      <c r="A2790" s="27"/>
      <c r="B2790" s="27"/>
      <c r="C2790" s="27"/>
      <c r="D2790" s="27"/>
      <c r="E2790" s="27"/>
      <c r="F2790" s="27"/>
      <c r="G2790" s="27"/>
      <c r="H2790" s="27"/>
      <c r="I2790" s="27"/>
    </row>
    <row r="2791" spans="1:9" x14ac:dyDescent="0.35">
      <c r="A2791" s="27"/>
      <c r="B2791" s="27"/>
      <c r="C2791" s="27"/>
      <c r="D2791" s="27"/>
      <c r="E2791" s="27"/>
      <c r="F2791" s="27"/>
      <c r="G2791" s="27"/>
      <c r="H2791" s="27"/>
      <c r="I2791" s="27"/>
    </row>
    <row r="2792" spans="1:9" x14ac:dyDescent="0.35">
      <c r="A2792" s="27"/>
      <c r="B2792" s="27"/>
      <c r="C2792" s="27"/>
      <c r="D2792" s="27"/>
      <c r="E2792" s="27"/>
      <c r="F2792" s="27"/>
      <c r="G2792" s="27"/>
      <c r="H2792" s="27"/>
      <c r="I2792" s="27"/>
    </row>
    <row r="2793" spans="1:9" x14ac:dyDescent="0.35">
      <c r="A2793" s="27"/>
      <c r="B2793" s="27"/>
      <c r="C2793" s="27"/>
      <c r="D2793" s="27"/>
      <c r="E2793" s="27"/>
      <c r="F2793" s="27"/>
      <c r="G2793" s="27"/>
      <c r="H2793" s="27"/>
      <c r="I2793" s="27"/>
    </row>
    <row r="2794" spans="1:9" x14ac:dyDescent="0.35">
      <c r="A2794" s="27"/>
      <c r="B2794" s="27"/>
      <c r="C2794" s="27"/>
      <c r="D2794" s="27"/>
      <c r="E2794" s="27"/>
      <c r="F2794" s="27"/>
      <c r="G2794" s="27"/>
      <c r="H2794" s="27"/>
      <c r="I2794" s="27"/>
    </row>
    <row r="2795" spans="1:9" x14ac:dyDescent="0.35">
      <c r="A2795" s="27"/>
      <c r="B2795" s="27"/>
      <c r="C2795" s="27"/>
      <c r="D2795" s="27"/>
      <c r="E2795" s="27"/>
      <c r="F2795" s="27"/>
      <c r="G2795" s="27"/>
      <c r="H2795" s="27"/>
      <c r="I2795" s="27"/>
    </row>
    <row r="2796" spans="1:9" x14ac:dyDescent="0.35">
      <c r="A2796" s="27"/>
      <c r="B2796" s="27"/>
      <c r="C2796" s="27"/>
      <c r="D2796" s="27"/>
      <c r="E2796" s="27"/>
      <c r="F2796" s="27"/>
      <c r="G2796" s="27"/>
      <c r="H2796" s="27"/>
      <c r="I2796" s="27"/>
    </row>
    <row r="2797" spans="1:9" x14ac:dyDescent="0.35">
      <c r="A2797" s="27"/>
      <c r="B2797" s="27"/>
      <c r="C2797" s="27"/>
      <c r="D2797" s="27"/>
      <c r="E2797" s="27"/>
      <c r="F2797" s="27"/>
      <c r="G2797" s="27"/>
      <c r="H2797" s="27"/>
      <c r="I2797" s="27"/>
    </row>
    <row r="2798" spans="1:9" x14ac:dyDescent="0.35">
      <c r="A2798" s="27"/>
      <c r="B2798" s="27"/>
      <c r="C2798" s="27"/>
      <c r="D2798" s="27"/>
      <c r="E2798" s="27"/>
      <c r="F2798" s="27"/>
      <c r="G2798" s="27"/>
      <c r="H2798" s="27"/>
      <c r="I2798" s="27"/>
    </row>
    <row r="2799" spans="1:9" x14ac:dyDescent="0.35">
      <c r="A2799" s="27"/>
      <c r="B2799" s="27"/>
      <c r="C2799" s="27"/>
      <c r="D2799" s="27"/>
      <c r="E2799" s="27"/>
      <c r="F2799" s="27"/>
      <c r="G2799" s="27"/>
      <c r="H2799" s="27"/>
      <c r="I2799" s="27"/>
    </row>
    <row r="2800" spans="1:9" x14ac:dyDescent="0.35">
      <c r="A2800" s="27"/>
      <c r="B2800" s="27"/>
      <c r="C2800" s="27"/>
      <c r="D2800" s="27"/>
      <c r="E2800" s="27"/>
      <c r="F2800" s="27"/>
      <c r="G2800" s="27"/>
      <c r="H2800" s="27"/>
      <c r="I2800" s="27"/>
    </row>
    <row r="2801" spans="1:9" x14ac:dyDescent="0.35">
      <c r="A2801" s="27"/>
      <c r="B2801" s="27"/>
      <c r="C2801" s="27"/>
      <c r="D2801" s="27"/>
      <c r="E2801" s="27"/>
      <c r="F2801" s="27"/>
      <c r="G2801" s="27"/>
      <c r="H2801" s="27"/>
      <c r="I2801" s="27"/>
    </row>
    <row r="2802" spans="1:9" x14ac:dyDescent="0.35">
      <c r="A2802" s="27"/>
      <c r="B2802" s="27"/>
      <c r="C2802" s="27"/>
      <c r="D2802" s="27"/>
      <c r="E2802" s="27"/>
      <c r="F2802" s="27"/>
      <c r="G2802" s="27"/>
      <c r="H2802" s="27"/>
      <c r="I2802" s="27"/>
    </row>
    <row r="2803" spans="1:9" x14ac:dyDescent="0.35">
      <c r="A2803" s="27"/>
      <c r="B2803" s="27"/>
      <c r="C2803" s="27"/>
      <c r="D2803" s="27"/>
      <c r="E2803" s="27"/>
      <c r="F2803" s="27"/>
      <c r="G2803" s="27"/>
      <c r="H2803" s="27"/>
      <c r="I2803" s="27"/>
    </row>
    <row r="2804" spans="1:9" x14ac:dyDescent="0.35">
      <c r="A2804" s="27"/>
      <c r="B2804" s="27"/>
      <c r="C2804" s="27"/>
      <c r="D2804" s="27"/>
      <c r="E2804" s="27"/>
      <c r="F2804" s="27"/>
      <c r="G2804" s="27"/>
      <c r="H2804" s="27"/>
      <c r="I2804" s="27"/>
    </row>
    <row r="2805" spans="1:9" x14ac:dyDescent="0.35">
      <c r="A2805" s="27"/>
      <c r="B2805" s="27"/>
      <c r="C2805" s="27"/>
      <c r="D2805" s="27"/>
      <c r="E2805" s="27"/>
      <c r="F2805" s="27"/>
      <c r="G2805" s="27"/>
      <c r="H2805" s="27"/>
      <c r="I2805" s="27"/>
    </row>
    <row r="2806" spans="1:9" x14ac:dyDescent="0.35">
      <c r="A2806" s="27"/>
      <c r="B2806" s="27"/>
      <c r="C2806" s="27"/>
      <c r="D2806" s="27"/>
      <c r="E2806" s="27"/>
      <c r="F2806" s="27"/>
      <c r="G2806" s="27"/>
      <c r="H2806" s="27"/>
      <c r="I2806" s="27"/>
    </row>
    <row r="2807" spans="1:9" x14ac:dyDescent="0.35">
      <c r="A2807" s="27"/>
      <c r="B2807" s="27"/>
      <c r="C2807" s="27"/>
      <c r="D2807" s="27"/>
      <c r="E2807" s="27"/>
      <c r="F2807" s="27"/>
      <c r="G2807" s="27"/>
      <c r="H2807" s="27"/>
      <c r="I2807" s="27"/>
    </row>
    <row r="2808" spans="1:9" x14ac:dyDescent="0.35">
      <c r="A2808" s="27"/>
      <c r="B2808" s="27"/>
      <c r="C2808" s="27"/>
      <c r="D2808" s="27"/>
      <c r="E2808" s="27"/>
      <c r="F2808" s="27"/>
      <c r="G2808" s="27"/>
      <c r="H2808" s="27"/>
      <c r="I2808" s="27"/>
    </row>
    <row r="2809" spans="1:9" x14ac:dyDescent="0.35">
      <c r="A2809" s="27"/>
      <c r="B2809" s="27"/>
      <c r="C2809" s="27"/>
      <c r="D2809" s="27"/>
      <c r="E2809" s="27"/>
      <c r="F2809" s="27"/>
      <c r="G2809" s="27"/>
      <c r="H2809" s="27"/>
      <c r="I2809" s="27"/>
    </row>
    <row r="2810" spans="1:9" x14ac:dyDescent="0.35">
      <c r="A2810" s="27"/>
      <c r="B2810" s="27"/>
      <c r="C2810" s="27"/>
      <c r="D2810" s="27"/>
      <c r="E2810" s="27"/>
      <c r="F2810" s="27"/>
      <c r="G2810" s="27"/>
      <c r="H2810" s="27"/>
      <c r="I2810" s="27"/>
    </row>
    <row r="2811" spans="1:9" x14ac:dyDescent="0.35">
      <c r="A2811" s="27"/>
      <c r="B2811" s="27"/>
      <c r="C2811" s="27"/>
      <c r="D2811" s="27"/>
      <c r="E2811" s="27"/>
      <c r="F2811" s="27"/>
      <c r="G2811" s="27"/>
      <c r="H2811" s="27"/>
      <c r="I2811" s="27"/>
    </row>
    <row r="2812" spans="1:9" x14ac:dyDescent="0.35">
      <c r="A2812" s="27"/>
      <c r="B2812" s="27"/>
      <c r="C2812" s="27"/>
      <c r="D2812" s="27"/>
      <c r="E2812" s="27"/>
      <c r="F2812" s="27"/>
      <c r="G2812" s="27"/>
      <c r="H2812" s="27"/>
      <c r="I2812" s="27"/>
    </row>
    <row r="2813" spans="1:9" x14ac:dyDescent="0.35">
      <c r="A2813" s="27"/>
      <c r="B2813" s="27"/>
      <c r="C2813" s="27"/>
      <c r="D2813" s="27"/>
      <c r="E2813" s="27"/>
      <c r="F2813" s="27"/>
      <c r="G2813" s="27"/>
      <c r="H2813" s="27"/>
      <c r="I2813" s="27"/>
    </row>
    <row r="2814" spans="1:9" x14ac:dyDescent="0.35">
      <c r="A2814" s="27"/>
      <c r="B2814" s="27"/>
      <c r="C2814" s="27"/>
      <c r="D2814" s="27"/>
      <c r="E2814" s="27"/>
      <c r="F2814" s="27"/>
      <c r="G2814" s="27"/>
      <c r="H2814" s="27"/>
      <c r="I2814" s="27"/>
    </row>
    <row r="2815" spans="1:9" x14ac:dyDescent="0.35">
      <c r="A2815" s="27"/>
      <c r="B2815" s="27"/>
      <c r="C2815" s="27"/>
      <c r="D2815" s="27"/>
      <c r="E2815" s="27"/>
      <c r="F2815" s="27"/>
      <c r="G2815" s="27"/>
      <c r="H2815" s="27"/>
      <c r="I2815" s="27"/>
    </row>
    <row r="2816" spans="1:9" x14ac:dyDescent="0.35">
      <c r="A2816" s="27"/>
      <c r="B2816" s="27"/>
      <c r="C2816" s="27"/>
      <c r="D2816" s="27"/>
      <c r="E2816" s="27"/>
      <c r="F2816" s="27"/>
      <c r="G2816" s="27"/>
      <c r="H2816" s="27"/>
      <c r="I2816" s="27"/>
    </row>
    <row r="2817" spans="1:9" x14ac:dyDescent="0.35">
      <c r="A2817" s="27"/>
      <c r="B2817" s="27"/>
      <c r="C2817" s="27"/>
      <c r="D2817" s="27"/>
      <c r="E2817" s="27"/>
      <c r="F2817" s="27"/>
      <c r="G2817" s="27"/>
      <c r="H2817" s="27"/>
      <c r="I2817" s="27"/>
    </row>
    <row r="2818" spans="1:9" x14ac:dyDescent="0.35">
      <c r="A2818" s="27"/>
      <c r="B2818" s="27"/>
      <c r="C2818" s="27"/>
      <c r="D2818" s="27"/>
      <c r="E2818" s="27"/>
      <c r="F2818" s="27"/>
      <c r="G2818" s="27"/>
      <c r="H2818" s="27"/>
      <c r="I2818" s="27"/>
    </row>
    <row r="2819" spans="1:9" x14ac:dyDescent="0.35">
      <c r="A2819" s="27"/>
      <c r="B2819" s="27"/>
      <c r="C2819" s="27"/>
      <c r="D2819" s="27"/>
      <c r="E2819" s="27"/>
      <c r="F2819" s="27"/>
      <c r="G2819" s="27"/>
      <c r="H2819" s="27"/>
      <c r="I2819" s="27"/>
    </row>
    <row r="2820" spans="1:9" x14ac:dyDescent="0.35">
      <c r="A2820" s="27"/>
      <c r="B2820" s="27"/>
      <c r="C2820" s="27"/>
      <c r="D2820" s="27"/>
      <c r="E2820" s="27"/>
      <c r="F2820" s="27"/>
      <c r="G2820" s="27"/>
      <c r="H2820" s="27"/>
      <c r="I2820" s="27"/>
    </row>
    <row r="2821" spans="1:9" x14ac:dyDescent="0.35">
      <c r="A2821" s="27"/>
      <c r="B2821" s="27"/>
      <c r="C2821" s="27"/>
      <c r="D2821" s="27"/>
      <c r="E2821" s="27"/>
      <c r="F2821" s="27"/>
      <c r="G2821" s="27"/>
      <c r="H2821" s="27"/>
      <c r="I2821" s="27"/>
    </row>
    <row r="2822" spans="1:9" x14ac:dyDescent="0.35">
      <c r="A2822" s="27"/>
      <c r="B2822" s="27"/>
      <c r="C2822" s="27"/>
      <c r="D2822" s="27"/>
      <c r="E2822" s="27"/>
      <c r="F2822" s="27"/>
      <c r="G2822" s="27"/>
      <c r="H2822" s="27"/>
      <c r="I2822" s="27"/>
    </row>
    <row r="2823" spans="1:9" x14ac:dyDescent="0.35">
      <c r="A2823" s="27"/>
      <c r="B2823" s="27"/>
      <c r="C2823" s="27"/>
      <c r="D2823" s="27"/>
      <c r="E2823" s="27"/>
      <c r="F2823" s="27"/>
      <c r="G2823" s="27"/>
      <c r="H2823" s="27"/>
      <c r="I2823" s="27"/>
    </row>
    <row r="2824" spans="1:9" x14ac:dyDescent="0.35">
      <c r="A2824" s="27"/>
      <c r="B2824" s="27"/>
      <c r="C2824" s="27"/>
      <c r="D2824" s="27"/>
      <c r="E2824" s="27"/>
      <c r="F2824" s="27"/>
      <c r="G2824" s="27"/>
      <c r="H2824" s="27"/>
      <c r="I2824" s="27"/>
    </row>
    <row r="2825" spans="1:9" x14ac:dyDescent="0.35">
      <c r="A2825" s="27"/>
      <c r="B2825" s="27"/>
      <c r="C2825" s="27"/>
      <c r="D2825" s="27"/>
      <c r="E2825" s="27"/>
      <c r="F2825" s="27"/>
      <c r="G2825" s="27"/>
      <c r="H2825" s="27"/>
      <c r="I2825" s="27"/>
    </row>
    <row r="2826" spans="1:9" x14ac:dyDescent="0.35">
      <c r="A2826" s="27"/>
      <c r="B2826" s="27"/>
      <c r="C2826" s="27"/>
      <c r="D2826" s="27"/>
      <c r="E2826" s="27"/>
      <c r="F2826" s="27"/>
      <c r="G2826" s="27"/>
      <c r="H2826" s="27"/>
      <c r="I2826" s="27"/>
    </row>
    <row r="2827" spans="1:9" x14ac:dyDescent="0.35">
      <c r="A2827" s="27"/>
      <c r="B2827" s="27"/>
      <c r="C2827" s="27"/>
      <c r="D2827" s="27"/>
      <c r="E2827" s="27"/>
      <c r="F2827" s="27"/>
      <c r="G2827" s="27"/>
      <c r="H2827" s="27"/>
      <c r="I2827" s="27"/>
    </row>
    <row r="2828" spans="1:9" x14ac:dyDescent="0.35">
      <c r="A2828" s="27"/>
      <c r="B2828" s="27"/>
      <c r="C2828" s="27"/>
      <c r="D2828" s="27"/>
      <c r="E2828" s="27"/>
      <c r="F2828" s="27"/>
      <c r="G2828" s="27"/>
      <c r="H2828" s="27"/>
      <c r="I2828" s="27"/>
    </row>
    <row r="2829" spans="1:9" x14ac:dyDescent="0.35">
      <c r="A2829" s="27"/>
      <c r="B2829" s="27"/>
      <c r="C2829" s="27"/>
      <c r="D2829" s="27"/>
      <c r="E2829" s="27"/>
      <c r="F2829" s="27"/>
      <c r="G2829" s="27"/>
      <c r="H2829" s="27"/>
      <c r="I2829" s="27"/>
    </row>
    <row r="2830" spans="1:9" x14ac:dyDescent="0.35">
      <c r="A2830" s="27"/>
      <c r="B2830" s="27"/>
      <c r="C2830" s="27"/>
      <c r="D2830" s="27"/>
      <c r="E2830" s="27"/>
      <c r="F2830" s="27"/>
      <c r="G2830" s="27"/>
      <c r="H2830" s="27"/>
      <c r="I2830" s="27"/>
    </row>
    <row r="2831" spans="1:9" x14ac:dyDescent="0.35">
      <c r="A2831" s="27"/>
      <c r="B2831" s="27"/>
      <c r="C2831" s="27"/>
      <c r="D2831" s="27"/>
      <c r="E2831" s="27"/>
      <c r="F2831" s="27"/>
      <c r="G2831" s="27"/>
      <c r="H2831" s="27"/>
      <c r="I2831" s="27"/>
    </row>
    <row r="2832" spans="1:9" x14ac:dyDescent="0.35">
      <c r="A2832" s="27"/>
      <c r="B2832" s="27"/>
      <c r="C2832" s="27"/>
      <c r="D2832" s="27"/>
      <c r="E2832" s="27"/>
      <c r="F2832" s="27"/>
      <c r="G2832" s="27"/>
      <c r="H2832" s="27"/>
      <c r="I2832" s="27"/>
    </row>
    <row r="2833" spans="1:9" x14ac:dyDescent="0.35">
      <c r="A2833" s="27"/>
      <c r="B2833" s="27"/>
      <c r="C2833" s="27"/>
      <c r="D2833" s="27"/>
      <c r="E2833" s="27"/>
      <c r="F2833" s="27"/>
      <c r="G2833" s="27"/>
      <c r="H2833" s="27"/>
      <c r="I2833" s="27"/>
    </row>
    <row r="2834" spans="1:9" x14ac:dyDescent="0.35">
      <c r="A2834" s="27"/>
      <c r="B2834" s="27"/>
      <c r="C2834" s="27"/>
      <c r="D2834" s="27"/>
      <c r="E2834" s="27"/>
      <c r="F2834" s="27"/>
      <c r="G2834" s="27"/>
      <c r="H2834" s="27"/>
      <c r="I2834" s="27"/>
    </row>
    <row r="2835" spans="1:9" x14ac:dyDescent="0.35">
      <c r="A2835" s="27"/>
      <c r="B2835" s="27"/>
      <c r="C2835" s="27"/>
      <c r="D2835" s="27"/>
      <c r="E2835" s="27"/>
      <c r="F2835" s="27"/>
      <c r="G2835" s="27"/>
      <c r="H2835" s="27"/>
      <c r="I2835" s="27"/>
    </row>
    <row r="2836" spans="1:9" x14ac:dyDescent="0.35">
      <c r="A2836" s="27"/>
      <c r="B2836" s="27"/>
      <c r="C2836" s="27"/>
      <c r="D2836" s="27"/>
      <c r="E2836" s="27"/>
      <c r="F2836" s="27"/>
      <c r="G2836" s="27"/>
      <c r="H2836" s="27"/>
      <c r="I2836" s="27"/>
    </row>
    <row r="2837" spans="1:9" x14ac:dyDescent="0.35">
      <c r="A2837" s="27"/>
      <c r="B2837" s="27"/>
      <c r="C2837" s="27"/>
      <c r="D2837" s="27"/>
      <c r="E2837" s="27"/>
      <c r="F2837" s="27"/>
      <c r="G2837" s="27"/>
      <c r="H2837" s="27"/>
      <c r="I2837" s="27"/>
    </row>
    <row r="2838" spans="1:9" x14ac:dyDescent="0.35">
      <c r="A2838" s="27"/>
      <c r="B2838" s="27"/>
      <c r="C2838" s="27"/>
      <c r="D2838" s="27"/>
      <c r="E2838" s="27"/>
      <c r="F2838" s="27"/>
      <c r="G2838" s="27"/>
      <c r="H2838" s="27"/>
      <c r="I2838" s="27"/>
    </row>
    <row r="2839" spans="1:9" x14ac:dyDescent="0.35">
      <c r="A2839" s="27"/>
      <c r="B2839" s="27"/>
      <c r="C2839" s="27"/>
      <c r="D2839" s="27"/>
      <c r="E2839" s="27"/>
      <c r="F2839" s="27"/>
      <c r="G2839" s="27"/>
      <c r="H2839" s="27"/>
      <c r="I2839" s="27"/>
    </row>
    <row r="2840" spans="1:9" x14ac:dyDescent="0.35">
      <c r="A2840" s="27"/>
      <c r="B2840" s="27"/>
      <c r="C2840" s="27"/>
      <c r="D2840" s="27"/>
      <c r="E2840" s="27"/>
      <c r="F2840" s="27"/>
      <c r="G2840" s="27"/>
      <c r="H2840" s="27"/>
      <c r="I2840" s="27"/>
    </row>
    <row r="2841" spans="1:9" x14ac:dyDescent="0.35">
      <c r="A2841" s="27"/>
      <c r="B2841" s="27"/>
      <c r="C2841" s="27"/>
      <c r="D2841" s="27"/>
      <c r="E2841" s="27"/>
      <c r="F2841" s="27"/>
      <c r="G2841" s="27"/>
      <c r="H2841" s="27"/>
      <c r="I2841" s="27"/>
    </row>
    <row r="2842" spans="1:9" x14ac:dyDescent="0.35">
      <c r="A2842" s="27"/>
      <c r="B2842" s="27"/>
      <c r="C2842" s="27"/>
      <c r="D2842" s="27"/>
      <c r="E2842" s="27"/>
      <c r="F2842" s="27"/>
      <c r="G2842" s="27"/>
      <c r="H2842" s="27"/>
      <c r="I2842" s="27"/>
    </row>
    <row r="2843" spans="1:9" x14ac:dyDescent="0.35">
      <c r="A2843" s="27"/>
      <c r="B2843" s="27"/>
      <c r="C2843" s="27"/>
      <c r="D2843" s="27"/>
      <c r="E2843" s="27"/>
      <c r="F2843" s="27"/>
      <c r="G2843" s="27"/>
      <c r="H2843" s="27"/>
      <c r="I2843" s="27"/>
    </row>
    <row r="2844" spans="1:9" x14ac:dyDescent="0.35">
      <c r="A2844" s="27"/>
      <c r="B2844" s="27"/>
      <c r="C2844" s="27"/>
      <c r="D2844" s="27"/>
      <c r="E2844" s="27"/>
      <c r="F2844" s="27"/>
      <c r="G2844" s="27"/>
      <c r="H2844" s="27"/>
      <c r="I2844" s="27"/>
    </row>
    <row r="2845" spans="1:9" x14ac:dyDescent="0.35">
      <c r="A2845" s="27"/>
      <c r="B2845" s="27"/>
      <c r="C2845" s="27"/>
      <c r="D2845" s="27"/>
      <c r="E2845" s="27"/>
      <c r="F2845" s="27"/>
      <c r="G2845" s="27"/>
      <c r="H2845" s="27"/>
      <c r="I2845" s="27"/>
    </row>
    <row r="2846" spans="1:9" x14ac:dyDescent="0.35">
      <c r="A2846" s="27"/>
      <c r="B2846" s="27"/>
      <c r="C2846" s="27"/>
      <c r="D2846" s="27"/>
      <c r="E2846" s="27"/>
      <c r="F2846" s="27"/>
      <c r="G2846" s="27"/>
      <c r="H2846" s="27"/>
      <c r="I2846" s="27"/>
    </row>
    <row r="2847" spans="1:9" x14ac:dyDescent="0.35">
      <c r="A2847" s="27"/>
      <c r="B2847" s="27"/>
      <c r="C2847" s="27"/>
      <c r="D2847" s="27"/>
      <c r="E2847" s="27"/>
      <c r="F2847" s="27"/>
      <c r="G2847" s="27"/>
      <c r="H2847" s="27"/>
      <c r="I2847" s="27"/>
    </row>
    <row r="2848" spans="1:9" x14ac:dyDescent="0.35">
      <c r="A2848" s="27"/>
      <c r="B2848" s="27"/>
      <c r="C2848" s="27"/>
      <c r="D2848" s="27"/>
      <c r="E2848" s="27"/>
      <c r="F2848" s="27"/>
      <c r="G2848" s="27"/>
      <c r="H2848" s="27"/>
      <c r="I2848" s="27"/>
    </row>
    <row r="2849" spans="1:9" x14ac:dyDescent="0.35">
      <c r="A2849" s="27"/>
      <c r="B2849" s="27"/>
      <c r="C2849" s="27"/>
      <c r="D2849" s="27"/>
      <c r="E2849" s="27"/>
      <c r="F2849" s="27"/>
      <c r="G2849" s="27"/>
      <c r="H2849" s="27"/>
      <c r="I2849" s="27"/>
    </row>
    <row r="2850" spans="1:9" x14ac:dyDescent="0.35">
      <c r="A2850" s="27"/>
      <c r="B2850" s="27"/>
      <c r="C2850" s="27"/>
      <c r="D2850" s="27"/>
      <c r="E2850" s="27"/>
      <c r="F2850" s="27"/>
      <c r="G2850" s="27"/>
      <c r="H2850" s="27"/>
      <c r="I2850" s="27"/>
    </row>
    <row r="2851" spans="1:9" x14ac:dyDescent="0.35">
      <c r="A2851" s="27"/>
      <c r="B2851" s="27"/>
      <c r="C2851" s="27"/>
      <c r="D2851" s="27"/>
      <c r="E2851" s="27"/>
      <c r="F2851" s="27"/>
      <c r="G2851" s="27"/>
      <c r="H2851" s="27"/>
      <c r="I2851" s="27"/>
    </row>
    <row r="2852" spans="1:9" x14ac:dyDescent="0.35">
      <c r="A2852" s="27"/>
      <c r="B2852" s="27"/>
      <c r="C2852" s="27"/>
      <c r="D2852" s="27"/>
      <c r="E2852" s="27"/>
      <c r="F2852" s="27"/>
      <c r="G2852" s="27"/>
      <c r="H2852" s="27"/>
      <c r="I2852" s="27"/>
    </row>
    <row r="2853" spans="1:9" x14ac:dyDescent="0.35">
      <c r="A2853" s="27"/>
      <c r="B2853" s="27"/>
      <c r="C2853" s="27"/>
      <c r="D2853" s="27"/>
      <c r="E2853" s="27"/>
      <c r="F2853" s="27"/>
      <c r="G2853" s="27"/>
      <c r="H2853" s="27"/>
      <c r="I2853" s="27"/>
    </row>
    <row r="2854" spans="1:9" x14ac:dyDescent="0.35">
      <c r="A2854" s="27"/>
      <c r="B2854" s="27"/>
      <c r="C2854" s="27"/>
      <c r="D2854" s="27"/>
      <c r="E2854" s="27"/>
      <c r="F2854" s="27"/>
      <c r="G2854" s="27"/>
      <c r="H2854" s="27"/>
      <c r="I2854" s="27"/>
    </row>
    <row r="2855" spans="1:9" x14ac:dyDescent="0.35">
      <c r="A2855" s="27"/>
      <c r="B2855" s="27"/>
      <c r="C2855" s="27"/>
      <c r="D2855" s="27"/>
      <c r="E2855" s="27"/>
      <c r="F2855" s="27"/>
      <c r="G2855" s="27"/>
      <c r="H2855" s="27"/>
      <c r="I2855" s="27"/>
    </row>
    <row r="2856" spans="1:9" x14ac:dyDescent="0.35">
      <c r="A2856" s="27"/>
      <c r="B2856" s="27"/>
      <c r="C2856" s="27"/>
      <c r="D2856" s="27"/>
      <c r="E2856" s="27"/>
      <c r="F2856" s="27"/>
      <c r="G2856" s="27"/>
      <c r="H2856" s="27"/>
      <c r="I2856" s="27"/>
    </row>
    <row r="2857" spans="1:9" x14ac:dyDescent="0.35">
      <c r="A2857" s="27"/>
      <c r="B2857" s="27"/>
      <c r="C2857" s="27"/>
      <c r="D2857" s="27"/>
      <c r="E2857" s="27"/>
      <c r="F2857" s="27"/>
      <c r="G2857" s="27"/>
      <c r="H2857" s="27"/>
      <c r="I2857" s="27"/>
    </row>
    <row r="2858" spans="1:9" x14ac:dyDescent="0.35">
      <c r="A2858" s="27"/>
      <c r="B2858" s="27"/>
      <c r="C2858" s="27"/>
      <c r="D2858" s="27"/>
      <c r="E2858" s="27"/>
      <c r="F2858" s="27"/>
      <c r="G2858" s="27"/>
      <c r="H2858" s="27"/>
      <c r="I2858" s="27"/>
    </row>
    <row r="2859" spans="1:9" x14ac:dyDescent="0.35">
      <c r="A2859" s="27"/>
      <c r="B2859" s="27"/>
      <c r="C2859" s="27"/>
      <c r="D2859" s="27"/>
      <c r="E2859" s="27"/>
      <c r="F2859" s="27"/>
      <c r="G2859" s="27"/>
      <c r="H2859" s="27"/>
      <c r="I2859" s="27"/>
    </row>
    <row r="2860" spans="1:9" x14ac:dyDescent="0.35">
      <c r="A2860" s="27"/>
      <c r="B2860" s="27"/>
      <c r="C2860" s="27"/>
      <c r="D2860" s="27"/>
      <c r="E2860" s="27"/>
      <c r="F2860" s="27"/>
      <c r="G2860" s="27"/>
      <c r="H2860" s="27"/>
      <c r="I2860" s="27"/>
    </row>
    <row r="2861" spans="1:9" x14ac:dyDescent="0.35">
      <c r="A2861" s="27"/>
      <c r="B2861" s="27"/>
      <c r="C2861" s="27"/>
      <c r="D2861" s="27"/>
      <c r="E2861" s="27"/>
      <c r="F2861" s="27"/>
      <c r="G2861" s="27"/>
      <c r="H2861" s="27"/>
      <c r="I2861" s="27"/>
    </row>
    <row r="2862" spans="1:9" x14ac:dyDescent="0.35">
      <c r="A2862" s="27"/>
      <c r="B2862" s="27"/>
      <c r="C2862" s="27"/>
      <c r="D2862" s="27"/>
      <c r="E2862" s="27"/>
      <c r="F2862" s="27"/>
      <c r="G2862" s="27"/>
      <c r="H2862" s="27"/>
      <c r="I2862" s="27"/>
    </row>
    <row r="2863" spans="1:9" x14ac:dyDescent="0.35">
      <c r="A2863" s="27"/>
      <c r="B2863" s="27"/>
      <c r="C2863" s="27"/>
      <c r="D2863" s="27"/>
      <c r="E2863" s="27"/>
      <c r="F2863" s="27"/>
      <c r="G2863" s="27"/>
      <c r="H2863" s="27"/>
      <c r="I2863" s="27"/>
    </row>
    <row r="2864" spans="1:9" x14ac:dyDescent="0.35">
      <c r="A2864" s="27"/>
      <c r="B2864" s="27"/>
      <c r="C2864" s="27"/>
      <c r="D2864" s="27"/>
      <c r="E2864" s="27"/>
      <c r="F2864" s="27"/>
      <c r="G2864" s="27"/>
      <c r="H2864" s="27"/>
      <c r="I2864" s="27"/>
    </row>
    <row r="2865" spans="1:9" x14ac:dyDescent="0.35">
      <c r="A2865" s="27"/>
      <c r="B2865" s="27"/>
      <c r="C2865" s="27"/>
      <c r="D2865" s="27"/>
      <c r="E2865" s="27"/>
      <c r="F2865" s="27"/>
      <c r="G2865" s="27"/>
      <c r="H2865" s="27"/>
      <c r="I2865" s="27"/>
    </row>
    <row r="2866" spans="1:9" x14ac:dyDescent="0.35">
      <c r="A2866" s="27"/>
      <c r="B2866" s="27"/>
      <c r="C2866" s="27"/>
      <c r="D2866" s="27"/>
      <c r="E2866" s="27"/>
      <c r="F2866" s="27"/>
      <c r="G2866" s="27"/>
      <c r="H2866" s="27"/>
      <c r="I2866" s="27"/>
    </row>
    <row r="2867" spans="1:9" x14ac:dyDescent="0.35">
      <c r="A2867" s="27"/>
      <c r="B2867" s="27"/>
      <c r="C2867" s="27"/>
      <c r="D2867" s="27"/>
      <c r="E2867" s="27"/>
      <c r="F2867" s="27"/>
      <c r="G2867" s="27"/>
      <c r="H2867" s="27"/>
      <c r="I2867" s="27"/>
    </row>
    <row r="2868" spans="1:9" x14ac:dyDescent="0.35">
      <c r="A2868" s="27"/>
      <c r="B2868" s="27"/>
      <c r="C2868" s="27"/>
      <c r="D2868" s="27"/>
      <c r="E2868" s="27"/>
      <c r="F2868" s="27"/>
      <c r="G2868" s="27"/>
      <c r="H2868" s="27"/>
      <c r="I2868" s="27"/>
    </row>
    <row r="2869" spans="1:9" x14ac:dyDescent="0.35">
      <c r="A2869" s="27"/>
      <c r="B2869" s="27"/>
      <c r="C2869" s="27"/>
      <c r="D2869" s="27"/>
      <c r="E2869" s="27"/>
      <c r="F2869" s="27"/>
      <c r="G2869" s="27"/>
      <c r="H2869" s="27"/>
      <c r="I2869" s="27"/>
    </row>
    <row r="2870" spans="1:9" x14ac:dyDescent="0.35">
      <c r="A2870" s="27"/>
      <c r="B2870" s="27"/>
      <c r="C2870" s="27"/>
      <c r="D2870" s="27"/>
      <c r="E2870" s="27"/>
      <c r="F2870" s="27"/>
      <c r="G2870" s="27"/>
      <c r="H2870" s="27"/>
      <c r="I2870" s="27"/>
    </row>
    <row r="2871" spans="1:9" x14ac:dyDescent="0.35">
      <c r="A2871" s="27"/>
      <c r="B2871" s="27"/>
      <c r="C2871" s="27"/>
      <c r="D2871" s="27"/>
      <c r="E2871" s="27"/>
      <c r="F2871" s="27"/>
      <c r="G2871" s="27"/>
      <c r="H2871" s="27"/>
      <c r="I2871" s="27"/>
    </row>
    <row r="2872" spans="1:9" x14ac:dyDescent="0.35">
      <c r="A2872" s="27"/>
      <c r="B2872" s="27"/>
      <c r="C2872" s="27"/>
      <c r="D2872" s="27"/>
      <c r="E2872" s="27"/>
      <c r="F2872" s="27"/>
      <c r="G2872" s="27"/>
      <c r="H2872" s="27"/>
      <c r="I2872" s="27"/>
    </row>
    <row r="2873" spans="1:9" x14ac:dyDescent="0.35">
      <c r="A2873" s="27"/>
      <c r="B2873" s="27"/>
      <c r="C2873" s="27"/>
      <c r="D2873" s="27"/>
      <c r="E2873" s="27"/>
      <c r="F2873" s="27"/>
      <c r="G2873" s="27"/>
      <c r="H2873" s="27"/>
      <c r="I2873" s="27"/>
    </row>
    <row r="2874" spans="1:9" x14ac:dyDescent="0.35">
      <c r="A2874" s="27"/>
      <c r="B2874" s="27"/>
      <c r="C2874" s="27"/>
      <c r="D2874" s="27"/>
      <c r="E2874" s="27"/>
      <c r="F2874" s="27"/>
      <c r="G2874" s="27"/>
      <c r="H2874" s="27"/>
      <c r="I2874" s="27"/>
    </row>
    <row r="2875" spans="1:9" x14ac:dyDescent="0.35">
      <c r="A2875" s="27"/>
      <c r="B2875" s="27"/>
      <c r="C2875" s="27"/>
      <c r="D2875" s="27"/>
      <c r="E2875" s="27"/>
      <c r="F2875" s="27"/>
      <c r="G2875" s="27"/>
      <c r="H2875" s="27"/>
      <c r="I2875" s="27"/>
    </row>
    <row r="2876" spans="1:9" x14ac:dyDescent="0.35">
      <c r="A2876" s="27"/>
      <c r="B2876" s="27"/>
      <c r="C2876" s="27"/>
      <c r="D2876" s="27"/>
      <c r="E2876" s="27"/>
      <c r="F2876" s="27"/>
      <c r="G2876" s="27"/>
      <c r="H2876" s="27"/>
      <c r="I2876" s="27"/>
    </row>
    <row r="2877" spans="1:9" x14ac:dyDescent="0.35">
      <c r="A2877" s="27"/>
      <c r="B2877" s="27"/>
      <c r="C2877" s="27"/>
      <c r="D2877" s="27"/>
      <c r="E2877" s="27"/>
      <c r="F2877" s="27"/>
      <c r="G2877" s="27"/>
      <c r="H2877" s="27"/>
      <c r="I2877" s="27"/>
    </row>
    <row r="2878" spans="1:9" x14ac:dyDescent="0.35">
      <c r="A2878" s="27"/>
      <c r="B2878" s="27"/>
      <c r="C2878" s="27"/>
      <c r="D2878" s="27"/>
      <c r="E2878" s="27"/>
      <c r="F2878" s="27"/>
      <c r="G2878" s="27"/>
      <c r="H2878" s="27"/>
      <c r="I2878" s="27"/>
    </row>
    <row r="2879" spans="1:9" x14ac:dyDescent="0.35">
      <c r="A2879" s="27"/>
      <c r="B2879" s="27"/>
      <c r="C2879" s="27"/>
      <c r="D2879" s="27"/>
      <c r="E2879" s="27"/>
      <c r="F2879" s="27"/>
      <c r="G2879" s="27"/>
      <c r="H2879" s="27"/>
      <c r="I2879" s="27"/>
    </row>
    <row r="2880" spans="1:9" x14ac:dyDescent="0.35">
      <c r="A2880" s="27"/>
      <c r="B2880" s="27"/>
      <c r="C2880" s="27"/>
      <c r="D2880" s="27"/>
      <c r="E2880" s="27"/>
      <c r="F2880" s="27"/>
      <c r="G2880" s="27"/>
      <c r="H2880" s="27"/>
      <c r="I2880" s="27"/>
    </row>
    <row r="2881" spans="1:9" x14ac:dyDescent="0.35">
      <c r="A2881" s="27"/>
      <c r="B2881" s="27"/>
      <c r="C2881" s="27"/>
      <c r="D2881" s="27"/>
      <c r="E2881" s="27"/>
      <c r="F2881" s="27"/>
      <c r="G2881" s="27"/>
      <c r="H2881" s="27"/>
      <c r="I2881" s="27"/>
    </row>
    <row r="2882" spans="1:9" x14ac:dyDescent="0.35">
      <c r="A2882" s="27"/>
      <c r="B2882" s="27"/>
      <c r="C2882" s="27"/>
      <c r="D2882" s="27"/>
      <c r="E2882" s="27"/>
      <c r="F2882" s="27"/>
      <c r="G2882" s="27"/>
      <c r="H2882" s="27"/>
      <c r="I2882" s="27"/>
    </row>
    <row r="2883" spans="1:9" x14ac:dyDescent="0.35">
      <c r="A2883" s="27"/>
      <c r="B2883" s="27"/>
      <c r="C2883" s="27"/>
      <c r="D2883" s="27"/>
      <c r="E2883" s="27"/>
      <c r="F2883" s="27"/>
      <c r="G2883" s="27"/>
      <c r="H2883" s="27"/>
      <c r="I2883" s="27"/>
    </row>
    <row r="2884" spans="1:9" x14ac:dyDescent="0.35">
      <c r="A2884" s="27"/>
      <c r="B2884" s="27"/>
      <c r="C2884" s="27"/>
      <c r="D2884" s="27"/>
      <c r="E2884" s="27"/>
      <c r="F2884" s="27"/>
      <c r="G2884" s="27"/>
      <c r="H2884" s="27"/>
      <c r="I2884" s="27"/>
    </row>
    <row r="2885" spans="1:9" x14ac:dyDescent="0.35">
      <c r="A2885" s="27"/>
      <c r="B2885" s="27"/>
      <c r="C2885" s="27"/>
      <c r="D2885" s="27"/>
      <c r="E2885" s="27"/>
      <c r="F2885" s="27"/>
      <c r="G2885" s="27"/>
      <c r="H2885" s="27"/>
      <c r="I2885" s="27"/>
    </row>
    <row r="2886" spans="1:9" x14ac:dyDescent="0.35">
      <c r="A2886" s="27"/>
      <c r="B2886" s="27"/>
      <c r="C2886" s="27"/>
      <c r="D2886" s="27"/>
      <c r="E2886" s="27"/>
      <c r="F2886" s="27"/>
      <c r="G2886" s="27"/>
      <c r="H2886" s="27"/>
      <c r="I2886" s="27"/>
    </row>
    <row r="2887" spans="1:9" x14ac:dyDescent="0.35">
      <c r="A2887" s="27"/>
      <c r="B2887" s="27"/>
      <c r="C2887" s="27"/>
      <c r="D2887" s="27"/>
      <c r="E2887" s="27"/>
      <c r="F2887" s="27"/>
      <c r="G2887" s="27"/>
      <c r="H2887" s="27"/>
      <c r="I2887" s="27"/>
    </row>
    <row r="2888" spans="1:9" x14ac:dyDescent="0.35">
      <c r="A2888" s="27"/>
      <c r="B2888" s="27"/>
      <c r="C2888" s="27"/>
      <c r="D2888" s="27"/>
      <c r="E2888" s="27"/>
      <c r="F2888" s="27"/>
      <c r="G2888" s="27"/>
      <c r="H2888" s="27"/>
      <c r="I2888" s="27"/>
    </row>
    <row r="2889" spans="1:9" x14ac:dyDescent="0.35">
      <c r="A2889" s="27"/>
      <c r="B2889" s="27"/>
      <c r="C2889" s="27"/>
      <c r="D2889" s="27"/>
      <c r="E2889" s="27"/>
      <c r="F2889" s="27"/>
      <c r="G2889" s="27"/>
      <c r="H2889" s="27"/>
      <c r="I2889" s="27"/>
    </row>
    <row r="2890" spans="1:9" x14ac:dyDescent="0.35">
      <c r="A2890" s="27"/>
      <c r="B2890" s="27"/>
      <c r="C2890" s="27"/>
      <c r="D2890" s="27"/>
      <c r="E2890" s="27"/>
      <c r="F2890" s="27"/>
      <c r="G2890" s="27"/>
      <c r="H2890" s="27"/>
      <c r="I2890" s="27"/>
    </row>
    <row r="2891" spans="1:9" x14ac:dyDescent="0.35">
      <c r="A2891" s="27"/>
      <c r="B2891" s="27"/>
      <c r="C2891" s="27"/>
      <c r="D2891" s="27"/>
      <c r="E2891" s="27"/>
      <c r="F2891" s="27"/>
      <c r="G2891" s="27"/>
      <c r="H2891" s="27"/>
      <c r="I2891" s="27"/>
    </row>
    <row r="2892" spans="1:9" x14ac:dyDescent="0.35">
      <c r="A2892" s="27"/>
      <c r="B2892" s="27"/>
      <c r="C2892" s="27"/>
      <c r="D2892" s="27"/>
      <c r="E2892" s="27"/>
      <c r="F2892" s="27"/>
      <c r="G2892" s="27"/>
      <c r="H2892" s="27"/>
      <c r="I2892" s="27"/>
    </row>
    <row r="2893" spans="1:9" x14ac:dyDescent="0.35">
      <c r="A2893" s="27"/>
      <c r="B2893" s="27"/>
      <c r="C2893" s="27"/>
      <c r="D2893" s="27"/>
      <c r="E2893" s="27"/>
      <c r="F2893" s="27"/>
      <c r="G2893" s="27"/>
      <c r="H2893" s="27"/>
      <c r="I2893" s="27"/>
    </row>
    <row r="2894" spans="1:9" x14ac:dyDescent="0.35">
      <c r="A2894" s="27"/>
      <c r="B2894" s="27"/>
      <c r="C2894" s="27"/>
      <c r="D2894" s="27"/>
      <c r="E2894" s="27"/>
      <c r="F2894" s="27"/>
      <c r="G2894" s="27"/>
      <c r="H2894" s="27"/>
      <c r="I2894" s="27"/>
    </row>
    <row r="2895" spans="1:9" x14ac:dyDescent="0.35">
      <c r="A2895" s="27"/>
      <c r="B2895" s="27"/>
      <c r="C2895" s="27"/>
      <c r="D2895" s="27"/>
      <c r="E2895" s="27"/>
      <c r="F2895" s="27"/>
      <c r="G2895" s="27"/>
      <c r="H2895" s="27"/>
      <c r="I2895" s="27"/>
    </row>
    <row r="2896" spans="1:9" x14ac:dyDescent="0.35">
      <c r="A2896" s="27"/>
      <c r="B2896" s="27"/>
      <c r="C2896" s="27"/>
      <c r="D2896" s="27"/>
      <c r="E2896" s="27"/>
      <c r="F2896" s="27"/>
      <c r="G2896" s="27"/>
      <c r="H2896" s="27"/>
      <c r="I2896" s="27"/>
    </row>
    <row r="2897" spans="1:9" x14ac:dyDescent="0.35">
      <c r="A2897" s="27"/>
      <c r="B2897" s="27"/>
      <c r="C2897" s="27"/>
      <c r="D2897" s="27"/>
      <c r="E2897" s="27"/>
      <c r="F2897" s="27"/>
      <c r="G2897" s="27"/>
      <c r="H2897" s="27"/>
      <c r="I2897" s="27"/>
    </row>
    <row r="2898" spans="1:9" x14ac:dyDescent="0.35">
      <c r="A2898" s="27"/>
      <c r="B2898" s="27"/>
      <c r="C2898" s="27"/>
      <c r="D2898" s="27"/>
      <c r="E2898" s="27"/>
      <c r="F2898" s="27"/>
      <c r="G2898" s="27"/>
      <c r="H2898" s="27"/>
      <c r="I2898" s="27"/>
    </row>
    <row r="2899" spans="1:9" x14ac:dyDescent="0.35">
      <c r="A2899" s="27"/>
      <c r="B2899" s="27"/>
      <c r="C2899" s="27"/>
      <c r="D2899" s="27"/>
      <c r="E2899" s="27"/>
      <c r="F2899" s="27"/>
      <c r="G2899" s="27"/>
      <c r="H2899" s="27"/>
      <c r="I2899" s="27"/>
    </row>
    <row r="2900" spans="1:9" x14ac:dyDescent="0.35">
      <c r="A2900" s="27"/>
      <c r="B2900" s="27"/>
      <c r="C2900" s="27"/>
      <c r="D2900" s="27"/>
      <c r="E2900" s="27"/>
      <c r="F2900" s="27"/>
      <c r="G2900" s="27"/>
      <c r="H2900" s="27"/>
      <c r="I2900" s="27"/>
    </row>
    <row r="2901" spans="1:9" x14ac:dyDescent="0.35">
      <c r="A2901" s="27"/>
      <c r="B2901" s="27"/>
      <c r="C2901" s="27"/>
      <c r="D2901" s="27"/>
      <c r="E2901" s="27"/>
      <c r="F2901" s="27"/>
      <c r="G2901" s="27"/>
      <c r="H2901" s="27"/>
      <c r="I2901" s="27"/>
    </row>
    <row r="2902" spans="1:9" x14ac:dyDescent="0.35">
      <c r="A2902" s="27"/>
      <c r="B2902" s="27"/>
      <c r="C2902" s="27"/>
      <c r="D2902" s="27"/>
      <c r="E2902" s="27"/>
      <c r="F2902" s="27"/>
      <c r="G2902" s="27"/>
      <c r="H2902" s="27"/>
      <c r="I2902" s="27"/>
    </row>
    <row r="2903" spans="1:9" x14ac:dyDescent="0.35">
      <c r="A2903" s="27"/>
      <c r="B2903" s="27"/>
      <c r="C2903" s="27"/>
      <c r="D2903" s="27"/>
      <c r="E2903" s="27"/>
      <c r="F2903" s="27"/>
      <c r="G2903" s="27"/>
      <c r="H2903" s="27"/>
      <c r="I2903" s="27"/>
    </row>
    <row r="2904" spans="1:9" x14ac:dyDescent="0.35">
      <c r="A2904" s="27"/>
      <c r="B2904" s="27"/>
      <c r="C2904" s="27"/>
      <c r="D2904" s="27"/>
      <c r="E2904" s="27"/>
      <c r="F2904" s="27"/>
      <c r="G2904" s="27"/>
      <c r="H2904" s="27"/>
      <c r="I2904" s="27"/>
    </row>
    <row r="2905" spans="1:9" x14ac:dyDescent="0.35">
      <c r="A2905" s="27"/>
      <c r="B2905" s="27"/>
      <c r="C2905" s="27"/>
      <c r="D2905" s="27"/>
      <c r="E2905" s="27"/>
      <c r="F2905" s="27"/>
      <c r="G2905" s="27"/>
      <c r="H2905" s="27"/>
      <c r="I2905" s="27"/>
    </row>
    <row r="2906" spans="1:9" x14ac:dyDescent="0.35">
      <c r="A2906" s="27"/>
      <c r="B2906" s="27"/>
      <c r="C2906" s="27"/>
      <c r="D2906" s="27"/>
      <c r="E2906" s="27"/>
      <c r="F2906" s="27"/>
      <c r="G2906" s="27"/>
      <c r="H2906" s="27"/>
      <c r="I2906" s="27"/>
    </row>
    <row r="2907" spans="1:9" x14ac:dyDescent="0.35">
      <c r="A2907" s="27"/>
      <c r="B2907" s="27"/>
      <c r="C2907" s="27"/>
      <c r="D2907" s="27"/>
      <c r="E2907" s="27"/>
      <c r="F2907" s="27"/>
      <c r="G2907" s="27"/>
      <c r="H2907" s="27"/>
      <c r="I2907" s="27"/>
    </row>
    <row r="2908" spans="1:9" x14ac:dyDescent="0.35">
      <c r="A2908" s="27"/>
      <c r="B2908" s="27"/>
      <c r="C2908" s="27"/>
      <c r="D2908" s="27"/>
      <c r="E2908" s="27"/>
      <c r="F2908" s="27"/>
      <c r="G2908" s="27"/>
      <c r="H2908" s="27"/>
      <c r="I2908" s="27"/>
    </row>
    <row r="2909" spans="1:9" x14ac:dyDescent="0.35">
      <c r="A2909" s="27"/>
      <c r="B2909" s="27"/>
      <c r="C2909" s="27"/>
      <c r="D2909" s="27"/>
      <c r="E2909" s="27"/>
      <c r="F2909" s="27"/>
      <c r="G2909" s="27"/>
      <c r="H2909" s="27"/>
      <c r="I2909" s="27"/>
    </row>
    <row r="2910" spans="1:9" x14ac:dyDescent="0.35">
      <c r="A2910" s="27"/>
      <c r="B2910" s="27"/>
      <c r="C2910" s="27"/>
      <c r="D2910" s="27"/>
      <c r="E2910" s="27"/>
      <c r="F2910" s="27"/>
      <c r="G2910" s="27"/>
      <c r="H2910" s="27"/>
      <c r="I2910" s="27"/>
    </row>
    <row r="2911" spans="1:9" x14ac:dyDescent="0.35">
      <c r="A2911" s="27"/>
      <c r="B2911" s="27"/>
      <c r="C2911" s="27"/>
      <c r="D2911" s="27"/>
      <c r="E2911" s="27"/>
      <c r="F2911" s="27"/>
      <c r="G2911" s="27"/>
      <c r="H2911" s="27"/>
      <c r="I2911" s="27"/>
    </row>
    <row r="2912" spans="1:9" x14ac:dyDescent="0.35">
      <c r="A2912" s="27"/>
      <c r="B2912" s="27"/>
      <c r="C2912" s="27"/>
      <c r="D2912" s="27"/>
      <c r="E2912" s="27"/>
      <c r="F2912" s="27"/>
      <c r="G2912" s="27"/>
      <c r="H2912" s="27"/>
      <c r="I2912" s="27"/>
    </row>
    <row r="2913" spans="1:9" x14ac:dyDescent="0.35">
      <c r="A2913" s="27"/>
      <c r="B2913" s="27"/>
      <c r="C2913" s="27"/>
      <c r="D2913" s="27"/>
      <c r="E2913" s="27"/>
      <c r="F2913" s="27"/>
      <c r="G2913" s="27"/>
      <c r="H2913" s="27"/>
      <c r="I2913" s="27"/>
    </row>
    <row r="2914" spans="1:9" x14ac:dyDescent="0.35">
      <c r="A2914" s="27"/>
      <c r="B2914" s="27"/>
      <c r="C2914" s="27"/>
      <c r="D2914" s="27"/>
      <c r="E2914" s="27"/>
      <c r="F2914" s="27"/>
      <c r="G2914" s="27"/>
      <c r="H2914" s="27"/>
      <c r="I2914" s="27"/>
    </row>
    <row r="2915" spans="1:9" x14ac:dyDescent="0.35">
      <c r="A2915" s="27"/>
      <c r="B2915" s="27"/>
      <c r="C2915" s="27"/>
      <c r="D2915" s="27"/>
      <c r="E2915" s="27"/>
      <c r="F2915" s="27"/>
      <c r="G2915" s="27"/>
      <c r="H2915" s="27"/>
      <c r="I2915" s="27"/>
    </row>
    <row r="2916" spans="1:9" x14ac:dyDescent="0.35">
      <c r="A2916" s="27"/>
      <c r="B2916" s="27"/>
      <c r="C2916" s="27"/>
      <c r="D2916" s="27"/>
      <c r="E2916" s="27"/>
      <c r="F2916" s="27"/>
      <c r="G2916" s="27"/>
      <c r="H2916" s="27"/>
      <c r="I2916" s="27"/>
    </row>
    <row r="2917" spans="1:9" x14ac:dyDescent="0.35">
      <c r="A2917" s="27"/>
      <c r="B2917" s="27"/>
      <c r="C2917" s="27"/>
      <c r="D2917" s="27"/>
      <c r="E2917" s="27"/>
      <c r="F2917" s="27"/>
      <c r="G2917" s="27"/>
      <c r="H2917" s="27"/>
      <c r="I2917" s="27"/>
    </row>
    <row r="2918" spans="1:9" x14ac:dyDescent="0.35">
      <c r="A2918" s="27"/>
      <c r="B2918" s="27"/>
      <c r="C2918" s="27"/>
      <c r="D2918" s="27"/>
      <c r="E2918" s="27"/>
      <c r="F2918" s="27"/>
      <c r="G2918" s="27"/>
      <c r="H2918" s="27"/>
      <c r="I2918" s="27"/>
    </row>
    <row r="2919" spans="1:9" x14ac:dyDescent="0.35">
      <c r="A2919" s="27"/>
      <c r="B2919" s="27"/>
      <c r="C2919" s="27"/>
      <c r="D2919" s="27"/>
      <c r="E2919" s="27"/>
      <c r="F2919" s="27"/>
      <c r="G2919" s="27"/>
      <c r="H2919" s="27"/>
      <c r="I2919" s="27"/>
    </row>
    <row r="2920" spans="1:9" x14ac:dyDescent="0.35">
      <c r="A2920" s="27"/>
      <c r="B2920" s="27"/>
      <c r="C2920" s="27"/>
      <c r="D2920" s="27"/>
      <c r="E2920" s="27"/>
      <c r="F2920" s="27"/>
      <c r="G2920" s="27"/>
      <c r="H2920" s="27"/>
      <c r="I2920" s="27"/>
    </row>
    <row r="2921" spans="1:9" x14ac:dyDescent="0.35">
      <c r="A2921" s="27"/>
      <c r="B2921" s="27"/>
      <c r="C2921" s="27"/>
      <c r="D2921" s="27"/>
      <c r="E2921" s="27"/>
      <c r="F2921" s="27"/>
      <c r="G2921" s="27"/>
      <c r="H2921" s="27"/>
      <c r="I2921" s="27"/>
    </row>
    <row r="2922" spans="1:9" x14ac:dyDescent="0.35">
      <c r="A2922" s="27"/>
      <c r="B2922" s="27"/>
      <c r="C2922" s="27"/>
      <c r="D2922" s="27"/>
      <c r="E2922" s="27"/>
      <c r="F2922" s="27"/>
      <c r="G2922" s="27"/>
      <c r="H2922" s="27"/>
      <c r="I2922" s="27"/>
    </row>
    <row r="2923" spans="1:9" x14ac:dyDescent="0.35">
      <c r="A2923" s="27"/>
      <c r="B2923" s="27"/>
      <c r="C2923" s="27"/>
      <c r="D2923" s="27"/>
      <c r="E2923" s="27"/>
      <c r="F2923" s="27"/>
      <c r="G2923" s="27"/>
      <c r="H2923" s="27"/>
      <c r="I2923" s="27"/>
    </row>
    <row r="2924" spans="1:9" x14ac:dyDescent="0.35">
      <c r="A2924" s="27"/>
      <c r="B2924" s="27"/>
      <c r="C2924" s="27"/>
      <c r="D2924" s="27"/>
      <c r="E2924" s="27"/>
      <c r="F2924" s="27"/>
      <c r="G2924" s="27"/>
      <c r="H2924" s="27"/>
      <c r="I2924" s="27"/>
    </row>
    <row r="2925" spans="1:9" x14ac:dyDescent="0.35">
      <c r="A2925" s="27"/>
      <c r="B2925" s="27"/>
      <c r="C2925" s="27"/>
      <c r="D2925" s="27"/>
      <c r="E2925" s="27"/>
      <c r="F2925" s="27"/>
      <c r="G2925" s="27"/>
      <c r="H2925" s="27"/>
      <c r="I2925" s="27"/>
    </row>
    <row r="2926" spans="1:9" x14ac:dyDescent="0.35">
      <c r="A2926" s="27"/>
      <c r="B2926" s="27"/>
      <c r="C2926" s="27"/>
      <c r="D2926" s="27"/>
      <c r="E2926" s="27"/>
      <c r="F2926" s="27"/>
      <c r="G2926" s="27"/>
      <c r="H2926" s="27"/>
      <c r="I2926" s="27"/>
    </row>
    <row r="2927" spans="1:9" x14ac:dyDescent="0.35">
      <c r="A2927" s="27"/>
      <c r="B2927" s="27"/>
      <c r="C2927" s="27"/>
      <c r="D2927" s="27"/>
      <c r="E2927" s="27"/>
      <c r="F2927" s="27"/>
      <c r="G2927" s="27"/>
      <c r="H2927" s="27"/>
      <c r="I2927" s="27"/>
    </row>
    <row r="2928" spans="1:9" x14ac:dyDescent="0.35">
      <c r="A2928" s="27"/>
      <c r="B2928" s="27"/>
      <c r="C2928" s="27"/>
      <c r="D2928" s="27"/>
      <c r="E2928" s="27"/>
      <c r="F2928" s="27"/>
      <c r="G2928" s="27"/>
      <c r="H2928" s="27"/>
      <c r="I2928" s="27"/>
    </row>
    <row r="2929" spans="1:9" x14ac:dyDescent="0.35">
      <c r="A2929" s="27"/>
      <c r="B2929" s="27"/>
      <c r="C2929" s="27"/>
      <c r="D2929" s="27"/>
      <c r="E2929" s="27"/>
      <c r="F2929" s="27"/>
      <c r="G2929" s="27"/>
      <c r="H2929" s="27"/>
      <c r="I2929" s="27"/>
    </row>
    <row r="2930" spans="1:9" x14ac:dyDescent="0.35">
      <c r="A2930" s="27"/>
      <c r="B2930" s="27"/>
      <c r="C2930" s="27"/>
      <c r="D2930" s="27"/>
      <c r="E2930" s="27"/>
      <c r="F2930" s="27"/>
      <c r="G2930" s="27"/>
      <c r="H2930" s="27"/>
      <c r="I2930" s="27"/>
    </row>
    <row r="2931" spans="1:9" x14ac:dyDescent="0.35">
      <c r="A2931" s="27"/>
      <c r="B2931" s="27"/>
      <c r="C2931" s="27"/>
      <c r="D2931" s="27"/>
      <c r="E2931" s="27"/>
      <c r="F2931" s="27"/>
      <c r="G2931" s="27"/>
      <c r="H2931" s="27"/>
      <c r="I2931" s="27"/>
    </row>
    <row r="2932" spans="1:9" x14ac:dyDescent="0.35">
      <c r="A2932" s="27"/>
      <c r="B2932" s="27"/>
      <c r="C2932" s="27"/>
      <c r="D2932" s="27"/>
      <c r="E2932" s="27"/>
      <c r="F2932" s="27"/>
      <c r="G2932" s="27"/>
      <c r="H2932" s="27"/>
      <c r="I2932" s="27"/>
    </row>
    <row r="2933" spans="1:9" x14ac:dyDescent="0.35">
      <c r="A2933" s="27"/>
      <c r="B2933" s="27"/>
      <c r="C2933" s="27"/>
      <c r="D2933" s="27"/>
      <c r="E2933" s="27"/>
      <c r="F2933" s="27"/>
      <c r="G2933" s="27"/>
      <c r="H2933" s="27"/>
      <c r="I2933" s="27"/>
    </row>
    <row r="2934" spans="1:9" x14ac:dyDescent="0.35">
      <c r="A2934" s="27"/>
      <c r="B2934" s="27"/>
      <c r="C2934" s="27"/>
      <c r="D2934" s="27"/>
      <c r="E2934" s="27"/>
      <c r="F2934" s="27"/>
      <c r="G2934" s="27"/>
      <c r="H2934" s="27"/>
      <c r="I2934" s="27"/>
    </row>
    <row r="2935" spans="1:9" x14ac:dyDescent="0.35">
      <c r="A2935" s="27"/>
      <c r="B2935" s="27"/>
      <c r="C2935" s="27"/>
      <c r="D2935" s="27"/>
      <c r="E2935" s="27"/>
      <c r="F2935" s="27"/>
      <c r="G2935" s="27"/>
      <c r="H2935" s="27"/>
      <c r="I2935" s="27"/>
    </row>
    <row r="2936" spans="1:9" x14ac:dyDescent="0.35">
      <c r="A2936" s="27"/>
      <c r="B2936" s="27"/>
      <c r="C2936" s="27"/>
      <c r="D2936" s="27"/>
      <c r="E2936" s="27"/>
      <c r="F2936" s="27"/>
      <c r="G2936" s="27"/>
      <c r="H2936" s="27"/>
      <c r="I2936" s="27"/>
    </row>
    <row r="2937" spans="1:9" x14ac:dyDescent="0.35">
      <c r="A2937" s="27"/>
      <c r="B2937" s="27"/>
      <c r="C2937" s="27"/>
      <c r="D2937" s="27"/>
      <c r="E2937" s="27"/>
      <c r="F2937" s="27"/>
      <c r="G2937" s="27"/>
      <c r="H2937" s="27"/>
      <c r="I2937" s="27"/>
    </row>
    <row r="2938" spans="1:9" x14ac:dyDescent="0.35">
      <c r="A2938" s="27"/>
      <c r="B2938" s="27"/>
      <c r="C2938" s="27"/>
      <c r="D2938" s="27"/>
      <c r="E2938" s="27"/>
      <c r="F2938" s="27"/>
      <c r="G2938" s="27"/>
      <c r="H2938" s="27"/>
      <c r="I2938" s="27"/>
    </row>
    <row r="2939" spans="1:9" x14ac:dyDescent="0.35">
      <c r="A2939" s="27"/>
      <c r="B2939" s="27"/>
      <c r="C2939" s="27"/>
      <c r="D2939" s="27"/>
      <c r="E2939" s="27"/>
      <c r="F2939" s="27"/>
      <c r="G2939" s="27"/>
      <c r="H2939" s="27"/>
      <c r="I2939" s="27"/>
    </row>
    <row r="2940" spans="1:9" x14ac:dyDescent="0.35">
      <c r="A2940" s="27"/>
      <c r="B2940" s="27"/>
      <c r="C2940" s="27"/>
      <c r="D2940" s="27"/>
      <c r="E2940" s="27"/>
      <c r="F2940" s="27"/>
      <c r="G2940" s="27"/>
      <c r="H2940" s="27"/>
      <c r="I2940" s="27"/>
    </row>
    <row r="2941" spans="1:9" x14ac:dyDescent="0.35">
      <c r="A2941" s="27"/>
      <c r="B2941" s="27"/>
      <c r="C2941" s="27"/>
      <c r="D2941" s="27"/>
      <c r="E2941" s="27"/>
      <c r="F2941" s="27"/>
      <c r="G2941" s="27"/>
      <c r="H2941" s="27"/>
      <c r="I2941" s="27"/>
    </row>
    <row r="2942" spans="1:9" x14ac:dyDescent="0.35">
      <c r="A2942" s="27"/>
      <c r="B2942" s="27"/>
      <c r="C2942" s="27"/>
      <c r="D2942" s="27"/>
      <c r="E2942" s="27"/>
      <c r="F2942" s="27"/>
      <c r="G2942" s="27"/>
      <c r="H2942" s="27"/>
      <c r="I2942" s="27"/>
    </row>
    <row r="2943" spans="1:9" x14ac:dyDescent="0.35">
      <c r="A2943" s="27"/>
      <c r="B2943" s="27"/>
      <c r="C2943" s="27"/>
      <c r="D2943" s="27"/>
      <c r="E2943" s="27"/>
      <c r="F2943" s="27"/>
      <c r="G2943" s="27"/>
      <c r="H2943" s="27"/>
      <c r="I2943" s="27"/>
    </row>
    <row r="2944" spans="1:9" x14ac:dyDescent="0.35">
      <c r="A2944" s="27"/>
      <c r="B2944" s="27"/>
      <c r="C2944" s="27"/>
      <c r="D2944" s="27"/>
      <c r="E2944" s="27"/>
      <c r="F2944" s="27"/>
      <c r="G2944" s="27"/>
      <c r="H2944" s="27"/>
      <c r="I2944" s="27"/>
    </row>
    <row r="2945" spans="1:9" x14ac:dyDescent="0.35">
      <c r="A2945" s="27"/>
      <c r="B2945" s="27"/>
      <c r="C2945" s="27"/>
      <c r="D2945" s="27"/>
      <c r="E2945" s="27"/>
      <c r="F2945" s="27"/>
      <c r="G2945" s="27"/>
      <c r="H2945" s="27"/>
      <c r="I2945" s="27"/>
    </row>
    <row r="2946" spans="1:9" x14ac:dyDescent="0.35">
      <c r="A2946" s="27"/>
      <c r="B2946" s="27"/>
      <c r="C2946" s="27"/>
      <c r="D2946" s="27"/>
      <c r="E2946" s="27"/>
      <c r="F2946" s="27"/>
      <c r="G2946" s="27"/>
      <c r="H2946" s="27"/>
      <c r="I2946" s="27"/>
    </row>
    <row r="2947" spans="1:9" x14ac:dyDescent="0.35">
      <c r="A2947" s="27"/>
      <c r="B2947" s="27"/>
      <c r="C2947" s="27"/>
      <c r="D2947" s="27"/>
      <c r="E2947" s="27"/>
      <c r="F2947" s="27"/>
      <c r="G2947" s="27"/>
      <c r="H2947" s="27"/>
      <c r="I2947" s="27"/>
    </row>
    <row r="2948" spans="1:9" x14ac:dyDescent="0.35">
      <c r="A2948" s="27"/>
      <c r="B2948" s="27"/>
      <c r="C2948" s="27"/>
      <c r="D2948" s="27"/>
      <c r="E2948" s="27"/>
      <c r="F2948" s="27"/>
      <c r="G2948" s="27"/>
      <c r="H2948" s="27"/>
      <c r="I2948" s="27"/>
    </row>
    <row r="2949" spans="1:9" x14ac:dyDescent="0.35">
      <c r="A2949" s="27"/>
      <c r="B2949" s="27"/>
      <c r="C2949" s="27"/>
      <c r="D2949" s="27"/>
      <c r="E2949" s="27"/>
      <c r="F2949" s="27"/>
      <c r="G2949" s="27"/>
      <c r="H2949" s="27"/>
      <c r="I2949" s="27"/>
    </row>
    <row r="2950" spans="1:9" x14ac:dyDescent="0.35">
      <c r="A2950" s="27"/>
      <c r="B2950" s="27"/>
      <c r="C2950" s="27"/>
      <c r="D2950" s="27"/>
      <c r="E2950" s="27"/>
      <c r="F2950" s="27"/>
      <c r="G2950" s="27"/>
      <c r="H2950" s="27"/>
      <c r="I2950" s="27"/>
    </row>
    <row r="2951" spans="1:9" x14ac:dyDescent="0.35">
      <c r="A2951" s="27"/>
      <c r="B2951" s="27"/>
      <c r="C2951" s="27"/>
      <c r="D2951" s="27"/>
      <c r="E2951" s="27"/>
      <c r="F2951" s="27"/>
      <c r="G2951" s="27"/>
      <c r="H2951" s="27"/>
      <c r="I2951" s="27"/>
    </row>
    <row r="2952" spans="1:9" x14ac:dyDescent="0.35">
      <c r="A2952" s="27"/>
      <c r="B2952" s="27"/>
      <c r="C2952" s="27"/>
      <c r="D2952" s="27"/>
      <c r="E2952" s="27"/>
      <c r="F2952" s="27"/>
      <c r="G2952" s="27"/>
      <c r="H2952" s="27"/>
      <c r="I2952" s="27"/>
    </row>
    <row r="2953" spans="1:9" x14ac:dyDescent="0.35">
      <c r="A2953" s="27"/>
      <c r="B2953" s="27"/>
      <c r="C2953" s="27"/>
      <c r="D2953" s="27"/>
      <c r="E2953" s="27"/>
      <c r="F2953" s="27"/>
      <c r="G2953" s="27"/>
      <c r="H2953" s="27"/>
      <c r="I2953" s="27"/>
    </row>
    <row r="2954" spans="1:9" x14ac:dyDescent="0.35">
      <c r="A2954" s="27"/>
      <c r="B2954" s="27"/>
      <c r="C2954" s="27"/>
      <c r="D2954" s="27"/>
      <c r="E2954" s="27"/>
      <c r="F2954" s="27"/>
      <c r="G2954" s="27"/>
      <c r="H2954" s="27"/>
      <c r="I2954" s="27"/>
    </row>
    <row r="2955" spans="1:9" x14ac:dyDescent="0.35">
      <c r="A2955" s="27"/>
      <c r="B2955" s="27"/>
      <c r="C2955" s="27"/>
      <c r="D2955" s="27"/>
      <c r="E2955" s="27"/>
      <c r="F2955" s="27"/>
      <c r="G2955" s="27"/>
      <c r="H2955" s="27"/>
      <c r="I2955" s="27"/>
    </row>
    <row r="2956" spans="1:9" x14ac:dyDescent="0.35">
      <c r="A2956" s="27"/>
      <c r="B2956" s="27"/>
      <c r="C2956" s="27"/>
      <c r="D2956" s="27"/>
      <c r="E2956" s="27"/>
      <c r="F2956" s="27"/>
      <c r="G2956" s="27"/>
      <c r="H2956" s="27"/>
      <c r="I2956" s="27"/>
    </row>
    <row r="2957" spans="1:9" x14ac:dyDescent="0.35">
      <c r="A2957" s="27"/>
      <c r="B2957" s="27"/>
      <c r="C2957" s="27"/>
      <c r="D2957" s="27"/>
      <c r="E2957" s="27"/>
      <c r="F2957" s="27"/>
      <c r="G2957" s="27"/>
      <c r="H2957" s="27"/>
      <c r="I2957" s="27"/>
    </row>
    <row r="2958" spans="1:9" x14ac:dyDescent="0.35">
      <c r="A2958" s="27"/>
      <c r="B2958" s="27"/>
      <c r="C2958" s="27"/>
      <c r="D2958" s="27"/>
      <c r="E2958" s="27"/>
      <c r="F2958" s="27"/>
      <c r="G2958" s="27"/>
      <c r="H2958" s="27"/>
      <c r="I2958" s="27"/>
    </row>
    <row r="2959" spans="1:9" x14ac:dyDescent="0.35">
      <c r="A2959" s="27"/>
      <c r="B2959" s="27"/>
      <c r="C2959" s="27"/>
      <c r="D2959" s="27"/>
      <c r="E2959" s="27"/>
      <c r="F2959" s="27"/>
      <c r="G2959" s="27"/>
      <c r="H2959" s="27"/>
      <c r="I2959" s="27"/>
    </row>
    <row r="2960" spans="1:9" x14ac:dyDescent="0.35">
      <c r="A2960" s="27"/>
      <c r="B2960" s="27"/>
      <c r="C2960" s="27"/>
      <c r="D2960" s="27"/>
      <c r="E2960" s="27"/>
      <c r="F2960" s="27"/>
      <c r="G2960" s="27"/>
      <c r="H2960" s="27"/>
      <c r="I2960" s="27"/>
    </row>
    <row r="2961" spans="1:9" x14ac:dyDescent="0.35">
      <c r="A2961" s="27"/>
      <c r="B2961" s="27"/>
      <c r="C2961" s="27"/>
      <c r="D2961" s="27"/>
      <c r="E2961" s="27"/>
      <c r="F2961" s="27"/>
      <c r="G2961" s="27"/>
      <c r="H2961" s="27"/>
      <c r="I2961" s="27"/>
    </row>
    <row r="2962" spans="1:9" x14ac:dyDescent="0.35">
      <c r="A2962" s="27"/>
      <c r="B2962" s="27"/>
      <c r="C2962" s="27"/>
      <c r="D2962" s="27"/>
      <c r="E2962" s="27"/>
      <c r="F2962" s="27"/>
      <c r="G2962" s="27"/>
      <c r="H2962" s="27"/>
      <c r="I2962" s="27"/>
    </row>
    <row r="2963" spans="1:9" x14ac:dyDescent="0.35">
      <c r="A2963" s="27"/>
      <c r="B2963" s="27"/>
      <c r="C2963" s="27"/>
      <c r="D2963" s="27"/>
      <c r="E2963" s="27"/>
      <c r="F2963" s="27"/>
      <c r="G2963" s="27"/>
      <c r="H2963" s="27"/>
      <c r="I2963" s="27"/>
    </row>
    <row r="2964" spans="1:9" x14ac:dyDescent="0.35">
      <c r="A2964" s="27"/>
      <c r="B2964" s="27"/>
      <c r="C2964" s="27"/>
      <c r="D2964" s="27"/>
      <c r="E2964" s="27"/>
      <c r="F2964" s="27"/>
      <c r="G2964" s="27"/>
      <c r="H2964" s="27"/>
      <c r="I2964" s="27"/>
    </row>
    <row r="2965" spans="1:9" x14ac:dyDescent="0.35">
      <c r="A2965" s="27"/>
      <c r="B2965" s="27"/>
      <c r="C2965" s="27"/>
      <c r="D2965" s="27"/>
      <c r="E2965" s="27"/>
      <c r="F2965" s="27"/>
      <c r="G2965" s="27"/>
      <c r="H2965" s="27"/>
      <c r="I2965" s="27"/>
    </row>
    <row r="2966" spans="1:9" x14ac:dyDescent="0.35">
      <c r="A2966" s="27"/>
      <c r="B2966" s="27"/>
      <c r="C2966" s="27"/>
      <c r="D2966" s="27"/>
      <c r="E2966" s="27"/>
      <c r="F2966" s="27"/>
      <c r="G2966" s="27"/>
      <c r="H2966" s="27"/>
      <c r="I2966" s="27"/>
    </row>
    <row r="2967" spans="1:9" x14ac:dyDescent="0.35">
      <c r="A2967" s="27"/>
      <c r="B2967" s="27"/>
      <c r="C2967" s="27"/>
      <c r="D2967" s="27"/>
      <c r="E2967" s="27"/>
      <c r="F2967" s="27"/>
      <c r="G2967" s="27"/>
      <c r="H2967" s="27"/>
      <c r="I2967" s="27"/>
    </row>
    <row r="2968" spans="1:9" x14ac:dyDescent="0.35">
      <c r="A2968" s="27"/>
      <c r="B2968" s="27"/>
      <c r="C2968" s="27"/>
      <c r="D2968" s="27"/>
      <c r="E2968" s="27"/>
      <c r="F2968" s="27"/>
      <c r="G2968" s="27"/>
      <c r="H2968" s="27"/>
      <c r="I2968" s="27"/>
    </row>
    <row r="2969" spans="1:9" x14ac:dyDescent="0.35">
      <c r="A2969" s="27"/>
      <c r="B2969" s="27"/>
      <c r="C2969" s="27"/>
      <c r="D2969" s="27"/>
      <c r="E2969" s="27"/>
      <c r="F2969" s="27"/>
      <c r="G2969" s="27"/>
      <c r="H2969" s="27"/>
      <c r="I2969" s="27"/>
    </row>
    <row r="2970" spans="1:9" x14ac:dyDescent="0.35">
      <c r="A2970" s="27"/>
      <c r="B2970" s="27"/>
      <c r="C2970" s="27"/>
      <c r="D2970" s="27"/>
      <c r="E2970" s="27"/>
      <c r="F2970" s="27"/>
      <c r="G2970" s="27"/>
      <c r="H2970" s="27"/>
      <c r="I2970" s="27"/>
    </row>
    <row r="2971" spans="1:9" x14ac:dyDescent="0.35">
      <c r="A2971" s="27"/>
      <c r="B2971" s="27"/>
      <c r="C2971" s="27"/>
      <c r="D2971" s="27"/>
      <c r="E2971" s="27"/>
      <c r="F2971" s="27"/>
      <c r="G2971" s="27"/>
      <c r="H2971" s="27"/>
      <c r="I2971" s="27"/>
    </row>
    <row r="2972" spans="1:9" x14ac:dyDescent="0.35">
      <c r="A2972" s="27"/>
      <c r="B2972" s="27"/>
      <c r="C2972" s="27"/>
      <c r="D2972" s="27"/>
      <c r="E2972" s="27"/>
      <c r="F2972" s="27"/>
      <c r="G2972" s="27"/>
      <c r="H2972" s="27"/>
      <c r="I2972" s="27"/>
    </row>
    <row r="2973" spans="1:9" x14ac:dyDescent="0.35">
      <c r="A2973" s="27"/>
      <c r="B2973" s="27"/>
      <c r="C2973" s="27"/>
      <c r="D2973" s="27"/>
      <c r="E2973" s="27"/>
      <c r="F2973" s="27"/>
      <c r="G2973" s="27"/>
      <c r="H2973" s="27"/>
      <c r="I2973" s="27"/>
    </row>
    <row r="2974" spans="1:9" x14ac:dyDescent="0.35">
      <c r="A2974" s="27"/>
      <c r="B2974" s="27"/>
      <c r="C2974" s="27"/>
      <c r="D2974" s="27"/>
      <c r="E2974" s="27"/>
      <c r="F2974" s="27"/>
      <c r="G2974" s="27"/>
      <c r="H2974" s="27"/>
      <c r="I2974" s="27"/>
    </row>
    <row r="2975" spans="1:9" x14ac:dyDescent="0.35">
      <c r="A2975" s="27"/>
      <c r="B2975" s="27"/>
      <c r="C2975" s="27"/>
      <c r="D2975" s="27"/>
      <c r="E2975" s="27"/>
      <c r="F2975" s="27"/>
      <c r="G2975" s="27"/>
      <c r="H2975" s="27"/>
      <c r="I2975" s="27"/>
    </row>
    <row r="2976" spans="1:9" x14ac:dyDescent="0.35">
      <c r="A2976" s="27"/>
      <c r="B2976" s="27"/>
      <c r="C2976" s="27"/>
      <c r="D2976" s="27"/>
      <c r="E2976" s="27"/>
      <c r="F2976" s="27"/>
      <c r="G2976" s="27"/>
      <c r="H2976" s="27"/>
      <c r="I2976" s="27"/>
    </row>
    <row r="2977" spans="1:9" x14ac:dyDescent="0.35">
      <c r="A2977" s="27"/>
      <c r="B2977" s="27"/>
      <c r="C2977" s="27"/>
      <c r="D2977" s="27"/>
      <c r="E2977" s="27"/>
      <c r="F2977" s="27"/>
      <c r="G2977" s="27"/>
      <c r="H2977" s="27"/>
      <c r="I2977" s="27"/>
    </row>
    <row r="2978" spans="1:9" x14ac:dyDescent="0.35">
      <c r="A2978" s="27"/>
      <c r="B2978" s="27"/>
      <c r="C2978" s="27"/>
      <c r="D2978" s="27"/>
      <c r="E2978" s="27"/>
      <c r="F2978" s="27"/>
      <c r="G2978" s="27"/>
      <c r="H2978" s="27"/>
      <c r="I2978" s="27"/>
    </row>
    <row r="2979" spans="1:9" x14ac:dyDescent="0.35">
      <c r="A2979" s="27"/>
      <c r="B2979" s="27"/>
      <c r="C2979" s="27"/>
      <c r="D2979" s="27"/>
      <c r="E2979" s="27"/>
      <c r="F2979" s="27"/>
      <c r="G2979" s="27"/>
      <c r="H2979" s="27"/>
      <c r="I2979" s="27"/>
    </row>
    <row r="2980" spans="1:9" x14ac:dyDescent="0.35">
      <c r="A2980" s="27"/>
      <c r="B2980" s="27"/>
      <c r="C2980" s="27"/>
      <c r="D2980" s="27"/>
      <c r="E2980" s="27"/>
      <c r="F2980" s="27"/>
      <c r="G2980" s="27"/>
      <c r="H2980" s="27"/>
      <c r="I2980" s="27"/>
    </row>
    <row r="2981" spans="1:9" x14ac:dyDescent="0.35">
      <c r="A2981" s="27"/>
      <c r="B2981" s="27"/>
      <c r="C2981" s="27"/>
      <c r="D2981" s="27"/>
      <c r="E2981" s="27"/>
      <c r="F2981" s="27"/>
      <c r="G2981" s="27"/>
      <c r="H2981" s="27"/>
      <c r="I2981" s="27"/>
    </row>
    <row r="2982" spans="1:9" x14ac:dyDescent="0.35">
      <c r="A2982" s="27"/>
      <c r="B2982" s="27"/>
      <c r="C2982" s="27"/>
      <c r="D2982" s="27"/>
      <c r="E2982" s="27"/>
      <c r="F2982" s="27"/>
      <c r="G2982" s="27"/>
      <c r="H2982" s="27"/>
      <c r="I2982" s="27"/>
    </row>
    <row r="2983" spans="1:9" x14ac:dyDescent="0.35">
      <c r="A2983" s="27"/>
      <c r="B2983" s="27"/>
      <c r="C2983" s="27"/>
      <c r="D2983" s="27"/>
      <c r="E2983" s="27"/>
      <c r="F2983" s="27"/>
      <c r="G2983" s="27"/>
      <c r="H2983" s="27"/>
      <c r="I2983" s="27"/>
    </row>
    <row r="2984" spans="1:9" x14ac:dyDescent="0.35">
      <c r="A2984" s="27"/>
      <c r="B2984" s="27"/>
      <c r="C2984" s="27"/>
      <c r="D2984" s="27"/>
      <c r="E2984" s="27"/>
      <c r="F2984" s="27"/>
      <c r="G2984" s="27"/>
      <c r="H2984" s="27"/>
      <c r="I2984" s="27"/>
    </row>
    <row r="2985" spans="1:9" x14ac:dyDescent="0.35">
      <c r="A2985" s="27"/>
      <c r="B2985" s="27"/>
      <c r="C2985" s="27"/>
      <c r="D2985" s="27"/>
      <c r="E2985" s="27"/>
      <c r="F2985" s="27"/>
      <c r="G2985" s="27"/>
      <c r="H2985" s="27"/>
      <c r="I2985" s="27"/>
    </row>
    <row r="2986" spans="1:9" x14ac:dyDescent="0.35">
      <c r="A2986" s="27"/>
      <c r="B2986" s="27"/>
      <c r="C2986" s="27"/>
      <c r="D2986" s="27"/>
      <c r="E2986" s="27"/>
      <c r="F2986" s="27"/>
      <c r="G2986" s="27"/>
      <c r="H2986" s="27"/>
      <c r="I2986" s="27"/>
    </row>
    <row r="2987" spans="1:9" x14ac:dyDescent="0.35">
      <c r="A2987" s="27"/>
      <c r="B2987" s="27"/>
      <c r="C2987" s="27"/>
      <c r="D2987" s="27"/>
      <c r="E2987" s="27"/>
      <c r="F2987" s="27"/>
      <c r="G2987" s="27"/>
      <c r="H2987" s="27"/>
      <c r="I2987" s="27"/>
    </row>
    <row r="2988" spans="1:9" x14ac:dyDescent="0.35">
      <c r="A2988" s="27"/>
      <c r="B2988" s="27"/>
      <c r="C2988" s="27"/>
      <c r="D2988" s="27"/>
      <c r="E2988" s="27"/>
      <c r="F2988" s="27"/>
      <c r="G2988" s="27"/>
      <c r="H2988" s="27"/>
      <c r="I2988" s="27"/>
    </row>
    <row r="2989" spans="1:9" x14ac:dyDescent="0.35">
      <c r="A2989" s="27"/>
      <c r="B2989" s="27"/>
      <c r="C2989" s="27"/>
      <c r="D2989" s="27"/>
      <c r="E2989" s="27"/>
      <c r="F2989" s="27"/>
      <c r="G2989" s="27"/>
      <c r="H2989" s="27"/>
      <c r="I2989" s="27"/>
    </row>
    <row r="2990" spans="1:9" x14ac:dyDescent="0.35">
      <c r="A2990" s="27"/>
      <c r="B2990" s="27"/>
      <c r="C2990" s="27"/>
      <c r="D2990" s="27"/>
      <c r="E2990" s="27"/>
      <c r="F2990" s="27"/>
      <c r="G2990" s="27"/>
      <c r="H2990" s="27"/>
      <c r="I2990" s="27"/>
    </row>
    <row r="2991" spans="1:9" x14ac:dyDescent="0.35">
      <c r="A2991" s="27"/>
      <c r="B2991" s="27"/>
      <c r="C2991" s="27"/>
      <c r="D2991" s="27"/>
      <c r="E2991" s="27"/>
      <c r="F2991" s="27"/>
      <c r="G2991" s="27"/>
      <c r="H2991" s="27"/>
      <c r="I2991" s="27"/>
    </row>
    <row r="2992" spans="1:9" x14ac:dyDescent="0.35">
      <c r="A2992" s="27"/>
      <c r="B2992" s="27"/>
      <c r="C2992" s="27"/>
      <c r="D2992" s="27"/>
      <c r="E2992" s="27"/>
      <c r="F2992" s="27"/>
      <c r="G2992" s="27"/>
      <c r="H2992" s="27"/>
      <c r="I2992" s="27"/>
    </row>
    <row r="2993" spans="1:9" x14ac:dyDescent="0.35">
      <c r="A2993" s="27"/>
      <c r="B2993" s="27"/>
      <c r="C2993" s="27"/>
      <c r="D2993" s="27"/>
      <c r="E2993" s="27"/>
      <c r="F2993" s="27"/>
      <c r="G2993" s="27"/>
      <c r="H2993" s="27"/>
      <c r="I2993" s="27"/>
    </row>
    <row r="2994" spans="1:9" x14ac:dyDescent="0.35">
      <c r="A2994" s="27"/>
      <c r="B2994" s="27"/>
      <c r="C2994" s="27"/>
      <c r="D2994" s="27"/>
      <c r="E2994" s="27"/>
      <c r="F2994" s="27"/>
      <c r="G2994" s="27"/>
      <c r="H2994" s="27"/>
      <c r="I2994" s="27"/>
    </row>
    <row r="2995" spans="1:9" x14ac:dyDescent="0.35">
      <c r="A2995" s="27"/>
      <c r="B2995" s="27"/>
      <c r="C2995" s="27"/>
      <c r="D2995" s="27"/>
      <c r="E2995" s="27"/>
      <c r="F2995" s="27"/>
      <c r="G2995" s="27"/>
      <c r="H2995" s="27"/>
      <c r="I2995" s="27"/>
    </row>
    <row r="2996" spans="1:9" x14ac:dyDescent="0.35">
      <c r="A2996" s="27"/>
      <c r="B2996" s="27"/>
      <c r="C2996" s="27"/>
      <c r="D2996" s="27"/>
      <c r="E2996" s="27"/>
      <c r="F2996" s="27"/>
      <c r="G2996" s="27"/>
      <c r="H2996" s="27"/>
      <c r="I2996" s="27"/>
    </row>
    <row r="2997" spans="1:9" x14ac:dyDescent="0.35">
      <c r="A2997" s="27"/>
      <c r="B2997" s="27"/>
      <c r="C2997" s="27"/>
      <c r="D2997" s="27"/>
      <c r="E2997" s="27"/>
      <c r="F2997" s="27"/>
      <c r="G2997" s="27"/>
      <c r="H2997" s="27"/>
      <c r="I2997" s="27"/>
    </row>
    <row r="2998" spans="1:9" x14ac:dyDescent="0.35">
      <c r="A2998" s="27"/>
      <c r="B2998" s="27"/>
      <c r="C2998" s="27"/>
      <c r="D2998" s="27"/>
      <c r="E2998" s="27"/>
      <c r="F2998" s="27"/>
      <c r="G2998" s="27"/>
      <c r="H2998" s="27"/>
      <c r="I2998" s="27"/>
    </row>
    <row r="2999" spans="1:9" x14ac:dyDescent="0.35">
      <c r="A2999" s="27"/>
      <c r="B2999" s="27"/>
      <c r="C2999" s="27"/>
      <c r="D2999" s="27"/>
      <c r="E2999" s="27"/>
      <c r="F2999" s="27"/>
      <c r="G2999" s="27"/>
      <c r="H2999" s="27"/>
      <c r="I2999" s="27"/>
    </row>
    <row r="3000" spans="1:9" x14ac:dyDescent="0.35">
      <c r="A3000" s="27"/>
      <c r="B3000" s="27"/>
      <c r="C3000" s="27"/>
      <c r="D3000" s="27"/>
      <c r="E3000" s="27"/>
      <c r="F3000" s="27"/>
      <c r="G3000" s="27"/>
      <c r="H3000" s="27"/>
      <c r="I3000" s="27"/>
    </row>
    <row r="3001" spans="1:9" x14ac:dyDescent="0.35">
      <c r="A3001" s="27"/>
      <c r="B3001" s="27"/>
      <c r="C3001" s="27"/>
      <c r="D3001" s="27"/>
      <c r="E3001" s="27"/>
      <c r="F3001" s="27"/>
      <c r="G3001" s="27"/>
      <c r="H3001" s="27"/>
      <c r="I3001" s="27"/>
    </row>
    <row r="3002" spans="1:9" x14ac:dyDescent="0.35">
      <c r="A3002" s="27"/>
      <c r="B3002" s="27"/>
      <c r="C3002" s="27"/>
      <c r="D3002" s="27"/>
      <c r="E3002" s="27"/>
      <c r="F3002" s="27"/>
      <c r="G3002" s="27"/>
      <c r="H3002" s="27"/>
      <c r="I3002" s="27"/>
    </row>
    <row r="3003" spans="1:9" x14ac:dyDescent="0.35">
      <c r="A3003" s="27"/>
      <c r="B3003" s="27"/>
      <c r="C3003" s="27"/>
      <c r="D3003" s="27"/>
      <c r="E3003" s="27"/>
      <c r="F3003" s="27"/>
      <c r="G3003" s="27"/>
      <c r="H3003" s="27"/>
      <c r="I3003" s="27"/>
    </row>
    <row r="3004" spans="1:9" x14ac:dyDescent="0.35">
      <c r="A3004" s="27"/>
      <c r="B3004" s="27"/>
      <c r="C3004" s="27"/>
      <c r="D3004" s="27"/>
      <c r="E3004" s="27"/>
      <c r="F3004" s="27"/>
      <c r="G3004" s="27"/>
      <c r="H3004" s="27"/>
      <c r="I3004" s="27"/>
    </row>
    <row r="3005" spans="1:9" x14ac:dyDescent="0.35">
      <c r="A3005" s="27"/>
      <c r="B3005" s="27"/>
      <c r="C3005" s="27"/>
      <c r="D3005" s="27"/>
      <c r="E3005" s="27"/>
      <c r="F3005" s="27"/>
      <c r="G3005" s="27"/>
      <c r="H3005" s="27"/>
      <c r="I3005" s="27"/>
    </row>
    <row r="3006" spans="1:9" x14ac:dyDescent="0.35">
      <c r="A3006" s="27"/>
      <c r="B3006" s="27"/>
      <c r="C3006" s="27"/>
      <c r="D3006" s="27"/>
      <c r="E3006" s="27"/>
      <c r="F3006" s="27"/>
      <c r="G3006" s="27"/>
      <c r="H3006" s="27"/>
      <c r="I3006" s="27"/>
    </row>
    <row r="3007" spans="1:9" x14ac:dyDescent="0.35">
      <c r="A3007" s="27"/>
      <c r="B3007" s="27"/>
      <c r="C3007" s="27"/>
      <c r="D3007" s="27"/>
      <c r="E3007" s="27"/>
      <c r="F3007" s="27"/>
      <c r="G3007" s="27"/>
      <c r="H3007" s="27"/>
      <c r="I3007" s="27"/>
    </row>
    <row r="3008" spans="1:9" x14ac:dyDescent="0.35">
      <c r="A3008" s="27"/>
      <c r="B3008" s="27"/>
      <c r="C3008" s="27"/>
      <c r="D3008" s="27"/>
      <c r="E3008" s="27"/>
      <c r="F3008" s="27"/>
      <c r="G3008" s="27"/>
      <c r="H3008" s="27"/>
      <c r="I3008" s="27"/>
    </row>
    <row r="3009" spans="1:9" x14ac:dyDescent="0.35">
      <c r="A3009" s="27"/>
      <c r="B3009" s="27"/>
      <c r="C3009" s="27"/>
      <c r="D3009" s="27"/>
      <c r="E3009" s="27"/>
      <c r="F3009" s="27"/>
      <c r="G3009" s="27"/>
      <c r="H3009" s="27"/>
      <c r="I3009" s="27"/>
    </row>
    <row r="3010" spans="1:9" x14ac:dyDescent="0.35">
      <c r="A3010" s="27"/>
      <c r="B3010" s="27"/>
      <c r="C3010" s="27"/>
      <c r="D3010" s="27"/>
      <c r="E3010" s="27"/>
      <c r="F3010" s="27"/>
      <c r="G3010" s="27"/>
      <c r="H3010" s="27"/>
      <c r="I3010" s="27"/>
    </row>
    <row r="3011" spans="1:9" x14ac:dyDescent="0.35">
      <c r="A3011" s="27"/>
      <c r="B3011" s="27"/>
      <c r="C3011" s="27"/>
      <c r="D3011" s="27"/>
      <c r="E3011" s="27"/>
      <c r="F3011" s="27"/>
      <c r="G3011" s="27"/>
      <c r="H3011" s="27"/>
      <c r="I3011" s="27"/>
    </row>
    <row r="3012" spans="1:9" x14ac:dyDescent="0.35">
      <c r="A3012" s="27"/>
      <c r="B3012" s="27"/>
      <c r="C3012" s="27"/>
      <c r="D3012" s="27"/>
      <c r="E3012" s="27"/>
      <c r="F3012" s="27"/>
      <c r="G3012" s="27"/>
      <c r="H3012" s="27"/>
      <c r="I3012" s="27"/>
    </row>
    <row r="3013" spans="1:9" x14ac:dyDescent="0.35">
      <c r="A3013" s="27"/>
      <c r="B3013" s="27"/>
      <c r="C3013" s="27"/>
      <c r="D3013" s="27"/>
      <c r="E3013" s="27"/>
      <c r="F3013" s="27"/>
      <c r="G3013" s="27"/>
      <c r="H3013" s="27"/>
      <c r="I3013" s="27"/>
    </row>
    <row r="3014" spans="1:9" x14ac:dyDescent="0.35">
      <c r="A3014" s="27"/>
      <c r="B3014" s="27"/>
      <c r="C3014" s="27"/>
      <c r="D3014" s="27"/>
      <c r="E3014" s="27"/>
      <c r="F3014" s="27"/>
      <c r="G3014" s="27"/>
      <c r="H3014" s="27"/>
      <c r="I3014" s="27"/>
    </row>
    <row r="3015" spans="1:9" x14ac:dyDescent="0.35">
      <c r="A3015" s="27"/>
      <c r="B3015" s="27"/>
      <c r="C3015" s="27"/>
      <c r="D3015" s="27"/>
      <c r="E3015" s="27"/>
      <c r="F3015" s="27"/>
      <c r="G3015" s="27"/>
      <c r="H3015" s="27"/>
      <c r="I3015" s="27"/>
    </row>
    <row r="3016" spans="1:9" x14ac:dyDescent="0.35">
      <c r="A3016" s="27"/>
      <c r="B3016" s="27"/>
      <c r="C3016" s="27"/>
      <c r="D3016" s="27"/>
      <c r="E3016" s="27"/>
      <c r="F3016" s="27"/>
      <c r="G3016" s="27"/>
      <c r="H3016" s="27"/>
      <c r="I3016" s="27"/>
    </row>
    <row r="3017" spans="1:9" x14ac:dyDescent="0.35">
      <c r="A3017" s="27"/>
      <c r="B3017" s="27"/>
      <c r="C3017" s="27"/>
      <c r="D3017" s="27"/>
      <c r="E3017" s="27"/>
      <c r="F3017" s="27"/>
      <c r="G3017" s="27"/>
      <c r="H3017" s="27"/>
      <c r="I3017" s="27"/>
    </row>
    <row r="3018" spans="1:9" x14ac:dyDescent="0.35">
      <c r="A3018" s="27"/>
      <c r="B3018" s="27"/>
      <c r="C3018" s="27"/>
      <c r="D3018" s="27"/>
      <c r="E3018" s="27"/>
      <c r="F3018" s="27"/>
      <c r="G3018" s="27"/>
      <c r="H3018" s="27"/>
      <c r="I3018" s="27"/>
    </row>
    <row r="3019" spans="1:9" x14ac:dyDescent="0.35">
      <c r="A3019" s="27"/>
      <c r="B3019" s="27"/>
      <c r="C3019" s="27"/>
      <c r="D3019" s="27"/>
      <c r="E3019" s="27"/>
      <c r="F3019" s="27"/>
      <c r="G3019" s="27"/>
      <c r="H3019" s="27"/>
      <c r="I3019" s="27"/>
    </row>
    <row r="3020" spans="1:9" x14ac:dyDescent="0.35">
      <c r="A3020" s="27"/>
      <c r="B3020" s="27"/>
      <c r="C3020" s="27"/>
      <c r="D3020" s="27"/>
      <c r="E3020" s="27"/>
      <c r="F3020" s="27"/>
      <c r="G3020" s="27"/>
      <c r="H3020" s="27"/>
      <c r="I3020" s="27"/>
    </row>
    <row r="3021" spans="1:9" x14ac:dyDescent="0.35">
      <c r="A3021" s="27"/>
      <c r="B3021" s="27"/>
      <c r="C3021" s="27"/>
      <c r="D3021" s="27"/>
      <c r="E3021" s="27"/>
      <c r="F3021" s="27"/>
      <c r="G3021" s="27"/>
      <c r="H3021" s="27"/>
      <c r="I3021" s="27"/>
    </row>
    <row r="3022" spans="1:9" x14ac:dyDescent="0.35">
      <c r="A3022" s="27"/>
      <c r="B3022" s="27"/>
      <c r="C3022" s="27"/>
      <c r="D3022" s="27"/>
      <c r="E3022" s="27"/>
      <c r="F3022" s="27"/>
      <c r="G3022" s="27"/>
      <c r="H3022" s="27"/>
      <c r="I3022" s="27"/>
    </row>
    <row r="3023" spans="1:9" x14ac:dyDescent="0.35">
      <c r="A3023" s="27"/>
      <c r="B3023" s="27"/>
      <c r="C3023" s="27"/>
      <c r="D3023" s="27"/>
      <c r="E3023" s="27"/>
      <c r="F3023" s="27"/>
      <c r="G3023" s="27"/>
      <c r="H3023" s="27"/>
      <c r="I3023" s="27"/>
    </row>
    <row r="3024" spans="1:9" x14ac:dyDescent="0.35">
      <c r="A3024" s="27"/>
      <c r="B3024" s="27"/>
      <c r="C3024" s="27"/>
      <c r="D3024" s="27"/>
      <c r="E3024" s="27"/>
      <c r="F3024" s="27"/>
      <c r="G3024" s="27"/>
      <c r="H3024" s="27"/>
      <c r="I3024" s="27"/>
    </row>
    <row r="3025" spans="1:9" x14ac:dyDescent="0.35">
      <c r="A3025" s="27"/>
      <c r="B3025" s="27"/>
      <c r="C3025" s="27"/>
      <c r="D3025" s="27"/>
      <c r="E3025" s="27"/>
      <c r="F3025" s="27"/>
      <c r="G3025" s="27"/>
      <c r="H3025" s="27"/>
      <c r="I3025" s="27"/>
    </row>
    <row r="3026" spans="1:9" x14ac:dyDescent="0.35">
      <c r="A3026" s="27"/>
      <c r="B3026" s="27"/>
      <c r="C3026" s="27"/>
      <c r="D3026" s="27"/>
      <c r="E3026" s="27"/>
      <c r="F3026" s="27"/>
      <c r="G3026" s="27"/>
      <c r="H3026" s="27"/>
      <c r="I3026" s="27"/>
    </row>
    <row r="3027" spans="1:9" x14ac:dyDescent="0.35">
      <c r="A3027" s="27"/>
      <c r="B3027" s="27"/>
      <c r="C3027" s="27"/>
      <c r="D3027" s="27"/>
      <c r="E3027" s="27"/>
      <c r="F3027" s="27"/>
      <c r="G3027" s="27"/>
      <c r="H3027" s="27"/>
      <c r="I3027" s="27"/>
    </row>
    <row r="3028" spans="1:9" x14ac:dyDescent="0.35">
      <c r="A3028" s="27"/>
      <c r="B3028" s="27"/>
      <c r="C3028" s="27"/>
      <c r="D3028" s="27"/>
      <c r="E3028" s="27"/>
      <c r="F3028" s="27"/>
      <c r="G3028" s="27"/>
      <c r="H3028" s="27"/>
      <c r="I3028" s="27"/>
    </row>
    <row r="3029" spans="1:9" x14ac:dyDescent="0.35">
      <c r="A3029" s="27"/>
      <c r="B3029" s="27"/>
      <c r="C3029" s="27"/>
      <c r="D3029" s="27"/>
      <c r="E3029" s="27"/>
      <c r="F3029" s="27"/>
      <c r="G3029" s="27"/>
      <c r="H3029" s="27"/>
      <c r="I3029" s="27"/>
    </row>
    <row r="3030" spans="1:9" x14ac:dyDescent="0.35">
      <c r="A3030" s="27"/>
      <c r="B3030" s="27"/>
      <c r="C3030" s="27"/>
      <c r="D3030" s="27"/>
      <c r="E3030" s="27"/>
      <c r="F3030" s="27"/>
      <c r="G3030" s="27"/>
      <c r="H3030" s="27"/>
      <c r="I3030" s="27"/>
    </row>
    <row r="3031" spans="1:9" x14ac:dyDescent="0.35">
      <c r="A3031" s="27"/>
      <c r="B3031" s="27"/>
      <c r="C3031" s="27"/>
      <c r="D3031" s="27"/>
      <c r="E3031" s="27"/>
      <c r="F3031" s="27"/>
      <c r="G3031" s="27"/>
      <c r="H3031" s="27"/>
      <c r="I3031" s="27"/>
    </row>
    <row r="3032" spans="1:9" x14ac:dyDescent="0.35">
      <c r="A3032" s="27"/>
      <c r="B3032" s="27"/>
      <c r="C3032" s="27"/>
      <c r="D3032" s="27"/>
      <c r="E3032" s="27"/>
      <c r="F3032" s="27"/>
      <c r="G3032" s="27"/>
      <c r="H3032" s="27"/>
      <c r="I3032" s="27"/>
    </row>
    <row r="3033" spans="1:9" x14ac:dyDescent="0.35">
      <c r="A3033" s="27"/>
      <c r="B3033" s="27"/>
      <c r="C3033" s="27"/>
      <c r="D3033" s="27"/>
      <c r="E3033" s="27"/>
      <c r="F3033" s="27"/>
      <c r="G3033" s="27"/>
      <c r="H3033" s="27"/>
      <c r="I3033" s="27"/>
    </row>
    <row r="3034" spans="1:9" x14ac:dyDescent="0.35">
      <c r="A3034" s="27"/>
      <c r="B3034" s="27"/>
      <c r="C3034" s="27"/>
      <c r="D3034" s="27"/>
      <c r="E3034" s="27"/>
      <c r="F3034" s="27"/>
      <c r="G3034" s="27"/>
      <c r="H3034" s="27"/>
      <c r="I3034" s="27"/>
    </row>
    <row r="3035" spans="1:9" x14ac:dyDescent="0.35">
      <c r="A3035" s="27"/>
      <c r="B3035" s="27"/>
      <c r="C3035" s="27"/>
      <c r="D3035" s="27"/>
      <c r="E3035" s="27"/>
      <c r="F3035" s="27"/>
      <c r="G3035" s="27"/>
      <c r="H3035" s="27"/>
      <c r="I3035" s="27"/>
    </row>
    <row r="3036" spans="1:9" x14ac:dyDescent="0.35">
      <c r="A3036" s="27"/>
      <c r="B3036" s="27"/>
      <c r="C3036" s="27"/>
      <c r="D3036" s="27"/>
      <c r="E3036" s="27"/>
      <c r="F3036" s="27"/>
      <c r="G3036" s="27"/>
      <c r="H3036" s="27"/>
      <c r="I3036" s="27"/>
    </row>
    <row r="3037" spans="1:9" x14ac:dyDescent="0.35">
      <c r="A3037" s="27"/>
      <c r="B3037" s="27"/>
      <c r="C3037" s="27"/>
      <c r="D3037" s="27"/>
      <c r="E3037" s="27"/>
      <c r="F3037" s="27"/>
      <c r="G3037" s="27"/>
      <c r="H3037" s="27"/>
      <c r="I3037" s="27"/>
    </row>
    <row r="3038" spans="1:9" x14ac:dyDescent="0.35">
      <c r="A3038" s="27"/>
      <c r="B3038" s="27"/>
      <c r="C3038" s="27"/>
      <c r="D3038" s="27"/>
      <c r="E3038" s="27"/>
      <c r="F3038" s="27"/>
      <c r="G3038" s="27"/>
      <c r="H3038" s="27"/>
      <c r="I3038" s="27"/>
    </row>
    <row r="3039" spans="1:9" x14ac:dyDescent="0.35">
      <c r="A3039" s="27"/>
      <c r="B3039" s="27"/>
      <c r="C3039" s="27"/>
      <c r="D3039" s="27"/>
      <c r="E3039" s="27"/>
      <c r="F3039" s="27"/>
      <c r="G3039" s="27"/>
      <c r="H3039" s="27"/>
      <c r="I3039" s="27"/>
    </row>
    <row r="3040" spans="1:9" x14ac:dyDescent="0.35">
      <c r="A3040" s="27"/>
      <c r="B3040" s="27"/>
      <c r="C3040" s="27"/>
      <c r="D3040" s="27"/>
      <c r="E3040" s="27"/>
      <c r="F3040" s="27"/>
      <c r="G3040" s="27"/>
      <c r="H3040" s="27"/>
      <c r="I3040" s="27"/>
    </row>
    <row r="3041" spans="1:9" x14ac:dyDescent="0.35">
      <c r="A3041" s="27"/>
      <c r="B3041" s="27"/>
      <c r="C3041" s="27"/>
      <c r="D3041" s="27"/>
      <c r="E3041" s="27"/>
      <c r="F3041" s="27"/>
      <c r="G3041" s="27"/>
      <c r="H3041" s="27"/>
      <c r="I3041" s="27"/>
    </row>
    <row r="3042" spans="1:9" x14ac:dyDescent="0.35">
      <c r="A3042" s="27"/>
      <c r="B3042" s="27"/>
      <c r="C3042" s="27"/>
      <c r="D3042" s="27"/>
      <c r="E3042" s="27"/>
      <c r="F3042" s="27"/>
      <c r="G3042" s="27"/>
      <c r="H3042" s="27"/>
      <c r="I3042" s="27"/>
    </row>
    <row r="3043" spans="1:9" x14ac:dyDescent="0.35">
      <c r="A3043" s="27"/>
      <c r="B3043" s="27"/>
      <c r="C3043" s="27"/>
      <c r="D3043" s="27"/>
      <c r="E3043" s="27"/>
      <c r="F3043" s="27"/>
      <c r="G3043" s="27"/>
      <c r="H3043" s="27"/>
      <c r="I3043" s="27"/>
    </row>
    <row r="3044" spans="1:9" x14ac:dyDescent="0.35">
      <c r="A3044" s="27"/>
      <c r="B3044" s="27"/>
      <c r="C3044" s="27"/>
      <c r="D3044" s="27"/>
      <c r="E3044" s="27"/>
      <c r="F3044" s="27"/>
      <c r="G3044" s="27"/>
      <c r="H3044" s="27"/>
      <c r="I3044" s="27"/>
    </row>
    <row r="3045" spans="1:9" x14ac:dyDescent="0.35">
      <c r="A3045" s="27"/>
      <c r="B3045" s="27"/>
      <c r="C3045" s="27"/>
      <c r="D3045" s="27"/>
      <c r="E3045" s="27"/>
      <c r="F3045" s="27"/>
      <c r="G3045" s="27"/>
      <c r="H3045" s="27"/>
      <c r="I3045" s="27"/>
    </row>
    <row r="3046" spans="1:9" x14ac:dyDescent="0.35">
      <c r="A3046" s="27"/>
      <c r="B3046" s="27"/>
      <c r="C3046" s="27"/>
      <c r="D3046" s="27"/>
      <c r="E3046" s="27"/>
      <c r="F3046" s="27"/>
      <c r="G3046" s="27"/>
      <c r="H3046" s="27"/>
      <c r="I3046" s="27"/>
    </row>
    <row r="3047" spans="1:9" x14ac:dyDescent="0.35">
      <c r="A3047" s="27"/>
      <c r="B3047" s="27"/>
      <c r="C3047" s="27"/>
      <c r="D3047" s="27"/>
      <c r="E3047" s="27"/>
      <c r="F3047" s="27"/>
      <c r="G3047" s="27"/>
      <c r="H3047" s="27"/>
      <c r="I3047" s="27"/>
    </row>
    <row r="3048" spans="1:9" x14ac:dyDescent="0.35">
      <c r="A3048" s="27"/>
      <c r="B3048" s="27"/>
      <c r="C3048" s="27"/>
      <c r="D3048" s="27"/>
      <c r="E3048" s="27"/>
      <c r="F3048" s="27"/>
      <c r="G3048" s="27"/>
      <c r="H3048" s="27"/>
      <c r="I3048" s="27"/>
    </row>
    <row r="3049" spans="1:9" x14ac:dyDescent="0.35">
      <c r="A3049" s="27"/>
      <c r="B3049" s="27"/>
      <c r="C3049" s="27"/>
      <c r="D3049" s="27"/>
      <c r="E3049" s="27"/>
      <c r="F3049" s="27"/>
      <c r="G3049" s="27"/>
      <c r="H3049" s="27"/>
      <c r="I3049" s="27"/>
    </row>
    <row r="3050" spans="1:9" x14ac:dyDescent="0.35">
      <c r="A3050" s="27"/>
      <c r="B3050" s="27"/>
      <c r="C3050" s="27"/>
      <c r="D3050" s="27"/>
      <c r="E3050" s="27"/>
      <c r="F3050" s="27"/>
      <c r="G3050" s="27"/>
      <c r="H3050" s="27"/>
      <c r="I3050" s="27"/>
    </row>
    <row r="3051" spans="1:9" x14ac:dyDescent="0.35">
      <c r="A3051" s="27"/>
      <c r="B3051" s="27"/>
      <c r="C3051" s="27"/>
      <c r="D3051" s="27"/>
      <c r="E3051" s="27"/>
      <c r="F3051" s="27"/>
      <c r="G3051" s="27"/>
      <c r="H3051" s="27"/>
      <c r="I3051" s="27"/>
    </row>
    <row r="3052" spans="1:9" x14ac:dyDescent="0.35">
      <c r="A3052" s="27"/>
      <c r="B3052" s="27"/>
      <c r="C3052" s="27"/>
      <c r="D3052" s="27"/>
      <c r="E3052" s="27"/>
      <c r="F3052" s="27"/>
      <c r="G3052" s="27"/>
      <c r="H3052" s="27"/>
      <c r="I3052" s="27"/>
    </row>
    <row r="3053" spans="1:9" x14ac:dyDescent="0.35">
      <c r="A3053" s="27"/>
      <c r="B3053" s="27"/>
      <c r="C3053" s="27"/>
      <c r="D3053" s="27"/>
      <c r="E3053" s="27"/>
      <c r="F3053" s="27"/>
      <c r="G3053" s="27"/>
      <c r="H3053" s="27"/>
      <c r="I3053" s="27"/>
    </row>
    <row r="3054" spans="1:9" x14ac:dyDescent="0.35">
      <c r="A3054" s="27"/>
      <c r="B3054" s="27"/>
      <c r="C3054" s="27"/>
      <c r="D3054" s="27"/>
      <c r="E3054" s="27"/>
      <c r="F3054" s="27"/>
      <c r="G3054" s="27"/>
      <c r="H3054" s="27"/>
      <c r="I3054" s="27"/>
    </row>
    <row r="3055" spans="1:9" x14ac:dyDescent="0.35">
      <c r="A3055" s="27"/>
      <c r="B3055" s="27"/>
      <c r="C3055" s="27"/>
      <c r="D3055" s="27"/>
      <c r="E3055" s="27"/>
      <c r="F3055" s="27"/>
      <c r="G3055" s="27"/>
      <c r="H3055" s="27"/>
      <c r="I3055" s="27"/>
    </row>
    <row r="3056" spans="1:9" x14ac:dyDescent="0.35">
      <c r="A3056" s="27"/>
      <c r="B3056" s="27"/>
      <c r="C3056" s="27"/>
      <c r="D3056" s="27"/>
      <c r="E3056" s="27"/>
      <c r="F3056" s="27"/>
      <c r="G3056" s="27"/>
      <c r="H3056" s="27"/>
      <c r="I3056" s="27"/>
    </row>
    <row r="3057" spans="1:9" x14ac:dyDescent="0.35">
      <c r="A3057" s="27"/>
      <c r="B3057" s="27"/>
      <c r="C3057" s="27"/>
      <c r="D3057" s="27"/>
      <c r="E3057" s="27"/>
      <c r="F3057" s="27"/>
      <c r="G3057" s="27"/>
      <c r="H3057" s="27"/>
      <c r="I3057" s="27"/>
    </row>
    <row r="3058" spans="1:9" x14ac:dyDescent="0.35">
      <c r="A3058" s="27"/>
      <c r="B3058" s="27"/>
      <c r="C3058" s="27"/>
      <c r="D3058" s="27"/>
      <c r="E3058" s="27"/>
      <c r="F3058" s="27"/>
      <c r="G3058" s="27"/>
      <c r="H3058" s="27"/>
      <c r="I3058" s="27"/>
    </row>
    <row r="3059" spans="1:9" x14ac:dyDescent="0.35">
      <c r="A3059" s="27"/>
      <c r="B3059" s="27"/>
      <c r="C3059" s="27"/>
      <c r="D3059" s="27"/>
      <c r="E3059" s="27"/>
      <c r="F3059" s="27"/>
      <c r="G3059" s="27"/>
      <c r="H3059" s="27"/>
      <c r="I3059" s="27"/>
    </row>
    <row r="3060" spans="1:9" x14ac:dyDescent="0.35">
      <c r="A3060" s="27"/>
      <c r="B3060" s="27"/>
      <c r="C3060" s="27"/>
      <c r="D3060" s="27"/>
      <c r="E3060" s="27"/>
      <c r="F3060" s="27"/>
      <c r="G3060" s="27"/>
      <c r="H3060" s="27"/>
      <c r="I3060" s="27"/>
    </row>
    <row r="3061" spans="1:9" x14ac:dyDescent="0.35">
      <c r="A3061" s="27"/>
      <c r="B3061" s="27"/>
      <c r="C3061" s="27"/>
      <c r="D3061" s="27"/>
      <c r="E3061" s="27"/>
      <c r="F3061" s="27"/>
      <c r="G3061" s="27"/>
      <c r="H3061" s="27"/>
      <c r="I3061" s="27"/>
    </row>
    <row r="3062" spans="1:9" x14ac:dyDescent="0.35">
      <c r="A3062" s="27"/>
      <c r="B3062" s="27"/>
      <c r="C3062" s="27"/>
      <c r="D3062" s="27"/>
      <c r="E3062" s="27"/>
      <c r="F3062" s="27"/>
      <c r="G3062" s="27"/>
      <c r="H3062" s="27"/>
      <c r="I3062" s="27"/>
    </row>
    <row r="3063" spans="1:9" x14ac:dyDescent="0.35">
      <c r="A3063" s="27"/>
      <c r="B3063" s="27"/>
      <c r="C3063" s="27"/>
      <c r="D3063" s="27"/>
      <c r="E3063" s="27"/>
      <c r="F3063" s="27"/>
      <c r="G3063" s="27"/>
      <c r="H3063" s="27"/>
      <c r="I3063" s="27"/>
    </row>
    <row r="3064" spans="1:9" x14ac:dyDescent="0.35">
      <c r="A3064" s="27"/>
      <c r="B3064" s="27"/>
      <c r="C3064" s="27"/>
      <c r="D3064" s="27"/>
      <c r="E3064" s="27"/>
      <c r="F3064" s="27"/>
      <c r="G3064" s="27"/>
      <c r="H3064" s="27"/>
      <c r="I3064" s="27"/>
    </row>
    <row r="3065" spans="1:9" x14ac:dyDescent="0.35">
      <c r="A3065" s="27"/>
      <c r="B3065" s="27"/>
      <c r="C3065" s="27"/>
      <c r="D3065" s="27"/>
      <c r="E3065" s="27"/>
      <c r="F3065" s="27"/>
      <c r="G3065" s="27"/>
      <c r="H3065" s="27"/>
      <c r="I3065" s="27"/>
    </row>
    <row r="3066" spans="1:9" x14ac:dyDescent="0.35">
      <c r="A3066" s="27"/>
      <c r="B3066" s="27"/>
      <c r="C3066" s="27"/>
      <c r="D3066" s="27"/>
      <c r="E3066" s="27"/>
      <c r="F3066" s="27"/>
      <c r="G3066" s="27"/>
      <c r="H3066" s="27"/>
      <c r="I3066" s="27"/>
    </row>
    <row r="3067" spans="1:9" x14ac:dyDescent="0.35">
      <c r="A3067" s="27"/>
      <c r="B3067" s="27"/>
      <c r="C3067" s="27"/>
      <c r="D3067" s="27"/>
      <c r="E3067" s="27"/>
      <c r="F3067" s="27"/>
      <c r="G3067" s="27"/>
      <c r="H3067" s="27"/>
      <c r="I3067" s="27"/>
    </row>
    <row r="3068" spans="1:9" x14ac:dyDescent="0.35">
      <c r="A3068" s="27"/>
      <c r="B3068" s="27"/>
      <c r="C3068" s="27"/>
      <c r="D3068" s="27"/>
      <c r="E3068" s="27"/>
      <c r="F3068" s="27"/>
      <c r="G3068" s="27"/>
      <c r="H3068" s="27"/>
      <c r="I3068" s="27"/>
    </row>
    <row r="3069" spans="1:9" x14ac:dyDescent="0.35">
      <c r="A3069" s="27"/>
      <c r="B3069" s="27"/>
      <c r="C3069" s="27"/>
      <c r="D3069" s="27"/>
      <c r="E3069" s="27"/>
      <c r="F3069" s="27"/>
      <c r="G3069" s="27"/>
      <c r="H3069" s="27"/>
      <c r="I3069" s="27"/>
    </row>
    <row r="3070" spans="1:9" x14ac:dyDescent="0.35">
      <c r="A3070" s="27"/>
      <c r="B3070" s="27"/>
      <c r="C3070" s="27"/>
      <c r="D3070" s="27"/>
      <c r="E3070" s="27"/>
      <c r="F3070" s="27"/>
      <c r="G3070" s="27"/>
      <c r="H3070" s="27"/>
      <c r="I3070" s="27"/>
    </row>
    <row r="3071" spans="1:9" x14ac:dyDescent="0.35">
      <c r="A3071" s="27"/>
      <c r="B3071" s="27"/>
      <c r="C3071" s="27"/>
      <c r="D3071" s="27"/>
      <c r="E3071" s="27"/>
      <c r="F3071" s="27"/>
      <c r="G3071" s="27"/>
      <c r="H3071" s="27"/>
      <c r="I3071" s="27"/>
    </row>
    <row r="3072" spans="1:9" x14ac:dyDescent="0.35">
      <c r="A3072" s="27"/>
      <c r="B3072" s="27"/>
      <c r="C3072" s="27"/>
      <c r="D3072" s="27"/>
      <c r="E3072" s="27"/>
      <c r="F3072" s="27"/>
      <c r="G3072" s="27"/>
      <c r="H3072" s="27"/>
      <c r="I3072" s="27"/>
    </row>
    <row r="3073" spans="1:9" x14ac:dyDescent="0.35">
      <c r="A3073" s="27"/>
      <c r="B3073" s="27"/>
      <c r="C3073" s="27"/>
      <c r="D3073" s="27"/>
      <c r="E3073" s="27"/>
      <c r="F3073" s="27"/>
      <c r="G3073" s="27"/>
      <c r="H3073" s="27"/>
      <c r="I3073" s="27"/>
    </row>
    <row r="3074" spans="1:9" x14ac:dyDescent="0.35">
      <c r="A3074" s="27"/>
      <c r="B3074" s="27"/>
      <c r="C3074" s="27"/>
      <c r="D3074" s="27"/>
      <c r="E3074" s="27"/>
      <c r="F3074" s="27"/>
      <c r="G3074" s="27"/>
      <c r="H3074" s="27"/>
      <c r="I3074" s="27"/>
    </row>
    <row r="3075" spans="1:9" x14ac:dyDescent="0.35">
      <c r="A3075" s="27"/>
      <c r="B3075" s="27"/>
      <c r="C3075" s="27"/>
      <c r="D3075" s="27"/>
      <c r="E3075" s="27"/>
      <c r="F3075" s="27"/>
      <c r="G3075" s="27"/>
      <c r="H3075" s="27"/>
      <c r="I3075" s="27"/>
    </row>
    <row r="3076" spans="1:9" x14ac:dyDescent="0.35">
      <c r="A3076" s="27"/>
      <c r="B3076" s="27"/>
      <c r="C3076" s="27"/>
      <c r="D3076" s="27"/>
      <c r="E3076" s="27"/>
      <c r="F3076" s="27"/>
      <c r="G3076" s="27"/>
      <c r="H3076" s="27"/>
      <c r="I3076" s="27"/>
    </row>
    <row r="3077" spans="1:9" x14ac:dyDescent="0.35">
      <c r="A3077" s="27"/>
      <c r="B3077" s="27"/>
      <c r="C3077" s="27"/>
      <c r="D3077" s="27"/>
      <c r="E3077" s="27"/>
      <c r="F3077" s="27"/>
      <c r="G3077" s="27"/>
      <c r="H3077" s="27"/>
      <c r="I3077" s="27"/>
    </row>
    <row r="3078" spans="1:9" x14ac:dyDescent="0.35">
      <c r="A3078" s="27"/>
      <c r="B3078" s="27"/>
      <c r="C3078" s="27"/>
      <c r="D3078" s="27"/>
      <c r="E3078" s="27"/>
      <c r="F3078" s="27"/>
      <c r="G3078" s="27"/>
      <c r="H3078" s="27"/>
      <c r="I3078" s="27"/>
    </row>
    <row r="3079" spans="1:9" x14ac:dyDescent="0.35">
      <c r="A3079" s="27"/>
      <c r="B3079" s="27"/>
      <c r="C3079" s="27"/>
      <c r="D3079" s="27"/>
      <c r="E3079" s="27"/>
      <c r="F3079" s="27"/>
      <c r="G3079" s="27"/>
      <c r="H3079" s="27"/>
      <c r="I3079" s="27"/>
    </row>
    <row r="3080" spans="1:9" x14ac:dyDescent="0.35">
      <c r="A3080" s="27"/>
      <c r="B3080" s="27"/>
      <c r="C3080" s="27"/>
      <c r="D3080" s="27"/>
      <c r="E3080" s="27"/>
      <c r="F3080" s="27"/>
      <c r="G3080" s="27"/>
      <c r="H3080" s="27"/>
      <c r="I3080" s="27"/>
    </row>
    <row r="3081" spans="1:9" x14ac:dyDescent="0.35">
      <c r="A3081" s="27"/>
      <c r="B3081" s="27"/>
      <c r="C3081" s="27"/>
      <c r="D3081" s="27"/>
      <c r="E3081" s="27"/>
      <c r="F3081" s="27"/>
      <c r="G3081" s="27"/>
      <c r="H3081" s="27"/>
      <c r="I3081" s="27"/>
    </row>
    <row r="3082" spans="1:9" x14ac:dyDescent="0.35">
      <c r="A3082" s="27"/>
      <c r="B3082" s="27"/>
      <c r="C3082" s="27"/>
      <c r="D3082" s="27"/>
      <c r="E3082" s="27"/>
      <c r="F3082" s="27"/>
      <c r="G3082" s="27"/>
      <c r="H3082" s="27"/>
      <c r="I3082" s="27"/>
    </row>
    <row r="3083" spans="1:9" x14ac:dyDescent="0.35">
      <c r="A3083" s="27"/>
      <c r="B3083" s="27"/>
      <c r="C3083" s="27"/>
      <c r="D3083" s="27"/>
      <c r="E3083" s="27"/>
      <c r="F3083" s="27"/>
      <c r="G3083" s="27"/>
      <c r="H3083" s="27"/>
      <c r="I3083" s="27"/>
    </row>
    <row r="3084" spans="1:9" x14ac:dyDescent="0.35">
      <c r="A3084" s="27"/>
      <c r="B3084" s="27"/>
      <c r="C3084" s="27"/>
      <c r="D3084" s="27"/>
      <c r="E3084" s="27"/>
      <c r="F3084" s="27"/>
      <c r="G3084" s="27"/>
      <c r="H3084" s="27"/>
      <c r="I3084" s="27"/>
    </row>
    <row r="3085" spans="1:9" x14ac:dyDescent="0.35">
      <c r="A3085" s="27"/>
      <c r="B3085" s="27"/>
      <c r="C3085" s="27"/>
      <c r="D3085" s="27"/>
      <c r="E3085" s="27"/>
      <c r="F3085" s="27"/>
      <c r="G3085" s="27"/>
      <c r="H3085" s="27"/>
      <c r="I3085" s="27"/>
    </row>
    <row r="3086" spans="1:9" x14ac:dyDescent="0.35">
      <c r="A3086" s="27"/>
      <c r="B3086" s="27"/>
      <c r="C3086" s="27"/>
      <c r="D3086" s="27"/>
      <c r="E3086" s="27"/>
      <c r="F3086" s="27"/>
      <c r="G3086" s="27"/>
      <c r="H3086" s="27"/>
      <c r="I3086" s="27"/>
    </row>
    <row r="3087" spans="1:9" x14ac:dyDescent="0.35">
      <c r="A3087" s="27"/>
      <c r="B3087" s="27"/>
      <c r="C3087" s="27"/>
      <c r="D3087" s="27"/>
      <c r="E3087" s="27"/>
      <c r="F3087" s="27"/>
      <c r="G3087" s="27"/>
      <c r="H3087" s="27"/>
      <c r="I3087" s="27"/>
    </row>
    <row r="3088" spans="1:9" x14ac:dyDescent="0.35">
      <c r="A3088" s="27"/>
      <c r="B3088" s="27"/>
      <c r="C3088" s="27"/>
      <c r="D3088" s="27"/>
      <c r="E3088" s="27"/>
      <c r="F3088" s="27"/>
      <c r="G3088" s="27"/>
      <c r="H3088" s="27"/>
      <c r="I3088" s="27"/>
    </row>
    <row r="3089" spans="1:9" x14ac:dyDescent="0.35">
      <c r="A3089" s="27"/>
      <c r="B3089" s="27"/>
      <c r="C3089" s="27"/>
      <c r="D3089" s="27"/>
      <c r="E3089" s="27"/>
      <c r="F3089" s="27"/>
      <c r="G3089" s="27"/>
      <c r="H3089" s="27"/>
      <c r="I3089" s="27"/>
    </row>
    <row r="3090" spans="1:9" x14ac:dyDescent="0.35">
      <c r="A3090" s="27"/>
      <c r="B3090" s="27"/>
      <c r="C3090" s="27"/>
      <c r="D3090" s="27"/>
      <c r="E3090" s="27"/>
      <c r="F3090" s="27"/>
      <c r="G3090" s="27"/>
      <c r="H3090" s="27"/>
      <c r="I3090" s="27"/>
    </row>
    <row r="3091" spans="1:9" x14ac:dyDescent="0.35">
      <c r="A3091" s="27"/>
      <c r="B3091" s="27"/>
      <c r="C3091" s="27"/>
      <c r="D3091" s="27"/>
      <c r="E3091" s="27"/>
      <c r="F3091" s="27"/>
      <c r="G3091" s="27"/>
      <c r="H3091" s="27"/>
      <c r="I3091" s="27"/>
    </row>
    <row r="3092" spans="1:9" x14ac:dyDescent="0.35">
      <c r="A3092" s="27"/>
      <c r="B3092" s="27"/>
      <c r="C3092" s="27"/>
      <c r="D3092" s="27"/>
      <c r="E3092" s="27"/>
      <c r="F3092" s="27"/>
      <c r="G3092" s="27"/>
      <c r="H3092" s="27"/>
      <c r="I3092" s="27"/>
    </row>
    <row r="3093" spans="1:9" x14ac:dyDescent="0.35">
      <c r="A3093" s="27"/>
      <c r="B3093" s="27"/>
      <c r="C3093" s="27"/>
      <c r="D3093" s="27"/>
      <c r="E3093" s="27"/>
      <c r="F3093" s="27"/>
      <c r="G3093" s="27"/>
      <c r="H3093" s="27"/>
      <c r="I3093" s="27"/>
    </row>
    <row r="3094" spans="1:9" x14ac:dyDescent="0.35">
      <c r="A3094" s="27"/>
      <c r="B3094" s="27"/>
      <c r="C3094" s="27"/>
      <c r="D3094" s="27"/>
      <c r="E3094" s="27"/>
      <c r="F3094" s="27"/>
      <c r="G3094" s="27"/>
      <c r="H3094" s="27"/>
      <c r="I3094" s="27"/>
    </row>
    <row r="3095" spans="1:9" x14ac:dyDescent="0.35">
      <c r="A3095" s="27"/>
      <c r="B3095" s="27"/>
      <c r="C3095" s="27"/>
      <c r="D3095" s="27"/>
      <c r="E3095" s="27"/>
      <c r="F3095" s="27"/>
      <c r="G3095" s="27"/>
      <c r="H3095" s="27"/>
      <c r="I3095" s="27"/>
    </row>
    <row r="3096" spans="1:9" x14ac:dyDescent="0.35">
      <c r="A3096" s="27"/>
      <c r="B3096" s="27"/>
      <c r="C3096" s="27"/>
      <c r="D3096" s="27"/>
      <c r="E3096" s="27"/>
      <c r="F3096" s="27"/>
      <c r="G3096" s="27"/>
      <c r="H3096" s="27"/>
      <c r="I3096" s="27"/>
    </row>
    <row r="3097" spans="1:9" x14ac:dyDescent="0.35">
      <c r="A3097" s="27"/>
      <c r="B3097" s="27"/>
      <c r="C3097" s="27"/>
      <c r="D3097" s="27"/>
      <c r="E3097" s="27"/>
      <c r="F3097" s="27"/>
      <c r="G3097" s="27"/>
      <c r="H3097" s="27"/>
      <c r="I3097" s="27"/>
    </row>
    <row r="3098" spans="1:9" x14ac:dyDescent="0.35">
      <c r="A3098" s="27"/>
      <c r="B3098" s="27"/>
      <c r="C3098" s="27"/>
      <c r="D3098" s="27"/>
      <c r="E3098" s="27"/>
      <c r="F3098" s="27"/>
      <c r="G3098" s="27"/>
      <c r="H3098" s="27"/>
      <c r="I3098" s="27"/>
    </row>
    <row r="3099" spans="1:9" x14ac:dyDescent="0.35">
      <c r="A3099" s="27"/>
      <c r="B3099" s="27"/>
      <c r="C3099" s="27"/>
      <c r="D3099" s="27"/>
      <c r="E3099" s="27"/>
      <c r="F3099" s="27"/>
      <c r="G3099" s="27"/>
      <c r="H3099" s="27"/>
      <c r="I3099" s="27"/>
    </row>
    <row r="3100" spans="1:9" x14ac:dyDescent="0.35">
      <c r="A3100" s="27"/>
      <c r="B3100" s="27"/>
      <c r="C3100" s="27"/>
      <c r="D3100" s="27"/>
      <c r="E3100" s="27"/>
      <c r="F3100" s="27"/>
      <c r="G3100" s="27"/>
      <c r="H3100" s="27"/>
      <c r="I3100" s="27"/>
    </row>
    <row r="3101" spans="1:9" x14ac:dyDescent="0.35">
      <c r="A3101" s="27"/>
      <c r="B3101" s="27"/>
      <c r="C3101" s="27"/>
      <c r="D3101" s="27"/>
      <c r="E3101" s="27"/>
      <c r="F3101" s="27"/>
      <c r="G3101" s="27"/>
      <c r="H3101" s="27"/>
      <c r="I3101" s="27"/>
    </row>
    <row r="3102" spans="1:9" x14ac:dyDescent="0.35">
      <c r="A3102" s="27"/>
      <c r="B3102" s="27"/>
      <c r="C3102" s="27"/>
      <c r="D3102" s="27"/>
      <c r="E3102" s="27"/>
      <c r="F3102" s="27"/>
      <c r="G3102" s="27"/>
      <c r="H3102" s="27"/>
      <c r="I3102" s="27"/>
    </row>
    <row r="3103" spans="1:9" x14ac:dyDescent="0.35">
      <c r="A3103" s="27"/>
      <c r="B3103" s="27"/>
      <c r="C3103" s="27"/>
      <c r="D3103" s="27"/>
      <c r="E3103" s="27"/>
      <c r="F3103" s="27"/>
      <c r="G3103" s="27"/>
      <c r="H3103" s="27"/>
      <c r="I3103" s="27"/>
    </row>
    <row r="3104" spans="1:9" x14ac:dyDescent="0.35">
      <c r="A3104" s="27"/>
      <c r="B3104" s="27"/>
      <c r="C3104" s="27"/>
      <c r="D3104" s="27"/>
      <c r="E3104" s="27"/>
      <c r="F3104" s="27"/>
      <c r="G3104" s="27"/>
      <c r="H3104" s="27"/>
      <c r="I3104" s="27"/>
    </row>
    <row r="3105" spans="1:9" x14ac:dyDescent="0.35">
      <c r="A3105" s="27"/>
      <c r="B3105" s="27"/>
      <c r="C3105" s="27"/>
      <c r="D3105" s="27"/>
      <c r="E3105" s="27"/>
      <c r="F3105" s="27"/>
      <c r="G3105" s="27"/>
      <c r="H3105" s="27"/>
      <c r="I3105" s="27"/>
    </row>
    <row r="3106" spans="1:9" x14ac:dyDescent="0.35">
      <c r="A3106" s="27"/>
      <c r="B3106" s="27"/>
      <c r="C3106" s="27"/>
      <c r="D3106" s="27"/>
      <c r="E3106" s="27"/>
      <c r="F3106" s="27"/>
      <c r="G3106" s="27"/>
      <c r="H3106" s="27"/>
      <c r="I3106" s="27"/>
    </row>
    <row r="3107" spans="1:9" x14ac:dyDescent="0.35">
      <c r="A3107" s="27"/>
      <c r="B3107" s="27"/>
      <c r="C3107" s="27"/>
      <c r="D3107" s="27"/>
      <c r="E3107" s="27"/>
      <c r="F3107" s="27"/>
      <c r="G3107" s="27"/>
      <c r="H3107" s="27"/>
      <c r="I3107" s="27"/>
    </row>
    <row r="3108" spans="1:9" x14ac:dyDescent="0.35">
      <c r="A3108" s="27"/>
      <c r="B3108" s="27"/>
      <c r="C3108" s="27"/>
      <c r="D3108" s="27"/>
      <c r="E3108" s="27"/>
      <c r="F3108" s="27"/>
      <c r="G3108" s="27"/>
      <c r="H3108" s="27"/>
      <c r="I3108" s="27"/>
    </row>
    <row r="3109" spans="1:9" x14ac:dyDescent="0.35">
      <c r="A3109" s="27"/>
      <c r="B3109" s="27"/>
      <c r="C3109" s="27"/>
      <c r="D3109" s="27"/>
      <c r="E3109" s="27"/>
      <c r="F3109" s="27"/>
      <c r="G3109" s="27"/>
      <c r="H3109" s="27"/>
      <c r="I3109" s="27"/>
    </row>
    <row r="3110" spans="1:9" x14ac:dyDescent="0.35">
      <c r="A3110" s="27"/>
      <c r="B3110" s="27"/>
      <c r="C3110" s="27"/>
      <c r="D3110" s="27"/>
      <c r="E3110" s="27"/>
      <c r="F3110" s="27"/>
      <c r="G3110" s="27"/>
      <c r="H3110" s="27"/>
      <c r="I3110" s="27"/>
    </row>
    <row r="3111" spans="1:9" x14ac:dyDescent="0.35">
      <c r="A3111" s="27"/>
      <c r="B3111" s="27"/>
      <c r="C3111" s="27"/>
      <c r="D3111" s="27"/>
      <c r="E3111" s="27"/>
      <c r="F3111" s="27"/>
      <c r="G3111" s="27"/>
      <c r="H3111" s="27"/>
      <c r="I3111" s="27"/>
    </row>
    <row r="3112" spans="1:9" x14ac:dyDescent="0.35">
      <c r="A3112" s="27"/>
      <c r="B3112" s="27"/>
      <c r="C3112" s="27"/>
      <c r="D3112" s="27"/>
      <c r="E3112" s="27"/>
      <c r="F3112" s="27"/>
      <c r="G3112" s="27"/>
      <c r="H3112" s="27"/>
      <c r="I3112" s="27"/>
    </row>
    <row r="3113" spans="1:9" x14ac:dyDescent="0.35">
      <c r="A3113" s="27"/>
      <c r="B3113" s="27"/>
      <c r="C3113" s="27"/>
      <c r="D3113" s="27"/>
      <c r="E3113" s="27"/>
      <c r="F3113" s="27"/>
      <c r="G3113" s="27"/>
      <c r="H3113" s="27"/>
      <c r="I3113" s="27"/>
    </row>
    <row r="3114" spans="1:9" x14ac:dyDescent="0.35">
      <c r="A3114" s="27"/>
      <c r="B3114" s="27"/>
      <c r="C3114" s="27"/>
      <c r="D3114" s="27"/>
      <c r="E3114" s="27"/>
      <c r="F3114" s="27"/>
      <c r="G3114" s="27"/>
      <c r="H3114" s="27"/>
      <c r="I3114" s="27"/>
    </row>
    <row r="3115" spans="1:9" x14ac:dyDescent="0.35">
      <c r="A3115" s="27"/>
      <c r="B3115" s="27"/>
      <c r="C3115" s="27"/>
      <c r="D3115" s="27"/>
      <c r="E3115" s="27"/>
      <c r="F3115" s="27"/>
      <c r="G3115" s="27"/>
      <c r="H3115" s="27"/>
      <c r="I3115" s="27"/>
    </row>
    <row r="3116" spans="1:9" x14ac:dyDescent="0.35">
      <c r="A3116" s="27"/>
      <c r="B3116" s="27"/>
      <c r="C3116" s="27"/>
      <c r="D3116" s="27"/>
      <c r="E3116" s="27"/>
      <c r="F3116" s="27"/>
      <c r="G3116" s="27"/>
      <c r="H3116" s="27"/>
      <c r="I3116" s="27"/>
    </row>
    <row r="3117" spans="1:9" x14ac:dyDescent="0.35">
      <c r="A3117" s="27"/>
      <c r="B3117" s="27"/>
      <c r="C3117" s="27"/>
      <c r="D3117" s="27"/>
      <c r="E3117" s="27"/>
      <c r="F3117" s="27"/>
      <c r="G3117" s="27"/>
      <c r="H3117" s="27"/>
      <c r="I3117" s="27"/>
    </row>
    <row r="3118" spans="1:9" x14ac:dyDescent="0.35">
      <c r="A3118" s="27"/>
      <c r="B3118" s="27"/>
      <c r="C3118" s="27"/>
      <c r="D3118" s="27"/>
      <c r="E3118" s="27"/>
      <c r="F3118" s="27"/>
      <c r="G3118" s="27"/>
      <c r="H3118" s="27"/>
      <c r="I3118" s="27"/>
    </row>
    <row r="3119" spans="1:9" x14ac:dyDescent="0.35">
      <c r="A3119" s="27"/>
      <c r="B3119" s="27"/>
      <c r="C3119" s="27"/>
      <c r="D3119" s="27"/>
      <c r="E3119" s="27"/>
      <c r="F3119" s="27"/>
      <c r="G3119" s="27"/>
      <c r="H3119" s="27"/>
      <c r="I3119" s="27"/>
    </row>
    <row r="3120" spans="1:9" x14ac:dyDescent="0.35">
      <c r="A3120" s="27"/>
      <c r="B3120" s="27"/>
      <c r="C3120" s="27"/>
      <c r="D3120" s="27"/>
      <c r="E3120" s="27"/>
      <c r="F3120" s="27"/>
      <c r="G3120" s="27"/>
      <c r="H3120" s="27"/>
      <c r="I3120" s="27"/>
    </row>
    <row r="3121" spans="1:9" x14ac:dyDescent="0.35">
      <c r="A3121" s="27"/>
      <c r="B3121" s="27"/>
      <c r="C3121" s="27"/>
      <c r="D3121" s="27"/>
      <c r="E3121" s="27"/>
      <c r="F3121" s="27"/>
      <c r="G3121" s="27"/>
      <c r="H3121" s="27"/>
      <c r="I3121" s="27"/>
    </row>
    <row r="3122" spans="1:9" x14ac:dyDescent="0.35">
      <c r="A3122" s="27"/>
      <c r="B3122" s="27"/>
      <c r="C3122" s="27"/>
      <c r="D3122" s="27"/>
      <c r="E3122" s="27"/>
      <c r="F3122" s="27"/>
      <c r="G3122" s="27"/>
      <c r="H3122" s="27"/>
      <c r="I3122" s="27"/>
    </row>
    <row r="3123" spans="1:9" x14ac:dyDescent="0.35">
      <c r="A3123" s="27"/>
      <c r="B3123" s="27"/>
      <c r="C3123" s="27"/>
      <c r="D3123" s="27"/>
      <c r="E3123" s="27"/>
      <c r="F3123" s="27"/>
      <c r="G3123" s="27"/>
      <c r="H3123" s="27"/>
      <c r="I3123" s="27"/>
    </row>
    <row r="3124" spans="1:9" x14ac:dyDescent="0.35">
      <c r="A3124" s="27"/>
      <c r="B3124" s="27"/>
      <c r="C3124" s="27"/>
      <c r="D3124" s="27"/>
      <c r="E3124" s="27"/>
      <c r="F3124" s="27"/>
      <c r="G3124" s="27"/>
      <c r="H3124" s="27"/>
      <c r="I3124" s="27"/>
    </row>
    <row r="3125" spans="1:9" x14ac:dyDescent="0.35">
      <c r="A3125" s="27"/>
      <c r="B3125" s="27"/>
      <c r="C3125" s="27"/>
      <c r="D3125" s="27"/>
      <c r="E3125" s="27"/>
      <c r="F3125" s="27"/>
      <c r="G3125" s="27"/>
      <c r="H3125" s="27"/>
      <c r="I3125" s="27"/>
    </row>
    <row r="3126" spans="1:9" x14ac:dyDescent="0.35">
      <c r="A3126" s="27"/>
      <c r="B3126" s="27"/>
      <c r="C3126" s="27"/>
      <c r="D3126" s="27"/>
      <c r="E3126" s="27"/>
      <c r="F3126" s="27"/>
      <c r="G3126" s="27"/>
      <c r="H3126" s="27"/>
      <c r="I3126" s="27"/>
    </row>
    <row r="3127" spans="1:9" x14ac:dyDescent="0.35">
      <c r="A3127" s="27"/>
      <c r="B3127" s="27"/>
      <c r="C3127" s="27"/>
      <c r="D3127" s="27"/>
      <c r="E3127" s="27"/>
      <c r="F3127" s="27"/>
      <c r="G3127" s="27"/>
      <c r="H3127" s="27"/>
      <c r="I3127" s="27"/>
    </row>
    <row r="3128" spans="1:9" x14ac:dyDescent="0.35">
      <c r="A3128" s="27"/>
      <c r="B3128" s="27"/>
      <c r="C3128" s="27"/>
      <c r="D3128" s="27"/>
      <c r="E3128" s="27"/>
      <c r="F3128" s="27"/>
      <c r="G3128" s="27"/>
      <c r="H3128" s="27"/>
      <c r="I3128" s="27"/>
    </row>
    <row r="3129" spans="1:9" x14ac:dyDescent="0.35">
      <c r="A3129" s="27"/>
      <c r="B3129" s="27"/>
      <c r="C3129" s="27"/>
      <c r="D3129" s="27"/>
      <c r="E3129" s="27"/>
      <c r="F3129" s="27"/>
      <c r="G3129" s="27"/>
      <c r="H3129" s="27"/>
      <c r="I3129" s="27"/>
    </row>
    <row r="3130" spans="1:9" x14ac:dyDescent="0.35">
      <c r="A3130" s="27"/>
      <c r="B3130" s="27"/>
      <c r="C3130" s="27"/>
      <c r="D3130" s="27"/>
      <c r="E3130" s="27"/>
      <c r="F3130" s="27"/>
      <c r="G3130" s="27"/>
      <c r="H3130" s="27"/>
      <c r="I3130" s="27"/>
    </row>
    <row r="3131" spans="1:9" x14ac:dyDescent="0.35">
      <c r="A3131" s="27"/>
      <c r="B3131" s="27"/>
      <c r="C3131" s="27"/>
      <c r="D3131" s="27"/>
      <c r="E3131" s="27"/>
      <c r="F3131" s="27"/>
      <c r="G3131" s="27"/>
      <c r="H3131" s="27"/>
      <c r="I3131" s="27"/>
    </row>
    <row r="3132" spans="1:9" x14ac:dyDescent="0.35">
      <c r="A3132" s="27"/>
      <c r="B3132" s="27"/>
      <c r="C3132" s="27"/>
      <c r="D3132" s="27"/>
      <c r="E3132" s="27"/>
      <c r="F3132" s="27"/>
      <c r="G3132" s="27"/>
      <c r="H3132" s="27"/>
      <c r="I3132" s="27"/>
    </row>
    <row r="3133" spans="1:9" x14ac:dyDescent="0.35">
      <c r="A3133" s="27"/>
      <c r="B3133" s="27"/>
      <c r="C3133" s="27"/>
      <c r="D3133" s="27"/>
      <c r="E3133" s="27"/>
      <c r="F3133" s="27"/>
      <c r="G3133" s="27"/>
      <c r="H3133" s="27"/>
      <c r="I3133" s="27"/>
    </row>
    <row r="3134" spans="1:9" x14ac:dyDescent="0.35">
      <c r="A3134" s="27"/>
      <c r="B3134" s="27"/>
      <c r="C3134" s="27"/>
      <c r="D3134" s="27"/>
      <c r="E3134" s="27"/>
      <c r="F3134" s="27"/>
      <c r="G3134" s="27"/>
      <c r="H3134" s="27"/>
      <c r="I3134" s="27"/>
    </row>
    <row r="3135" spans="1:9" x14ac:dyDescent="0.35">
      <c r="A3135" s="27"/>
      <c r="B3135" s="27"/>
      <c r="C3135" s="27"/>
      <c r="D3135" s="27"/>
      <c r="E3135" s="27"/>
      <c r="F3135" s="27"/>
      <c r="G3135" s="27"/>
      <c r="H3135" s="27"/>
      <c r="I3135" s="27"/>
    </row>
    <row r="3136" spans="1:9" x14ac:dyDescent="0.35">
      <c r="A3136" s="27"/>
      <c r="B3136" s="27"/>
      <c r="C3136" s="27"/>
      <c r="D3136" s="27"/>
      <c r="E3136" s="27"/>
      <c r="F3136" s="27"/>
      <c r="G3136" s="27"/>
      <c r="H3136" s="27"/>
      <c r="I3136" s="27"/>
    </row>
    <row r="3137" spans="1:9" x14ac:dyDescent="0.35">
      <c r="A3137" s="27"/>
      <c r="B3137" s="27"/>
      <c r="C3137" s="27"/>
      <c r="D3137" s="27"/>
      <c r="E3137" s="27"/>
      <c r="F3137" s="27"/>
      <c r="G3137" s="27"/>
      <c r="H3137" s="27"/>
      <c r="I3137" s="27"/>
    </row>
    <row r="3138" spans="1:9" x14ac:dyDescent="0.35">
      <c r="A3138" s="27"/>
      <c r="B3138" s="27"/>
      <c r="C3138" s="27"/>
      <c r="D3138" s="27"/>
      <c r="E3138" s="27"/>
      <c r="F3138" s="27"/>
      <c r="G3138" s="27"/>
      <c r="H3138" s="27"/>
      <c r="I3138" s="27"/>
    </row>
    <row r="3139" spans="1:9" x14ac:dyDescent="0.35">
      <c r="A3139" s="27"/>
      <c r="B3139" s="27"/>
      <c r="C3139" s="27"/>
      <c r="D3139" s="27"/>
      <c r="E3139" s="27"/>
      <c r="F3139" s="27"/>
      <c r="G3139" s="27"/>
      <c r="H3139" s="27"/>
      <c r="I3139" s="27"/>
    </row>
    <row r="3140" spans="1:9" x14ac:dyDescent="0.35">
      <c r="A3140" s="27"/>
      <c r="B3140" s="27"/>
      <c r="C3140" s="27"/>
      <c r="D3140" s="27"/>
      <c r="E3140" s="27"/>
      <c r="F3140" s="27"/>
      <c r="G3140" s="27"/>
      <c r="H3140" s="27"/>
      <c r="I3140" s="27"/>
    </row>
    <row r="3141" spans="1:9" x14ac:dyDescent="0.35">
      <c r="A3141" s="27"/>
      <c r="B3141" s="27"/>
      <c r="C3141" s="27"/>
      <c r="D3141" s="27"/>
      <c r="E3141" s="27"/>
      <c r="F3141" s="27"/>
      <c r="G3141" s="27"/>
      <c r="H3141" s="27"/>
      <c r="I3141" s="27"/>
    </row>
    <row r="3142" spans="1:9" x14ac:dyDescent="0.35">
      <c r="A3142" s="27"/>
      <c r="B3142" s="27"/>
      <c r="C3142" s="27"/>
      <c r="D3142" s="27"/>
      <c r="E3142" s="27"/>
      <c r="F3142" s="27"/>
      <c r="G3142" s="27"/>
      <c r="H3142" s="27"/>
      <c r="I3142" s="27"/>
    </row>
    <row r="3143" spans="1:9" x14ac:dyDescent="0.35">
      <c r="A3143" s="27"/>
      <c r="B3143" s="27"/>
      <c r="C3143" s="27"/>
      <c r="D3143" s="27"/>
      <c r="E3143" s="27"/>
      <c r="F3143" s="27"/>
      <c r="G3143" s="27"/>
      <c r="H3143" s="27"/>
      <c r="I3143" s="27"/>
    </row>
    <row r="3144" spans="1:9" x14ac:dyDescent="0.35">
      <c r="A3144" s="27"/>
      <c r="B3144" s="27"/>
      <c r="C3144" s="27"/>
      <c r="D3144" s="27"/>
      <c r="E3144" s="27"/>
      <c r="F3144" s="27"/>
      <c r="G3144" s="27"/>
      <c r="H3144" s="27"/>
      <c r="I3144" s="27"/>
    </row>
    <row r="3145" spans="1:9" x14ac:dyDescent="0.35">
      <c r="A3145" s="27"/>
      <c r="B3145" s="27"/>
      <c r="C3145" s="27"/>
      <c r="D3145" s="27"/>
      <c r="E3145" s="27"/>
      <c r="F3145" s="27"/>
      <c r="G3145" s="27"/>
      <c r="H3145" s="27"/>
      <c r="I3145" s="27"/>
    </row>
    <row r="3146" spans="1:9" x14ac:dyDescent="0.35">
      <c r="A3146" s="27"/>
      <c r="B3146" s="27"/>
      <c r="C3146" s="27"/>
      <c r="D3146" s="27"/>
      <c r="E3146" s="27"/>
      <c r="F3146" s="27"/>
      <c r="G3146" s="27"/>
      <c r="H3146" s="27"/>
      <c r="I3146" s="27"/>
    </row>
    <row r="3147" spans="1:9" x14ac:dyDescent="0.35">
      <c r="A3147" s="27"/>
      <c r="B3147" s="27"/>
      <c r="C3147" s="27"/>
      <c r="D3147" s="27"/>
      <c r="E3147" s="27"/>
      <c r="F3147" s="27"/>
      <c r="G3147" s="27"/>
      <c r="H3147" s="27"/>
      <c r="I3147" s="27"/>
    </row>
    <row r="3148" spans="1:9" x14ac:dyDescent="0.35">
      <c r="A3148" s="27"/>
      <c r="B3148" s="27"/>
      <c r="C3148" s="27"/>
      <c r="D3148" s="27"/>
      <c r="E3148" s="27"/>
      <c r="F3148" s="27"/>
      <c r="G3148" s="27"/>
      <c r="H3148" s="27"/>
      <c r="I3148" s="27"/>
    </row>
    <row r="3149" spans="1:9" x14ac:dyDescent="0.35">
      <c r="A3149" s="27"/>
      <c r="B3149" s="27"/>
      <c r="C3149" s="27"/>
      <c r="D3149" s="27"/>
      <c r="E3149" s="27"/>
      <c r="F3149" s="27"/>
      <c r="G3149" s="27"/>
      <c r="H3149" s="27"/>
      <c r="I3149" s="27"/>
    </row>
    <row r="3150" spans="1:9" x14ac:dyDescent="0.35">
      <c r="A3150" s="27"/>
      <c r="B3150" s="27"/>
      <c r="C3150" s="27"/>
      <c r="D3150" s="27"/>
      <c r="E3150" s="27"/>
      <c r="F3150" s="27"/>
      <c r="G3150" s="27"/>
      <c r="H3150" s="27"/>
      <c r="I3150" s="27"/>
    </row>
    <row r="3151" spans="1:9" x14ac:dyDescent="0.35">
      <c r="A3151" s="27"/>
      <c r="B3151" s="27"/>
      <c r="C3151" s="27"/>
      <c r="D3151" s="27"/>
      <c r="E3151" s="27"/>
      <c r="F3151" s="27"/>
      <c r="G3151" s="27"/>
      <c r="H3151" s="27"/>
      <c r="I3151" s="27"/>
    </row>
    <row r="3152" spans="1:9" x14ac:dyDescent="0.35">
      <c r="A3152" s="27"/>
      <c r="B3152" s="27"/>
      <c r="C3152" s="27"/>
      <c r="D3152" s="27"/>
      <c r="E3152" s="27"/>
      <c r="F3152" s="27"/>
      <c r="G3152" s="27"/>
      <c r="H3152" s="27"/>
      <c r="I3152" s="27"/>
    </row>
    <row r="3153" spans="1:9" x14ac:dyDescent="0.35">
      <c r="A3153" s="27"/>
      <c r="B3153" s="27"/>
      <c r="C3153" s="27"/>
      <c r="D3153" s="27"/>
      <c r="E3153" s="27"/>
      <c r="F3153" s="27"/>
      <c r="G3153" s="27"/>
      <c r="H3153" s="27"/>
      <c r="I3153" s="27"/>
    </row>
    <row r="3154" spans="1:9" x14ac:dyDescent="0.35">
      <c r="A3154" s="27"/>
      <c r="B3154" s="27"/>
      <c r="C3154" s="27"/>
      <c r="D3154" s="27"/>
      <c r="E3154" s="27"/>
      <c r="F3154" s="27"/>
      <c r="G3154" s="27"/>
      <c r="H3154" s="27"/>
      <c r="I3154" s="27"/>
    </row>
    <row r="3155" spans="1:9" x14ac:dyDescent="0.35">
      <c r="A3155" s="27"/>
      <c r="B3155" s="27"/>
      <c r="C3155" s="27"/>
      <c r="D3155" s="27"/>
      <c r="E3155" s="27"/>
      <c r="F3155" s="27"/>
      <c r="G3155" s="27"/>
      <c r="H3155" s="27"/>
      <c r="I3155" s="27"/>
    </row>
    <row r="3156" spans="1:9" x14ac:dyDescent="0.35">
      <c r="A3156" s="27"/>
      <c r="B3156" s="27"/>
      <c r="C3156" s="27"/>
      <c r="D3156" s="27"/>
      <c r="E3156" s="27"/>
      <c r="F3156" s="27"/>
      <c r="G3156" s="27"/>
      <c r="H3156" s="27"/>
      <c r="I3156" s="27"/>
    </row>
    <row r="3157" spans="1:9" x14ac:dyDescent="0.35">
      <c r="A3157" s="27"/>
      <c r="B3157" s="27"/>
      <c r="C3157" s="27"/>
      <c r="D3157" s="27"/>
      <c r="E3157" s="27"/>
      <c r="F3157" s="27"/>
      <c r="G3157" s="27"/>
      <c r="H3157" s="27"/>
      <c r="I3157" s="27"/>
    </row>
    <row r="3158" spans="1:9" x14ac:dyDescent="0.35">
      <c r="A3158" s="27"/>
      <c r="B3158" s="27"/>
      <c r="C3158" s="27"/>
      <c r="D3158" s="27"/>
      <c r="E3158" s="27"/>
      <c r="F3158" s="27"/>
      <c r="G3158" s="27"/>
      <c r="H3158" s="27"/>
      <c r="I3158" s="27"/>
    </row>
    <row r="3159" spans="1:9" x14ac:dyDescent="0.35">
      <c r="A3159" s="27"/>
      <c r="B3159" s="27"/>
      <c r="C3159" s="27"/>
      <c r="D3159" s="27"/>
      <c r="E3159" s="27"/>
      <c r="F3159" s="27"/>
      <c r="G3159" s="27"/>
      <c r="H3159" s="27"/>
      <c r="I3159" s="27"/>
    </row>
    <row r="3160" spans="1:9" x14ac:dyDescent="0.35">
      <c r="A3160" s="27"/>
      <c r="B3160" s="27"/>
      <c r="C3160" s="27"/>
      <c r="D3160" s="27"/>
      <c r="E3160" s="27"/>
      <c r="F3160" s="27"/>
      <c r="G3160" s="27"/>
      <c r="H3160" s="27"/>
      <c r="I3160" s="27"/>
    </row>
    <row r="3161" spans="1:9" x14ac:dyDescent="0.35">
      <c r="A3161" s="27"/>
      <c r="B3161" s="27"/>
      <c r="C3161" s="27"/>
      <c r="D3161" s="27"/>
      <c r="E3161" s="27"/>
      <c r="F3161" s="27"/>
      <c r="G3161" s="27"/>
      <c r="H3161" s="27"/>
      <c r="I3161" s="27"/>
    </row>
    <row r="3162" spans="1:9" x14ac:dyDescent="0.35">
      <c r="A3162" s="27"/>
      <c r="B3162" s="27"/>
      <c r="C3162" s="27"/>
      <c r="D3162" s="27"/>
      <c r="E3162" s="27"/>
      <c r="F3162" s="27"/>
      <c r="G3162" s="27"/>
      <c r="H3162" s="27"/>
      <c r="I3162" s="27"/>
    </row>
    <row r="3163" spans="1:9" x14ac:dyDescent="0.35">
      <c r="A3163" s="27"/>
      <c r="B3163" s="27"/>
      <c r="C3163" s="27"/>
      <c r="D3163" s="27"/>
      <c r="E3163" s="27"/>
      <c r="F3163" s="27"/>
      <c r="G3163" s="27"/>
      <c r="H3163" s="27"/>
      <c r="I3163" s="27"/>
    </row>
    <row r="3164" spans="1:9" x14ac:dyDescent="0.35">
      <c r="A3164" s="27"/>
      <c r="B3164" s="27"/>
      <c r="C3164" s="27"/>
      <c r="D3164" s="27"/>
      <c r="E3164" s="27"/>
      <c r="F3164" s="27"/>
      <c r="G3164" s="27"/>
      <c r="H3164" s="27"/>
      <c r="I3164" s="27"/>
    </row>
    <row r="3165" spans="1:9" x14ac:dyDescent="0.35">
      <c r="A3165" s="27"/>
      <c r="B3165" s="27"/>
      <c r="C3165" s="27"/>
      <c r="D3165" s="27"/>
      <c r="E3165" s="27"/>
      <c r="F3165" s="27"/>
      <c r="G3165" s="27"/>
      <c r="H3165" s="27"/>
      <c r="I3165" s="27"/>
    </row>
    <row r="3166" spans="1:9" x14ac:dyDescent="0.35">
      <c r="A3166" s="27"/>
      <c r="B3166" s="27"/>
      <c r="C3166" s="27"/>
      <c r="D3166" s="27"/>
      <c r="E3166" s="27"/>
      <c r="F3166" s="27"/>
      <c r="G3166" s="27"/>
      <c r="H3166" s="27"/>
      <c r="I3166" s="27"/>
    </row>
    <row r="3167" spans="1:9" x14ac:dyDescent="0.35">
      <c r="A3167" s="27"/>
      <c r="B3167" s="27"/>
      <c r="C3167" s="27"/>
      <c r="D3167" s="27"/>
      <c r="E3167" s="27"/>
      <c r="F3167" s="27"/>
      <c r="G3167" s="27"/>
      <c r="H3167" s="27"/>
      <c r="I3167" s="27"/>
    </row>
    <row r="3168" spans="1:9" x14ac:dyDescent="0.35">
      <c r="A3168" s="27"/>
      <c r="B3168" s="27"/>
      <c r="C3168" s="27"/>
      <c r="D3168" s="27"/>
      <c r="E3168" s="27"/>
      <c r="F3168" s="27"/>
      <c r="G3168" s="27"/>
      <c r="H3168" s="27"/>
      <c r="I3168" s="27"/>
    </row>
    <row r="3169" spans="1:9" x14ac:dyDescent="0.35">
      <c r="A3169" s="27"/>
      <c r="B3169" s="27"/>
      <c r="C3169" s="27"/>
      <c r="D3169" s="27"/>
      <c r="E3169" s="27"/>
      <c r="F3169" s="27"/>
      <c r="G3169" s="27"/>
      <c r="H3169" s="27"/>
      <c r="I3169" s="27"/>
    </row>
    <row r="3170" spans="1:9" x14ac:dyDescent="0.35">
      <c r="A3170" s="27"/>
      <c r="B3170" s="27"/>
      <c r="C3170" s="27"/>
      <c r="D3170" s="27"/>
      <c r="E3170" s="27"/>
      <c r="F3170" s="27"/>
      <c r="G3170" s="27"/>
      <c r="H3170" s="27"/>
      <c r="I3170" s="27"/>
    </row>
    <row r="3171" spans="1:9" x14ac:dyDescent="0.35">
      <c r="A3171" s="27"/>
      <c r="B3171" s="27"/>
      <c r="C3171" s="27"/>
      <c r="D3171" s="27"/>
      <c r="E3171" s="27"/>
      <c r="F3171" s="27"/>
      <c r="G3171" s="27"/>
      <c r="H3171" s="27"/>
      <c r="I3171" s="27"/>
    </row>
    <row r="3172" spans="1:9" x14ac:dyDescent="0.35">
      <c r="A3172" s="27"/>
      <c r="B3172" s="27"/>
      <c r="C3172" s="27"/>
      <c r="D3172" s="27"/>
      <c r="E3172" s="27"/>
      <c r="F3172" s="27"/>
      <c r="G3172" s="27"/>
      <c r="H3172" s="27"/>
      <c r="I3172" s="27"/>
    </row>
    <row r="3173" spans="1:9" x14ac:dyDescent="0.35">
      <c r="A3173" s="27"/>
      <c r="B3173" s="27"/>
      <c r="C3173" s="27"/>
      <c r="D3173" s="27"/>
      <c r="E3173" s="27"/>
      <c r="F3173" s="27"/>
      <c r="G3173" s="27"/>
      <c r="H3173" s="27"/>
      <c r="I3173" s="27"/>
    </row>
    <row r="3174" spans="1:9" x14ac:dyDescent="0.35">
      <c r="A3174" s="27"/>
      <c r="B3174" s="27"/>
      <c r="C3174" s="27"/>
      <c r="D3174" s="27"/>
      <c r="E3174" s="27"/>
      <c r="F3174" s="27"/>
      <c r="G3174" s="27"/>
      <c r="H3174" s="27"/>
      <c r="I3174" s="27"/>
    </row>
    <row r="3175" spans="1:9" x14ac:dyDescent="0.35">
      <c r="A3175" s="27"/>
      <c r="B3175" s="27"/>
      <c r="C3175" s="27"/>
      <c r="D3175" s="27"/>
      <c r="E3175" s="27"/>
      <c r="F3175" s="27"/>
      <c r="G3175" s="27"/>
      <c r="H3175" s="27"/>
      <c r="I3175" s="27"/>
    </row>
    <row r="3176" spans="1:9" x14ac:dyDescent="0.35">
      <c r="A3176" s="27"/>
      <c r="B3176" s="27"/>
      <c r="C3176" s="27"/>
      <c r="D3176" s="27"/>
      <c r="E3176" s="27"/>
      <c r="F3176" s="27"/>
      <c r="G3176" s="27"/>
      <c r="H3176" s="27"/>
      <c r="I3176" s="27"/>
    </row>
    <row r="3177" spans="1:9" x14ac:dyDescent="0.35">
      <c r="A3177" s="27"/>
      <c r="B3177" s="27"/>
      <c r="C3177" s="27"/>
      <c r="D3177" s="27"/>
      <c r="E3177" s="27"/>
      <c r="F3177" s="27"/>
      <c r="G3177" s="27"/>
      <c r="H3177" s="27"/>
      <c r="I3177" s="27"/>
    </row>
    <row r="3178" spans="1:9" x14ac:dyDescent="0.35">
      <c r="A3178" s="27"/>
      <c r="B3178" s="27"/>
      <c r="C3178" s="27"/>
      <c r="D3178" s="27"/>
      <c r="E3178" s="27"/>
      <c r="F3178" s="27"/>
      <c r="G3178" s="27"/>
      <c r="H3178" s="27"/>
      <c r="I3178" s="27"/>
    </row>
    <row r="3179" spans="1:9" x14ac:dyDescent="0.35">
      <c r="A3179" s="27"/>
      <c r="B3179" s="27"/>
      <c r="C3179" s="27"/>
      <c r="D3179" s="27"/>
      <c r="E3179" s="27"/>
      <c r="F3179" s="27"/>
      <c r="G3179" s="27"/>
      <c r="H3179" s="27"/>
      <c r="I3179" s="27"/>
    </row>
    <row r="3180" spans="1:9" x14ac:dyDescent="0.35">
      <c r="A3180" s="27"/>
      <c r="B3180" s="27"/>
      <c r="C3180" s="27"/>
      <c r="D3180" s="27"/>
      <c r="E3180" s="27"/>
      <c r="F3180" s="27"/>
      <c r="G3180" s="27"/>
      <c r="H3180" s="27"/>
      <c r="I3180" s="27"/>
    </row>
    <row r="3181" spans="1:9" x14ac:dyDescent="0.35">
      <c r="A3181" s="27"/>
      <c r="B3181" s="27"/>
      <c r="C3181" s="27"/>
      <c r="D3181" s="27"/>
      <c r="E3181" s="27"/>
      <c r="F3181" s="27"/>
      <c r="G3181" s="27"/>
      <c r="H3181" s="27"/>
      <c r="I3181" s="27"/>
    </row>
    <row r="3182" spans="1:9" x14ac:dyDescent="0.35">
      <c r="A3182" s="27"/>
      <c r="B3182" s="27"/>
      <c r="C3182" s="27"/>
      <c r="D3182" s="27"/>
      <c r="E3182" s="27"/>
      <c r="F3182" s="27"/>
      <c r="G3182" s="27"/>
      <c r="H3182" s="27"/>
      <c r="I3182" s="27"/>
    </row>
    <row r="3183" spans="1:9" x14ac:dyDescent="0.35">
      <c r="A3183" s="27"/>
      <c r="B3183" s="27"/>
      <c r="C3183" s="27"/>
      <c r="D3183" s="27"/>
      <c r="E3183" s="27"/>
      <c r="F3183" s="27"/>
      <c r="G3183" s="27"/>
      <c r="H3183" s="27"/>
      <c r="I3183" s="27"/>
    </row>
    <row r="3184" spans="1:9" x14ac:dyDescent="0.35">
      <c r="A3184" s="27"/>
      <c r="B3184" s="27"/>
      <c r="C3184" s="27"/>
      <c r="D3184" s="27"/>
      <c r="E3184" s="27"/>
      <c r="F3184" s="27"/>
      <c r="G3184" s="27"/>
      <c r="H3184" s="27"/>
      <c r="I3184" s="27"/>
    </row>
    <row r="3185" spans="1:9" x14ac:dyDescent="0.35">
      <c r="A3185" s="27"/>
      <c r="B3185" s="27"/>
      <c r="C3185" s="27"/>
      <c r="D3185" s="27"/>
      <c r="E3185" s="27"/>
      <c r="F3185" s="27"/>
      <c r="G3185" s="27"/>
      <c r="H3185" s="27"/>
      <c r="I3185" s="27"/>
    </row>
    <row r="3186" spans="1:9" x14ac:dyDescent="0.35">
      <c r="A3186" s="27"/>
      <c r="B3186" s="27"/>
      <c r="C3186" s="27"/>
      <c r="D3186" s="27"/>
      <c r="E3186" s="27"/>
      <c r="F3186" s="27"/>
      <c r="G3186" s="27"/>
      <c r="H3186" s="27"/>
      <c r="I3186" s="27"/>
    </row>
    <row r="3187" spans="1:9" x14ac:dyDescent="0.35">
      <c r="A3187" s="27"/>
      <c r="B3187" s="27"/>
      <c r="C3187" s="27"/>
      <c r="D3187" s="27"/>
      <c r="E3187" s="27"/>
      <c r="F3187" s="27"/>
      <c r="G3187" s="27"/>
      <c r="H3187" s="27"/>
      <c r="I3187" s="27"/>
    </row>
    <row r="3188" spans="1:9" x14ac:dyDescent="0.35">
      <c r="A3188" s="27"/>
      <c r="B3188" s="27"/>
      <c r="C3188" s="27"/>
      <c r="D3188" s="27"/>
      <c r="E3188" s="27"/>
      <c r="F3188" s="27"/>
      <c r="G3188" s="27"/>
      <c r="H3188" s="27"/>
      <c r="I3188" s="27"/>
    </row>
    <row r="3189" spans="1:9" x14ac:dyDescent="0.35">
      <c r="A3189" s="27"/>
      <c r="B3189" s="27"/>
      <c r="C3189" s="27"/>
      <c r="D3189" s="27"/>
      <c r="E3189" s="27"/>
      <c r="F3189" s="27"/>
      <c r="G3189" s="27"/>
      <c r="H3189" s="27"/>
      <c r="I3189" s="27"/>
    </row>
    <row r="3190" spans="1:9" x14ac:dyDescent="0.35">
      <c r="A3190" s="27"/>
      <c r="B3190" s="27"/>
      <c r="C3190" s="27"/>
      <c r="D3190" s="27"/>
      <c r="E3190" s="27"/>
      <c r="F3190" s="27"/>
      <c r="G3190" s="27"/>
      <c r="H3190" s="27"/>
      <c r="I3190" s="27"/>
    </row>
    <row r="3191" spans="1:9" x14ac:dyDescent="0.35">
      <c r="A3191" s="27"/>
      <c r="B3191" s="27"/>
      <c r="C3191" s="27"/>
      <c r="D3191" s="27"/>
      <c r="E3191" s="27"/>
      <c r="F3191" s="27"/>
      <c r="G3191" s="27"/>
      <c r="H3191" s="27"/>
      <c r="I3191" s="27"/>
    </row>
    <row r="3192" spans="1:9" x14ac:dyDescent="0.35">
      <c r="A3192" s="27"/>
      <c r="B3192" s="27"/>
      <c r="C3192" s="27"/>
      <c r="D3192" s="27"/>
      <c r="E3192" s="27"/>
      <c r="F3192" s="27"/>
      <c r="G3192" s="27"/>
      <c r="H3192" s="27"/>
      <c r="I3192" s="27"/>
    </row>
    <row r="3193" spans="1:9" x14ac:dyDescent="0.35">
      <c r="A3193" s="27"/>
      <c r="B3193" s="27"/>
      <c r="C3193" s="27"/>
      <c r="D3193" s="27"/>
      <c r="E3193" s="27"/>
      <c r="F3193" s="27"/>
      <c r="G3193" s="27"/>
      <c r="H3193" s="27"/>
      <c r="I3193" s="27"/>
    </row>
    <row r="3194" spans="1:9" x14ac:dyDescent="0.35">
      <c r="A3194" s="27"/>
      <c r="B3194" s="27"/>
      <c r="C3194" s="27"/>
      <c r="D3194" s="27"/>
      <c r="E3194" s="27"/>
      <c r="F3194" s="27"/>
      <c r="G3194" s="27"/>
      <c r="H3194" s="27"/>
      <c r="I3194" s="27"/>
    </row>
    <row r="3195" spans="1:9" x14ac:dyDescent="0.35">
      <c r="A3195" s="27"/>
      <c r="B3195" s="27"/>
      <c r="C3195" s="27"/>
      <c r="D3195" s="27"/>
      <c r="E3195" s="27"/>
      <c r="F3195" s="27"/>
      <c r="G3195" s="27"/>
      <c r="H3195" s="27"/>
      <c r="I3195" s="27"/>
    </row>
    <row r="3196" spans="1:9" x14ac:dyDescent="0.35">
      <c r="A3196" s="27"/>
      <c r="B3196" s="27"/>
      <c r="C3196" s="27"/>
      <c r="D3196" s="27"/>
      <c r="E3196" s="27"/>
      <c r="F3196" s="27"/>
      <c r="G3196" s="27"/>
      <c r="H3196" s="27"/>
      <c r="I3196" s="27"/>
    </row>
    <row r="3197" spans="1:9" x14ac:dyDescent="0.35">
      <c r="A3197" s="27"/>
      <c r="B3197" s="27"/>
      <c r="C3197" s="27"/>
      <c r="D3197" s="27"/>
      <c r="E3197" s="27"/>
      <c r="F3197" s="27"/>
      <c r="G3197" s="27"/>
      <c r="H3197" s="27"/>
      <c r="I3197" s="27"/>
    </row>
    <row r="3198" spans="1:9" x14ac:dyDescent="0.35">
      <c r="A3198" s="27"/>
      <c r="B3198" s="27"/>
      <c r="C3198" s="27"/>
      <c r="D3198" s="27"/>
      <c r="E3198" s="27"/>
      <c r="F3198" s="27"/>
      <c r="G3198" s="27"/>
      <c r="H3198" s="27"/>
      <c r="I3198" s="27"/>
    </row>
    <row r="3199" spans="1:9" x14ac:dyDescent="0.35">
      <c r="A3199" s="27"/>
      <c r="B3199" s="27"/>
      <c r="C3199" s="27"/>
      <c r="D3199" s="27"/>
      <c r="E3199" s="27"/>
      <c r="F3199" s="27"/>
      <c r="G3199" s="27"/>
      <c r="H3199" s="27"/>
      <c r="I3199" s="27"/>
    </row>
    <row r="3200" spans="1:9" x14ac:dyDescent="0.35">
      <c r="A3200" s="27"/>
      <c r="B3200" s="27"/>
      <c r="C3200" s="27"/>
      <c r="D3200" s="27"/>
      <c r="E3200" s="27"/>
      <c r="F3200" s="27"/>
      <c r="G3200" s="27"/>
      <c r="H3200" s="27"/>
      <c r="I3200" s="27"/>
    </row>
    <row r="3201" spans="1:9" x14ac:dyDescent="0.35">
      <c r="A3201" s="27"/>
      <c r="B3201" s="27"/>
      <c r="C3201" s="27"/>
      <c r="D3201" s="27"/>
      <c r="E3201" s="27"/>
      <c r="F3201" s="27"/>
      <c r="G3201" s="27"/>
      <c r="H3201" s="27"/>
      <c r="I3201" s="27"/>
    </row>
    <row r="3202" spans="1:9" x14ac:dyDescent="0.35">
      <c r="A3202" s="27"/>
      <c r="B3202" s="27"/>
      <c r="C3202" s="27"/>
      <c r="D3202" s="27"/>
      <c r="E3202" s="27"/>
      <c r="F3202" s="27"/>
      <c r="G3202" s="27"/>
      <c r="H3202" s="27"/>
      <c r="I3202" s="27"/>
    </row>
    <row r="3203" spans="1:9" x14ac:dyDescent="0.35">
      <c r="A3203" s="27"/>
      <c r="B3203" s="27"/>
      <c r="C3203" s="27"/>
      <c r="D3203" s="27"/>
      <c r="E3203" s="27"/>
      <c r="F3203" s="27"/>
      <c r="G3203" s="27"/>
      <c r="H3203" s="27"/>
      <c r="I3203" s="27"/>
    </row>
    <row r="3204" spans="1:9" x14ac:dyDescent="0.35">
      <c r="A3204" s="27"/>
      <c r="B3204" s="27"/>
      <c r="C3204" s="27"/>
      <c r="D3204" s="27"/>
      <c r="E3204" s="27"/>
      <c r="F3204" s="27"/>
      <c r="G3204" s="27"/>
      <c r="H3204" s="27"/>
      <c r="I3204" s="27"/>
    </row>
    <row r="3205" spans="1:9" x14ac:dyDescent="0.35">
      <c r="A3205" s="27"/>
      <c r="B3205" s="27"/>
      <c r="C3205" s="27"/>
      <c r="D3205" s="27"/>
      <c r="E3205" s="27"/>
      <c r="F3205" s="27"/>
      <c r="G3205" s="27"/>
      <c r="H3205" s="27"/>
      <c r="I3205" s="27"/>
    </row>
    <row r="3206" spans="1:9" x14ac:dyDescent="0.35">
      <c r="A3206" s="27"/>
      <c r="B3206" s="27"/>
      <c r="C3206" s="27"/>
      <c r="D3206" s="27"/>
      <c r="E3206" s="27"/>
      <c r="F3206" s="27"/>
      <c r="G3206" s="27"/>
      <c r="H3206" s="27"/>
      <c r="I3206" s="27"/>
    </row>
    <row r="3207" spans="1:9" x14ac:dyDescent="0.35">
      <c r="A3207" s="27"/>
      <c r="B3207" s="27"/>
      <c r="C3207" s="27"/>
      <c r="D3207" s="27"/>
      <c r="E3207" s="27"/>
      <c r="F3207" s="27"/>
      <c r="G3207" s="27"/>
      <c r="H3207" s="27"/>
      <c r="I3207" s="27"/>
    </row>
    <row r="3208" spans="1:9" x14ac:dyDescent="0.35">
      <c r="A3208" s="27"/>
      <c r="B3208" s="27"/>
      <c r="C3208" s="27"/>
      <c r="D3208" s="27"/>
      <c r="E3208" s="27"/>
      <c r="F3208" s="27"/>
      <c r="G3208" s="27"/>
      <c r="H3208" s="27"/>
      <c r="I3208" s="27"/>
    </row>
    <row r="3209" spans="1:9" x14ac:dyDescent="0.35">
      <c r="A3209" s="27"/>
      <c r="B3209" s="27"/>
      <c r="C3209" s="27"/>
      <c r="D3209" s="27"/>
      <c r="E3209" s="27"/>
      <c r="F3209" s="27"/>
      <c r="G3209" s="27"/>
      <c r="H3209" s="27"/>
      <c r="I3209" s="27"/>
    </row>
    <row r="3210" spans="1:9" x14ac:dyDescent="0.35">
      <c r="A3210" s="27"/>
      <c r="B3210" s="27"/>
      <c r="C3210" s="27"/>
      <c r="D3210" s="27"/>
      <c r="E3210" s="27"/>
      <c r="F3210" s="27"/>
      <c r="G3210" s="27"/>
      <c r="H3210" s="27"/>
      <c r="I3210" s="27"/>
    </row>
    <row r="3211" spans="1:9" x14ac:dyDescent="0.35">
      <c r="A3211" s="27"/>
      <c r="B3211" s="27"/>
      <c r="C3211" s="27"/>
      <c r="D3211" s="27"/>
      <c r="E3211" s="27"/>
      <c r="F3211" s="27"/>
      <c r="G3211" s="27"/>
      <c r="H3211" s="27"/>
      <c r="I3211" s="27"/>
    </row>
    <row r="3212" spans="1:9" x14ac:dyDescent="0.35">
      <c r="A3212" s="27"/>
      <c r="B3212" s="27"/>
      <c r="C3212" s="27"/>
      <c r="D3212" s="27"/>
      <c r="E3212" s="27"/>
      <c r="F3212" s="27"/>
      <c r="G3212" s="27"/>
      <c r="H3212" s="27"/>
      <c r="I3212" s="27"/>
    </row>
    <row r="3213" spans="1:9" x14ac:dyDescent="0.35">
      <c r="A3213" s="27"/>
      <c r="B3213" s="27"/>
      <c r="C3213" s="27"/>
      <c r="D3213" s="27"/>
      <c r="E3213" s="27"/>
      <c r="F3213" s="27"/>
      <c r="G3213" s="27"/>
      <c r="H3213" s="27"/>
      <c r="I3213" s="27"/>
    </row>
    <row r="3214" spans="1:9" x14ac:dyDescent="0.35">
      <c r="A3214" s="27"/>
      <c r="B3214" s="27"/>
      <c r="C3214" s="27"/>
      <c r="D3214" s="27"/>
      <c r="E3214" s="27"/>
      <c r="F3214" s="27"/>
      <c r="G3214" s="27"/>
      <c r="H3214" s="27"/>
      <c r="I3214" s="27"/>
    </row>
    <row r="3215" spans="1:9" x14ac:dyDescent="0.35">
      <c r="A3215" s="27"/>
      <c r="B3215" s="27"/>
      <c r="C3215" s="27"/>
      <c r="D3215" s="27"/>
      <c r="E3215" s="27"/>
      <c r="F3215" s="27"/>
      <c r="G3215" s="27"/>
      <c r="H3215" s="27"/>
      <c r="I3215" s="27"/>
    </row>
    <row r="3216" spans="1:9" x14ac:dyDescent="0.35">
      <c r="A3216" s="27"/>
      <c r="B3216" s="27"/>
      <c r="C3216" s="27"/>
      <c r="D3216" s="27"/>
      <c r="E3216" s="27"/>
      <c r="F3216" s="27"/>
      <c r="G3216" s="27"/>
      <c r="H3216" s="27"/>
      <c r="I3216" s="27"/>
    </row>
    <row r="3217" spans="1:9" x14ac:dyDescent="0.35">
      <c r="A3217" s="27"/>
      <c r="B3217" s="27"/>
      <c r="C3217" s="27"/>
      <c r="D3217" s="27"/>
      <c r="E3217" s="27"/>
      <c r="F3217" s="27"/>
      <c r="G3217" s="27"/>
      <c r="H3217" s="27"/>
      <c r="I3217" s="27"/>
    </row>
    <row r="3218" spans="1:9" x14ac:dyDescent="0.35">
      <c r="A3218" s="27"/>
      <c r="B3218" s="27"/>
      <c r="C3218" s="27"/>
      <c r="D3218" s="27"/>
      <c r="E3218" s="27"/>
      <c r="F3218" s="27"/>
      <c r="G3218" s="27"/>
      <c r="H3218" s="27"/>
      <c r="I3218" s="27"/>
    </row>
    <row r="3219" spans="1:9" x14ac:dyDescent="0.35">
      <c r="A3219" s="27"/>
      <c r="B3219" s="27"/>
      <c r="C3219" s="27"/>
      <c r="D3219" s="27"/>
      <c r="E3219" s="27"/>
      <c r="F3219" s="27"/>
      <c r="G3219" s="27"/>
      <c r="H3219" s="27"/>
      <c r="I3219" s="27"/>
    </row>
    <row r="3220" spans="1:9" x14ac:dyDescent="0.35">
      <c r="A3220" s="27"/>
      <c r="B3220" s="27"/>
      <c r="C3220" s="27"/>
      <c r="D3220" s="27"/>
      <c r="E3220" s="27"/>
      <c r="F3220" s="27"/>
      <c r="G3220" s="27"/>
      <c r="H3220" s="27"/>
      <c r="I3220" s="27"/>
    </row>
    <row r="3221" spans="1:9" x14ac:dyDescent="0.35">
      <c r="A3221" s="27"/>
      <c r="B3221" s="27"/>
      <c r="C3221" s="27"/>
      <c r="D3221" s="27"/>
      <c r="E3221" s="27"/>
      <c r="F3221" s="27"/>
      <c r="G3221" s="27"/>
      <c r="H3221" s="27"/>
      <c r="I3221" s="27"/>
    </row>
    <row r="3222" spans="1:9" x14ac:dyDescent="0.35">
      <c r="A3222" s="27"/>
      <c r="B3222" s="27"/>
      <c r="C3222" s="27"/>
      <c r="D3222" s="27"/>
      <c r="E3222" s="27"/>
      <c r="F3222" s="27"/>
      <c r="G3222" s="27"/>
      <c r="H3222" s="27"/>
      <c r="I3222" s="27"/>
    </row>
    <row r="3223" spans="1:9" x14ac:dyDescent="0.35">
      <c r="A3223" s="27"/>
      <c r="B3223" s="27"/>
      <c r="C3223" s="27"/>
      <c r="D3223" s="27"/>
      <c r="E3223" s="27"/>
      <c r="F3223" s="27"/>
      <c r="G3223" s="27"/>
      <c r="H3223" s="27"/>
      <c r="I3223" s="27"/>
    </row>
    <row r="3224" spans="1:9" x14ac:dyDescent="0.35">
      <c r="A3224" s="27"/>
      <c r="B3224" s="27"/>
      <c r="C3224" s="27"/>
      <c r="D3224" s="27"/>
      <c r="E3224" s="27"/>
      <c r="F3224" s="27"/>
      <c r="G3224" s="27"/>
      <c r="H3224" s="27"/>
      <c r="I3224" s="27"/>
    </row>
    <row r="3225" spans="1:9" x14ac:dyDescent="0.35">
      <c r="A3225" s="27"/>
      <c r="B3225" s="27"/>
      <c r="C3225" s="27"/>
      <c r="D3225" s="27"/>
      <c r="E3225" s="27"/>
      <c r="F3225" s="27"/>
      <c r="G3225" s="27"/>
      <c r="H3225" s="27"/>
      <c r="I3225" s="27"/>
    </row>
    <row r="3226" spans="1:9" x14ac:dyDescent="0.35">
      <c r="A3226" s="27"/>
      <c r="B3226" s="27"/>
      <c r="C3226" s="27"/>
      <c r="D3226" s="27"/>
      <c r="E3226" s="27"/>
      <c r="F3226" s="27"/>
      <c r="G3226" s="27"/>
      <c r="H3226" s="27"/>
      <c r="I3226" s="27"/>
    </row>
    <row r="3227" spans="1:9" x14ac:dyDescent="0.35">
      <c r="A3227" s="27"/>
      <c r="B3227" s="27"/>
      <c r="C3227" s="27"/>
      <c r="D3227" s="27"/>
      <c r="E3227" s="27"/>
      <c r="F3227" s="27"/>
      <c r="G3227" s="27"/>
      <c r="H3227" s="27"/>
      <c r="I3227" s="27"/>
    </row>
    <row r="3228" spans="1:9" x14ac:dyDescent="0.35">
      <c r="A3228" s="27"/>
      <c r="B3228" s="27"/>
      <c r="C3228" s="27"/>
      <c r="D3228" s="27"/>
      <c r="E3228" s="27"/>
      <c r="F3228" s="27"/>
      <c r="G3228" s="27"/>
      <c r="H3228" s="27"/>
      <c r="I3228" s="27"/>
    </row>
    <row r="3229" spans="1:9" x14ac:dyDescent="0.35">
      <c r="A3229" s="27"/>
      <c r="B3229" s="27"/>
      <c r="C3229" s="27"/>
      <c r="D3229" s="27"/>
      <c r="E3229" s="27"/>
      <c r="F3229" s="27"/>
      <c r="G3229" s="27"/>
      <c r="H3229" s="27"/>
      <c r="I3229" s="27"/>
    </row>
    <row r="3230" spans="1:9" x14ac:dyDescent="0.35">
      <c r="A3230" s="27"/>
      <c r="B3230" s="27"/>
      <c r="C3230" s="27"/>
      <c r="D3230" s="27"/>
      <c r="E3230" s="27"/>
      <c r="F3230" s="27"/>
      <c r="G3230" s="27"/>
      <c r="H3230" s="27"/>
      <c r="I3230" s="27"/>
    </row>
    <row r="3231" spans="1:9" x14ac:dyDescent="0.35">
      <c r="A3231" s="27"/>
      <c r="B3231" s="27"/>
      <c r="C3231" s="27"/>
      <c r="D3231" s="27"/>
      <c r="E3231" s="27"/>
      <c r="F3231" s="27"/>
      <c r="G3231" s="27"/>
      <c r="H3231" s="27"/>
      <c r="I3231" s="27"/>
    </row>
    <row r="3232" spans="1:9" x14ac:dyDescent="0.35">
      <c r="A3232" s="27"/>
      <c r="B3232" s="27"/>
      <c r="C3232" s="27"/>
      <c r="D3232" s="27"/>
      <c r="E3232" s="27"/>
      <c r="F3232" s="27"/>
      <c r="G3232" s="27"/>
      <c r="H3232" s="27"/>
      <c r="I3232" s="27"/>
    </row>
    <row r="3233" spans="1:9" x14ac:dyDescent="0.35">
      <c r="A3233" s="27"/>
      <c r="B3233" s="27"/>
      <c r="C3233" s="27"/>
      <c r="D3233" s="27"/>
      <c r="E3233" s="27"/>
      <c r="F3233" s="27"/>
      <c r="G3233" s="27"/>
      <c r="H3233" s="27"/>
      <c r="I3233" s="27"/>
    </row>
    <row r="3234" spans="1:9" x14ac:dyDescent="0.35">
      <c r="A3234" s="27"/>
      <c r="B3234" s="27"/>
      <c r="C3234" s="27"/>
      <c r="D3234" s="27"/>
      <c r="E3234" s="27"/>
      <c r="F3234" s="27"/>
      <c r="G3234" s="27"/>
      <c r="H3234" s="27"/>
      <c r="I3234" s="27"/>
    </row>
    <row r="3235" spans="1:9" x14ac:dyDescent="0.35">
      <c r="A3235" s="27"/>
      <c r="B3235" s="27"/>
      <c r="C3235" s="27"/>
      <c r="D3235" s="27"/>
      <c r="E3235" s="27"/>
      <c r="F3235" s="27"/>
      <c r="G3235" s="27"/>
      <c r="H3235" s="27"/>
      <c r="I3235" s="27"/>
    </row>
    <row r="3236" spans="1:9" x14ac:dyDescent="0.35">
      <c r="A3236" s="27"/>
      <c r="B3236" s="27"/>
      <c r="C3236" s="27"/>
      <c r="D3236" s="27"/>
      <c r="E3236" s="27"/>
      <c r="F3236" s="27"/>
      <c r="G3236" s="27"/>
      <c r="H3236" s="27"/>
      <c r="I3236" s="27"/>
    </row>
    <row r="3237" spans="1:9" x14ac:dyDescent="0.35">
      <c r="A3237" s="27"/>
      <c r="B3237" s="27"/>
      <c r="C3237" s="27"/>
      <c r="D3237" s="27"/>
      <c r="E3237" s="27"/>
      <c r="F3237" s="27"/>
      <c r="G3237" s="27"/>
      <c r="H3237" s="27"/>
      <c r="I3237" s="27"/>
    </row>
    <row r="3238" spans="1:9" x14ac:dyDescent="0.35">
      <c r="A3238" s="27"/>
      <c r="B3238" s="27"/>
      <c r="C3238" s="27"/>
      <c r="D3238" s="27"/>
      <c r="E3238" s="27"/>
      <c r="F3238" s="27"/>
      <c r="G3238" s="27"/>
      <c r="H3238" s="27"/>
      <c r="I3238" s="27"/>
    </row>
    <row r="3239" spans="1:9" x14ac:dyDescent="0.35">
      <c r="A3239" s="27"/>
      <c r="B3239" s="27"/>
      <c r="C3239" s="27"/>
      <c r="D3239" s="27"/>
      <c r="E3239" s="27"/>
      <c r="F3239" s="27"/>
      <c r="G3239" s="27"/>
      <c r="H3239" s="27"/>
      <c r="I3239" s="27"/>
    </row>
    <row r="3240" spans="1:9" x14ac:dyDescent="0.35">
      <c r="A3240" s="27"/>
      <c r="B3240" s="27"/>
      <c r="C3240" s="27"/>
      <c r="D3240" s="27"/>
      <c r="E3240" s="27"/>
      <c r="F3240" s="27"/>
      <c r="G3240" s="27"/>
      <c r="H3240" s="27"/>
      <c r="I3240" s="27"/>
    </row>
    <row r="3241" spans="1:9" x14ac:dyDescent="0.35">
      <c r="A3241" s="27"/>
      <c r="B3241" s="27"/>
      <c r="C3241" s="27"/>
      <c r="D3241" s="27"/>
      <c r="E3241" s="27"/>
      <c r="F3241" s="27"/>
      <c r="G3241" s="27"/>
      <c r="H3241" s="27"/>
      <c r="I3241" s="27"/>
    </row>
    <row r="3242" spans="1:9" x14ac:dyDescent="0.35">
      <c r="A3242" s="27"/>
      <c r="B3242" s="27"/>
      <c r="C3242" s="27"/>
      <c r="D3242" s="27"/>
      <c r="E3242" s="27"/>
      <c r="F3242" s="27"/>
      <c r="G3242" s="27"/>
      <c r="H3242" s="27"/>
      <c r="I3242" s="27"/>
    </row>
    <row r="3243" spans="1:9" x14ac:dyDescent="0.35">
      <c r="A3243" s="27"/>
      <c r="B3243" s="27"/>
      <c r="C3243" s="27"/>
      <c r="D3243" s="27"/>
      <c r="E3243" s="27"/>
      <c r="F3243" s="27"/>
      <c r="G3243" s="27"/>
      <c r="H3243" s="27"/>
      <c r="I3243" s="27"/>
    </row>
    <row r="3244" spans="1:9" x14ac:dyDescent="0.35">
      <c r="A3244" s="27"/>
      <c r="B3244" s="27"/>
      <c r="C3244" s="27"/>
      <c r="D3244" s="27"/>
      <c r="E3244" s="27"/>
      <c r="F3244" s="27"/>
      <c r="G3244" s="27"/>
      <c r="H3244" s="27"/>
      <c r="I3244" s="27"/>
    </row>
    <row r="3245" spans="1:9" x14ac:dyDescent="0.35">
      <c r="A3245" s="27"/>
      <c r="B3245" s="27"/>
      <c r="C3245" s="27"/>
      <c r="D3245" s="27"/>
      <c r="E3245" s="27"/>
      <c r="F3245" s="27"/>
      <c r="G3245" s="27"/>
      <c r="H3245" s="27"/>
      <c r="I3245" s="27"/>
    </row>
    <row r="3246" spans="1:9" x14ac:dyDescent="0.35">
      <c r="A3246" s="27"/>
      <c r="B3246" s="27"/>
      <c r="C3246" s="27"/>
      <c r="D3246" s="27"/>
      <c r="E3246" s="27"/>
      <c r="F3246" s="27"/>
      <c r="G3246" s="27"/>
      <c r="H3246" s="27"/>
      <c r="I3246" s="27"/>
    </row>
    <row r="3247" spans="1:9" x14ac:dyDescent="0.35">
      <c r="A3247" s="27"/>
      <c r="B3247" s="27"/>
      <c r="C3247" s="27"/>
      <c r="D3247" s="27"/>
      <c r="E3247" s="27"/>
      <c r="F3247" s="27"/>
      <c r="G3247" s="27"/>
      <c r="H3247" s="27"/>
      <c r="I3247" s="27"/>
    </row>
    <row r="3248" spans="1:9" x14ac:dyDescent="0.35">
      <c r="A3248" s="27"/>
      <c r="B3248" s="27"/>
      <c r="C3248" s="27"/>
      <c r="D3248" s="27"/>
      <c r="E3248" s="27"/>
      <c r="F3248" s="27"/>
      <c r="G3248" s="27"/>
      <c r="H3248" s="27"/>
      <c r="I3248" s="27"/>
    </row>
    <row r="3249" spans="1:9" x14ac:dyDescent="0.35">
      <c r="A3249" s="27"/>
      <c r="B3249" s="27"/>
      <c r="C3249" s="27"/>
      <c r="D3249" s="27"/>
      <c r="E3249" s="27"/>
      <c r="F3249" s="27"/>
      <c r="G3249" s="27"/>
      <c r="H3249" s="27"/>
      <c r="I3249" s="27"/>
    </row>
    <row r="3250" spans="1:9" x14ac:dyDescent="0.35">
      <c r="A3250" s="27"/>
      <c r="B3250" s="27"/>
      <c r="C3250" s="27"/>
      <c r="D3250" s="27"/>
      <c r="E3250" s="27"/>
      <c r="F3250" s="27"/>
      <c r="G3250" s="27"/>
      <c r="H3250" s="27"/>
      <c r="I3250" s="27"/>
    </row>
    <row r="3251" spans="1:9" x14ac:dyDescent="0.35">
      <c r="A3251" s="27"/>
      <c r="B3251" s="27"/>
      <c r="C3251" s="27"/>
      <c r="D3251" s="27"/>
      <c r="E3251" s="27"/>
      <c r="F3251" s="27"/>
      <c r="G3251" s="27"/>
      <c r="H3251" s="27"/>
      <c r="I3251" s="27"/>
    </row>
    <row r="3252" spans="1:9" x14ac:dyDescent="0.35">
      <c r="A3252" s="27"/>
      <c r="B3252" s="27"/>
      <c r="C3252" s="27"/>
      <c r="D3252" s="27"/>
      <c r="E3252" s="27"/>
      <c r="F3252" s="27"/>
      <c r="G3252" s="27"/>
      <c r="H3252" s="27"/>
      <c r="I3252" s="27"/>
    </row>
    <row r="3253" spans="1:9" x14ac:dyDescent="0.35">
      <c r="A3253" s="27"/>
      <c r="B3253" s="27"/>
      <c r="C3253" s="27"/>
      <c r="D3253" s="27"/>
      <c r="E3253" s="27"/>
      <c r="F3253" s="27"/>
      <c r="G3253" s="27"/>
      <c r="H3253" s="27"/>
      <c r="I3253" s="27"/>
    </row>
    <row r="3254" spans="1:9" x14ac:dyDescent="0.35">
      <c r="A3254" s="27"/>
      <c r="B3254" s="27"/>
      <c r="C3254" s="27"/>
      <c r="D3254" s="27"/>
      <c r="E3254" s="27"/>
      <c r="F3254" s="27"/>
      <c r="G3254" s="27"/>
      <c r="H3254" s="27"/>
      <c r="I3254" s="27"/>
    </row>
    <row r="3255" spans="1:9" x14ac:dyDescent="0.35">
      <c r="A3255" s="27"/>
      <c r="B3255" s="27"/>
      <c r="C3255" s="27"/>
      <c r="D3255" s="27"/>
      <c r="E3255" s="27"/>
      <c r="F3255" s="27"/>
      <c r="G3255" s="27"/>
      <c r="H3255" s="27"/>
      <c r="I3255" s="27"/>
    </row>
    <row r="3256" spans="1:9" x14ac:dyDescent="0.35">
      <c r="A3256" s="27"/>
      <c r="B3256" s="27"/>
      <c r="C3256" s="27"/>
      <c r="D3256" s="27"/>
      <c r="E3256" s="27"/>
      <c r="F3256" s="27"/>
      <c r="G3256" s="27"/>
      <c r="H3256" s="27"/>
      <c r="I3256" s="27"/>
    </row>
    <row r="3257" spans="1:9" x14ac:dyDescent="0.35">
      <c r="A3257" s="27"/>
      <c r="B3257" s="27"/>
      <c r="C3257" s="27"/>
      <c r="D3257" s="27"/>
      <c r="E3257" s="27"/>
      <c r="F3257" s="27"/>
      <c r="G3257" s="27"/>
      <c r="H3257" s="27"/>
      <c r="I3257" s="27"/>
    </row>
    <row r="3258" spans="1:9" x14ac:dyDescent="0.35">
      <c r="A3258" s="27"/>
      <c r="B3258" s="27"/>
      <c r="C3258" s="27"/>
      <c r="D3258" s="27"/>
      <c r="E3258" s="27"/>
      <c r="F3258" s="27"/>
      <c r="G3258" s="27"/>
      <c r="H3258" s="27"/>
      <c r="I3258" s="27"/>
    </row>
    <row r="3259" spans="1:9" x14ac:dyDescent="0.35">
      <c r="A3259" s="27"/>
      <c r="B3259" s="27"/>
      <c r="C3259" s="27"/>
      <c r="D3259" s="27"/>
      <c r="E3259" s="27"/>
      <c r="F3259" s="27"/>
      <c r="G3259" s="27"/>
      <c r="H3259" s="27"/>
      <c r="I3259" s="27"/>
    </row>
    <row r="3260" spans="1:9" x14ac:dyDescent="0.35">
      <c r="A3260" s="27"/>
      <c r="B3260" s="27"/>
      <c r="C3260" s="27"/>
      <c r="D3260" s="27"/>
      <c r="E3260" s="27"/>
      <c r="F3260" s="27"/>
      <c r="G3260" s="27"/>
      <c r="H3260" s="27"/>
      <c r="I3260" s="27"/>
    </row>
    <row r="3261" spans="1:9" x14ac:dyDescent="0.35">
      <c r="A3261" s="27"/>
      <c r="B3261" s="27"/>
      <c r="C3261" s="27"/>
      <c r="D3261" s="27"/>
      <c r="E3261" s="27"/>
      <c r="F3261" s="27"/>
      <c r="G3261" s="27"/>
      <c r="H3261" s="27"/>
      <c r="I3261" s="27"/>
    </row>
    <row r="3262" spans="1:9" x14ac:dyDescent="0.35">
      <c r="A3262" s="27"/>
      <c r="B3262" s="27"/>
      <c r="C3262" s="27"/>
      <c r="D3262" s="27"/>
      <c r="E3262" s="27"/>
      <c r="F3262" s="27"/>
      <c r="G3262" s="27"/>
      <c r="H3262" s="27"/>
      <c r="I3262" s="27"/>
    </row>
    <row r="3263" spans="1:9" x14ac:dyDescent="0.35">
      <c r="A3263" s="27"/>
      <c r="B3263" s="27"/>
      <c r="C3263" s="27"/>
      <c r="D3263" s="27"/>
      <c r="E3263" s="27"/>
      <c r="F3263" s="27"/>
      <c r="G3263" s="27"/>
      <c r="H3263" s="27"/>
      <c r="I3263" s="27"/>
    </row>
    <row r="3264" spans="1:9" x14ac:dyDescent="0.35">
      <c r="A3264" s="27"/>
      <c r="B3264" s="27"/>
      <c r="C3264" s="27"/>
      <c r="D3264" s="27"/>
      <c r="E3264" s="27"/>
      <c r="F3264" s="27"/>
      <c r="G3264" s="27"/>
      <c r="H3264" s="27"/>
      <c r="I3264" s="27"/>
    </row>
    <row r="3265" spans="1:9" x14ac:dyDescent="0.35">
      <c r="A3265" s="27"/>
      <c r="B3265" s="27"/>
      <c r="C3265" s="27"/>
      <c r="D3265" s="27"/>
      <c r="E3265" s="27"/>
      <c r="F3265" s="27"/>
      <c r="G3265" s="27"/>
      <c r="H3265" s="27"/>
      <c r="I3265" s="27"/>
    </row>
    <row r="3266" spans="1:9" x14ac:dyDescent="0.35">
      <c r="A3266" s="27"/>
      <c r="B3266" s="27"/>
      <c r="C3266" s="27"/>
      <c r="D3266" s="27"/>
      <c r="E3266" s="27"/>
      <c r="F3266" s="27"/>
      <c r="G3266" s="27"/>
      <c r="H3266" s="27"/>
      <c r="I3266" s="27"/>
    </row>
    <row r="3267" spans="1:9" x14ac:dyDescent="0.35">
      <c r="A3267" s="27"/>
      <c r="B3267" s="27"/>
      <c r="C3267" s="27"/>
      <c r="D3267" s="27"/>
      <c r="E3267" s="27"/>
      <c r="F3267" s="27"/>
      <c r="G3267" s="27"/>
      <c r="H3267" s="27"/>
      <c r="I3267" s="27"/>
    </row>
    <row r="3268" spans="1:9" x14ac:dyDescent="0.35">
      <c r="A3268" s="27"/>
      <c r="B3268" s="27"/>
      <c r="C3268" s="27"/>
      <c r="D3268" s="27"/>
      <c r="E3268" s="27"/>
      <c r="F3268" s="27"/>
      <c r="G3268" s="27"/>
      <c r="H3268" s="27"/>
      <c r="I3268" s="27"/>
    </row>
    <row r="3269" spans="1:9" x14ac:dyDescent="0.35">
      <c r="A3269" s="27"/>
      <c r="B3269" s="27"/>
      <c r="C3269" s="27"/>
      <c r="D3269" s="27"/>
      <c r="E3269" s="27"/>
      <c r="F3269" s="27"/>
      <c r="G3269" s="27"/>
      <c r="H3269" s="27"/>
      <c r="I3269" s="27"/>
    </row>
    <row r="3270" spans="1:9" x14ac:dyDescent="0.35">
      <c r="A3270" s="27"/>
      <c r="B3270" s="27"/>
      <c r="C3270" s="27"/>
      <c r="D3270" s="27"/>
      <c r="E3270" s="27"/>
      <c r="F3270" s="27"/>
      <c r="G3270" s="27"/>
      <c r="H3270" s="27"/>
      <c r="I3270" s="27"/>
    </row>
    <row r="3271" spans="1:9" x14ac:dyDescent="0.35">
      <c r="A3271" s="27"/>
      <c r="B3271" s="27"/>
      <c r="C3271" s="27"/>
      <c r="D3271" s="27"/>
      <c r="E3271" s="27"/>
      <c r="F3271" s="27"/>
      <c r="G3271" s="27"/>
      <c r="H3271" s="27"/>
      <c r="I3271" s="27"/>
    </row>
    <row r="3272" spans="1:9" x14ac:dyDescent="0.35">
      <c r="A3272" s="27"/>
      <c r="B3272" s="27"/>
      <c r="C3272" s="27"/>
      <c r="D3272" s="27"/>
      <c r="E3272" s="27"/>
      <c r="F3272" s="27"/>
      <c r="G3272" s="27"/>
      <c r="H3272" s="27"/>
      <c r="I3272" s="27"/>
    </row>
    <row r="3273" spans="1:9" x14ac:dyDescent="0.35">
      <c r="A3273" s="27"/>
      <c r="B3273" s="27"/>
      <c r="C3273" s="27"/>
      <c r="D3273" s="27"/>
      <c r="E3273" s="27"/>
      <c r="F3273" s="27"/>
      <c r="G3273" s="27"/>
      <c r="H3273" s="27"/>
      <c r="I3273" s="27"/>
    </row>
    <row r="3274" spans="1:9" x14ac:dyDescent="0.35">
      <c r="A3274" s="27"/>
      <c r="B3274" s="27"/>
      <c r="C3274" s="27"/>
      <c r="D3274" s="27"/>
      <c r="E3274" s="27"/>
      <c r="F3274" s="27"/>
      <c r="G3274" s="27"/>
      <c r="H3274" s="27"/>
      <c r="I3274" s="27"/>
    </row>
    <row r="3275" spans="1:9" x14ac:dyDescent="0.35">
      <c r="A3275" s="27"/>
      <c r="B3275" s="27"/>
      <c r="C3275" s="27"/>
      <c r="D3275" s="27"/>
      <c r="E3275" s="27"/>
      <c r="F3275" s="27"/>
      <c r="G3275" s="27"/>
      <c r="H3275" s="27"/>
      <c r="I3275" s="27"/>
    </row>
    <row r="3276" spans="1:9" x14ac:dyDescent="0.35">
      <c r="A3276" s="27"/>
      <c r="B3276" s="27"/>
      <c r="C3276" s="27"/>
      <c r="D3276" s="27"/>
      <c r="E3276" s="27"/>
      <c r="F3276" s="27"/>
      <c r="G3276" s="27"/>
      <c r="H3276" s="27"/>
      <c r="I3276" s="27"/>
    </row>
    <row r="3277" spans="1:9" x14ac:dyDescent="0.35">
      <c r="A3277" s="27"/>
      <c r="B3277" s="27"/>
      <c r="C3277" s="27"/>
      <c r="D3277" s="27"/>
      <c r="E3277" s="27"/>
      <c r="F3277" s="27"/>
      <c r="G3277" s="27"/>
      <c r="H3277" s="27"/>
      <c r="I3277" s="27"/>
    </row>
    <row r="3278" spans="1:9" x14ac:dyDescent="0.35">
      <c r="A3278" s="27"/>
      <c r="B3278" s="27"/>
      <c r="C3278" s="27"/>
      <c r="D3278" s="27"/>
      <c r="E3278" s="27"/>
      <c r="F3278" s="27"/>
      <c r="G3278" s="27"/>
      <c r="H3278" s="27"/>
      <c r="I3278" s="27"/>
    </row>
    <row r="3279" spans="1:9" x14ac:dyDescent="0.35">
      <c r="A3279" s="27"/>
      <c r="B3279" s="27"/>
      <c r="C3279" s="27"/>
      <c r="D3279" s="27"/>
      <c r="E3279" s="27"/>
      <c r="F3279" s="27"/>
      <c r="G3279" s="27"/>
      <c r="H3279" s="27"/>
      <c r="I3279" s="27"/>
    </row>
    <row r="3280" spans="1:9" x14ac:dyDescent="0.35">
      <c r="A3280" s="27"/>
      <c r="B3280" s="27"/>
      <c r="C3280" s="27"/>
      <c r="D3280" s="27"/>
      <c r="E3280" s="27"/>
      <c r="F3280" s="27"/>
      <c r="G3280" s="27"/>
      <c r="H3280" s="27"/>
      <c r="I3280" s="27"/>
    </row>
    <row r="3281" spans="1:9" x14ac:dyDescent="0.35">
      <c r="A3281" s="27"/>
      <c r="B3281" s="27"/>
      <c r="C3281" s="27"/>
      <c r="D3281" s="27"/>
      <c r="E3281" s="27"/>
      <c r="F3281" s="27"/>
      <c r="G3281" s="27"/>
      <c r="H3281" s="27"/>
      <c r="I3281" s="27"/>
    </row>
    <row r="3282" spans="1:9" x14ac:dyDescent="0.35">
      <c r="A3282" s="27"/>
      <c r="B3282" s="27"/>
      <c r="C3282" s="27"/>
      <c r="D3282" s="27"/>
      <c r="E3282" s="27"/>
      <c r="F3282" s="27"/>
      <c r="G3282" s="27"/>
      <c r="H3282" s="27"/>
      <c r="I3282" s="27"/>
    </row>
    <row r="3283" spans="1:9" x14ac:dyDescent="0.35">
      <c r="A3283" s="27"/>
      <c r="B3283" s="27"/>
      <c r="C3283" s="27"/>
      <c r="D3283" s="27"/>
      <c r="E3283" s="27"/>
      <c r="F3283" s="27"/>
      <c r="G3283" s="27"/>
      <c r="H3283" s="27"/>
      <c r="I3283" s="27"/>
    </row>
    <row r="3284" spans="1:9" x14ac:dyDescent="0.35">
      <c r="A3284" s="27"/>
      <c r="B3284" s="27"/>
      <c r="C3284" s="27"/>
      <c r="D3284" s="27"/>
      <c r="E3284" s="27"/>
      <c r="F3284" s="27"/>
      <c r="G3284" s="27"/>
      <c r="H3284" s="27"/>
      <c r="I3284" s="27"/>
    </row>
    <row r="3285" spans="1:9" x14ac:dyDescent="0.35">
      <c r="A3285" s="27"/>
      <c r="B3285" s="27"/>
      <c r="C3285" s="27"/>
      <c r="D3285" s="27"/>
      <c r="E3285" s="27"/>
      <c r="F3285" s="27"/>
      <c r="G3285" s="27"/>
      <c r="H3285" s="27"/>
      <c r="I3285" s="27"/>
    </row>
    <row r="3286" spans="1:9" x14ac:dyDescent="0.35">
      <c r="A3286" s="27"/>
      <c r="B3286" s="27"/>
      <c r="C3286" s="27"/>
      <c r="D3286" s="27"/>
      <c r="E3286" s="27"/>
      <c r="F3286" s="27"/>
      <c r="G3286" s="27"/>
      <c r="H3286" s="27"/>
      <c r="I3286" s="27"/>
    </row>
    <row r="3287" spans="1:9" x14ac:dyDescent="0.35">
      <c r="A3287" s="27"/>
      <c r="B3287" s="27"/>
      <c r="C3287" s="27"/>
      <c r="D3287" s="27"/>
      <c r="E3287" s="27"/>
      <c r="F3287" s="27"/>
      <c r="G3287" s="27"/>
      <c r="H3287" s="27"/>
      <c r="I3287" s="27"/>
    </row>
    <row r="3288" spans="1:9" x14ac:dyDescent="0.35">
      <c r="A3288" s="27"/>
      <c r="B3288" s="27"/>
      <c r="C3288" s="27"/>
      <c r="D3288" s="27"/>
      <c r="E3288" s="27"/>
      <c r="F3288" s="27"/>
      <c r="G3288" s="27"/>
      <c r="H3288" s="27"/>
      <c r="I3288" s="27"/>
    </row>
    <row r="3289" spans="1:9" x14ac:dyDescent="0.35">
      <c r="A3289" s="27"/>
      <c r="B3289" s="27"/>
      <c r="C3289" s="27"/>
      <c r="D3289" s="27"/>
      <c r="E3289" s="27"/>
      <c r="F3289" s="27"/>
      <c r="G3289" s="27"/>
      <c r="H3289" s="27"/>
      <c r="I3289" s="27"/>
    </row>
    <row r="3290" spans="1:9" x14ac:dyDescent="0.35">
      <c r="A3290" s="27"/>
      <c r="B3290" s="27"/>
      <c r="C3290" s="27"/>
      <c r="D3290" s="27"/>
      <c r="E3290" s="27"/>
      <c r="F3290" s="27"/>
      <c r="G3290" s="27"/>
      <c r="H3290" s="27"/>
      <c r="I3290" s="27"/>
    </row>
    <row r="3291" spans="1:9" x14ac:dyDescent="0.35">
      <c r="A3291" s="27"/>
      <c r="B3291" s="27"/>
      <c r="C3291" s="27"/>
      <c r="D3291" s="27"/>
      <c r="E3291" s="27"/>
      <c r="F3291" s="27"/>
      <c r="G3291" s="27"/>
      <c r="H3291" s="27"/>
      <c r="I3291" s="27"/>
    </row>
    <row r="3292" spans="1:9" x14ac:dyDescent="0.35">
      <c r="A3292" s="27"/>
      <c r="B3292" s="27"/>
      <c r="C3292" s="27"/>
      <c r="D3292" s="27"/>
      <c r="E3292" s="27"/>
      <c r="F3292" s="27"/>
      <c r="G3292" s="27"/>
      <c r="H3292" s="27"/>
      <c r="I3292" s="27"/>
    </row>
    <row r="3293" spans="1:9" x14ac:dyDescent="0.35">
      <c r="A3293" s="27"/>
      <c r="B3293" s="27"/>
      <c r="C3293" s="27"/>
      <c r="D3293" s="27"/>
      <c r="E3293" s="27"/>
      <c r="F3293" s="27"/>
      <c r="G3293" s="27"/>
      <c r="H3293" s="27"/>
      <c r="I3293" s="27"/>
    </row>
    <row r="3294" spans="1:9" x14ac:dyDescent="0.35">
      <c r="A3294" s="27"/>
      <c r="B3294" s="27"/>
      <c r="C3294" s="27"/>
      <c r="D3294" s="27"/>
      <c r="E3294" s="27"/>
      <c r="F3294" s="27"/>
      <c r="G3294" s="27"/>
      <c r="H3294" s="27"/>
      <c r="I3294" s="27"/>
    </row>
    <row r="3295" spans="1:9" x14ac:dyDescent="0.35">
      <c r="A3295" s="27"/>
      <c r="B3295" s="27"/>
      <c r="C3295" s="27"/>
      <c r="D3295" s="27"/>
      <c r="E3295" s="27"/>
      <c r="F3295" s="27"/>
      <c r="G3295" s="27"/>
      <c r="H3295" s="27"/>
      <c r="I3295" s="27"/>
    </row>
    <row r="3296" spans="1:9" x14ac:dyDescent="0.35">
      <c r="A3296" s="27"/>
      <c r="B3296" s="27"/>
      <c r="C3296" s="27"/>
      <c r="D3296" s="27"/>
      <c r="E3296" s="27"/>
      <c r="F3296" s="27"/>
      <c r="G3296" s="27"/>
      <c r="H3296" s="27"/>
      <c r="I3296" s="27"/>
    </row>
    <row r="3297" spans="1:9" x14ac:dyDescent="0.35">
      <c r="A3297" s="27"/>
      <c r="B3297" s="27"/>
      <c r="C3297" s="27"/>
      <c r="D3297" s="27"/>
      <c r="E3297" s="27"/>
      <c r="F3297" s="27"/>
      <c r="G3297" s="27"/>
      <c r="H3297" s="27"/>
      <c r="I3297" s="27"/>
    </row>
    <row r="3298" spans="1:9" x14ac:dyDescent="0.35">
      <c r="A3298" s="27"/>
      <c r="B3298" s="27"/>
      <c r="C3298" s="27"/>
      <c r="D3298" s="27"/>
      <c r="E3298" s="27"/>
      <c r="F3298" s="27"/>
      <c r="G3298" s="27"/>
      <c r="H3298" s="27"/>
      <c r="I3298" s="27"/>
    </row>
    <row r="3299" spans="1:9" x14ac:dyDescent="0.35">
      <c r="A3299" s="27"/>
      <c r="B3299" s="27"/>
      <c r="C3299" s="27"/>
      <c r="D3299" s="27"/>
      <c r="E3299" s="27"/>
      <c r="F3299" s="27"/>
      <c r="G3299" s="27"/>
      <c r="H3299" s="27"/>
      <c r="I3299" s="27"/>
    </row>
    <row r="3300" spans="1:9" x14ac:dyDescent="0.35">
      <c r="A3300" s="27"/>
      <c r="B3300" s="27"/>
      <c r="C3300" s="27"/>
      <c r="D3300" s="27"/>
      <c r="E3300" s="27"/>
      <c r="F3300" s="27"/>
      <c r="G3300" s="27"/>
      <c r="H3300" s="27"/>
      <c r="I3300" s="27"/>
    </row>
    <row r="3301" spans="1:9" x14ac:dyDescent="0.35">
      <c r="A3301" s="27"/>
      <c r="B3301" s="27"/>
      <c r="C3301" s="27"/>
      <c r="D3301" s="27"/>
      <c r="E3301" s="27"/>
      <c r="F3301" s="27"/>
      <c r="G3301" s="27"/>
      <c r="H3301" s="27"/>
      <c r="I3301" s="27"/>
    </row>
    <row r="3302" spans="1:9" x14ac:dyDescent="0.35">
      <c r="A3302" s="27"/>
      <c r="B3302" s="27"/>
      <c r="C3302" s="27"/>
      <c r="D3302" s="27"/>
      <c r="E3302" s="27"/>
      <c r="F3302" s="27"/>
      <c r="G3302" s="27"/>
      <c r="H3302" s="27"/>
      <c r="I3302" s="27"/>
    </row>
    <row r="3303" spans="1:9" x14ac:dyDescent="0.35">
      <c r="A3303" s="27"/>
      <c r="B3303" s="27"/>
      <c r="C3303" s="27"/>
      <c r="D3303" s="27"/>
      <c r="E3303" s="27"/>
      <c r="F3303" s="27"/>
      <c r="G3303" s="27"/>
      <c r="H3303" s="27"/>
      <c r="I3303" s="27"/>
    </row>
    <row r="3304" spans="1:9" x14ac:dyDescent="0.35">
      <c r="A3304" s="27"/>
      <c r="B3304" s="27"/>
      <c r="C3304" s="27"/>
      <c r="D3304" s="27"/>
      <c r="E3304" s="27"/>
      <c r="F3304" s="27"/>
      <c r="G3304" s="27"/>
      <c r="H3304" s="27"/>
      <c r="I3304" s="27"/>
    </row>
    <row r="3305" spans="1:9" x14ac:dyDescent="0.35">
      <c r="A3305" s="27"/>
      <c r="B3305" s="27"/>
      <c r="C3305" s="27"/>
      <c r="D3305" s="27"/>
      <c r="E3305" s="27"/>
      <c r="F3305" s="27"/>
      <c r="G3305" s="27"/>
      <c r="H3305" s="27"/>
      <c r="I3305" s="27"/>
    </row>
    <row r="3306" spans="1:9" x14ac:dyDescent="0.35">
      <c r="A3306" s="27"/>
      <c r="B3306" s="27"/>
      <c r="C3306" s="27"/>
      <c r="D3306" s="27"/>
      <c r="E3306" s="27"/>
      <c r="F3306" s="27"/>
      <c r="G3306" s="27"/>
      <c r="H3306" s="27"/>
      <c r="I3306" s="27"/>
    </row>
    <row r="3307" spans="1:9" x14ac:dyDescent="0.35">
      <c r="A3307" s="27"/>
      <c r="B3307" s="27"/>
      <c r="C3307" s="27"/>
      <c r="D3307" s="27"/>
      <c r="E3307" s="27"/>
      <c r="F3307" s="27"/>
      <c r="G3307" s="27"/>
      <c r="H3307" s="27"/>
      <c r="I3307" s="27"/>
    </row>
    <row r="3308" spans="1:9" x14ac:dyDescent="0.35">
      <c r="A3308" s="27"/>
      <c r="B3308" s="27"/>
      <c r="C3308" s="27"/>
      <c r="D3308" s="27"/>
      <c r="E3308" s="27"/>
      <c r="F3308" s="27"/>
      <c r="G3308" s="27"/>
      <c r="H3308" s="27"/>
      <c r="I3308" s="27"/>
    </row>
    <row r="3309" spans="1:9" x14ac:dyDescent="0.35">
      <c r="A3309" s="27"/>
      <c r="B3309" s="27"/>
      <c r="C3309" s="27"/>
      <c r="D3309" s="27"/>
      <c r="E3309" s="27"/>
      <c r="F3309" s="27"/>
      <c r="G3309" s="27"/>
      <c r="H3309" s="27"/>
      <c r="I3309" s="27"/>
    </row>
    <row r="3310" spans="1:9" x14ac:dyDescent="0.35">
      <c r="A3310" s="27"/>
      <c r="B3310" s="27"/>
      <c r="C3310" s="27"/>
      <c r="D3310" s="27"/>
      <c r="E3310" s="27"/>
      <c r="F3310" s="27"/>
      <c r="G3310" s="27"/>
      <c r="H3310" s="27"/>
      <c r="I3310" s="27"/>
    </row>
    <row r="3311" spans="1:9" x14ac:dyDescent="0.35">
      <c r="A3311" s="27"/>
      <c r="B3311" s="27"/>
      <c r="C3311" s="27"/>
      <c r="D3311" s="27"/>
      <c r="E3311" s="27"/>
      <c r="F3311" s="27"/>
      <c r="G3311" s="27"/>
      <c r="H3311" s="27"/>
      <c r="I3311" s="27"/>
    </row>
    <row r="3312" spans="1:9" x14ac:dyDescent="0.35">
      <c r="A3312" s="27"/>
      <c r="B3312" s="27"/>
      <c r="C3312" s="27"/>
      <c r="D3312" s="27"/>
      <c r="E3312" s="27"/>
      <c r="F3312" s="27"/>
      <c r="G3312" s="27"/>
      <c r="H3312" s="27"/>
      <c r="I3312" s="27"/>
    </row>
    <row r="3313" spans="1:9" x14ac:dyDescent="0.35">
      <c r="A3313" s="27"/>
      <c r="B3313" s="27"/>
      <c r="C3313" s="27"/>
      <c r="D3313" s="27"/>
      <c r="E3313" s="27"/>
      <c r="F3313" s="27"/>
      <c r="G3313" s="27"/>
      <c r="H3313" s="27"/>
      <c r="I3313" s="27"/>
    </row>
    <row r="3314" spans="1:9" x14ac:dyDescent="0.35">
      <c r="A3314" s="27"/>
      <c r="B3314" s="27"/>
      <c r="C3314" s="27"/>
      <c r="D3314" s="27"/>
      <c r="E3314" s="27"/>
      <c r="F3314" s="27"/>
      <c r="G3314" s="27"/>
      <c r="H3314" s="27"/>
      <c r="I3314" s="27"/>
    </row>
    <row r="3315" spans="1:9" x14ac:dyDescent="0.35">
      <c r="A3315" s="27"/>
      <c r="B3315" s="27"/>
      <c r="C3315" s="27"/>
      <c r="D3315" s="27"/>
      <c r="E3315" s="27"/>
      <c r="F3315" s="27"/>
      <c r="G3315" s="27"/>
      <c r="H3315" s="27"/>
      <c r="I3315" s="27"/>
    </row>
    <row r="3316" spans="1:9" x14ac:dyDescent="0.35">
      <c r="A3316" s="27"/>
      <c r="B3316" s="27"/>
      <c r="C3316" s="27"/>
      <c r="D3316" s="27"/>
      <c r="E3316" s="27"/>
      <c r="F3316" s="27"/>
      <c r="G3316" s="27"/>
      <c r="H3316" s="27"/>
      <c r="I3316" s="27"/>
    </row>
    <row r="3317" spans="1:9" x14ac:dyDescent="0.35">
      <c r="A3317" s="27"/>
      <c r="B3317" s="27"/>
      <c r="C3317" s="27"/>
      <c r="D3317" s="27"/>
      <c r="E3317" s="27"/>
      <c r="F3317" s="27"/>
      <c r="G3317" s="27"/>
      <c r="H3317" s="27"/>
      <c r="I3317" s="27"/>
    </row>
    <row r="3318" spans="1:9" x14ac:dyDescent="0.35">
      <c r="A3318" s="27"/>
      <c r="B3318" s="27"/>
      <c r="C3318" s="27"/>
      <c r="D3318" s="27"/>
      <c r="E3318" s="27"/>
      <c r="F3318" s="27"/>
      <c r="G3318" s="27"/>
      <c r="H3318" s="27"/>
      <c r="I3318" s="27"/>
    </row>
    <row r="3319" spans="1:9" x14ac:dyDescent="0.35">
      <c r="A3319" s="27"/>
      <c r="B3319" s="27"/>
      <c r="C3319" s="27"/>
      <c r="D3319" s="27"/>
      <c r="E3319" s="27"/>
      <c r="F3319" s="27"/>
      <c r="G3319" s="27"/>
      <c r="H3319" s="27"/>
      <c r="I3319" s="27"/>
    </row>
    <row r="3320" spans="1:9" x14ac:dyDescent="0.35">
      <c r="A3320" s="27"/>
      <c r="B3320" s="27"/>
      <c r="C3320" s="27"/>
      <c r="D3320" s="27"/>
      <c r="E3320" s="27"/>
      <c r="F3320" s="27"/>
      <c r="G3320" s="27"/>
      <c r="H3320" s="27"/>
      <c r="I3320" s="27"/>
    </row>
    <row r="3321" spans="1:9" x14ac:dyDescent="0.35">
      <c r="A3321" s="27"/>
      <c r="B3321" s="27"/>
      <c r="C3321" s="27"/>
      <c r="D3321" s="27"/>
      <c r="E3321" s="27"/>
      <c r="F3321" s="27"/>
      <c r="G3321" s="27"/>
      <c r="H3321" s="27"/>
      <c r="I3321" s="27"/>
    </row>
    <row r="3322" spans="1:9" x14ac:dyDescent="0.35">
      <c r="A3322" s="27"/>
      <c r="B3322" s="27"/>
      <c r="C3322" s="27"/>
      <c r="D3322" s="27"/>
      <c r="E3322" s="27"/>
      <c r="F3322" s="27"/>
      <c r="G3322" s="27"/>
      <c r="H3322" s="27"/>
      <c r="I3322" s="27"/>
    </row>
    <row r="3323" spans="1:9" x14ac:dyDescent="0.35">
      <c r="A3323" s="27"/>
      <c r="B3323" s="27"/>
      <c r="C3323" s="27"/>
      <c r="D3323" s="27"/>
      <c r="E3323" s="27"/>
      <c r="F3323" s="27"/>
      <c r="G3323" s="27"/>
      <c r="H3323" s="27"/>
      <c r="I3323" s="27"/>
    </row>
    <row r="3324" spans="1:9" x14ac:dyDescent="0.35">
      <c r="A3324" s="27"/>
      <c r="B3324" s="27"/>
      <c r="C3324" s="27"/>
      <c r="D3324" s="27"/>
      <c r="E3324" s="27"/>
      <c r="F3324" s="27"/>
      <c r="G3324" s="27"/>
      <c r="H3324" s="27"/>
      <c r="I3324" s="27"/>
    </row>
    <row r="3325" spans="1:9" x14ac:dyDescent="0.35">
      <c r="A3325" s="27"/>
      <c r="B3325" s="27"/>
      <c r="C3325" s="27"/>
      <c r="D3325" s="27"/>
      <c r="E3325" s="27"/>
      <c r="F3325" s="27"/>
      <c r="G3325" s="27"/>
      <c r="H3325" s="27"/>
      <c r="I3325" s="27"/>
    </row>
    <row r="3326" spans="1:9" x14ac:dyDescent="0.35">
      <c r="A3326" s="27"/>
      <c r="B3326" s="27"/>
      <c r="C3326" s="27"/>
      <c r="D3326" s="27"/>
      <c r="E3326" s="27"/>
      <c r="F3326" s="27"/>
      <c r="G3326" s="27"/>
      <c r="H3326" s="27"/>
      <c r="I3326" s="27"/>
    </row>
    <row r="3327" spans="1:9" x14ac:dyDescent="0.35">
      <c r="A3327" s="27"/>
      <c r="B3327" s="27"/>
      <c r="C3327" s="27"/>
      <c r="D3327" s="27"/>
      <c r="E3327" s="27"/>
      <c r="F3327" s="27"/>
      <c r="G3327" s="27"/>
      <c r="H3327" s="27"/>
      <c r="I3327" s="27"/>
    </row>
    <row r="3328" spans="1:9" x14ac:dyDescent="0.35">
      <c r="A3328" s="27"/>
      <c r="B3328" s="27"/>
      <c r="C3328" s="27"/>
      <c r="D3328" s="27"/>
      <c r="E3328" s="27"/>
      <c r="F3328" s="27"/>
      <c r="G3328" s="27"/>
      <c r="H3328" s="27"/>
      <c r="I3328" s="27"/>
    </row>
    <row r="3329" spans="1:9" x14ac:dyDescent="0.35">
      <c r="A3329" s="27"/>
      <c r="B3329" s="27"/>
      <c r="C3329" s="27"/>
      <c r="D3329" s="27"/>
      <c r="E3329" s="27"/>
      <c r="F3329" s="27"/>
      <c r="G3329" s="27"/>
      <c r="H3329" s="27"/>
      <c r="I3329" s="27"/>
    </row>
    <row r="3330" spans="1:9" x14ac:dyDescent="0.35">
      <c r="A3330" s="27"/>
      <c r="B3330" s="27"/>
      <c r="C3330" s="27"/>
      <c r="D3330" s="27"/>
      <c r="E3330" s="27"/>
      <c r="F3330" s="27"/>
      <c r="G3330" s="27"/>
      <c r="H3330" s="27"/>
      <c r="I3330" s="27"/>
    </row>
    <row r="3331" spans="1:9" x14ac:dyDescent="0.35">
      <c r="A3331" s="27"/>
      <c r="B3331" s="27"/>
      <c r="C3331" s="27"/>
      <c r="D3331" s="27"/>
      <c r="E3331" s="27"/>
      <c r="F3331" s="27"/>
      <c r="G3331" s="27"/>
      <c r="H3331" s="27"/>
      <c r="I3331" s="27"/>
    </row>
    <row r="3332" spans="1:9" x14ac:dyDescent="0.35">
      <c r="A3332" s="27"/>
      <c r="B3332" s="27"/>
      <c r="C3332" s="27"/>
      <c r="D3332" s="27"/>
      <c r="E3332" s="27"/>
      <c r="F3332" s="27"/>
      <c r="G3332" s="27"/>
      <c r="H3332" s="27"/>
      <c r="I3332" s="27"/>
    </row>
    <row r="3333" spans="1:9" x14ac:dyDescent="0.35">
      <c r="A3333" s="27"/>
      <c r="B3333" s="27"/>
      <c r="C3333" s="27"/>
      <c r="D3333" s="27"/>
      <c r="E3333" s="27"/>
      <c r="F3333" s="27"/>
      <c r="G3333" s="27"/>
      <c r="H3333" s="27"/>
      <c r="I3333" s="27"/>
    </row>
    <row r="3334" spans="1:9" x14ac:dyDescent="0.35">
      <c r="A3334" s="27"/>
      <c r="B3334" s="27"/>
      <c r="C3334" s="27"/>
      <c r="D3334" s="27"/>
      <c r="E3334" s="27"/>
      <c r="F3334" s="27"/>
      <c r="G3334" s="27"/>
      <c r="H3334" s="27"/>
      <c r="I3334" s="27"/>
    </row>
    <row r="3335" spans="1:9" x14ac:dyDescent="0.35">
      <c r="A3335" s="27"/>
      <c r="B3335" s="27"/>
      <c r="C3335" s="27"/>
      <c r="D3335" s="27"/>
      <c r="E3335" s="27"/>
      <c r="F3335" s="27"/>
      <c r="G3335" s="27"/>
      <c r="H3335" s="27"/>
      <c r="I3335" s="27"/>
    </row>
    <row r="3336" spans="1:9" x14ac:dyDescent="0.35">
      <c r="A3336" s="27"/>
      <c r="B3336" s="27"/>
      <c r="C3336" s="27"/>
      <c r="D3336" s="27"/>
      <c r="E3336" s="27"/>
      <c r="F3336" s="27"/>
      <c r="G3336" s="27"/>
      <c r="H3336" s="27"/>
      <c r="I3336" s="27"/>
    </row>
    <row r="3337" spans="1:9" x14ac:dyDescent="0.35">
      <c r="A3337" s="27"/>
      <c r="B3337" s="27"/>
      <c r="C3337" s="27"/>
      <c r="D3337" s="27"/>
      <c r="E3337" s="27"/>
      <c r="F3337" s="27"/>
      <c r="G3337" s="27"/>
      <c r="H3337" s="27"/>
      <c r="I3337" s="27"/>
    </row>
    <row r="3338" spans="1:9" x14ac:dyDescent="0.35">
      <c r="A3338" s="27"/>
      <c r="B3338" s="27"/>
      <c r="C3338" s="27"/>
      <c r="D3338" s="27"/>
      <c r="E3338" s="27"/>
      <c r="F3338" s="27"/>
      <c r="G3338" s="27"/>
      <c r="H3338" s="27"/>
      <c r="I3338" s="27"/>
    </row>
    <row r="3339" spans="1:9" x14ac:dyDescent="0.35">
      <c r="A3339" s="27"/>
      <c r="B3339" s="27"/>
      <c r="C3339" s="27"/>
      <c r="D3339" s="27"/>
      <c r="E3339" s="27"/>
      <c r="F3339" s="27"/>
      <c r="G3339" s="27"/>
      <c r="H3339" s="27"/>
      <c r="I3339" s="27"/>
    </row>
    <row r="3340" spans="1:9" x14ac:dyDescent="0.35">
      <c r="A3340" s="27"/>
      <c r="B3340" s="27"/>
      <c r="C3340" s="27"/>
      <c r="D3340" s="27"/>
      <c r="E3340" s="27"/>
      <c r="F3340" s="27"/>
      <c r="G3340" s="27"/>
      <c r="H3340" s="27"/>
      <c r="I3340" s="27"/>
    </row>
    <row r="3341" spans="1:9" x14ac:dyDescent="0.35">
      <c r="A3341" s="27"/>
      <c r="B3341" s="27"/>
      <c r="C3341" s="27"/>
      <c r="D3341" s="27"/>
      <c r="E3341" s="27"/>
      <c r="F3341" s="27"/>
      <c r="G3341" s="27"/>
      <c r="H3341" s="27"/>
      <c r="I3341" s="27"/>
    </row>
    <row r="3342" spans="1:9" x14ac:dyDescent="0.35">
      <c r="A3342" s="27"/>
      <c r="B3342" s="27"/>
      <c r="C3342" s="27"/>
      <c r="D3342" s="27"/>
      <c r="E3342" s="27"/>
      <c r="F3342" s="27"/>
      <c r="G3342" s="27"/>
      <c r="H3342" s="27"/>
      <c r="I3342" s="27"/>
    </row>
    <row r="3343" spans="1:9" x14ac:dyDescent="0.35">
      <c r="A3343" s="27"/>
      <c r="B3343" s="27"/>
      <c r="C3343" s="27"/>
      <c r="D3343" s="27"/>
      <c r="E3343" s="27"/>
      <c r="F3343" s="27"/>
      <c r="G3343" s="27"/>
      <c r="H3343" s="27"/>
      <c r="I3343" s="27"/>
    </row>
    <row r="3344" spans="1:9" x14ac:dyDescent="0.35">
      <c r="A3344" s="27"/>
      <c r="B3344" s="27"/>
      <c r="C3344" s="27"/>
      <c r="D3344" s="27"/>
      <c r="E3344" s="27"/>
      <c r="F3344" s="27"/>
      <c r="G3344" s="27"/>
      <c r="H3344" s="27"/>
      <c r="I3344" s="27"/>
    </row>
    <row r="3345" spans="1:9" x14ac:dyDescent="0.35">
      <c r="A3345" s="27"/>
      <c r="B3345" s="27"/>
      <c r="C3345" s="27"/>
      <c r="D3345" s="27"/>
      <c r="E3345" s="27"/>
      <c r="F3345" s="27"/>
      <c r="G3345" s="27"/>
      <c r="H3345" s="27"/>
      <c r="I3345" s="27"/>
    </row>
    <row r="3346" spans="1:9" x14ac:dyDescent="0.35">
      <c r="A3346" s="27"/>
      <c r="B3346" s="27"/>
      <c r="C3346" s="27"/>
      <c r="D3346" s="27"/>
      <c r="E3346" s="27"/>
      <c r="F3346" s="27"/>
      <c r="G3346" s="27"/>
      <c r="H3346" s="27"/>
      <c r="I3346" s="27"/>
    </row>
    <row r="3347" spans="1:9" x14ac:dyDescent="0.35">
      <c r="A3347" s="27"/>
      <c r="B3347" s="27"/>
      <c r="C3347" s="27"/>
      <c r="D3347" s="27"/>
      <c r="E3347" s="27"/>
      <c r="F3347" s="27"/>
      <c r="G3347" s="27"/>
      <c r="H3347" s="27"/>
      <c r="I3347" s="27"/>
    </row>
    <row r="3348" spans="1:9" x14ac:dyDescent="0.35">
      <c r="A3348" s="27"/>
      <c r="B3348" s="27"/>
      <c r="C3348" s="27"/>
      <c r="D3348" s="27"/>
      <c r="E3348" s="27"/>
      <c r="F3348" s="27"/>
      <c r="G3348" s="27"/>
      <c r="H3348" s="27"/>
      <c r="I3348" s="27"/>
    </row>
    <row r="3349" spans="1:9" x14ac:dyDescent="0.35">
      <c r="A3349" s="27"/>
      <c r="B3349" s="27"/>
      <c r="C3349" s="27"/>
      <c r="D3349" s="27"/>
      <c r="E3349" s="27"/>
      <c r="F3349" s="27"/>
      <c r="G3349" s="27"/>
      <c r="H3349" s="27"/>
      <c r="I3349" s="27"/>
    </row>
    <row r="3350" spans="1:9" x14ac:dyDescent="0.35">
      <c r="A3350" s="27"/>
      <c r="B3350" s="27"/>
      <c r="C3350" s="27"/>
      <c r="D3350" s="27"/>
      <c r="E3350" s="27"/>
      <c r="F3350" s="27"/>
      <c r="G3350" s="27"/>
      <c r="H3350" s="27"/>
      <c r="I3350" s="27"/>
    </row>
    <row r="3351" spans="1:9" x14ac:dyDescent="0.35">
      <c r="A3351" s="27"/>
      <c r="B3351" s="27"/>
      <c r="C3351" s="27"/>
      <c r="D3351" s="27"/>
      <c r="E3351" s="27"/>
      <c r="F3351" s="27"/>
      <c r="G3351" s="27"/>
      <c r="H3351" s="27"/>
      <c r="I3351" s="27"/>
    </row>
    <row r="3352" spans="1:9" x14ac:dyDescent="0.35">
      <c r="A3352" s="27"/>
      <c r="B3352" s="27"/>
      <c r="C3352" s="27"/>
      <c r="D3352" s="27"/>
      <c r="E3352" s="27"/>
      <c r="F3352" s="27"/>
      <c r="G3352" s="27"/>
      <c r="H3352" s="27"/>
      <c r="I3352" s="27"/>
    </row>
    <row r="3353" spans="1:9" x14ac:dyDescent="0.35">
      <c r="A3353" s="27"/>
      <c r="B3353" s="27"/>
      <c r="C3353" s="27"/>
      <c r="D3353" s="27"/>
      <c r="E3353" s="27"/>
      <c r="F3353" s="27"/>
      <c r="G3353" s="27"/>
      <c r="H3353" s="27"/>
      <c r="I3353" s="27"/>
    </row>
    <row r="3354" spans="1:9" x14ac:dyDescent="0.35">
      <c r="A3354" s="27"/>
      <c r="B3354" s="27"/>
      <c r="C3354" s="27"/>
      <c r="D3354" s="27"/>
      <c r="E3354" s="27"/>
      <c r="F3354" s="27"/>
      <c r="G3354" s="27"/>
      <c r="H3354" s="27"/>
      <c r="I3354" s="27"/>
    </row>
    <row r="3355" spans="1:9" x14ac:dyDescent="0.35">
      <c r="A3355" s="27"/>
      <c r="B3355" s="27"/>
      <c r="C3355" s="27"/>
      <c r="D3355" s="27"/>
      <c r="E3355" s="27"/>
      <c r="F3355" s="27"/>
      <c r="G3355" s="27"/>
      <c r="H3355" s="27"/>
      <c r="I3355" s="27"/>
    </row>
    <row r="3356" spans="1:9" x14ac:dyDescent="0.35">
      <c r="A3356" s="27"/>
      <c r="B3356" s="27"/>
      <c r="C3356" s="27"/>
      <c r="D3356" s="27"/>
      <c r="E3356" s="27"/>
      <c r="F3356" s="27"/>
      <c r="G3356" s="27"/>
      <c r="H3356" s="27"/>
      <c r="I3356" s="27"/>
    </row>
    <row r="3357" spans="1:9" x14ac:dyDescent="0.35">
      <c r="A3357" s="27"/>
      <c r="B3357" s="27"/>
      <c r="C3357" s="27"/>
      <c r="D3357" s="27"/>
      <c r="E3357" s="27"/>
      <c r="F3357" s="27"/>
      <c r="G3357" s="27"/>
      <c r="H3357" s="27"/>
      <c r="I3357" s="27"/>
    </row>
    <row r="3358" spans="1:9" x14ac:dyDescent="0.35">
      <c r="A3358" s="27"/>
      <c r="B3358" s="27"/>
      <c r="C3358" s="27"/>
      <c r="D3358" s="27"/>
      <c r="E3358" s="27"/>
      <c r="F3358" s="27"/>
      <c r="G3358" s="27"/>
      <c r="H3358" s="27"/>
      <c r="I3358" s="27"/>
    </row>
    <row r="3359" spans="1:9" x14ac:dyDescent="0.35">
      <c r="A3359" s="27"/>
      <c r="B3359" s="27"/>
      <c r="C3359" s="27"/>
      <c r="D3359" s="27"/>
      <c r="E3359" s="27"/>
      <c r="F3359" s="27"/>
      <c r="G3359" s="27"/>
      <c r="H3359" s="27"/>
      <c r="I3359" s="27"/>
    </row>
    <row r="3360" spans="1:9" x14ac:dyDescent="0.35">
      <c r="A3360" s="27"/>
      <c r="B3360" s="27"/>
      <c r="C3360" s="27"/>
      <c r="D3360" s="27"/>
      <c r="E3360" s="27"/>
      <c r="F3360" s="27"/>
      <c r="G3360" s="27"/>
      <c r="H3360" s="27"/>
      <c r="I3360" s="27"/>
    </row>
    <row r="3361" spans="1:9" x14ac:dyDescent="0.35">
      <c r="A3361" s="27"/>
      <c r="B3361" s="27"/>
      <c r="C3361" s="27"/>
      <c r="D3361" s="27"/>
      <c r="E3361" s="27"/>
      <c r="F3361" s="27"/>
      <c r="G3361" s="27"/>
      <c r="H3361" s="27"/>
      <c r="I3361" s="27"/>
    </row>
    <row r="3362" spans="1:9" x14ac:dyDescent="0.35">
      <c r="A3362" s="27"/>
      <c r="B3362" s="27"/>
      <c r="C3362" s="27"/>
      <c r="D3362" s="27"/>
      <c r="E3362" s="27"/>
      <c r="F3362" s="27"/>
      <c r="G3362" s="27"/>
      <c r="H3362" s="27"/>
      <c r="I3362" s="27"/>
    </row>
    <row r="3363" spans="1:9" x14ac:dyDescent="0.35">
      <c r="A3363" s="27"/>
      <c r="B3363" s="27"/>
      <c r="C3363" s="27"/>
      <c r="D3363" s="27"/>
      <c r="E3363" s="27"/>
      <c r="F3363" s="27"/>
      <c r="G3363" s="27"/>
      <c r="H3363" s="27"/>
      <c r="I3363" s="27"/>
    </row>
    <row r="3364" spans="1:9" x14ac:dyDescent="0.35">
      <c r="A3364" s="27"/>
      <c r="B3364" s="27"/>
      <c r="C3364" s="27"/>
      <c r="D3364" s="27"/>
      <c r="E3364" s="27"/>
      <c r="F3364" s="27"/>
      <c r="G3364" s="27"/>
      <c r="H3364" s="27"/>
      <c r="I3364" s="27"/>
    </row>
    <row r="3365" spans="1:9" x14ac:dyDescent="0.35">
      <c r="A3365" s="27"/>
      <c r="B3365" s="27"/>
      <c r="C3365" s="27"/>
      <c r="D3365" s="27"/>
      <c r="E3365" s="27"/>
      <c r="F3365" s="27"/>
      <c r="G3365" s="27"/>
      <c r="H3365" s="27"/>
      <c r="I3365" s="27"/>
    </row>
    <row r="3366" spans="1:9" x14ac:dyDescent="0.35">
      <c r="A3366" s="27"/>
      <c r="B3366" s="27"/>
      <c r="C3366" s="27"/>
      <c r="D3366" s="27"/>
      <c r="E3366" s="27"/>
      <c r="F3366" s="27"/>
      <c r="G3366" s="27"/>
      <c r="H3366" s="27"/>
      <c r="I3366" s="27"/>
    </row>
    <row r="3367" spans="1:9" x14ac:dyDescent="0.35">
      <c r="A3367" s="27"/>
      <c r="B3367" s="27"/>
      <c r="C3367" s="27"/>
      <c r="D3367" s="27"/>
      <c r="E3367" s="27"/>
      <c r="F3367" s="27"/>
      <c r="G3367" s="27"/>
      <c r="H3367" s="27"/>
      <c r="I3367" s="27"/>
    </row>
    <row r="3368" spans="1:9" x14ac:dyDescent="0.35">
      <c r="A3368" s="27"/>
      <c r="B3368" s="27"/>
      <c r="C3368" s="27"/>
      <c r="D3368" s="27"/>
      <c r="E3368" s="27"/>
      <c r="F3368" s="27"/>
      <c r="G3368" s="27"/>
      <c r="H3368" s="27"/>
      <c r="I3368" s="27"/>
    </row>
    <row r="3369" spans="1:9" x14ac:dyDescent="0.35">
      <c r="A3369" s="27"/>
      <c r="B3369" s="27"/>
      <c r="C3369" s="27"/>
      <c r="D3369" s="27"/>
      <c r="E3369" s="27"/>
      <c r="F3369" s="27"/>
      <c r="G3369" s="27"/>
      <c r="H3369" s="27"/>
      <c r="I3369" s="27"/>
    </row>
    <row r="3370" spans="1:9" x14ac:dyDescent="0.35">
      <c r="A3370" s="27"/>
      <c r="B3370" s="27"/>
      <c r="C3370" s="27"/>
      <c r="D3370" s="27"/>
      <c r="E3370" s="27"/>
      <c r="F3370" s="27"/>
      <c r="G3370" s="27"/>
      <c r="H3370" s="27"/>
      <c r="I3370" s="27"/>
    </row>
    <row r="3371" spans="1:9" x14ac:dyDescent="0.35">
      <c r="A3371" s="27"/>
      <c r="B3371" s="27"/>
      <c r="C3371" s="27"/>
      <c r="D3371" s="27"/>
      <c r="E3371" s="27"/>
      <c r="F3371" s="27"/>
      <c r="G3371" s="27"/>
      <c r="H3371" s="27"/>
      <c r="I3371" s="27"/>
    </row>
    <row r="3372" spans="1:9" x14ac:dyDescent="0.35">
      <c r="A3372" s="27"/>
      <c r="B3372" s="27"/>
      <c r="C3372" s="27"/>
      <c r="D3372" s="27"/>
      <c r="E3372" s="27"/>
      <c r="F3372" s="27"/>
      <c r="G3372" s="27"/>
      <c r="H3372" s="27"/>
      <c r="I3372" s="27"/>
    </row>
    <row r="3373" spans="1:9" x14ac:dyDescent="0.35">
      <c r="A3373" s="27"/>
      <c r="B3373" s="27"/>
      <c r="C3373" s="27"/>
      <c r="D3373" s="27"/>
      <c r="E3373" s="27"/>
      <c r="F3373" s="27"/>
      <c r="G3373" s="27"/>
      <c r="H3373" s="27"/>
      <c r="I3373" s="27"/>
    </row>
    <row r="3374" spans="1:9" x14ac:dyDescent="0.35">
      <c r="A3374" s="27"/>
      <c r="B3374" s="27"/>
      <c r="C3374" s="27"/>
      <c r="D3374" s="27"/>
      <c r="E3374" s="27"/>
      <c r="F3374" s="27"/>
      <c r="G3374" s="27"/>
      <c r="H3374" s="27"/>
      <c r="I3374" s="27"/>
    </row>
    <row r="3375" spans="1:9" x14ac:dyDescent="0.35">
      <c r="A3375" s="27"/>
      <c r="B3375" s="27"/>
      <c r="C3375" s="27"/>
      <c r="D3375" s="27"/>
      <c r="E3375" s="27"/>
      <c r="F3375" s="27"/>
      <c r="G3375" s="27"/>
      <c r="H3375" s="27"/>
      <c r="I3375" s="27"/>
    </row>
    <row r="3376" spans="1:9" x14ac:dyDescent="0.35">
      <c r="A3376" s="27"/>
      <c r="B3376" s="27"/>
      <c r="C3376" s="27"/>
      <c r="D3376" s="27"/>
      <c r="E3376" s="27"/>
      <c r="F3376" s="27"/>
      <c r="G3376" s="27"/>
      <c r="H3376" s="27"/>
      <c r="I3376" s="27"/>
    </row>
    <row r="3377" spans="1:9" x14ac:dyDescent="0.35">
      <c r="A3377" s="27"/>
      <c r="B3377" s="27"/>
      <c r="C3377" s="27"/>
      <c r="D3377" s="27"/>
      <c r="E3377" s="27"/>
      <c r="F3377" s="27"/>
      <c r="G3377" s="27"/>
      <c r="H3377" s="27"/>
      <c r="I3377" s="27"/>
    </row>
    <row r="3378" spans="1:9" x14ac:dyDescent="0.35">
      <c r="A3378" s="27"/>
      <c r="B3378" s="27"/>
      <c r="C3378" s="27"/>
      <c r="D3378" s="27"/>
      <c r="E3378" s="27"/>
      <c r="F3378" s="27"/>
      <c r="G3378" s="27"/>
      <c r="H3378" s="27"/>
      <c r="I3378" s="27"/>
    </row>
    <row r="3379" spans="1:9" x14ac:dyDescent="0.35">
      <c r="A3379" s="27"/>
      <c r="B3379" s="27"/>
      <c r="C3379" s="27"/>
      <c r="D3379" s="27"/>
      <c r="E3379" s="27"/>
      <c r="F3379" s="27"/>
      <c r="G3379" s="27"/>
      <c r="H3379" s="27"/>
      <c r="I3379" s="27"/>
    </row>
    <row r="3380" spans="1:9" x14ac:dyDescent="0.35">
      <c r="A3380" s="27"/>
      <c r="B3380" s="27"/>
      <c r="C3380" s="27"/>
      <c r="D3380" s="27"/>
      <c r="E3380" s="27"/>
      <c r="F3380" s="27"/>
      <c r="G3380" s="27"/>
      <c r="H3380" s="27"/>
      <c r="I3380" s="27"/>
    </row>
    <row r="3381" spans="1:9" x14ac:dyDescent="0.35">
      <c r="A3381" s="27"/>
      <c r="B3381" s="27"/>
      <c r="C3381" s="27"/>
      <c r="D3381" s="27"/>
      <c r="E3381" s="27"/>
      <c r="F3381" s="27"/>
      <c r="G3381" s="27"/>
      <c r="H3381" s="27"/>
      <c r="I3381" s="27"/>
    </row>
    <row r="3382" spans="1:9" x14ac:dyDescent="0.35">
      <c r="A3382" s="27"/>
      <c r="B3382" s="27"/>
      <c r="C3382" s="27"/>
      <c r="D3382" s="27"/>
      <c r="E3382" s="27"/>
      <c r="F3382" s="27"/>
      <c r="G3382" s="27"/>
      <c r="H3382" s="27"/>
      <c r="I3382" s="27"/>
    </row>
    <row r="3383" spans="1:9" x14ac:dyDescent="0.35">
      <c r="A3383" s="27"/>
      <c r="B3383" s="27"/>
      <c r="C3383" s="27"/>
      <c r="D3383" s="27"/>
      <c r="E3383" s="27"/>
      <c r="F3383" s="27"/>
      <c r="G3383" s="27"/>
      <c r="H3383" s="27"/>
      <c r="I3383" s="27"/>
    </row>
    <row r="3384" spans="1:9" x14ac:dyDescent="0.35">
      <c r="A3384" s="27"/>
      <c r="B3384" s="27"/>
      <c r="C3384" s="27"/>
      <c r="D3384" s="27"/>
      <c r="E3384" s="27"/>
      <c r="F3384" s="27"/>
      <c r="G3384" s="27"/>
      <c r="H3384" s="27"/>
      <c r="I3384" s="27"/>
    </row>
    <row r="3385" spans="1:9" x14ac:dyDescent="0.35">
      <c r="A3385" s="27"/>
      <c r="B3385" s="27"/>
      <c r="C3385" s="27"/>
      <c r="D3385" s="27"/>
      <c r="E3385" s="27"/>
      <c r="F3385" s="27"/>
      <c r="G3385" s="27"/>
      <c r="H3385" s="27"/>
      <c r="I3385" s="27"/>
    </row>
    <row r="3386" spans="1:9" x14ac:dyDescent="0.35">
      <c r="A3386" s="27"/>
      <c r="B3386" s="27"/>
      <c r="C3386" s="27"/>
      <c r="D3386" s="27"/>
      <c r="E3386" s="27"/>
      <c r="F3386" s="27"/>
      <c r="G3386" s="27"/>
      <c r="H3386" s="27"/>
      <c r="I3386" s="27"/>
    </row>
    <row r="3387" spans="1:9" x14ac:dyDescent="0.35">
      <c r="A3387" s="27"/>
      <c r="B3387" s="27"/>
      <c r="C3387" s="27"/>
      <c r="D3387" s="27"/>
      <c r="E3387" s="27"/>
      <c r="F3387" s="27"/>
      <c r="G3387" s="27"/>
      <c r="H3387" s="27"/>
      <c r="I3387" s="27"/>
    </row>
    <row r="3388" spans="1:9" x14ac:dyDescent="0.35">
      <c r="A3388" s="27"/>
      <c r="B3388" s="27"/>
      <c r="C3388" s="27"/>
      <c r="D3388" s="27"/>
      <c r="E3388" s="27"/>
      <c r="F3388" s="27"/>
      <c r="G3388" s="27"/>
      <c r="H3388" s="27"/>
      <c r="I3388" s="27"/>
    </row>
    <row r="3389" spans="1:9" x14ac:dyDescent="0.35">
      <c r="A3389" s="27"/>
      <c r="B3389" s="27"/>
      <c r="C3389" s="27"/>
      <c r="D3389" s="27"/>
      <c r="E3389" s="27"/>
      <c r="F3389" s="27"/>
      <c r="G3389" s="27"/>
      <c r="H3389" s="27"/>
      <c r="I3389" s="27"/>
    </row>
    <row r="3390" spans="1:9" x14ac:dyDescent="0.35">
      <c r="A3390" s="27"/>
      <c r="B3390" s="27"/>
      <c r="C3390" s="27"/>
      <c r="D3390" s="27"/>
      <c r="E3390" s="27"/>
      <c r="F3390" s="27"/>
      <c r="G3390" s="27"/>
      <c r="H3390" s="27"/>
      <c r="I3390" s="27"/>
    </row>
    <row r="3391" spans="1:9" x14ac:dyDescent="0.35">
      <c r="A3391" s="27"/>
      <c r="B3391" s="27"/>
      <c r="C3391" s="27"/>
      <c r="D3391" s="27"/>
      <c r="E3391" s="27"/>
      <c r="F3391" s="27"/>
      <c r="G3391" s="27"/>
      <c r="H3391" s="27"/>
      <c r="I3391" s="27"/>
    </row>
    <row r="3392" spans="1:9" x14ac:dyDescent="0.35">
      <c r="A3392" s="27"/>
      <c r="B3392" s="27"/>
      <c r="C3392" s="27"/>
      <c r="D3392" s="27"/>
      <c r="E3392" s="27"/>
      <c r="F3392" s="27"/>
      <c r="G3392" s="27"/>
      <c r="H3392" s="27"/>
      <c r="I3392" s="27"/>
    </row>
    <row r="3393" spans="1:9" x14ac:dyDescent="0.35">
      <c r="A3393" s="27"/>
      <c r="B3393" s="27"/>
      <c r="C3393" s="27"/>
      <c r="D3393" s="27"/>
      <c r="E3393" s="27"/>
      <c r="F3393" s="27"/>
      <c r="G3393" s="27"/>
      <c r="H3393" s="27"/>
      <c r="I3393" s="27"/>
    </row>
    <row r="3394" spans="1:9" x14ac:dyDescent="0.35">
      <c r="A3394" s="27"/>
      <c r="B3394" s="27"/>
      <c r="C3394" s="27"/>
      <c r="D3394" s="27"/>
      <c r="E3394" s="27"/>
      <c r="F3394" s="27"/>
      <c r="G3394" s="27"/>
      <c r="H3394" s="27"/>
      <c r="I3394" s="27"/>
    </row>
    <row r="3395" spans="1:9" x14ac:dyDescent="0.35">
      <c r="A3395" s="27"/>
      <c r="B3395" s="27"/>
      <c r="C3395" s="27"/>
      <c r="D3395" s="27"/>
      <c r="E3395" s="27"/>
      <c r="F3395" s="27"/>
      <c r="G3395" s="27"/>
      <c r="H3395" s="27"/>
      <c r="I3395" s="27"/>
    </row>
    <row r="3396" spans="1:9" x14ac:dyDescent="0.35">
      <c r="A3396" s="27"/>
      <c r="B3396" s="27"/>
      <c r="C3396" s="27"/>
      <c r="D3396" s="27"/>
      <c r="E3396" s="27"/>
      <c r="F3396" s="27"/>
      <c r="G3396" s="27"/>
      <c r="H3396" s="27"/>
      <c r="I3396" s="27"/>
    </row>
    <row r="3397" spans="1:9" x14ac:dyDescent="0.35">
      <c r="A3397" s="27"/>
      <c r="B3397" s="27"/>
      <c r="C3397" s="27"/>
      <c r="D3397" s="27"/>
      <c r="E3397" s="27"/>
      <c r="F3397" s="27"/>
      <c r="G3397" s="27"/>
      <c r="H3397" s="27"/>
      <c r="I3397" s="27"/>
    </row>
    <row r="3398" spans="1:9" x14ac:dyDescent="0.35">
      <c r="A3398" s="27"/>
      <c r="B3398" s="27"/>
      <c r="C3398" s="27"/>
      <c r="D3398" s="27"/>
      <c r="E3398" s="27"/>
      <c r="F3398" s="27"/>
      <c r="G3398" s="27"/>
      <c r="H3398" s="27"/>
      <c r="I3398" s="27"/>
    </row>
    <row r="3399" spans="1:9" x14ac:dyDescent="0.35">
      <c r="A3399" s="27"/>
      <c r="B3399" s="27"/>
      <c r="C3399" s="27"/>
      <c r="D3399" s="27"/>
      <c r="E3399" s="27"/>
      <c r="F3399" s="27"/>
      <c r="G3399" s="27"/>
      <c r="H3399" s="27"/>
      <c r="I3399" s="27"/>
    </row>
    <row r="3400" spans="1:9" x14ac:dyDescent="0.35">
      <c r="A3400" s="27"/>
      <c r="B3400" s="27"/>
      <c r="C3400" s="27"/>
      <c r="D3400" s="27"/>
      <c r="E3400" s="27"/>
      <c r="F3400" s="27"/>
      <c r="G3400" s="27"/>
      <c r="H3400" s="27"/>
      <c r="I3400" s="27"/>
    </row>
    <row r="3401" spans="1:9" x14ac:dyDescent="0.35">
      <c r="A3401" s="27"/>
      <c r="B3401" s="27"/>
      <c r="C3401" s="27"/>
      <c r="D3401" s="27"/>
      <c r="E3401" s="27"/>
      <c r="F3401" s="27"/>
      <c r="G3401" s="27"/>
      <c r="H3401" s="27"/>
      <c r="I3401" s="27"/>
    </row>
    <row r="3402" spans="1:9" x14ac:dyDescent="0.35">
      <c r="A3402" s="27"/>
      <c r="B3402" s="27"/>
      <c r="C3402" s="27"/>
      <c r="D3402" s="27"/>
      <c r="E3402" s="27"/>
      <c r="F3402" s="27"/>
      <c r="G3402" s="27"/>
      <c r="H3402" s="27"/>
      <c r="I3402" s="27"/>
    </row>
    <row r="3403" spans="1:9" x14ac:dyDescent="0.35">
      <c r="A3403" s="27"/>
      <c r="B3403" s="27"/>
      <c r="C3403" s="27"/>
      <c r="D3403" s="27"/>
      <c r="E3403" s="27"/>
      <c r="F3403" s="27"/>
      <c r="G3403" s="27"/>
      <c r="H3403" s="27"/>
      <c r="I3403" s="27"/>
    </row>
    <row r="3404" spans="1:9" x14ac:dyDescent="0.35">
      <c r="A3404" s="27"/>
      <c r="B3404" s="27"/>
      <c r="C3404" s="27"/>
      <c r="D3404" s="27"/>
      <c r="E3404" s="27"/>
      <c r="F3404" s="27"/>
      <c r="G3404" s="27"/>
      <c r="H3404" s="27"/>
      <c r="I3404" s="27"/>
    </row>
    <row r="3405" spans="1:9" x14ac:dyDescent="0.35">
      <c r="A3405" s="27"/>
      <c r="B3405" s="27"/>
      <c r="C3405" s="27"/>
      <c r="D3405" s="27"/>
      <c r="E3405" s="27"/>
      <c r="F3405" s="27"/>
      <c r="G3405" s="27"/>
      <c r="H3405" s="27"/>
      <c r="I3405" s="27"/>
    </row>
    <row r="3406" spans="1:9" x14ac:dyDescent="0.35">
      <c r="A3406" s="27"/>
      <c r="B3406" s="27"/>
      <c r="C3406" s="27"/>
      <c r="D3406" s="27"/>
      <c r="E3406" s="27"/>
      <c r="F3406" s="27"/>
      <c r="G3406" s="27"/>
      <c r="H3406" s="27"/>
      <c r="I3406" s="27"/>
    </row>
    <row r="3407" spans="1:9" x14ac:dyDescent="0.35">
      <c r="A3407" s="27"/>
      <c r="B3407" s="27"/>
      <c r="C3407" s="27"/>
      <c r="D3407" s="27"/>
      <c r="E3407" s="27"/>
      <c r="F3407" s="27"/>
      <c r="G3407" s="27"/>
      <c r="H3407" s="27"/>
      <c r="I3407" s="27"/>
    </row>
    <row r="3408" spans="1:9" x14ac:dyDescent="0.35">
      <c r="A3408" s="27"/>
      <c r="B3408" s="27"/>
      <c r="C3408" s="27"/>
      <c r="D3408" s="27"/>
      <c r="E3408" s="27"/>
      <c r="F3408" s="27"/>
      <c r="G3408" s="27"/>
      <c r="H3408" s="27"/>
      <c r="I3408" s="27"/>
    </row>
    <row r="3409" spans="1:9" x14ac:dyDescent="0.35">
      <c r="A3409" s="27"/>
      <c r="B3409" s="27"/>
      <c r="C3409" s="27"/>
      <c r="D3409" s="27"/>
      <c r="E3409" s="27"/>
      <c r="F3409" s="27"/>
      <c r="G3409" s="27"/>
      <c r="H3409" s="27"/>
      <c r="I3409" s="27"/>
    </row>
    <row r="3410" spans="1:9" x14ac:dyDescent="0.35">
      <c r="A3410" s="27"/>
      <c r="B3410" s="27"/>
      <c r="C3410" s="27"/>
      <c r="D3410" s="27"/>
      <c r="E3410" s="27"/>
      <c r="F3410" s="27"/>
      <c r="G3410" s="27"/>
      <c r="H3410" s="27"/>
      <c r="I3410" s="27"/>
    </row>
    <row r="3411" spans="1:9" x14ac:dyDescent="0.35">
      <c r="A3411" s="27"/>
      <c r="B3411" s="27"/>
      <c r="C3411" s="27"/>
      <c r="D3411" s="27"/>
      <c r="E3411" s="27"/>
      <c r="F3411" s="27"/>
      <c r="G3411" s="27"/>
      <c r="H3411" s="27"/>
      <c r="I3411" s="27"/>
    </row>
    <row r="3412" spans="1:9" x14ac:dyDescent="0.35">
      <c r="A3412" s="27"/>
      <c r="B3412" s="27"/>
      <c r="C3412" s="27"/>
      <c r="D3412" s="27"/>
      <c r="E3412" s="27"/>
      <c r="F3412" s="27"/>
      <c r="G3412" s="27"/>
      <c r="H3412" s="27"/>
      <c r="I3412" s="27"/>
    </row>
    <row r="3413" spans="1:9" x14ac:dyDescent="0.35">
      <c r="A3413" s="27"/>
      <c r="B3413" s="27"/>
      <c r="C3413" s="27"/>
      <c r="D3413" s="27"/>
      <c r="E3413" s="27"/>
      <c r="F3413" s="27"/>
      <c r="G3413" s="27"/>
      <c r="H3413" s="27"/>
      <c r="I3413" s="27"/>
    </row>
    <row r="3414" spans="1:9" x14ac:dyDescent="0.35">
      <c r="A3414" s="27"/>
      <c r="B3414" s="27"/>
      <c r="C3414" s="27"/>
      <c r="D3414" s="27"/>
      <c r="E3414" s="27"/>
      <c r="F3414" s="27"/>
      <c r="G3414" s="27"/>
      <c r="H3414" s="27"/>
      <c r="I3414" s="27"/>
    </row>
    <row r="3415" spans="1:9" x14ac:dyDescent="0.35">
      <c r="A3415" s="27"/>
      <c r="B3415" s="27"/>
      <c r="C3415" s="27"/>
      <c r="D3415" s="27"/>
      <c r="E3415" s="27"/>
      <c r="F3415" s="27"/>
      <c r="G3415" s="27"/>
      <c r="H3415" s="27"/>
      <c r="I3415" s="27"/>
    </row>
    <row r="3416" spans="1:9" x14ac:dyDescent="0.35">
      <c r="A3416" s="27"/>
      <c r="B3416" s="27"/>
      <c r="C3416" s="27"/>
      <c r="D3416" s="27"/>
      <c r="E3416" s="27"/>
      <c r="F3416" s="27"/>
      <c r="G3416" s="27"/>
      <c r="H3416" s="27"/>
      <c r="I3416" s="27"/>
    </row>
    <row r="3417" spans="1:9" x14ac:dyDescent="0.35">
      <c r="A3417" s="27"/>
      <c r="B3417" s="27"/>
      <c r="C3417" s="27"/>
      <c r="D3417" s="27"/>
      <c r="E3417" s="27"/>
      <c r="F3417" s="27"/>
      <c r="G3417" s="27"/>
      <c r="H3417" s="27"/>
      <c r="I3417" s="27"/>
    </row>
    <row r="3418" spans="1:9" x14ac:dyDescent="0.35">
      <c r="A3418" s="27"/>
      <c r="B3418" s="27"/>
      <c r="C3418" s="27"/>
      <c r="D3418" s="27"/>
      <c r="E3418" s="27"/>
      <c r="F3418" s="27"/>
      <c r="G3418" s="27"/>
      <c r="H3418" s="27"/>
      <c r="I3418" s="27"/>
    </row>
    <row r="3419" spans="1:9" x14ac:dyDescent="0.35">
      <c r="A3419" s="27"/>
      <c r="B3419" s="27"/>
      <c r="C3419" s="27"/>
      <c r="D3419" s="27"/>
      <c r="E3419" s="27"/>
      <c r="F3419" s="27"/>
      <c r="G3419" s="27"/>
      <c r="H3419" s="27"/>
      <c r="I3419" s="27"/>
    </row>
    <row r="3420" spans="1:9" x14ac:dyDescent="0.35">
      <c r="A3420" s="27"/>
      <c r="B3420" s="27"/>
      <c r="C3420" s="27"/>
      <c r="D3420" s="27"/>
      <c r="E3420" s="27"/>
      <c r="F3420" s="27"/>
      <c r="G3420" s="27"/>
      <c r="H3420" s="27"/>
      <c r="I3420" s="27"/>
    </row>
    <row r="3421" spans="1:9" x14ac:dyDescent="0.35">
      <c r="A3421" s="27"/>
      <c r="B3421" s="27"/>
      <c r="C3421" s="27"/>
      <c r="D3421" s="27"/>
      <c r="E3421" s="27"/>
      <c r="F3421" s="27"/>
      <c r="G3421" s="27"/>
      <c r="H3421" s="27"/>
      <c r="I3421" s="27"/>
    </row>
    <row r="3422" spans="1:9" x14ac:dyDescent="0.35">
      <c r="A3422" s="27"/>
      <c r="B3422" s="27"/>
      <c r="C3422" s="27"/>
      <c r="D3422" s="27"/>
      <c r="E3422" s="27"/>
      <c r="F3422" s="27"/>
      <c r="G3422" s="27"/>
      <c r="H3422" s="27"/>
      <c r="I3422" s="27"/>
    </row>
    <row r="3423" spans="1:9" x14ac:dyDescent="0.35">
      <c r="A3423" s="27"/>
      <c r="B3423" s="27"/>
      <c r="C3423" s="27"/>
      <c r="D3423" s="27"/>
      <c r="E3423" s="27"/>
      <c r="F3423" s="27"/>
      <c r="G3423" s="27"/>
      <c r="H3423" s="27"/>
      <c r="I3423" s="27"/>
    </row>
    <row r="3424" spans="1:9" x14ac:dyDescent="0.35">
      <c r="A3424" s="27"/>
      <c r="B3424" s="27"/>
      <c r="C3424" s="27"/>
      <c r="D3424" s="27"/>
      <c r="E3424" s="27"/>
      <c r="F3424" s="27"/>
      <c r="G3424" s="27"/>
      <c r="H3424" s="27"/>
      <c r="I3424" s="27"/>
    </row>
    <row r="3425" spans="1:9" x14ac:dyDescent="0.35">
      <c r="A3425" s="27"/>
      <c r="B3425" s="27"/>
      <c r="C3425" s="27"/>
      <c r="D3425" s="27"/>
      <c r="E3425" s="27"/>
      <c r="F3425" s="27"/>
      <c r="G3425" s="27"/>
      <c r="H3425" s="27"/>
      <c r="I3425" s="27"/>
    </row>
    <row r="3426" spans="1:9" x14ac:dyDescent="0.35">
      <c r="A3426" s="27"/>
      <c r="B3426" s="27"/>
      <c r="C3426" s="27"/>
      <c r="D3426" s="27"/>
      <c r="E3426" s="27"/>
      <c r="F3426" s="27"/>
      <c r="G3426" s="27"/>
      <c r="H3426" s="27"/>
      <c r="I3426" s="27"/>
    </row>
    <row r="3427" spans="1:9" x14ac:dyDescent="0.35">
      <c r="A3427" s="27"/>
      <c r="B3427" s="27"/>
      <c r="C3427" s="27"/>
      <c r="D3427" s="27"/>
      <c r="E3427" s="27"/>
      <c r="F3427" s="27"/>
      <c r="G3427" s="27"/>
      <c r="H3427" s="27"/>
      <c r="I3427" s="27"/>
    </row>
    <row r="3428" spans="1:9" x14ac:dyDescent="0.35">
      <c r="A3428" s="27"/>
      <c r="B3428" s="27"/>
      <c r="C3428" s="27"/>
      <c r="D3428" s="27"/>
      <c r="E3428" s="27"/>
      <c r="F3428" s="27"/>
      <c r="G3428" s="27"/>
      <c r="H3428" s="27"/>
      <c r="I3428" s="27"/>
    </row>
    <row r="3429" spans="1:9" x14ac:dyDescent="0.35">
      <c r="A3429" s="27"/>
      <c r="B3429" s="27"/>
      <c r="C3429" s="27"/>
      <c r="D3429" s="27"/>
      <c r="E3429" s="27"/>
      <c r="F3429" s="27"/>
      <c r="G3429" s="27"/>
      <c r="H3429" s="27"/>
      <c r="I3429" s="27"/>
    </row>
    <row r="3430" spans="1:9" x14ac:dyDescent="0.35">
      <c r="A3430" s="27"/>
      <c r="B3430" s="27"/>
      <c r="C3430" s="27"/>
      <c r="D3430" s="27"/>
      <c r="E3430" s="27"/>
      <c r="F3430" s="27"/>
      <c r="G3430" s="27"/>
      <c r="H3430" s="27"/>
      <c r="I3430" s="27"/>
    </row>
    <row r="3431" spans="1:9" x14ac:dyDescent="0.35">
      <c r="A3431" s="27"/>
      <c r="B3431" s="27"/>
      <c r="C3431" s="27"/>
      <c r="D3431" s="27"/>
      <c r="E3431" s="27"/>
      <c r="F3431" s="27"/>
      <c r="G3431" s="27"/>
      <c r="H3431" s="27"/>
      <c r="I3431" s="27"/>
    </row>
    <row r="3432" spans="1:9" x14ac:dyDescent="0.35">
      <c r="A3432" s="27"/>
      <c r="B3432" s="27"/>
      <c r="C3432" s="27"/>
      <c r="D3432" s="27"/>
      <c r="E3432" s="27"/>
      <c r="F3432" s="27"/>
      <c r="G3432" s="27"/>
      <c r="H3432" s="27"/>
      <c r="I3432" s="27"/>
    </row>
    <row r="3433" spans="1:9" x14ac:dyDescent="0.35">
      <c r="A3433" s="27"/>
      <c r="B3433" s="27"/>
      <c r="C3433" s="27"/>
      <c r="D3433" s="27"/>
      <c r="E3433" s="27"/>
      <c r="F3433" s="27"/>
      <c r="G3433" s="27"/>
      <c r="H3433" s="27"/>
      <c r="I3433" s="27"/>
    </row>
    <row r="3434" spans="1:9" x14ac:dyDescent="0.35">
      <c r="A3434" s="27"/>
      <c r="B3434" s="27"/>
      <c r="C3434" s="27"/>
      <c r="D3434" s="27"/>
      <c r="E3434" s="27"/>
      <c r="F3434" s="27"/>
      <c r="G3434" s="27"/>
      <c r="H3434" s="27"/>
      <c r="I3434" s="27"/>
    </row>
    <row r="3435" spans="1:9" x14ac:dyDescent="0.35">
      <c r="A3435" s="27"/>
      <c r="B3435" s="27"/>
      <c r="C3435" s="27"/>
      <c r="D3435" s="27"/>
      <c r="E3435" s="27"/>
      <c r="F3435" s="27"/>
      <c r="G3435" s="27"/>
      <c r="H3435" s="27"/>
      <c r="I3435" s="27"/>
    </row>
    <row r="3436" spans="1:9" x14ac:dyDescent="0.35">
      <c r="A3436" s="27"/>
      <c r="B3436" s="27"/>
      <c r="C3436" s="27"/>
      <c r="D3436" s="27"/>
      <c r="E3436" s="27"/>
      <c r="F3436" s="27"/>
      <c r="G3436" s="27"/>
      <c r="H3436" s="27"/>
      <c r="I3436" s="27"/>
    </row>
    <row r="3437" spans="1:9" x14ac:dyDescent="0.35">
      <c r="A3437" s="27"/>
      <c r="B3437" s="27"/>
      <c r="C3437" s="27"/>
      <c r="D3437" s="27"/>
      <c r="E3437" s="27"/>
      <c r="F3437" s="27"/>
      <c r="G3437" s="27"/>
      <c r="H3437" s="27"/>
      <c r="I3437" s="27"/>
    </row>
    <row r="3438" spans="1:9" x14ac:dyDescent="0.35">
      <c r="A3438" s="27"/>
      <c r="B3438" s="27"/>
      <c r="C3438" s="27"/>
      <c r="D3438" s="27"/>
      <c r="E3438" s="27"/>
      <c r="F3438" s="27"/>
      <c r="G3438" s="27"/>
      <c r="H3438" s="27"/>
      <c r="I3438" s="27"/>
    </row>
    <row r="3439" spans="1:9" x14ac:dyDescent="0.35">
      <c r="A3439" s="27"/>
      <c r="B3439" s="27"/>
      <c r="C3439" s="27"/>
      <c r="D3439" s="27"/>
      <c r="E3439" s="27"/>
      <c r="F3439" s="27"/>
      <c r="G3439" s="27"/>
      <c r="H3439" s="27"/>
      <c r="I3439" s="27"/>
    </row>
    <row r="3440" spans="1:9" x14ac:dyDescent="0.35">
      <c r="A3440" s="27"/>
      <c r="B3440" s="27"/>
      <c r="C3440" s="27"/>
      <c r="D3440" s="27"/>
      <c r="E3440" s="27"/>
      <c r="F3440" s="27"/>
      <c r="G3440" s="27"/>
      <c r="H3440" s="27"/>
      <c r="I3440" s="27"/>
    </row>
    <row r="3441" spans="1:9" x14ac:dyDescent="0.35">
      <c r="A3441" s="27"/>
      <c r="B3441" s="27"/>
      <c r="C3441" s="27"/>
      <c r="D3441" s="27"/>
      <c r="E3441" s="27"/>
      <c r="F3441" s="27"/>
      <c r="G3441" s="27"/>
      <c r="H3441" s="27"/>
      <c r="I3441" s="27"/>
    </row>
    <row r="3442" spans="1:9" x14ac:dyDescent="0.35">
      <c r="A3442" s="27"/>
      <c r="B3442" s="27"/>
      <c r="C3442" s="27"/>
      <c r="D3442" s="27"/>
      <c r="E3442" s="27"/>
      <c r="F3442" s="27"/>
      <c r="G3442" s="27"/>
      <c r="H3442" s="27"/>
      <c r="I3442" s="27"/>
    </row>
    <row r="3443" spans="1:9" x14ac:dyDescent="0.35">
      <c r="A3443" s="27"/>
      <c r="B3443" s="27"/>
      <c r="C3443" s="27"/>
      <c r="D3443" s="27"/>
      <c r="E3443" s="27"/>
      <c r="F3443" s="27"/>
      <c r="G3443" s="27"/>
      <c r="H3443" s="27"/>
      <c r="I3443" s="27"/>
    </row>
    <row r="3444" spans="1:9" x14ac:dyDescent="0.35">
      <c r="A3444" s="27"/>
      <c r="B3444" s="27"/>
      <c r="C3444" s="27"/>
      <c r="D3444" s="27"/>
      <c r="E3444" s="27"/>
      <c r="F3444" s="27"/>
      <c r="G3444" s="27"/>
      <c r="H3444" s="27"/>
      <c r="I3444" s="27"/>
    </row>
    <row r="3445" spans="1:9" x14ac:dyDescent="0.35">
      <c r="A3445" s="27"/>
      <c r="B3445" s="27"/>
      <c r="C3445" s="27"/>
      <c r="D3445" s="27"/>
      <c r="E3445" s="27"/>
      <c r="F3445" s="27"/>
      <c r="G3445" s="27"/>
      <c r="H3445" s="27"/>
      <c r="I3445" s="27"/>
    </row>
    <row r="3446" spans="1:9" x14ac:dyDescent="0.35">
      <c r="A3446" s="27"/>
      <c r="B3446" s="27"/>
      <c r="C3446" s="27"/>
      <c r="D3446" s="27"/>
      <c r="E3446" s="27"/>
      <c r="F3446" s="27"/>
      <c r="G3446" s="27"/>
      <c r="H3446" s="27"/>
      <c r="I3446" s="27"/>
    </row>
    <row r="3447" spans="1:9" x14ac:dyDescent="0.35">
      <c r="A3447" s="27"/>
      <c r="B3447" s="27"/>
      <c r="C3447" s="27"/>
      <c r="D3447" s="27"/>
      <c r="E3447" s="27"/>
      <c r="F3447" s="27"/>
      <c r="G3447" s="27"/>
      <c r="H3447" s="27"/>
      <c r="I3447" s="27"/>
    </row>
    <row r="3448" spans="1:9" x14ac:dyDescent="0.35">
      <c r="A3448" s="27"/>
      <c r="B3448" s="27"/>
      <c r="C3448" s="27"/>
      <c r="D3448" s="27"/>
      <c r="E3448" s="27"/>
      <c r="F3448" s="27"/>
      <c r="G3448" s="27"/>
      <c r="H3448" s="27"/>
      <c r="I3448" s="27"/>
    </row>
    <row r="3449" spans="1:9" x14ac:dyDescent="0.35">
      <c r="A3449" s="27"/>
      <c r="B3449" s="27"/>
      <c r="C3449" s="27"/>
      <c r="D3449" s="27"/>
      <c r="E3449" s="27"/>
      <c r="F3449" s="27"/>
      <c r="G3449" s="27"/>
      <c r="H3449" s="27"/>
      <c r="I3449" s="27"/>
    </row>
    <row r="3450" spans="1:9" x14ac:dyDescent="0.35">
      <c r="A3450" s="27"/>
      <c r="B3450" s="27"/>
      <c r="C3450" s="27"/>
      <c r="D3450" s="27"/>
      <c r="E3450" s="27"/>
      <c r="F3450" s="27"/>
      <c r="G3450" s="27"/>
      <c r="H3450" s="27"/>
      <c r="I3450" s="27"/>
    </row>
    <row r="3451" spans="1:9" x14ac:dyDescent="0.35">
      <c r="A3451" s="27"/>
      <c r="B3451" s="27"/>
      <c r="C3451" s="27"/>
      <c r="D3451" s="27"/>
      <c r="E3451" s="27"/>
      <c r="F3451" s="27"/>
      <c r="G3451" s="27"/>
      <c r="H3451" s="27"/>
      <c r="I3451" s="27"/>
    </row>
    <row r="3452" spans="1:9" x14ac:dyDescent="0.35">
      <c r="A3452" s="27"/>
      <c r="B3452" s="27"/>
      <c r="C3452" s="27"/>
      <c r="D3452" s="27"/>
      <c r="E3452" s="27"/>
      <c r="F3452" s="27"/>
      <c r="G3452" s="27"/>
      <c r="H3452" s="27"/>
      <c r="I3452" s="27"/>
    </row>
    <row r="3453" spans="1:9" x14ac:dyDescent="0.35">
      <c r="A3453" s="27"/>
      <c r="B3453" s="27"/>
      <c r="C3453" s="27"/>
      <c r="D3453" s="27"/>
      <c r="E3453" s="27"/>
      <c r="F3453" s="27"/>
      <c r="G3453" s="27"/>
      <c r="H3453" s="27"/>
      <c r="I3453" s="27"/>
    </row>
    <row r="3454" spans="1:9" x14ac:dyDescent="0.35">
      <c r="A3454" s="27"/>
      <c r="B3454" s="27"/>
      <c r="C3454" s="27"/>
      <c r="D3454" s="27"/>
      <c r="E3454" s="27"/>
      <c r="F3454" s="27"/>
      <c r="G3454" s="27"/>
      <c r="H3454" s="27"/>
      <c r="I3454" s="27"/>
    </row>
    <row r="3455" spans="1:9" x14ac:dyDescent="0.35">
      <c r="A3455" s="27"/>
      <c r="B3455" s="27"/>
      <c r="C3455" s="27"/>
      <c r="D3455" s="27"/>
      <c r="E3455" s="27"/>
      <c r="F3455" s="27"/>
      <c r="G3455" s="27"/>
      <c r="H3455" s="27"/>
      <c r="I3455" s="27"/>
    </row>
    <row r="3456" spans="1:9" x14ac:dyDescent="0.35">
      <c r="A3456" s="27"/>
      <c r="B3456" s="27"/>
      <c r="C3456" s="27"/>
      <c r="D3456" s="27"/>
      <c r="E3456" s="27"/>
      <c r="F3456" s="27"/>
      <c r="G3456" s="27"/>
      <c r="H3456" s="27"/>
      <c r="I3456" s="27"/>
    </row>
    <row r="3457" spans="1:9" x14ac:dyDescent="0.35">
      <c r="A3457" s="27"/>
      <c r="B3457" s="27"/>
      <c r="C3457" s="27"/>
      <c r="D3457" s="27"/>
      <c r="E3457" s="27"/>
      <c r="F3457" s="27"/>
      <c r="G3457" s="27"/>
      <c r="H3457" s="27"/>
      <c r="I3457" s="27"/>
    </row>
    <row r="3458" spans="1:9" x14ac:dyDescent="0.35">
      <c r="A3458" s="27"/>
      <c r="B3458" s="27"/>
      <c r="C3458" s="27"/>
      <c r="D3458" s="27"/>
      <c r="E3458" s="27"/>
      <c r="F3458" s="27"/>
      <c r="G3458" s="27"/>
      <c r="H3458" s="27"/>
      <c r="I3458" s="27"/>
    </row>
    <row r="3459" spans="1:9" x14ac:dyDescent="0.35">
      <c r="A3459" s="27"/>
      <c r="B3459" s="27"/>
      <c r="C3459" s="27"/>
      <c r="D3459" s="27"/>
      <c r="E3459" s="27"/>
      <c r="F3459" s="27"/>
      <c r="G3459" s="27"/>
      <c r="H3459" s="27"/>
      <c r="I3459" s="27"/>
    </row>
    <row r="3460" spans="1:9" x14ac:dyDescent="0.35">
      <c r="A3460" s="27"/>
      <c r="B3460" s="27"/>
      <c r="C3460" s="27"/>
      <c r="D3460" s="27"/>
      <c r="E3460" s="27"/>
      <c r="F3460" s="27"/>
      <c r="G3460" s="27"/>
      <c r="H3460" s="27"/>
      <c r="I3460" s="27"/>
    </row>
    <row r="3461" spans="1:9" x14ac:dyDescent="0.35">
      <c r="A3461" s="27"/>
      <c r="B3461" s="27"/>
      <c r="C3461" s="27"/>
      <c r="D3461" s="27"/>
      <c r="E3461" s="27"/>
      <c r="F3461" s="27"/>
      <c r="G3461" s="27"/>
      <c r="H3461" s="27"/>
      <c r="I3461" s="27"/>
    </row>
    <row r="3462" spans="1:9" x14ac:dyDescent="0.35">
      <c r="A3462" s="27"/>
      <c r="B3462" s="27"/>
      <c r="C3462" s="27"/>
      <c r="D3462" s="27"/>
      <c r="E3462" s="27"/>
      <c r="F3462" s="27"/>
      <c r="G3462" s="27"/>
      <c r="H3462" s="27"/>
      <c r="I3462" s="27"/>
    </row>
    <row r="3463" spans="1:9" x14ac:dyDescent="0.35">
      <c r="A3463" s="27"/>
      <c r="B3463" s="27"/>
      <c r="C3463" s="27"/>
      <c r="D3463" s="27"/>
      <c r="E3463" s="27"/>
      <c r="F3463" s="27"/>
      <c r="G3463" s="27"/>
      <c r="H3463" s="27"/>
      <c r="I3463" s="27"/>
    </row>
    <row r="3464" spans="1:9" x14ac:dyDescent="0.35">
      <c r="A3464" s="27"/>
      <c r="B3464" s="27"/>
      <c r="C3464" s="27"/>
      <c r="D3464" s="27"/>
      <c r="E3464" s="27"/>
      <c r="F3464" s="27"/>
      <c r="G3464" s="27"/>
      <c r="H3464" s="27"/>
      <c r="I3464" s="27"/>
    </row>
    <row r="3465" spans="1:9" x14ac:dyDescent="0.35">
      <c r="A3465" s="27"/>
      <c r="B3465" s="27"/>
      <c r="C3465" s="27"/>
      <c r="D3465" s="27"/>
      <c r="E3465" s="27"/>
      <c r="F3465" s="27"/>
      <c r="G3465" s="27"/>
      <c r="H3465" s="27"/>
      <c r="I3465" s="27"/>
    </row>
    <row r="3466" spans="1:9" x14ac:dyDescent="0.35">
      <c r="A3466" s="27"/>
      <c r="B3466" s="27"/>
      <c r="C3466" s="27"/>
      <c r="D3466" s="27"/>
      <c r="E3466" s="27"/>
      <c r="F3466" s="27"/>
      <c r="G3466" s="27"/>
      <c r="H3466" s="27"/>
      <c r="I3466" s="27"/>
    </row>
    <row r="3467" spans="1:9" x14ac:dyDescent="0.35">
      <c r="A3467" s="27"/>
      <c r="B3467" s="27"/>
      <c r="C3467" s="27"/>
      <c r="D3467" s="27"/>
      <c r="E3467" s="27"/>
      <c r="F3467" s="27"/>
      <c r="G3467" s="27"/>
      <c r="H3467" s="27"/>
      <c r="I3467" s="27"/>
    </row>
    <row r="3468" spans="1:9" x14ac:dyDescent="0.35">
      <c r="A3468" s="27"/>
      <c r="B3468" s="27"/>
      <c r="C3468" s="27"/>
      <c r="D3468" s="27"/>
      <c r="E3468" s="27"/>
      <c r="F3468" s="27"/>
      <c r="G3468" s="27"/>
      <c r="H3468" s="27"/>
      <c r="I3468" s="27"/>
    </row>
    <row r="3469" spans="1:9" x14ac:dyDescent="0.35">
      <c r="A3469" s="27"/>
      <c r="B3469" s="27"/>
      <c r="C3469" s="27"/>
      <c r="D3469" s="27"/>
      <c r="E3469" s="27"/>
      <c r="F3469" s="27"/>
      <c r="G3469" s="27"/>
      <c r="H3469" s="27"/>
      <c r="I3469" s="27"/>
    </row>
    <row r="3470" spans="1:9" x14ac:dyDescent="0.35">
      <c r="A3470" s="27"/>
      <c r="B3470" s="27"/>
      <c r="C3470" s="27"/>
      <c r="D3470" s="27"/>
      <c r="E3470" s="27"/>
      <c r="F3470" s="27"/>
      <c r="G3470" s="27"/>
      <c r="H3470" s="27"/>
      <c r="I3470" s="27"/>
    </row>
    <row r="3471" spans="1:9" x14ac:dyDescent="0.35">
      <c r="A3471" s="27"/>
      <c r="B3471" s="27"/>
      <c r="C3471" s="27"/>
      <c r="D3471" s="27"/>
      <c r="E3471" s="27"/>
      <c r="F3471" s="27"/>
      <c r="G3471" s="27"/>
      <c r="H3471" s="27"/>
      <c r="I3471" s="27"/>
    </row>
    <row r="3472" spans="1:9" x14ac:dyDescent="0.35">
      <c r="A3472" s="27"/>
      <c r="B3472" s="27"/>
      <c r="C3472" s="27"/>
      <c r="D3472" s="27"/>
      <c r="E3472" s="27"/>
      <c r="F3472" s="27"/>
      <c r="G3472" s="27"/>
      <c r="H3472" s="27"/>
      <c r="I3472" s="27"/>
    </row>
    <row r="3473" spans="1:9" x14ac:dyDescent="0.35">
      <c r="A3473" s="27"/>
      <c r="B3473" s="27"/>
      <c r="C3473" s="27"/>
      <c r="D3473" s="27"/>
      <c r="E3473" s="27"/>
      <c r="F3473" s="27"/>
      <c r="G3473" s="27"/>
      <c r="H3473" s="27"/>
      <c r="I3473" s="27"/>
    </row>
    <row r="3474" spans="1:9" x14ac:dyDescent="0.35">
      <c r="A3474" s="27"/>
      <c r="B3474" s="27"/>
      <c r="C3474" s="27"/>
      <c r="D3474" s="27"/>
      <c r="E3474" s="27"/>
      <c r="F3474" s="27"/>
      <c r="G3474" s="27"/>
      <c r="H3474" s="27"/>
      <c r="I3474" s="27"/>
    </row>
    <row r="3475" spans="1:9" x14ac:dyDescent="0.35">
      <c r="A3475" s="27"/>
      <c r="B3475" s="27"/>
      <c r="C3475" s="27"/>
      <c r="D3475" s="27"/>
      <c r="E3475" s="27"/>
      <c r="F3475" s="27"/>
      <c r="G3475" s="27"/>
      <c r="H3475" s="27"/>
      <c r="I3475" s="27"/>
    </row>
    <row r="3476" spans="1:9" x14ac:dyDescent="0.35">
      <c r="A3476" s="27"/>
      <c r="B3476" s="27"/>
      <c r="C3476" s="27"/>
      <c r="D3476" s="27"/>
      <c r="E3476" s="27"/>
      <c r="F3476" s="27"/>
      <c r="G3476" s="27"/>
      <c r="H3476" s="27"/>
      <c r="I3476" s="27"/>
    </row>
    <row r="3477" spans="1:9" x14ac:dyDescent="0.35">
      <c r="A3477" s="27"/>
      <c r="B3477" s="27"/>
      <c r="C3477" s="27"/>
      <c r="D3477" s="27"/>
      <c r="E3477" s="27"/>
      <c r="F3477" s="27"/>
      <c r="G3477" s="27"/>
      <c r="H3477" s="27"/>
      <c r="I3477" s="27"/>
    </row>
    <row r="3478" spans="1:9" x14ac:dyDescent="0.35">
      <c r="A3478" s="27"/>
      <c r="B3478" s="27"/>
      <c r="C3478" s="27"/>
      <c r="D3478" s="27"/>
      <c r="E3478" s="27"/>
      <c r="F3478" s="27"/>
      <c r="G3478" s="27"/>
      <c r="H3478" s="27"/>
      <c r="I3478" s="27"/>
    </row>
    <row r="3479" spans="1:9" x14ac:dyDescent="0.35">
      <c r="A3479" s="27"/>
      <c r="B3479" s="27"/>
      <c r="C3479" s="27"/>
      <c r="D3479" s="27"/>
      <c r="E3479" s="27"/>
      <c r="F3479" s="27"/>
      <c r="G3479" s="27"/>
      <c r="H3479" s="27"/>
      <c r="I3479" s="27"/>
    </row>
    <row r="3480" spans="1:9" x14ac:dyDescent="0.35">
      <c r="A3480" s="27"/>
      <c r="B3480" s="27"/>
      <c r="C3480" s="27"/>
      <c r="D3480" s="27"/>
      <c r="E3480" s="27"/>
      <c r="F3480" s="27"/>
      <c r="G3480" s="27"/>
      <c r="H3480" s="27"/>
      <c r="I3480" s="27"/>
    </row>
    <row r="3481" spans="1:9" x14ac:dyDescent="0.35">
      <c r="A3481" s="27"/>
      <c r="B3481" s="27"/>
      <c r="C3481" s="27"/>
      <c r="D3481" s="27"/>
      <c r="E3481" s="27"/>
      <c r="F3481" s="27"/>
      <c r="G3481" s="27"/>
      <c r="H3481" s="27"/>
      <c r="I3481" s="27"/>
    </row>
    <row r="3482" spans="1:9" x14ac:dyDescent="0.35">
      <c r="A3482" s="27"/>
      <c r="B3482" s="27"/>
      <c r="C3482" s="27"/>
      <c r="D3482" s="27"/>
      <c r="E3482" s="27"/>
      <c r="F3482" s="27"/>
      <c r="G3482" s="27"/>
      <c r="H3482" s="27"/>
      <c r="I3482" s="27"/>
    </row>
    <row r="3483" spans="1:9" x14ac:dyDescent="0.35">
      <c r="A3483" s="27"/>
      <c r="B3483" s="27"/>
      <c r="C3483" s="27"/>
      <c r="D3483" s="27"/>
      <c r="E3483" s="27"/>
      <c r="F3483" s="27"/>
      <c r="G3483" s="27"/>
      <c r="H3483" s="27"/>
      <c r="I3483" s="27"/>
    </row>
    <row r="3484" spans="1:9" x14ac:dyDescent="0.35">
      <c r="A3484" s="27"/>
      <c r="B3484" s="27"/>
      <c r="C3484" s="27"/>
      <c r="D3484" s="27"/>
      <c r="E3484" s="27"/>
      <c r="F3484" s="27"/>
      <c r="G3484" s="27"/>
      <c r="H3484" s="27"/>
      <c r="I3484" s="27"/>
    </row>
    <row r="3485" spans="1:9" x14ac:dyDescent="0.35">
      <c r="A3485" s="27"/>
      <c r="B3485" s="27"/>
      <c r="C3485" s="27"/>
      <c r="D3485" s="27"/>
      <c r="E3485" s="27"/>
      <c r="F3485" s="27"/>
      <c r="G3485" s="27"/>
      <c r="H3485" s="27"/>
      <c r="I3485" s="27"/>
    </row>
    <row r="3486" spans="1:9" x14ac:dyDescent="0.35">
      <c r="A3486" s="27"/>
      <c r="B3486" s="27"/>
      <c r="C3486" s="27"/>
      <c r="D3486" s="27"/>
      <c r="E3486" s="27"/>
      <c r="F3486" s="27"/>
      <c r="G3486" s="27"/>
      <c r="H3486" s="27"/>
      <c r="I3486" s="27"/>
    </row>
    <row r="3487" spans="1:9" x14ac:dyDescent="0.35">
      <c r="A3487" s="27"/>
      <c r="B3487" s="27"/>
      <c r="C3487" s="27"/>
      <c r="D3487" s="27"/>
      <c r="E3487" s="27"/>
      <c r="F3487" s="27"/>
      <c r="G3487" s="27"/>
      <c r="H3487" s="27"/>
      <c r="I3487" s="27"/>
    </row>
    <row r="3488" spans="1:9" x14ac:dyDescent="0.35">
      <c r="A3488" s="27"/>
      <c r="B3488" s="27"/>
      <c r="C3488" s="27"/>
      <c r="D3488" s="27"/>
      <c r="E3488" s="27"/>
      <c r="F3488" s="27"/>
      <c r="G3488" s="27"/>
      <c r="H3488" s="27"/>
      <c r="I3488" s="27"/>
    </row>
    <row r="3489" spans="1:9" x14ac:dyDescent="0.35">
      <c r="A3489" s="27"/>
      <c r="B3489" s="27"/>
      <c r="C3489" s="27"/>
      <c r="D3489" s="27"/>
      <c r="E3489" s="27"/>
      <c r="F3489" s="27"/>
      <c r="G3489" s="27"/>
      <c r="H3489" s="27"/>
      <c r="I3489" s="27"/>
    </row>
    <row r="3490" spans="1:9" x14ac:dyDescent="0.35">
      <c r="A3490" s="27"/>
      <c r="B3490" s="27"/>
      <c r="C3490" s="27"/>
      <c r="D3490" s="27"/>
      <c r="E3490" s="27"/>
      <c r="F3490" s="27"/>
      <c r="G3490" s="27"/>
      <c r="H3490" s="27"/>
      <c r="I3490" s="27"/>
    </row>
    <row r="3491" spans="1:9" x14ac:dyDescent="0.35">
      <c r="A3491" s="27"/>
      <c r="B3491" s="27"/>
      <c r="C3491" s="27"/>
      <c r="D3491" s="27"/>
      <c r="E3491" s="27"/>
      <c r="F3491" s="27"/>
      <c r="G3491" s="27"/>
      <c r="H3491" s="27"/>
      <c r="I3491" s="27"/>
    </row>
    <row r="3492" spans="1:9" x14ac:dyDescent="0.35">
      <c r="A3492" s="27"/>
      <c r="B3492" s="27"/>
      <c r="C3492" s="27"/>
      <c r="D3492" s="27"/>
      <c r="E3492" s="27"/>
      <c r="F3492" s="27"/>
      <c r="G3492" s="27"/>
      <c r="H3492" s="27"/>
      <c r="I3492" s="27"/>
    </row>
    <row r="3493" spans="1:9" x14ac:dyDescent="0.35">
      <c r="A3493" s="27"/>
      <c r="B3493" s="27"/>
      <c r="C3493" s="27"/>
      <c r="D3493" s="27"/>
      <c r="E3493" s="27"/>
      <c r="F3493" s="27"/>
      <c r="G3493" s="27"/>
      <c r="H3493" s="27"/>
      <c r="I3493" s="27"/>
    </row>
    <row r="3494" spans="1:9" x14ac:dyDescent="0.35">
      <c r="A3494" s="27"/>
      <c r="B3494" s="27"/>
      <c r="C3494" s="27"/>
      <c r="D3494" s="27"/>
      <c r="E3494" s="27"/>
      <c r="F3494" s="27"/>
      <c r="G3494" s="27"/>
      <c r="H3494" s="27"/>
      <c r="I3494" s="27"/>
    </row>
    <row r="3495" spans="1:9" x14ac:dyDescent="0.35">
      <c r="A3495" s="27"/>
      <c r="B3495" s="27"/>
      <c r="C3495" s="27"/>
      <c r="D3495" s="27"/>
      <c r="E3495" s="27"/>
      <c r="F3495" s="27"/>
      <c r="G3495" s="27"/>
      <c r="H3495" s="27"/>
      <c r="I3495" s="27"/>
    </row>
    <row r="3496" spans="1:9" x14ac:dyDescent="0.35">
      <c r="A3496" s="27"/>
      <c r="B3496" s="27"/>
      <c r="C3496" s="27"/>
      <c r="D3496" s="27"/>
      <c r="E3496" s="27"/>
      <c r="F3496" s="27"/>
      <c r="G3496" s="27"/>
      <c r="H3496" s="27"/>
      <c r="I3496" s="27"/>
    </row>
    <row r="3497" spans="1:9" x14ac:dyDescent="0.35">
      <c r="A3497" s="27"/>
      <c r="B3497" s="27"/>
      <c r="C3497" s="27"/>
      <c r="D3497" s="27"/>
      <c r="E3497" s="27"/>
      <c r="F3497" s="27"/>
      <c r="G3497" s="27"/>
      <c r="H3497" s="27"/>
      <c r="I3497" s="27"/>
    </row>
    <row r="3498" spans="1:9" x14ac:dyDescent="0.35">
      <c r="A3498" s="27"/>
      <c r="B3498" s="27"/>
      <c r="C3498" s="27"/>
      <c r="D3498" s="27"/>
      <c r="E3498" s="27"/>
      <c r="F3498" s="27"/>
      <c r="G3498" s="27"/>
      <c r="H3498" s="27"/>
      <c r="I3498" s="27"/>
    </row>
    <row r="3499" spans="1:9" x14ac:dyDescent="0.35">
      <c r="A3499" s="27"/>
      <c r="B3499" s="27"/>
      <c r="C3499" s="27"/>
      <c r="D3499" s="27"/>
      <c r="E3499" s="27"/>
      <c r="F3499" s="27"/>
      <c r="G3499" s="27"/>
      <c r="H3499" s="27"/>
      <c r="I3499" s="27"/>
    </row>
    <row r="3500" spans="1:9" x14ac:dyDescent="0.35">
      <c r="A3500" s="27"/>
      <c r="B3500" s="27"/>
      <c r="C3500" s="27"/>
      <c r="D3500" s="27"/>
      <c r="E3500" s="27"/>
      <c r="F3500" s="27"/>
      <c r="G3500" s="27"/>
      <c r="H3500" s="27"/>
      <c r="I3500" s="27"/>
    </row>
    <row r="3501" spans="1:9" x14ac:dyDescent="0.35">
      <c r="A3501" s="27"/>
      <c r="B3501" s="27"/>
      <c r="C3501" s="27"/>
      <c r="D3501" s="27"/>
      <c r="E3501" s="27"/>
      <c r="F3501" s="27"/>
      <c r="G3501" s="27"/>
      <c r="H3501" s="27"/>
      <c r="I3501" s="27"/>
    </row>
    <row r="3502" spans="1:9" x14ac:dyDescent="0.35">
      <c r="A3502" s="27"/>
      <c r="B3502" s="27"/>
      <c r="C3502" s="27"/>
      <c r="D3502" s="27"/>
      <c r="E3502" s="27"/>
      <c r="F3502" s="27"/>
      <c r="G3502" s="27"/>
      <c r="H3502" s="27"/>
      <c r="I3502" s="27"/>
    </row>
    <row r="3503" spans="1:9" x14ac:dyDescent="0.35">
      <c r="A3503" s="27"/>
      <c r="B3503" s="27"/>
      <c r="C3503" s="27"/>
      <c r="D3503" s="27"/>
      <c r="E3503" s="27"/>
      <c r="F3503" s="27"/>
      <c r="G3503" s="27"/>
      <c r="H3503" s="27"/>
      <c r="I3503" s="27"/>
    </row>
    <row r="3504" spans="1:9" x14ac:dyDescent="0.35">
      <c r="A3504" s="27"/>
      <c r="B3504" s="27"/>
      <c r="C3504" s="27"/>
      <c r="D3504" s="27"/>
      <c r="E3504" s="27"/>
      <c r="F3504" s="27"/>
      <c r="G3504" s="27"/>
      <c r="H3504" s="27"/>
      <c r="I3504" s="27"/>
    </row>
    <row r="3505" spans="1:9" x14ac:dyDescent="0.35">
      <c r="A3505" s="27"/>
      <c r="B3505" s="27"/>
      <c r="C3505" s="27"/>
      <c r="D3505" s="27"/>
      <c r="E3505" s="27"/>
      <c r="F3505" s="27"/>
      <c r="G3505" s="27"/>
      <c r="H3505" s="27"/>
      <c r="I3505" s="27"/>
    </row>
    <row r="3506" spans="1:9" x14ac:dyDescent="0.35">
      <c r="A3506" s="27"/>
      <c r="B3506" s="27"/>
      <c r="C3506" s="27"/>
      <c r="D3506" s="27"/>
      <c r="E3506" s="27"/>
      <c r="F3506" s="27"/>
      <c r="G3506" s="27"/>
      <c r="H3506" s="27"/>
      <c r="I3506" s="27"/>
    </row>
    <row r="3507" spans="1:9" x14ac:dyDescent="0.35">
      <c r="A3507" s="27"/>
      <c r="B3507" s="27"/>
      <c r="C3507" s="27"/>
      <c r="D3507" s="27"/>
      <c r="E3507" s="27"/>
      <c r="F3507" s="27"/>
      <c r="G3507" s="27"/>
      <c r="H3507" s="27"/>
      <c r="I3507" s="27"/>
    </row>
    <row r="3508" spans="1:9" x14ac:dyDescent="0.35">
      <c r="A3508" s="27"/>
      <c r="B3508" s="27"/>
      <c r="C3508" s="27"/>
      <c r="D3508" s="27"/>
      <c r="E3508" s="27"/>
      <c r="F3508" s="27"/>
      <c r="G3508" s="27"/>
      <c r="H3508" s="27"/>
      <c r="I3508" s="27"/>
    </row>
    <row r="3509" spans="1:9" x14ac:dyDescent="0.35">
      <c r="A3509" s="27"/>
      <c r="B3509" s="27"/>
      <c r="C3509" s="27"/>
      <c r="D3509" s="27"/>
      <c r="E3509" s="27"/>
      <c r="F3509" s="27"/>
      <c r="G3509" s="27"/>
      <c r="H3509" s="27"/>
      <c r="I3509" s="27"/>
    </row>
    <row r="3510" spans="1:9" x14ac:dyDescent="0.35">
      <c r="A3510" s="27"/>
      <c r="B3510" s="27"/>
      <c r="C3510" s="27"/>
      <c r="D3510" s="27"/>
      <c r="E3510" s="27"/>
      <c r="F3510" s="27"/>
      <c r="G3510" s="27"/>
      <c r="H3510" s="27"/>
      <c r="I3510" s="27"/>
    </row>
    <row r="3511" spans="1:9" x14ac:dyDescent="0.35">
      <c r="A3511" s="27"/>
      <c r="B3511" s="27"/>
      <c r="C3511" s="27"/>
      <c r="D3511" s="27"/>
      <c r="E3511" s="27"/>
      <c r="F3511" s="27"/>
      <c r="G3511" s="27"/>
      <c r="H3511" s="27"/>
      <c r="I3511" s="27"/>
    </row>
    <row r="3512" spans="1:9" x14ac:dyDescent="0.35">
      <c r="A3512" s="27"/>
      <c r="B3512" s="27"/>
      <c r="C3512" s="27"/>
      <c r="D3512" s="27"/>
      <c r="E3512" s="27"/>
      <c r="F3512" s="27"/>
      <c r="G3512" s="27"/>
      <c r="H3512" s="27"/>
      <c r="I3512" s="27"/>
    </row>
    <row r="3513" spans="1:9" x14ac:dyDescent="0.35">
      <c r="A3513" s="27"/>
      <c r="B3513" s="27"/>
      <c r="C3513" s="27"/>
      <c r="D3513" s="27"/>
      <c r="E3513" s="27"/>
      <c r="F3513" s="27"/>
      <c r="G3513" s="27"/>
      <c r="H3513" s="27"/>
      <c r="I3513" s="27"/>
    </row>
    <row r="3514" spans="1:9" x14ac:dyDescent="0.35">
      <c r="A3514" s="27"/>
      <c r="B3514" s="27"/>
      <c r="C3514" s="27"/>
      <c r="D3514" s="27"/>
      <c r="E3514" s="27"/>
      <c r="F3514" s="27"/>
      <c r="G3514" s="27"/>
      <c r="H3514" s="27"/>
      <c r="I3514" s="27"/>
    </row>
    <row r="3515" spans="1:9" x14ac:dyDescent="0.35">
      <c r="A3515" s="27"/>
      <c r="B3515" s="27"/>
      <c r="C3515" s="27"/>
      <c r="D3515" s="27"/>
      <c r="E3515" s="27"/>
      <c r="F3515" s="27"/>
      <c r="G3515" s="27"/>
      <c r="H3515" s="27"/>
      <c r="I3515" s="27"/>
    </row>
    <row r="3516" spans="1:9" x14ac:dyDescent="0.35">
      <c r="A3516" s="27"/>
      <c r="B3516" s="27"/>
      <c r="C3516" s="27"/>
      <c r="D3516" s="27"/>
      <c r="E3516" s="27"/>
      <c r="F3516" s="27"/>
      <c r="G3516" s="27"/>
      <c r="H3516" s="27"/>
      <c r="I3516" s="27"/>
    </row>
    <row r="3517" spans="1:9" x14ac:dyDescent="0.35">
      <c r="A3517" s="27"/>
      <c r="B3517" s="27"/>
      <c r="C3517" s="27"/>
      <c r="D3517" s="27"/>
      <c r="E3517" s="27"/>
      <c r="F3517" s="27"/>
      <c r="G3517" s="27"/>
      <c r="H3517" s="27"/>
      <c r="I3517" s="27"/>
    </row>
    <row r="3518" spans="1:9" x14ac:dyDescent="0.35">
      <c r="A3518" s="27"/>
      <c r="B3518" s="27"/>
      <c r="C3518" s="27"/>
      <c r="D3518" s="27"/>
      <c r="E3518" s="27"/>
      <c r="F3518" s="27"/>
      <c r="G3518" s="27"/>
      <c r="H3518" s="27"/>
      <c r="I3518" s="27"/>
    </row>
    <row r="3519" spans="1:9" x14ac:dyDescent="0.35">
      <c r="A3519" s="27"/>
      <c r="B3519" s="27"/>
      <c r="C3519" s="27"/>
      <c r="D3519" s="27"/>
      <c r="E3519" s="27"/>
      <c r="F3519" s="27"/>
      <c r="G3519" s="27"/>
      <c r="H3519" s="27"/>
      <c r="I3519" s="27"/>
    </row>
    <row r="3520" spans="1:9" x14ac:dyDescent="0.35">
      <c r="A3520" s="27"/>
      <c r="B3520" s="27"/>
      <c r="C3520" s="27"/>
      <c r="D3520" s="27"/>
      <c r="E3520" s="27"/>
      <c r="F3520" s="27"/>
      <c r="G3520" s="27"/>
      <c r="H3520" s="27"/>
      <c r="I3520" s="27"/>
    </row>
    <row r="3521" spans="1:9" x14ac:dyDescent="0.35">
      <c r="A3521" s="27"/>
      <c r="B3521" s="27"/>
      <c r="C3521" s="27"/>
      <c r="D3521" s="27"/>
      <c r="E3521" s="27"/>
      <c r="F3521" s="27"/>
      <c r="G3521" s="27"/>
      <c r="H3521" s="27"/>
      <c r="I3521" s="27"/>
    </row>
    <row r="3522" spans="1:9" x14ac:dyDescent="0.35">
      <c r="A3522" s="27"/>
      <c r="B3522" s="27"/>
      <c r="C3522" s="27"/>
      <c r="D3522" s="27"/>
      <c r="E3522" s="27"/>
      <c r="F3522" s="27"/>
      <c r="G3522" s="27"/>
      <c r="H3522" s="27"/>
      <c r="I3522" s="27"/>
    </row>
    <row r="3523" spans="1:9" x14ac:dyDescent="0.35">
      <c r="A3523" s="27"/>
      <c r="B3523" s="27"/>
      <c r="C3523" s="27"/>
      <c r="D3523" s="27"/>
      <c r="E3523" s="27"/>
      <c r="F3523" s="27"/>
      <c r="G3523" s="27"/>
      <c r="H3523" s="27"/>
      <c r="I3523" s="27"/>
    </row>
    <row r="3524" spans="1:9" x14ac:dyDescent="0.35">
      <c r="A3524" s="27"/>
      <c r="B3524" s="27"/>
      <c r="C3524" s="27"/>
      <c r="D3524" s="27"/>
      <c r="E3524" s="27"/>
      <c r="F3524" s="27"/>
      <c r="G3524" s="27"/>
      <c r="H3524" s="27"/>
      <c r="I3524" s="27"/>
    </row>
    <row r="3525" spans="1:9" x14ac:dyDescent="0.35">
      <c r="A3525" s="27"/>
      <c r="B3525" s="27"/>
      <c r="C3525" s="27"/>
      <c r="D3525" s="27"/>
      <c r="E3525" s="27"/>
      <c r="F3525" s="27"/>
      <c r="G3525" s="27"/>
      <c r="H3525" s="27"/>
      <c r="I3525" s="27"/>
    </row>
    <row r="3526" spans="1:9" x14ac:dyDescent="0.35">
      <c r="A3526" s="27"/>
      <c r="B3526" s="27"/>
      <c r="C3526" s="27"/>
      <c r="D3526" s="27"/>
      <c r="E3526" s="27"/>
      <c r="F3526" s="27"/>
      <c r="G3526" s="27"/>
      <c r="H3526" s="27"/>
      <c r="I3526" s="27"/>
    </row>
    <row r="3527" spans="1:9" x14ac:dyDescent="0.35">
      <c r="A3527" s="27"/>
      <c r="B3527" s="27"/>
      <c r="C3527" s="27"/>
      <c r="D3527" s="27"/>
      <c r="E3527" s="27"/>
      <c r="F3527" s="27"/>
      <c r="G3527" s="27"/>
      <c r="H3527" s="27"/>
      <c r="I3527" s="27"/>
    </row>
    <row r="3528" spans="1:9" x14ac:dyDescent="0.35">
      <c r="A3528" s="27"/>
      <c r="B3528" s="27"/>
      <c r="C3528" s="27"/>
      <c r="D3528" s="27"/>
      <c r="E3528" s="27"/>
      <c r="F3528" s="27"/>
      <c r="G3528" s="27"/>
      <c r="H3528" s="27"/>
      <c r="I3528" s="27"/>
    </row>
    <row r="3529" spans="1:9" x14ac:dyDescent="0.35">
      <c r="A3529" s="27"/>
      <c r="B3529" s="27"/>
      <c r="C3529" s="27"/>
      <c r="D3529" s="27"/>
      <c r="E3529" s="27"/>
      <c r="F3529" s="27"/>
      <c r="G3529" s="27"/>
      <c r="H3529" s="27"/>
      <c r="I3529" s="27"/>
    </row>
    <row r="3530" spans="1:9" x14ac:dyDescent="0.35">
      <c r="A3530" s="27"/>
      <c r="B3530" s="27"/>
      <c r="C3530" s="27"/>
      <c r="D3530" s="27"/>
      <c r="E3530" s="27"/>
      <c r="F3530" s="27"/>
      <c r="G3530" s="27"/>
      <c r="H3530" s="27"/>
      <c r="I3530" s="27"/>
    </row>
    <row r="3531" spans="1:9" x14ac:dyDescent="0.35">
      <c r="A3531" s="27"/>
      <c r="B3531" s="27"/>
      <c r="C3531" s="27"/>
      <c r="D3531" s="27"/>
      <c r="E3531" s="27"/>
      <c r="F3531" s="27"/>
      <c r="G3531" s="27"/>
      <c r="H3531" s="27"/>
      <c r="I3531" s="27"/>
    </row>
    <row r="3532" spans="1:9" x14ac:dyDescent="0.35">
      <c r="A3532" s="27"/>
      <c r="B3532" s="27"/>
      <c r="C3532" s="27"/>
      <c r="D3532" s="27"/>
      <c r="E3532" s="27"/>
      <c r="F3532" s="27"/>
      <c r="G3532" s="27"/>
      <c r="H3532" s="27"/>
      <c r="I3532" s="27"/>
    </row>
    <row r="3533" spans="1:9" x14ac:dyDescent="0.35">
      <c r="A3533" s="27"/>
      <c r="B3533" s="27"/>
      <c r="C3533" s="27"/>
      <c r="D3533" s="27"/>
      <c r="E3533" s="27"/>
      <c r="F3533" s="27"/>
      <c r="G3533" s="27"/>
      <c r="H3533" s="27"/>
      <c r="I3533" s="27"/>
    </row>
    <row r="3534" spans="1:9" x14ac:dyDescent="0.35">
      <c r="A3534" s="27"/>
      <c r="B3534" s="27"/>
      <c r="C3534" s="27"/>
      <c r="D3534" s="27"/>
      <c r="E3534" s="27"/>
      <c r="F3534" s="27"/>
      <c r="G3534" s="27"/>
      <c r="H3534" s="27"/>
      <c r="I3534" s="27"/>
    </row>
    <row r="3535" spans="1:9" x14ac:dyDescent="0.35">
      <c r="A3535" s="27"/>
      <c r="B3535" s="27"/>
      <c r="C3535" s="27"/>
      <c r="D3535" s="27"/>
      <c r="E3535" s="27"/>
      <c r="F3535" s="27"/>
      <c r="G3535" s="27"/>
      <c r="H3535" s="27"/>
      <c r="I3535" s="27"/>
    </row>
    <row r="3536" spans="1:9" x14ac:dyDescent="0.35">
      <c r="A3536" s="27"/>
      <c r="B3536" s="27"/>
      <c r="C3536" s="27"/>
      <c r="D3536" s="27"/>
      <c r="E3536" s="27"/>
      <c r="F3536" s="27"/>
      <c r="G3536" s="27"/>
      <c r="H3536" s="27"/>
      <c r="I3536" s="27"/>
    </row>
    <row r="3537" spans="1:9" x14ac:dyDescent="0.35">
      <c r="A3537" s="27"/>
      <c r="B3537" s="27"/>
      <c r="C3537" s="27"/>
      <c r="D3537" s="27"/>
      <c r="E3537" s="27"/>
      <c r="F3537" s="27"/>
      <c r="G3537" s="27"/>
      <c r="H3537" s="27"/>
      <c r="I3537" s="27"/>
    </row>
    <row r="3538" spans="1:9" x14ac:dyDescent="0.35">
      <c r="A3538" s="27"/>
      <c r="B3538" s="27"/>
      <c r="C3538" s="27"/>
      <c r="D3538" s="27"/>
      <c r="E3538" s="27"/>
      <c r="F3538" s="27"/>
      <c r="G3538" s="27"/>
      <c r="H3538" s="27"/>
      <c r="I3538" s="27"/>
    </row>
    <row r="3539" spans="1:9" x14ac:dyDescent="0.35">
      <c r="A3539" s="27"/>
      <c r="B3539" s="27"/>
      <c r="C3539" s="27"/>
      <c r="D3539" s="27"/>
      <c r="E3539" s="27"/>
      <c r="F3539" s="27"/>
      <c r="G3539" s="27"/>
      <c r="H3539" s="27"/>
      <c r="I3539" s="27"/>
    </row>
    <row r="3540" spans="1:9" x14ac:dyDescent="0.35">
      <c r="A3540" s="27"/>
      <c r="B3540" s="27"/>
      <c r="C3540" s="27"/>
      <c r="D3540" s="27"/>
      <c r="E3540" s="27"/>
      <c r="F3540" s="27"/>
      <c r="G3540" s="27"/>
      <c r="H3540" s="27"/>
      <c r="I3540" s="27"/>
    </row>
    <row r="3541" spans="1:9" x14ac:dyDescent="0.35">
      <c r="A3541" s="27"/>
      <c r="B3541" s="27"/>
      <c r="C3541" s="27"/>
      <c r="D3541" s="27"/>
      <c r="E3541" s="27"/>
      <c r="F3541" s="27"/>
      <c r="G3541" s="27"/>
      <c r="H3541" s="27"/>
      <c r="I3541" s="27"/>
    </row>
    <row r="3542" spans="1:9" x14ac:dyDescent="0.35">
      <c r="A3542" s="27"/>
      <c r="B3542" s="27"/>
      <c r="C3542" s="27"/>
      <c r="D3542" s="27"/>
      <c r="E3542" s="27"/>
      <c r="F3542" s="27"/>
      <c r="G3542" s="27"/>
      <c r="H3542" s="27"/>
      <c r="I3542" s="27"/>
    </row>
    <row r="3543" spans="1:9" x14ac:dyDescent="0.35">
      <c r="A3543" s="27"/>
      <c r="B3543" s="27"/>
      <c r="C3543" s="27"/>
      <c r="D3543" s="27"/>
      <c r="E3543" s="27"/>
      <c r="F3543" s="27"/>
      <c r="G3543" s="27"/>
      <c r="H3543" s="27"/>
      <c r="I3543" s="27"/>
    </row>
    <row r="3544" spans="1:9" x14ac:dyDescent="0.35">
      <c r="A3544" s="27"/>
      <c r="B3544" s="27"/>
      <c r="C3544" s="27"/>
      <c r="D3544" s="27"/>
      <c r="E3544" s="27"/>
      <c r="F3544" s="27"/>
      <c r="G3544" s="27"/>
      <c r="H3544" s="27"/>
      <c r="I3544" s="27"/>
    </row>
    <row r="3545" spans="1:9" x14ac:dyDescent="0.35">
      <c r="A3545" s="27"/>
      <c r="B3545" s="27"/>
      <c r="C3545" s="27"/>
      <c r="D3545" s="27"/>
      <c r="E3545" s="27"/>
      <c r="F3545" s="27"/>
      <c r="G3545" s="27"/>
      <c r="H3545" s="27"/>
      <c r="I3545" s="27"/>
    </row>
    <row r="3546" spans="1:9" x14ac:dyDescent="0.35">
      <c r="A3546" s="27"/>
      <c r="B3546" s="27"/>
      <c r="C3546" s="27"/>
      <c r="D3546" s="27"/>
      <c r="E3546" s="27"/>
      <c r="F3546" s="27"/>
      <c r="G3546" s="27"/>
      <c r="H3546" s="27"/>
      <c r="I3546" s="27"/>
    </row>
    <row r="3547" spans="1:9" x14ac:dyDescent="0.35">
      <c r="A3547" s="27"/>
      <c r="B3547" s="27"/>
      <c r="C3547" s="27"/>
      <c r="D3547" s="27"/>
      <c r="E3547" s="27"/>
      <c r="F3547" s="27"/>
      <c r="G3547" s="27"/>
      <c r="H3547" s="27"/>
      <c r="I3547" s="27"/>
    </row>
    <row r="3548" spans="1:9" x14ac:dyDescent="0.35">
      <c r="A3548" s="27"/>
      <c r="B3548" s="27"/>
      <c r="C3548" s="27"/>
      <c r="D3548" s="27"/>
      <c r="E3548" s="27"/>
      <c r="F3548" s="27"/>
      <c r="G3548" s="27"/>
      <c r="H3548" s="27"/>
      <c r="I3548" s="27"/>
    </row>
    <row r="3549" spans="1:9" x14ac:dyDescent="0.35">
      <c r="A3549" s="27"/>
      <c r="B3549" s="27"/>
      <c r="C3549" s="27"/>
      <c r="D3549" s="27"/>
      <c r="E3549" s="27"/>
      <c r="F3549" s="27"/>
      <c r="G3549" s="27"/>
      <c r="H3549" s="27"/>
      <c r="I3549" s="27"/>
    </row>
    <row r="3550" spans="1:9" x14ac:dyDescent="0.35">
      <c r="A3550" s="27"/>
      <c r="B3550" s="27"/>
      <c r="C3550" s="27"/>
      <c r="D3550" s="27"/>
      <c r="E3550" s="27"/>
      <c r="F3550" s="27"/>
      <c r="G3550" s="27"/>
      <c r="H3550" s="27"/>
      <c r="I3550" s="27"/>
    </row>
    <row r="3551" spans="1:9" x14ac:dyDescent="0.35">
      <c r="A3551" s="27"/>
      <c r="B3551" s="27"/>
      <c r="C3551" s="27"/>
      <c r="D3551" s="27"/>
      <c r="E3551" s="27"/>
      <c r="F3551" s="27"/>
      <c r="G3551" s="27"/>
      <c r="H3551" s="27"/>
      <c r="I3551" s="27"/>
    </row>
    <row r="3552" spans="1:9" x14ac:dyDescent="0.35">
      <c r="A3552" s="27"/>
      <c r="B3552" s="27"/>
      <c r="C3552" s="27"/>
      <c r="D3552" s="27"/>
      <c r="E3552" s="27"/>
      <c r="F3552" s="27"/>
      <c r="G3552" s="27"/>
      <c r="H3552" s="27"/>
      <c r="I3552" s="27"/>
    </row>
    <row r="3553" spans="1:9" x14ac:dyDescent="0.35">
      <c r="A3553" s="27"/>
      <c r="B3553" s="27"/>
      <c r="C3553" s="27"/>
      <c r="D3553" s="27"/>
      <c r="E3553" s="27"/>
      <c r="F3553" s="27"/>
      <c r="G3553" s="27"/>
      <c r="H3553" s="27"/>
      <c r="I3553" s="27"/>
    </row>
    <row r="3554" spans="1:9" x14ac:dyDescent="0.35">
      <c r="A3554" s="27"/>
      <c r="B3554" s="27"/>
      <c r="C3554" s="27"/>
      <c r="D3554" s="27"/>
      <c r="E3554" s="27"/>
      <c r="F3554" s="27"/>
      <c r="G3554" s="27"/>
      <c r="H3554" s="27"/>
      <c r="I3554" s="27"/>
    </row>
    <row r="3555" spans="1:9" x14ac:dyDescent="0.35">
      <c r="A3555" s="27"/>
      <c r="B3555" s="27"/>
      <c r="C3555" s="27"/>
      <c r="D3555" s="27"/>
      <c r="E3555" s="27"/>
      <c r="F3555" s="27"/>
      <c r="G3555" s="27"/>
      <c r="H3555" s="27"/>
      <c r="I3555" s="27"/>
    </row>
    <row r="3556" spans="1:9" x14ac:dyDescent="0.35">
      <c r="A3556" s="27"/>
      <c r="B3556" s="27"/>
      <c r="C3556" s="27"/>
      <c r="D3556" s="27"/>
      <c r="E3556" s="27"/>
      <c r="F3556" s="27"/>
      <c r="G3556" s="27"/>
      <c r="H3556" s="27"/>
      <c r="I3556" s="27"/>
    </row>
    <row r="3557" spans="1:9" x14ac:dyDescent="0.35">
      <c r="A3557" s="27"/>
      <c r="B3557" s="27"/>
      <c r="C3557" s="27"/>
      <c r="D3557" s="27"/>
      <c r="E3557" s="27"/>
      <c r="F3557" s="27"/>
      <c r="G3557" s="27"/>
      <c r="H3557" s="27"/>
      <c r="I3557" s="27"/>
    </row>
    <row r="3558" spans="1:9" x14ac:dyDescent="0.35">
      <c r="A3558" s="27"/>
      <c r="B3558" s="27"/>
      <c r="C3558" s="27"/>
      <c r="D3558" s="27"/>
      <c r="E3558" s="27"/>
      <c r="F3558" s="27"/>
      <c r="G3558" s="27"/>
      <c r="H3558" s="27"/>
      <c r="I3558" s="27"/>
    </row>
    <row r="3559" spans="1:9" x14ac:dyDescent="0.35">
      <c r="A3559" s="27"/>
      <c r="B3559" s="27"/>
      <c r="C3559" s="27"/>
      <c r="D3559" s="27"/>
      <c r="E3559" s="27"/>
      <c r="F3559" s="27"/>
      <c r="G3559" s="27"/>
      <c r="H3559" s="27"/>
      <c r="I3559" s="27"/>
    </row>
    <row r="3560" spans="1:9" x14ac:dyDescent="0.35">
      <c r="A3560" s="27"/>
      <c r="B3560" s="27"/>
      <c r="C3560" s="27"/>
      <c r="D3560" s="27"/>
      <c r="E3560" s="27"/>
      <c r="F3560" s="27"/>
      <c r="G3560" s="27"/>
      <c r="H3560" s="27"/>
      <c r="I3560" s="27"/>
    </row>
    <row r="3561" spans="1:9" x14ac:dyDescent="0.35">
      <c r="A3561" s="27"/>
      <c r="B3561" s="27"/>
      <c r="C3561" s="27"/>
      <c r="D3561" s="27"/>
      <c r="E3561" s="27"/>
      <c r="F3561" s="27"/>
      <c r="G3561" s="27"/>
      <c r="H3561" s="27"/>
      <c r="I3561" s="27"/>
    </row>
    <row r="3562" spans="1:9" x14ac:dyDescent="0.35">
      <c r="A3562" s="27"/>
      <c r="B3562" s="27"/>
      <c r="C3562" s="27"/>
      <c r="D3562" s="27"/>
      <c r="E3562" s="27"/>
      <c r="F3562" s="27"/>
      <c r="G3562" s="27"/>
      <c r="H3562" s="27"/>
      <c r="I3562" s="27"/>
    </row>
    <row r="3563" spans="1:9" x14ac:dyDescent="0.35">
      <c r="A3563" s="27"/>
      <c r="B3563" s="27"/>
      <c r="C3563" s="27"/>
      <c r="D3563" s="27"/>
      <c r="E3563" s="27"/>
      <c r="F3563" s="27"/>
      <c r="G3563" s="27"/>
      <c r="H3563" s="27"/>
      <c r="I3563" s="27"/>
    </row>
    <row r="3564" spans="1:9" x14ac:dyDescent="0.35">
      <c r="A3564" s="27"/>
      <c r="B3564" s="27"/>
      <c r="C3564" s="27"/>
      <c r="D3564" s="27"/>
      <c r="E3564" s="27"/>
      <c r="F3564" s="27"/>
      <c r="G3564" s="27"/>
      <c r="H3564" s="27"/>
      <c r="I3564" s="27"/>
    </row>
    <row r="3565" spans="1:9" x14ac:dyDescent="0.35">
      <c r="A3565" s="27"/>
      <c r="B3565" s="27"/>
      <c r="C3565" s="27"/>
      <c r="D3565" s="27"/>
      <c r="E3565" s="27"/>
      <c r="F3565" s="27"/>
      <c r="G3565" s="27"/>
      <c r="H3565" s="27"/>
      <c r="I3565" s="27"/>
    </row>
    <row r="3566" spans="1:9" x14ac:dyDescent="0.35">
      <c r="A3566" s="27"/>
      <c r="B3566" s="27"/>
      <c r="C3566" s="27"/>
      <c r="D3566" s="27"/>
      <c r="E3566" s="27"/>
      <c r="F3566" s="27"/>
      <c r="G3566" s="27"/>
      <c r="H3566" s="27"/>
      <c r="I3566" s="27"/>
    </row>
    <row r="3567" spans="1:9" x14ac:dyDescent="0.35">
      <c r="A3567" s="27"/>
      <c r="B3567" s="27"/>
      <c r="C3567" s="27"/>
      <c r="D3567" s="27"/>
      <c r="E3567" s="27"/>
      <c r="F3567" s="27"/>
      <c r="G3567" s="27"/>
      <c r="H3567" s="27"/>
      <c r="I3567" s="27"/>
    </row>
    <row r="3568" spans="1:9" x14ac:dyDescent="0.35">
      <c r="A3568" s="27"/>
      <c r="B3568" s="27"/>
      <c r="C3568" s="27"/>
      <c r="D3568" s="27"/>
      <c r="E3568" s="27"/>
      <c r="F3568" s="27"/>
      <c r="G3568" s="27"/>
      <c r="H3568" s="27"/>
      <c r="I3568" s="27"/>
    </row>
    <row r="3569" spans="1:9" x14ac:dyDescent="0.35">
      <c r="A3569" s="27"/>
      <c r="B3569" s="27"/>
      <c r="C3569" s="27"/>
      <c r="D3569" s="27"/>
      <c r="E3569" s="27"/>
      <c r="F3569" s="27"/>
      <c r="G3569" s="27"/>
      <c r="H3569" s="27"/>
      <c r="I3569" s="27"/>
    </row>
    <row r="3570" spans="1:9" x14ac:dyDescent="0.35">
      <c r="A3570" s="27"/>
      <c r="B3570" s="27"/>
      <c r="C3570" s="27"/>
      <c r="D3570" s="27"/>
      <c r="E3570" s="27"/>
      <c r="F3570" s="27"/>
      <c r="G3570" s="27"/>
      <c r="H3570" s="27"/>
      <c r="I3570" s="27"/>
    </row>
    <row r="3571" spans="1:9" x14ac:dyDescent="0.35">
      <c r="A3571" s="27"/>
      <c r="B3571" s="27"/>
      <c r="C3571" s="27"/>
      <c r="D3571" s="27"/>
      <c r="E3571" s="27"/>
      <c r="F3571" s="27"/>
      <c r="G3571" s="27"/>
      <c r="H3571" s="27"/>
      <c r="I3571" s="27"/>
    </row>
    <row r="3572" spans="1:9" x14ac:dyDescent="0.35">
      <c r="A3572" s="27"/>
      <c r="B3572" s="27"/>
      <c r="C3572" s="27"/>
      <c r="D3572" s="27"/>
      <c r="E3572" s="27"/>
      <c r="F3572" s="27"/>
      <c r="G3572" s="27"/>
      <c r="H3572" s="27"/>
      <c r="I3572" s="27"/>
    </row>
    <row r="3573" spans="1:9" x14ac:dyDescent="0.35">
      <c r="A3573" s="27"/>
      <c r="B3573" s="27"/>
      <c r="C3573" s="27"/>
      <c r="D3573" s="27"/>
      <c r="E3573" s="27"/>
      <c r="F3573" s="27"/>
      <c r="G3573" s="27"/>
      <c r="H3573" s="27"/>
      <c r="I3573" s="27"/>
    </row>
    <row r="3574" spans="1:9" x14ac:dyDescent="0.35">
      <c r="A3574" s="27"/>
      <c r="B3574" s="27"/>
      <c r="C3574" s="27"/>
      <c r="D3574" s="27"/>
      <c r="E3574" s="27"/>
      <c r="F3574" s="27"/>
      <c r="G3574" s="27"/>
      <c r="H3574" s="27"/>
      <c r="I3574" s="27"/>
    </row>
    <row r="3575" spans="1:9" x14ac:dyDescent="0.35">
      <c r="A3575" s="27"/>
      <c r="B3575" s="27"/>
      <c r="C3575" s="27"/>
      <c r="D3575" s="27"/>
      <c r="E3575" s="27"/>
      <c r="F3575" s="27"/>
      <c r="G3575" s="27"/>
      <c r="H3575" s="27"/>
      <c r="I3575" s="27"/>
    </row>
    <row r="3576" spans="1:9" x14ac:dyDescent="0.35">
      <c r="A3576" s="27"/>
      <c r="B3576" s="27"/>
      <c r="C3576" s="27"/>
      <c r="D3576" s="27"/>
      <c r="E3576" s="27"/>
      <c r="F3576" s="27"/>
      <c r="G3576" s="27"/>
      <c r="H3576" s="27"/>
      <c r="I3576" s="27"/>
    </row>
    <row r="3577" spans="1:9" x14ac:dyDescent="0.35">
      <c r="A3577" s="27"/>
      <c r="B3577" s="27"/>
      <c r="C3577" s="27"/>
      <c r="D3577" s="27"/>
      <c r="E3577" s="27"/>
      <c r="F3577" s="27"/>
      <c r="G3577" s="27"/>
      <c r="H3577" s="27"/>
      <c r="I3577" s="27"/>
    </row>
    <row r="3578" spans="1:9" x14ac:dyDescent="0.35">
      <c r="A3578" s="27"/>
      <c r="B3578" s="27"/>
      <c r="C3578" s="27"/>
      <c r="D3578" s="27"/>
      <c r="E3578" s="27"/>
      <c r="F3578" s="27"/>
      <c r="G3578" s="27"/>
      <c r="H3578" s="27"/>
      <c r="I3578" s="27"/>
    </row>
    <row r="3579" spans="1:9" x14ac:dyDescent="0.35">
      <c r="A3579" s="27"/>
      <c r="B3579" s="27"/>
      <c r="C3579" s="27"/>
      <c r="D3579" s="27"/>
      <c r="E3579" s="27"/>
      <c r="F3579" s="27"/>
      <c r="G3579" s="27"/>
      <c r="H3579" s="27"/>
      <c r="I3579" s="27"/>
    </row>
    <row r="3580" spans="1:9" x14ac:dyDescent="0.35">
      <c r="A3580" s="27"/>
      <c r="B3580" s="27"/>
      <c r="C3580" s="27"/>
      <c r="D3580" s="27"/>
      <c r="E3580" s="27"/>
      <c r="F3580" s="27"/>
      <c r="G3580" s="27"/>
      <c r="H3580" s="27"/>
      <c r="I3580" s="27"/>
    </row>
    <row r="3581" spans="1:9" x14ac:dyDescent="0.35">
      <c r="A3581" s="27"/>
      <c r="B3581" s="27"/>
      <c r="C3581" s="27"/>
      <c r="D3581" s="27"/>
      <c r="E3581" s="27"/>
      <c r="F3581" s="27"/>
      <c r="G3581" s="27"/>
      <c r="H3581" s="27"/>
      <c r="I3581" s="27"/>
    </row>
    <row r="3582" spans="1:9" x14ac:dyDescent="0.35">
      <c r="A3582" s="27"/>
      <c r="B3582" s="27"/>
      <c r="C3582" s="27"/>
      <c r="D3582" s="27"/>
      <c r="E3582" s="27"/>
      <c r="F3582" s="27"/>
      <c r="G3582" s="27"/>
      <c r="H3582" s="27"/>
      <c r="I3582" s="27"/>
    </row>
    <row r="3583" spans="1:9" x14ac:dyDescent="0.35">
      <c r="A3583" s="27"/>
      <c r="B3583" s="27"/>
      <c r="C3583" s="27"/>
      <c r="D3583" s="27"/>
      <c r="E3583" s="27"/>
      <c r="F3583" s="27"/>
      <c r="G3583" s="27"/>
      <c r="H3583" s="27"/>
      <c r="I3583" s="27"/>
    </row>
    <row r="3584" spans="1:9" x14ac:dyDescent="0.35">
      <c r="A3584" s="27"/>
      <c r="B3584" s="27"/>
      <c r="C3584" s="27"/>
      <c r="D3584" s="27"/>
      <c r="E3584" s="27"/>
      <c r="F3584" s="27"/>
      <c r="G3584" s="27"/>
      <c r="H3584" s="27"/>
      <c r="I3584" s="27"/>
    </row>
    <row r="3585" spans="1:9" x14ac:dyDescent="0.35">
      <c r="A3585" s="27"/>
      <c r="B3585" s="27"/>
      <c r="C3585" s="27"/>
      <c r="D3585" s="27"/>
      <c r="E3585" s="27"/>
      <c r="F3585" s="27"/>
      <c r="G3585" s="27"/>
      <c r="H3585" s="27"/>
      <c r="I3585" s="27"/>
    </row>
    <row r="3586" spans="1:9" x14ac:dyDescent="0.35">
      <c r="A3586" s="27"/>
      <c r="B3586" s="27"/>
      <c r="C3586" s="27"/>
      <c r="D3586" s="27"/>
      <c r="E3586" s="27"/>
      <c r="F3586" s="27"/>
      <c r="G3586" s="27"/>
      <c r="H3586" s="27"/>
      <c r="I3586" s="27"/>
    </row>
    <row r="3587" spans="1:9" x14ac:dyDescent="0.35">
      <c r="A3587" s="27"/>
      <c r="B3587" s="27"/>
      <c r="C3587" s="27"/>
      <c r="D3587" s="27"/>
      <c r="E3587" s="27"/>
      <c r="F3587" s="27"/>
      <c r="G3587" s="27"/>
      <c r="H3587" s="27"/>
      <c r="I3587" s="27"/>
    </row>
    <row r="3588" spans="1:9" x14ac:dyDescent="0.35">
      <c r="A3588" s="27"/>
      <c r="B3588" s="27"/>
      <c r="C3588" s="27"/>
      <c r="D3588" s="27"/>
      <c r="E3588" s="27"/>
      <c r="F3588" s="27"/>
      <c r="G3588" s="27"/>
      <c r="H3588" s="27"/>
      <c r="I3588" s="27"/>
    </row>
    <row r="3589" spans="1:9" x14ac:dyDescent="0.35">
      <c r="A3589" s="27"/>
      <c r="B3589" s="27"/>
      <c r="C3589" s="27"/>
      <c r="D3589" s="27"/>
      <c r="E3589" s="27"/>
      <c r="F3589" s="27"/>
      <c r="G3589" s="27"/>
      <c r="H3589" s="27"/>
      <c r="I3589" s="27"/>
    </row>
    <row r="3590" spans="1:9" x14ac:dyDescent="0.35">
      <c r="A3590" s="27"/>
      <c r="B3590" s="27"/>
      <c r="C3590" s="27"/>
      <c r="D3590" s="27"/>
      <c r="E3590" s="27"/>
      <c r="F3590" s="27"/>
      <c r="G3590" s="27"/>
      <c r="H3590" s="27"/>
      <c r="I3590" s="27"/>
    </row>
    <row r="3591" spans="1:9" x14ac:dyDescent="0.35">
      <c r="A3591" s="27"/>
      <c r="B3591" s="27"/>
      <c r="C3591" s="27"/>
      <c r="D3591" s="27"/>
      <c r="E3591" s="27"/>
      <c r="F3591" s="27"/>
      <c r="G3591" s="27"/>
      <c r="H3591" s="27"/>
      <c r="I3591" s="27"/>
    </row>
    <row r="3592" spans="1:9" x14ac:dyDescent="0.35">
      <c r="A3592" s="27"/>
      <c r="B3592" s="27"/>
      <c r="C3592" s="27"/>
      <c r="D3592" s="27"/>
      <c r="E3592" s="27"/>
      <c r="F3592" s="27"/>
      <c r="G3592" s="27"/>
      <c r="H3592" s="27"/>
      <c r="I3592" s="27"/>
    </row>
    <row r="3593" spans="1:9" x14ac:dyDescent="0.35">
      <c r="A3593" s="27"/>
      <c r="B3593" s="27"/>
      <c r="C3593" s="27"/>
      <c r="D3593" s="27"/>
      <c r="E3593" s="27"/>
      <c r="F3593" s="27"/>
      <c r="G3593" s="27"/>
      <c r="H3593" s="27"/>
      <c r="I3593" s="27"/>
    </row>
    <row r="3594" spans="1:9" x14ac:dyDescent="0.35">
      <c r="A3594" s="27"/>
      <c r="B3594" s="27"/>
      <c r="C3594" s="27"/>
      <c r="D3594" s="27"/>
      <c r="E3594" s="27"/>
      <c r="F3594" s="27"/>
      <c r="G3594" s="27"/>
      <c r="H3594" s="27"/>
      <c r="I3594" s="27"/>
    </row>
    <row r="3595" spans="1:9" x14ac:dyDescent="0.35">
      <c r="A3595" s="27"/>
      <c r="B3595" s="27"/>
      <c r="C3595" s="27"/>
      <c r="D3595" s="27"/>
      <c r="E3595" s="27"/>
      <c r="F3595" s="27"/>
      <c r="G3595" s="27"/>
      <c r="H3595" s="27"/>
      <c r="I3595" s="27"/>
    </row>
    <row r="3596" spans="1:9" x14ac:dyDescent="0.35">
      <c r="A3596" s="27"/>
      <c r="B3596" s="27"/>
      <c r="C3596" s="27"/>
      <c r="D3596" s="27"/>
      <c r="E3596" s="27"/>
      <c r="F3596" s="27"/>
      <c r="G3596" s="27"/>
      <c r="H3596" s="27"/>
      <c r="I3596" s="27"/>
    </row>
    <row r="3597" spans="1:9" x14ac:dyDescent="0.35">
      <c r="A3597" s="27"/>
      <c r="B3597" s="27"/>
      <c r="C3597" s="27"/>
      <c r="D3597" s="27"/>
      <c r="E3597" s="27"/>
      <c r="F3597" s="27"/>
      <c r="G3597" s="27"/>
      <c r="H3597" s="27"/>
      <c r="I3597" s="27"/>
    </row>
    <row r="3598" spans="1:9" x14ac:dyDescent="0.35">
      <c r="A3598" s="27"/>
      <c r="B3598" s="27"/>
      <c r="C3598" s="27"/>
      <c r="D3598" s="27"/>
      <c r="E3598" s="27"/>
      <c r="F3598" s="27"/>
      <c r="G3598" s="27"/>
      <c r="H3598" s="27"/>
      <c r="I3598" s="27"/>
    </row>
    <row r="3599" spans="1:9" x14ac:dyDescent="0.35">
      <c r="A3599" s="27"/>
      <c r="B3599" s="27"/>
      <c r="C3599" s="27"/>
      <c r="D3599" s="27"/>
      <c r="E3599" s="27"/>
      <c r="F3599" s="27"/>
      <c r="G3599" s="27"/>
      <c r="H3599" s="27"/>
      <c r="I3599" s="27"/>
    </row>
    <row r="3600" spans="1:9" x14ac:dyDescent="0.35">
      <c r="A3600" s="27"/>
      <c r="B3600" s="27"/>
      <c r="C3600" s="27"/>
      <c r="D3600" s="27"/>
      <c r="E3600" s="27"/>
      <c r="F3600" s="27"/>
      <c r="G3600" s="27"/>
      <c r="H3600" s="27"/>
      <c r="I3600" s="27"/>
    </row>
    <row r="3601" spans="1:9" x14ac:dyDescent="0.35">
      <c r="A3601" s="27"/>
      <c r="B3601" s="27"/>
      <c r="C3601" s="27"/>
      <c r="D3601" s="27"/>
      <c r="E3601" s="27"/>
      <c r="F3601" s="27"/>
      <c r="G3601" s="27"/>
      <c r="H3601" s="27"/>
      <c r="I3601" s="27"/>
    </row>
    <row r="3602" spans="1:9" x14ac:dyDescent="0.35">
      <c r="A3602" s="27"/>
      <c r="B3602" s="27"/>
      <c r="C3602" s="27"/>
      <c r="D3602" s="27"/>
      <c r="E3602" s="27"/>
      <c r="F3602" s="27"/>
      <c r="G3602" s="27"/>
      <c r="H3602" s="27"/>
      <c r="I3602" s="27"/>
    </row>
    <row r="3603" spans="1:9" x14ac:dyDescent="0.35">
      <c r="A3603" s="27"/>
      <c r="B3603" s="27"/>
      <c r="C3603" s="27"/>
      <c r="D3603" s="27"/>
      <c r="E3603" s="27"/>
      <c r="F3603" s="27"/>
      <c r="G3603" s="27"/>
      <c r="H3603" s="27"/>
      <c r="I3603" s="27"/>
    </row>
    <row r="3604" spans="1:9" x14ac:dyDescent="0.35">
      <c r="A3604" s="27"/>
      <c r="B3604" s="27"/>
      <c r="C3604" s="27"/>
      <c r="D3604" s="27"/>
      <c r="E3604" s="27"/>
      <c r="F3604" s="27"/>
      <c r="G3604" s="27"/>
      <c r="H3604" s="27"/>
      <c r="I3604" s="27"/>
    </row>
    <row r="3605" spans="1:9" x14ac:dyDescent="0.35">
      <c r="A3605" s="27"/>
      <c r="B3605" s="27"/>
      <c r="C3605" s="27"/>
      <c r="D3605" s="27"/>
      <c r="E3605" s="27"/>
      <c r="F3605" s="27"/>
      <c r="G3605" s="27"/>
      <c r="H3605" s="27"/>
      <c r="I3605" s="27"/>
    </row>
    <row r="3606" spans="1:9" x14ac:dyDescent="0.35">
      <c r="A3606" s="27"/>
      <c r="B3606" s="27"/>
      <c r="C3606" s="27"/>
      <c r="D3606" s="27"/>
      <c r="E3606" s="27"/>
      <c r="F3606" s="27"/>
      <c r="G3606" s="27"/>
      <c r="H3606" s="27"/>
      <c r="I3606" s="27"/>
    </row>
    <row r="3607" spans="1:9" x14ac:dyDescent="0.35">
      <c r="A3607" s="27"/>
      <c r="B3607" s="27"/>
      <c r="C3607" s="27"/>
      <c r="D3607" s="27"/>
      <c r="E3607" s="27"/>
      <c r="F3607" s="27"/>
      <c r="G3607" s="27"/>
      <c r="H3607" s="27"/>
      <c r="I3607" s="27"/>
    </row>
    <row r="3608" spans="1:9" x14ac:dyDescent="0.35">
      <c r="A3608" s="27"/>
      <c r="B3608" s="27"/>
      <c r="C3608" s="27"/>
      <c r="D3608" s="27"/>
      <c r="E3608" s="27"/>
      <c r="F3608" s="27"/>
      <c r="G3608" s="27"/>
      <c r="H3608" s="27"/>
      <c r="I3608" s="27"/>
    </row>
    <row r="3609" spans="1:9" x14ac:dyDescent="0.35">
      <c r="A3609" s="27"/>
      <c r="B3609" s="27"/>
      <c r="C3609" s="27"/>
      <c r="D3609" s="27"/>
      <c r="E3609" s="27"/>
      <c r="F3609" s="27"/>
      <c r="G3609" s="27"/>
      <c r="H3609" s="27"/>
      <c r="I3609" s="27"/>
    </row>
    <row r="3610" spans="1:9" x14ac:dyDescent="0.35">
      <c r="A3610" s="27"/>
      <c r="B3610" s="27"/>
      <c r="C3610" s="27"/>
      <c r="D3610" s="27"/>
      <c r="E3610" s="27"/>
      <c r="F3610" s="27"/>
      <c r="G3610" s="27"/>
      <c r="H3610" s="27"/>
      <c r="I3610" s="27"/>
    </row>
    <row r="3611" spans="1:9" x14ac:dyDescent="0.35">
      <c r="A3611" s="27"/>
      <c r="B3611" s="27"/>
      <c r="C3611" s="27"/>
      <c r="D3611" s="27"/>
      <c r="E3611" s="27"/>
      <c r="F3611" s="27"/>
      <c r="G3611" s="27"/>
      <c r="H3611" s="27"/>
      <c r="I3611" s="27"/>
    </row>
    <row r="3612" spans="1:9" x14ac:dyDescent="0.35">
      <c r="A3612" s="27"/>
      <c r="B3612" s="27"/>
      <c r="C3612" s="27"/>
      <c r="D3612" s="27"/>
      <c r="E3612" s="27"/>
      <c r="F3612" s="27"/>
      <c r="G3612" s="27"/>
      <c r="H3612" s="27"/>
      <c r="I3612" s="27"/>
    </row>
    <row r="3613" spans="1:9" x14ac:dyDescent="0.35">
      <c r="A3613" s="27"/>
      <c r="B3613" s="27"/>
      <c r="C3613" s="27"/>
      <c r="D3613" s="27"/>
      <c r="E3613" s="27"/>
      <c r="F3613" s="27"/>
      <c r="G3613" s="27"/>
      <c r="H3613" s="27"/>
      <c r="I3613" s="27"/>
    </row>
    <row r="3614" spans="1:9" x14ac:dyDescent="0.35">
      <c r="A3614" s="27"/>
      <c r="B3614" s="27"/>
      <c r="C3614" s="27"/>
      <c r="D3614" s="27"/>
      <c r="E3614" s="27"/>
      <c r="F3614" s="27"/>
      <c r="G3614" s="27"/>
      <c r="H3614" s="27"/>
      <c r="I3614" s="27"/>
    </row>
    <row r="3615" spans="1:9" x14ac:dyDescent="0.35">
      <c r="A3615" s="27"/>
      <c r="B3615" s="27"/>
      <c r="C3615" s="27"/>
      <c r="D3615" s="27"/>
      <c r="E3615" s="27"/>
      <c r="F3615" s="27"/>
      <c r="G3615" s="27"/>
      <c r="H3615" s="27"/>
      <c r="I3615" s="27"/>
    </row>
    <row r="3616" spans="1:9" x14ac:dyDescent="0.35">
      <c r="A3616" s="27"/>
      <c r="B3616" s="27"/>
      <c r="C3616" s="27"/>
      <c r="D3616" s="27"/>
      <c r="E3616" s="27"/>
      <c r="F3616" s="27"/>
      <c r="G3616" s="27"/>
      <c r="H3616" s="27"/>
      <c r="I3616" s="27"/>
    </row>
    <row r="3617" spans="1:9" x14ac:dyDescent="0.35">
      <c r="A3617" s="27"/>
      <c r="B3617" s="27"/>
      <c r="C3617" s="27"/>
      <c r="D3617" s="27"/>
      <c r="E3617" s="27"/>
      <c r="F3617" s="27"/>
      <c r="G3617" s="27"/>
      <c r="H3617" s="27"/>
      <c r="I3617" s="27"/>
    </row>
    <row r="3618" spans="1:9" x14ac:dyDescent="0.35">
      <c r="A3618" s="27"/>
      <c r="B3618" s="27"/>
      <c r="C3618" s="27"/>
      <c r="D3618" s="27"/>
      <c r="E3618" s="27"/>
      <c r="F3618" s="27"/>
      <c r="G3618" s="27"/>
      <c r="H3618" s="27"/>
      <c r="I3618" s="27"/>
    </row>
    <row r="3619" spans="1:9" x14ac:dyDescent="0.35">
      <c r="A3619" s="27"/>
      <c r="B3619" s="27"/>
      <c r="C3619" s="27"/>
      <c r="D3619" s="27"/>
      <c r="E3619" s="27"/>
      <c r="F3619" s="27"/>
      <c r="G3619" s="27"/>
      <c r="H3619" s="27"/>
      <c r="I3619" s="27"/>
    </row>
    <row r="3620" spans="1:9" x14ac:dyDescent="0.35">
      <c r="A3620" s="27"/>
      <c r="B3620" s="27"/>
      <c r="C3620" s="27"/>
      <c r="D3620" s="27"/>
      <c r="E3620" s="27"/>
      <c r="F3620" s="27"/>
      <c r="G3620" s="27"/>
      <c r="H3620" s="27"/>
      <c r="I3620" s="27"/>
    </row>
    <row r="3621" spans="1:9" x14ac:dyDescent="0.35">
      <c r="A3621" s="27"/>
      <c r="B3621" s="27"/>
      <c r="C3621" s="27"/>
      <c r="D3621" s="27"/>
      <c r="E3621" s="27"/>
      <c r="F3621" s="27"/>
      <c r="G3621" s="27"/>
      <c r="H3621" s="27"/>
      <c r="I3621" s="27"/>
    </row>
    <row r="3622" spans="1:9" x14ac:dyDescent="0.35">
      <c r="A3622" s="27"/>
      <c r="B3622" s="27"/>
      <c r="C3622" s="27"/>
      <c r="D3622" s="27"/>
      <c r="E3622" s="27"/>
      <c r="F3622" s="27"/>
      <c r="G3622" s="27"/>
      <c r="H3622" s="27"/>
      <c r="I3622" s="27"/>
    </row>
    <row r="3623" spans="1:9" x14ac:dyDescent="0.35">
      <c r="A3623" s="27"/>
      <c r="B3623" s="27"/>
      <c r="C3623" s="27"/>
      <c r="D3623" s="27"/>
      <c r="E3623" s="27"/>
      <c r="F3623" s="27"/>
      <c r="G3623" s="27"/>
      <c r="H3623" s="27"/>
      <c r="I3623" s="27"/>
    </row>
    <row r="3624" spans="1:9" x14ac:dyDescent="0.35">
      <c r="A3624" s="27"/>
      <c r="B3624" s="27"/>
      <c r="C3624" s="27"/>
      <c r="D3624" s="27"/>
      <c r="E3624" s="27"/>
      <c r="F3624" s="27"/>
      <c r="G3624" s="27"/>
      <c r="H3624" s="27"/>
      <c r="I3624" s="27"/>
    </row>
    <row r="3625" spans="1:9" x14ac:dyDescent="0.35">
      <c r="A3625" s="27"/>
      <c r="B3625" s="27"/>
      <c r="C3625" s="27"/>
      <c r="D3625" s="27"/>
      <c r="E3625" s="27"/>
      <c r="F3625" s="27"/>
      <c r="G3625" s="27"/>
      <c r="H3625" s="27"/>
      <c r="I3625" s="27"/>
    </row>
    <row r="3626" spans="1:9" x14ac:dyDescent="0.35">
      <c r="A3626" s="27"/>
      <c r="B3626" s="27"/>
      <c r="C3626" s="27"/>
      <c r="D3626" s="27"/>
      <c r="E3626" s="27"/>
      <c r="F3626" s="27"/>
      <c r="G3626" s="27"/>
      <c r="H3626" s="27"/>
      <c r="I3626" s="27"/>
    </row>
    <row r="3627" spans="1:9" x14ac:dyDescent="0.35">
      <c r="A3627" s="27"/>
      <c r="B3627" s="27"/>
      <c r="C3627" s="27"/>
      <c r="D3627" s="27"/>
      <c r="E3627" s="27"/>
      <c r="F3627" s="27"/>
      <c r="G3627" s="27"/>
      <c r="H3627" s="27"/>
      <c r="I3627" s="27"/>
    </row>
    <row r="3628" spans="1:9" x14ac:dyDescent="0.35">
      <c r="A3628" s="27"/>
      <c r="B3628" s="27"/>
      <c r="C3628" s="27"/>
      <c r="D3628" s="27"/>
      <c r="E3628" s="27"/>
      <c r="F3628" s="27"/>
      <c r="G3628" s="27"/>
      <c r="H3628" s="27"/>
      <c r="I3628" s="27"/>
    </row>
    <row r="3629" spans="1:9" x14ac:dyDescent="0.35">
      <c r="A3629" s="27"/>
      <c r="B3629" s="27"/>
      <c r="C3629" s="27"/>
      <c r="D3629" s="27"/>
      <c r="E3629" s="27"/>
      <c r="F3629" s="27"/>
      <c r="G3629" s="27"/>
      <c r="H3629" s="27"/>
      <c r="I3629" s="27"/>
    </row>
    <row r="3630" spans="1:9" x14ac:dyDescent="0.35">
      <c r="A3630" s="27"/>
      <c r="B3630" s="27"/>
      <c r="C3630" s="27"/>
      <c r="D3630" s="27"/>
      <c r="E3630" s="27"/>
      <c r="F3630" s="27"/>
      <c r="G3630" s="27"/>
      <c r="H3630" s="27"/>
      <c r="I3630" s="27"/>
    </row>
    <row r="3631" spans="1:9" x14ac:dyDescent="0.35">
      <c r="A3631" s="27"/>
      <c r="B3631" s="27"/>
      <c r="C3631" s="27"/>
      <c r="D3631" s="27"/>
      <c r="E3631" s="27"/>
      <c r="F3631" s="27"/>
      <c r="G3631" s="27"/>
      <c r="H3631" s="27"/>
      <c r="I3631" s="27"/>
    </row>
    <row r="3632" spans="1:9" x14ac:dyDescent="0.35">
      <c r="A3632" s="27"/>
      <c r="B3632" s="27"/>
      <c r="C3632" s="27"/>
      <c r="D3632" s="27"/>
      <c r="E3632" s="27"/>
      <c r="F3632" s="27"/>
      <c r="G3632" s="27"/>
      <c r="H3632" s="27"/>
      <c r="I3632" s="27"/>
    </row>
    <row r="3633" spans="1:9" x14ac:dyDescent="0.35">
      <c r="A3633" s="27"/>
      <c r="B3633" s="27"/>
      <c r="C3633" s="27"/>
      <c r="D3633" s="27"/>
      <c r="E3633" s="27"/>
      <c r="F3633" s="27"/>
      <c r="G3633" s="27"/>
      <c r="H3633" s="27"/>
      <c r="I3633" s="27"/>
    </row>
    <row r="3634" spans="1:9" x14ac:dyDescent="0.35">
      <c r="A3634" s="27"/>
      <c r="B3634" s="27"/>
      <c r="C3634" s="27"/>
      <c r="D3634" s="27"/>
      <c r="E3634" s="27"/>
      <c r="F3634" s="27"/>
      <c r="G3634" s="27"/>
      <c r="H3634" s="27"/>
      <c r="I3634" s="27"/>
    </row>
    <row r="3635" spans="1:9" x14ac:dyDescent="0.35">
      <c r="A3635" s="27"/>
      <c r="B3635" s="27"/>
      <c r="C3635" s="27"/>
      <c r="D3635" s="27"/>
      <c r="E3635" s="27"/>
      <c r="F3635" s="27"/>
      <c r="G3635" s="27"/>
      <c r="H3635" s="27"/>
      <c r="I3635" s="27"/>
    </row>
    <row r="3636" spans="1:9" x14ac:dyDescent="0.35">
      <c r="A3636" s="27"/>
      <c r="B3636" s="27"/>
      <c r="C3636" s="27"/>
      <c r="D3636" s="27"/>
      <c r="E3636" s="27"/>
      <c r="F3636" s="27"/>
      <c r="G3636" s="27"/>
      <c r="H3636" s="27"/>
      <c r="I3636" s="27"/>
    </row>
    <row r="3637" spans="1:9" x14ac:dyDescent="0.35">
      <c r="A3637" s="27"/>
      <c r="B3637" s="27"/>
      <c r="C3637" s="27"/>
      <c r="D3637" s="27"/>
      <c r="E3637" s="27"/>
      <c r="F3637" s="27"/>
      <c r="G3637" s="27"/>
      <c r="H3637" s="27"/>
      <c r="I3637" s="27"/>
    </row>
    <row r="3638" spans="1:9" x14ac:dyDescent="0.35">
      <c r="A3638" s="27"/>
      <c r="B3638" s="27"/>
      <c r="C3638" s="27"/>
      <c r="D3638" s="27"/>
      <c r="E3638" s="27"/>
      <c r="F3638" s="27"/>
      <c r="G3638" s="27"/>
      <c r="H3638" s="27"/>
      <c r="I3638" s="27"/>
    </row>
    <row r="3639" spans="1:9" x14ac:dyDescent="0.35">
      <c r="A3639" s="27"/>
      <c r="B3639" s="27"/>
      <c r="C3639" s="27"/>
      <c r="D3639" s="27"/>
      <c r="E3639" s="27"/>
      <c r="F3639" s="27"/>
      <c r="G3639" s="27"/>
      <c r="H3639" s="27"/>
      <c r="I3639" s="27"/>
    </row>
    <row r="3640" spans="1:9" x14ac:dyDescent="0.35">
      <c r="A3640" s="27"/>
      <c r="B3640" s="27"/>
      <c r="C3640" s="27"/>
      <c r="D3640" s="27"/>
      <c r="E3640" s="27"/>
      <c r="F3640" s="27"/>
      <c r="G3640" s="27"/>
      <c r="H3640" s="27"/>
      <c r="I3640" s="27"/>
    </row>
    <row r="3641" spans="1:9" x14ac:dyDescent="0.35">
      <c r="A3641" s="27"/>
      <c r="B3641" s="27"/>
      <c r="C3641" s="27"/>
      <c r="D3641" s="27"/>
      <c r="E3641" s="27"/>
      <c r="F3641" s="27"/>
      <c r="G3641" s="27"/>
      <c r="H3641" s="27"/>
      <c r="I3641" s="27"/>
    </row>
    <row r="3642" spans="1:9" x14ac:dyDescent="0.35">
      <c r="A3642" s="27"/>
      <c r="B3642" s="27"/>
      <c r="C3642" s="27"/>
      <c r="D3642" s="27"/>
      <c r="E3642" s="27"/>
      <c r="F3642" s="27"/>
      <c r="G3642" s="27"/>
      <c r="H3642" s="27"/>
      <c r="I3642" s="27"/>
    </row>
    <row r="3643" spans="1:9" x14ac:dyDescent="0.35">
      <c r="A3643" s="27"/>
      <c r="B3643" s="27"/>
      <c r="C3643" s="27"/>
      <c r="D3643" s="27"/>
      <c r="E3643" s="27"/>
      <c r="F3643" s="27"/>
      <c r="G3643" s="27"/>
      <c r="H3643" s="27"/>
      <c r="I3643" s="27"/>
    </row>
    <row r="3644" spans="1:9" x14ac:dyDescent="0.35">
      <c r="A3644" s="27"/>
      <c r="B3644" s="27"/>
      <c r="C3644" s="27"/>
      <c r="D3644" s="27"/>
      <c r="E3644" s="27"/>
      <c r="F3644" s="27"/>
      <c r="G3644" s="27"/>
      <c r="H3644" s="27"/>
      <c r="I3644" s="27"/>
    </row>
    <row r="3645" spans="1:9" x14ac:dyDescent="0.35">
      <c r="A3645" s="27"/>
      <c r="B3645" s="27"/>
      <c r="C3645" s="27"/>
      <c r="D3645" s="27"/>
      <c r="E3645" s="27"/>
      <c r="F3645" s="27"/>
      <c r="G3645" s="27"/>
      <c r="H3645" s="27"/>
      <c r="I3645" s="27"/>
    </row>
    <row r="3646" spans="1:9" x14ac:dyDescent="0.35">
      <c r="A3646" s="27"/>
      <c r="B3646" s="27"/>
      <c r="C3646" s="27"/>
      <c r="D3646" s="27"/>
      <c r="E3646" s="27"/>
      <c r="F3646" s="27"/>
      <c r="G3646" s="27"/>
      <c r="H3646" s="27"/>
      <c r="I3646" s="27"/>
    </row>
    <row r="3647" spans="1:9" x14ac:dyDescent="0.35">
      <c r="A3647" s="27"/>
      <c r="B3647" s="27"/>
      <c r="C3647" s="27"/>
      <c r="D3647" s="27"/>
      <c r="E3647" s="27"/>
      <c r="F3647" s="27"/>
      <c r="G3647" s="27"/>
      <c r="H3647" s="27"/>
      <c r="I3647" s="27"/>
    </row>
    <row r="3648" spans="1:9" x14ac:dyDescent="0.35">
      <c r="A3648" s="27"/>
      <c r="B3648" s="27"/>
      <c r="C3648" s="27"/>
      <c r="D3648" s="27"/>
      <c r="E3648" s="27"/>
      <c r="F3648" s="27"/>
      <c r="G3648" s="27"/>
      <c r="H3648" s="27"/>
      <c r="I3648" s="27"/>
    </row>
    <row r="3649" spans="1:9" x14ac:dyDescent="0.35">
      <c r="A3649" s="27"/>
      <c r="B3649" s="27"/>
      <c r="C3649" s="27"/>
      <c r="D3649" s="27"/>
      <c r="E3649" s="27"/>
      <c r="F3649" s="27"/>
      <c r="G3649" s="27"/>
      <c r="H3649" s="27"/>
      <c r="I3649" s="27"/>
    </row>
    <row r="3650" spans="1:9" x14ac:dyDescent="0.35">
      <c r="A3650" s="27"/>
      <c r="B3650" s="27"/>
      <c r="C3650" s="27"/>
      <c r="D3650" s="27"/>
      <c r="E3650" s="27"/>
      <c r="F3650" s="27"/>
      <c r="G3650" s="27"/>
      <c r="H3650" s="27"/>
      <c r="I3650" s="27"/>
    </row>
    <row r="3651" spans="1:9" x14ac:dyDescent="0.35">
      <c r="A3651" s="27"/>
      <c r="B3651" s="27"/>
      <c r="C3651" s="27"/>
      <c r="D3651" s="27"/>
      <c r="E3651" s="27"/>
      <c r="F3651" s="27"/>
      <c r="G3651" s="27"/>
      <c r="H3651" s="27"/>
      <c r="I3651" s="27"/>
    </row>
    <row r="3652" spans="1:9" x14ac:dyDescent="0.35">
      <c r="A3652" s="27"/>
      <c r="B3652" s="27"/>
      <c r="C3652" s="27"/>
      <c r="D3652" s="27"/>
      <c r="E3652" s="27"/>
      <c r="F3652" s="27"/>
      <c r="G3652" s="27"/>
      <c r="H3652" s="27"/>
      <c r="I3652" s="27"/>
    </row>
    <row r="3653" spans="1:9" x14ac:dyDescent="0.35">
      <c r="A3653" s="27"/>
      <c r="B3653" s="27"/>
      <c r="C3653" s="27"/>
      <c r="D3653" s="27"/>
      <c r="E3653" s="27"/>
      <c r="F3653" s="27"/>
      <c r="G3653" s="27"/>
      <c r="H3653" s="27"/>
      <c r="I3653" s="27"/>
    </row>
    <row r="3654" spans="1:9" x14ac:dyDescent="0.35">
      <c r="A3654" s="27"/>
      <c r="B3654" s="27"/>
      <c r="C3654" s="27"/>
      <c r="D3654" s="27"/>
      <c r="E3654" s="27"/>
      <c r="F3654" s="27"/>
      <c r="G3654" s="27"/>
      <c r="H3654" s="27"/>
      <c r="I3654" s="27"/>
    </row>
    <row r="3655" spans="1:9" x14ac:dyDescent="0.35">
      <c r="A3655" s="27"/>
      <c r="B3655" s="27"/>
      <c r="C3655" s="27"/>
      <c r="D3655" s="27"/>
      <c r="E3655" s="27"/>
      <c r="F3655" s="27"/>
      <c r="G3655" s="27"/>
      <c r="H3655" s="27"/>
      <c r="I3655" s="27"/>
    </row>
    <row r="3656" spans="1:9" x14ac:dyDescent="0.35">
      <c r="A3656" s="27"/>
      <c r="B3656" s="27"/>
      <c r="C3656" s="27"/>
      <c r="D3656" s="27"/>
      <c r="E3656" s="27"/>
      <c r="F3656" s="27"/>
      <c r="G3656" s="27"/>
      <c r="H3656" s="27"/>
      <c r="I3656" s="27"/>
    </row>
    <row r="3657" spans="1:9" x14ac:dyDescent="0.35">
      <c r="A3657" s="27"/>
      <c r="B3657" s="27"/>
      <c r="C3657" s="27"/>
      <c r="D3657" s="27"/>
      <c r="E3657" s="27"/>
      <c r="F3657" s="27"/>
      <c r="G3657" s="27"/>
      <c r="H3657" s="27"/>
      <c r="I3657" s="27"/>
    </row>
    <row r="3658" spans="1:9" x14ac:dyDescent="0.35">
      <c r="A3658" s="27"/>
      <c r="B3658" s="27"/>
      <c r="C3658" s="27"/>
      <c r="D3658" s="27"/>
      <c r="E3658" s="27"/>
      <c r="F3658" s="27"/>
      <c r="G3658" s="27"/>
      <c r="H3658" s="27"/>
      <c r="I3658" s="27"/>
    </row>
    <row r="3659" spans="1:9" x14ac:dyDescent="0.35">
      <c r="A3659" s="27"/>
      <c r="B3659" s="27"/>
      <c r="C3659" s="27"/>
      <c r="D3659" s="27"/>
      <c r="E3659" s="27"/>
      <c r="F3659" s="27"/>
      <c r="G3659" s="27"/>
      <c r="H3659" s="27"/>
      <c r="I3659" s="27"/>
    </row>
    <row r="3660" spans="1:9" x14ac:dyDescent="0.35">
      <c r="A3660" s="27"/>
      <c r="B3660" s="27"/>
      <c r="C3660" s="27"/>
      <c r="D3660" s="27"/>
      <c r="E3660" s="27"/>
      <c r="F3660" s="27"/>
      <c r="G3660" s="27"/>
      <c r="H3660" s="27"/>
      <c r="I3660" s="27"/>
    </row>
    <row r="3661" spans="1:9" x14ac:dyDescent="0.35">
      <c r="A3661" s="27"/>
      <c r="B3661" s="27"/>
      <c r="C3661" s="27"/>
      <c r="D3661" s="27"/>
      <c r="E3661" s="27"/>
      <c r="F3661" s="27"/>
      <c r="G3661" s="27"/>
      <c r="H3661" s="27"/>
      <c r="I3661" s="27"/>
    </row>
    <row r="3662" spans="1:9" x14ac:dyDescent="0.35">
      <c r="A3662" s="27"/>
      <c r="B3662" s="27"/>
      <c r="C3662" s="27"/>
      <c r="D3662" s="27"/>
      <c r="E3662" s="27"/>
      <c r="F3662" s="27"/>
      <c r="G3662" s="27"/>
      <c r="H3662" s="27"/>
      <c r="I3662" s="27"/>
    </row>
    <row r="3663" spans="1:9" x14ac:dyDescent="0.35">
      <c r="A3663" s="27"/>
      <c r="B3663" s="27"/>
      <c r="C3663" s="27"/>
      <c r="D3663" s="27"/>
      <c r="E3663" s="27"/>
      <c r="F3663" s="27"/>
      <c r="G3663" s="27"/>
      <c r="H3663" s="27"/>
      <c r="I3663" s="27"/>
    </row>
    <row r="3664" spans="1:9" x14ac:dyDescent="0.35">
      <c r="A3664" s="27"/>
      <c r="B3664" s="27"/>
      <c r="C3664" s="27"/>
      <c r="D3664" s="27"/>
      <c r="E3664" s="27"/>
      <c r="F3664" s="27"/>
      <c r="G3664" s="27"/>
      <c r="H3664" s="27"/>
      <c r="I3664" s="27"/>
    </row>
    <row r="3665" spans="1:9" x14ac:dyDescent="0.35">
      <c r="A3665" s="27"/>
      <c r="B3665" s="27"/>
      <c r="C3665" s="27"/>
      <c r="D3665" s="27"/>
      <c r="E3665" s="27"/>
      <c r="F3665" s="27"/>
      <c r="G3665" s="27"/>
      <c r="H3665" s="27"/>
      <c r="I3665" s="27"/>
    </row>
    <row r="3666" spans="1:9" x14ac:dyDescent="0.35">
      <c r="A3666" s="27"/>
      <c r="B3666" s="27"/>
      <c r="C3666" s="27"/>
      <c r="D3666" s="27"/>
      <c r="E3666" s="27"/>
      <c r="F3666" s="27"/>
      <c r="G3666" s="27"/>
      <c r="H3666" s="27"/>
      <c r="I3666" s="27"/>
    </row>
    <row r="3667" spans="1:9" x14ac:dyDescent="0.35">
      <c r="A3667" s="27"/>
      <c r="B3667" s="27"/>
      <c r="C3667" s="27"/>
      <c r="D3667" s="27"/>
      <c r="E3667" s="27"/>
      <c r="F3667" s="27"/>
      <c r="G3667" s="27"/>
      <c r="H3667" s="27"/>
      <c r="I3667" s="27"/>
    </row>
    <row r="3668" spans="1:9" x14ac:dyDescent="0.35">
      <c r="A3668" s="27"/>
      <c r="B3668" s="27"/>
      <c r="C3668" s="27"/>
      <c r="D3668" s="27"/>
      <c r="E3668" s="27"/>
      <c r="F3668" s="27"/>
      <c r="G3668" s="27"/>
      <c r="H3668" s="27"/>
      <c r="I3668" s="27"/>
    </row>
    <row r="3669" spans="1:9" x14ac:dyDescent="0.35">
      <c r="A3669" s="27"/>
      <c r="B3669" s="27"/>
      <c r="C3669" s="27"/>
      <c r="D3669" s="27"/>
      <c r="E3669" s="27"/>
      <c r="F3669" s="27"/>
      <c r="G3669" s="27"/>
      <c r="H3669" s="27"/>
      <c r="I3669" s="27"/>
    </row>
    <row r="3670" spans="1:9" x14ac:dyDescent="0.35">
      <c r="A3670" s="27"/>
      <c r="B3670" s="27"/>
      <c r="C3670" s="27"/>
      <c r="D3670" s="27"/>
      <c r="E3670" s="27"/>
      <c r="F3670" s="27"/>
      <c r="G3670" s="27"/>
      <c r="H3670" s="27"/>
      <c r="I3670" s="27"/>
    </row>
    <row r="3671" spans="1:9" x14ac:dyDescent="0.35">
      <c r="A3671" s="27"/>
      <c r="B3671" s="27"/>
      <c r="C3671" s="27"/>
      <c r="D3671" s="27"/>
      <c r="E3671" s="27"/>
      <c r="F3671" s="27"/>
      <c r="G3671" s="27"/>
      <c r="H3671" s="27"/>
      <c r="I3671" s="27"/>
    </row>
    <row r="3672" spans="1:9" x14ac:dyDescent="0.35">
      <c r="A3672" s="27"/>
      <c r="B3672" s="27"/>
      <c r="C3672" s="27"/>
      <c r="D3672" s="27"/>
      <c r="E3672" s="27"/>
      <c r="F3672" s="27"/>
      <c r="G3672" s="27"/>
      <c r="H3672" s="27"/>
      <c r="I3672" s="27"/>
    </row>
    <row r="3673" spans="1:9" x14ac:dyDescent="0.35">
      <c r="A3673" s="27"/>
      <c r="B3673" s="27"/>
      <c r="C3673" s="27"/>
      <c r="D3673" s="27"/>
      <c r="E3673" s="27"/>
      <c r="F3673" s="27"/>
      <c r="G3673" s="27"/>
      <c r="H3673" s="27"/>
      <c r="I3673" s="27"/>
    </row>
    <row r="3674" spans="1:9" x14ac:dyDescent="0.35">
      <c r="A3674" s="27"/>
      <c r="B3674" s="27"/>
      <c r="C3674" s="27"/>
      <c r="D3674" s="27"/>
      <c r="E3674" s="27"/>
      <c r="F3674" s="27"/>
      <c r="G3674" s="27"/>
      <c r="H3674" s="27"/>
      <c r="I3674" s="27"/>
    </row>
    <row r="3675" spans="1:9" x14ac:dyDescent="0.35">
      <c r="A3675" s="27"/>
      <c r="B3675" s="27"/>
      <c r="C3675" s="27"/>
      <c r="D3675" s="27"/>
      <c r="E3675" s="27"/>
      <c r="F3675" s="27"/>
      <c r="G3675" s="27"/>
      <c r="H3675" s="27"/>
      <c r="I3675" s="27"/>
    </row>
    <row r="3676" spans="1:9" x14ac:dyDescent="0.35">
      <c r="A3676" s="27"/>
      <c r="B3676" s="27"/>
      <c r="C3676" s="27"/>
      <c r="D3676" s="27"/>
      <c r="E3676" s="27"/>
      <c r="F3676" s="27"/>
      <c r="G3676" s="27"/>
      <c r="H3676" s="27"/>
      <c r="I3676" s="27"/>
    </row>
    <row r="3677" spans="1:9" x14ac:dyDescent="0.35">
      <c r="A3677" s="27"/>
      <c r="B3677" s="27"/>
      <c r="C3677" s="27"/>
      <c r="D3677" s="27"/>
      <c r="E3677" s="27"/>
      <c r="F3677" s="27"/>
      <c r="G3677" s="27"/>
      <c r="H3677" s="27"/>
      <c r="I3677" s="27"/>
    </row>
    <row r="3678" spans="1:9" x14ac:dyDescent="0.35">
      <c r="A3678" s="27"/>
      <c r="B3678" s="27"/>
      <c r="C3678" s="27"/>
      <c r="D3678" s="27"/>
      <c r="E3678" s="27"/>
      <c r="F3678" s="27"/>
      <c r="G3678" s="27"/>
      <c r="H3678" s="27"/>
      <c r="I3678" s="27"/>
    </row>
    <row r="3679" spans="1:9" x14ac:dyDescent="0.35">
      <c r="A3679" s="27"/>
      <c r="B3679" s="27"/>
      <c r="C3679" s="27"/>
      <c r="D3679" s="27"/>
      <c r="E3679" s="27"/>
      <c r="F3679" s="27"/>
      <c r="G3679" s="27"/>
      <c r="H3679" s="27"/>
      <c r="I3679" s="27"/>
    </row>
    <row r="3680" spans="1:9" x14ac:dyDescent="0.35">
      <c r="A3680" s="27"/>
      <c r="B3680" s="27"/>
      <c r="C3680" s="27"/>
      <c r="D3680" s="27"/>
      <c r="E3680" s="27"/>
      <c r="F3680" s="27"/>
      <c r="G3680" s="27"/>
      <c r="H3680" s="27"/>
      <c r="I3680" s="27"/>
    </row>
    <row r="3681" spans="1:9" x14ac:dyDescent="0.35">
      <c r="A3681" s="27"/>
      <c r="B3681" s="27"/>
      <c r="C3681" s="27"/>
      <c r="D3681" s="27"/>
      <c r="E3681" s="27"/>
      <c r="F3681" s="27"/>
      <c r="G3681" s="27"/>
      <c r="H3681" s="27"/>
      <c r="I3681" s="27"/>
    </row>
    <row r="3682" spans="1:9" x14ac:dyDescent="0.35">
      <c r="A3682" s="27"/>
      <c r="B3682" s="27"/>
      <c r="C3682" s="27"/>
      <c r="D3682" s="27"/>
      <c r="E3682" s="27"/>
      <c r="F3682" s="27"/>
      <c r="G3682" s="27"/>
      <c r="H3682" s="27"/>
      <c r="I3682" s="27"/>
    </row>
    <row r="3683" spans="1:9" x14ac:dyDescent="0.35">
      <c r="A3683" s="27"/>
      <c r="B3683" s="27"/>
      <c r="C3683" s="27"/>
      <c r="D3683" s="27"/>
      <c r="E3683" s="27"/>
      <c r="F3683" s="27"/>
      <c r="G3683" s="27"/>
      <c r="H3683" s="27"/>
      <c r="I3683" s="27"/>
    </row>
    <row r="3684" spans="1:9" x14ac:dyDescent="0.35">
      <c r="A3684" s="27"/>
      <c r="B3684" s="27"/>
      <c r="C3684" s="27"/>
      <c r="D3684" s="27"/>
      <c r="E3684" s="27"/>
      <c r="F3684" s="27"/>
      <c r="G3684" s="27"/>
      <c r="H3684" s="27"/>
      <c r="I3684" s="27"/>
    </row>
    <row r="3685" spans="1:9" x14ac:dyDescent="0.35">
      <c r="A3685" s="27"/>
      <c r="B3685" s="27"/>
      <c r="C3685" s="27"/>
      <c r="D3685" s="27"/>
      <c r="E3685" s="27"/>
      <c r="F3685" s="27"/>
      <c r="G3685" s="27"/>
      <c r="H3685" s="27"/>
      <c r="I3685" s="27"/>
    </row>
    <row r="3686" spans="1:9" x14ac:dyDescent="0.35">
      <c r="A3686" s="27"/>
      <c r="B3686" s="27"/>
      <c r="C3686" s="27"/>
      <c r="D3686" s="27"/>
      <c r="E3686" s="27"/>
      <c r="F3686" s="27"/>
      <c r="G3686" s="27"/>
      <c r="H3686" s="27"/>
      <c r="I3686" s="27"/>
    </row>
    <row r="3687" spans="1:9" x14ac:dyDescent="0.35">
      <c r="A3687" s="27"/>
      <c r="B3687" s="27"/>
      <c r="C3687" s="27"/>
      <c r="D3687" s="27"/>
      <c r="E3687" s="27"/>
      <c r="F3687" s="27"/>
      <c r="G3687" s="27"/>
      <c r="H3687" s="27"/>
      <c r="I3687" s="27"/>
    </row>
    <row r="3688" spans="1:9" x14ac:dyDescent="0.35">
      <c r="A3688" s="27"/>
      <c r="B3688" s="27"/>
      <c r="C3688" s="27"/>
      <c r="D3688" s="27"/>
      <c r="E3688" s="27"/>
      <c r="F3688" s="27"/>
      <c r="G3688" s="27"/>
      <c r="H3688" s="27"/>
      <c r="I3688" s="27"/>
    </row>
    <row r="3689" spans="1:9" x14ac:dyDescent="0.35">
      <c r="A3689" s="27"/>
      <c r="B3689" s="27"/>
      <c r="C3689" s="27"/>
      <c r="D3689" s="27"/>
      <c r="E3689" s="27"/>
      <c r="F3689" s="27"/>
      <c r="G3689" s="27"/>
      <c r="H3689" s="27"/>
      <c r="I3689" s="27"/>
    </row>
    <row r="3690" spans="1:9" x14ac:dyDescent="0.35">
      <c r="A3690" s="27"/>
      <c r="B3690" s="27"/>
      <c r="C3690" s="27"/>
      <c r="D3690" s="27"/>
      <c r="E3690" s="27"/>
      <c r="F3690" s="27"/>
      <c r="G3690" s="27"/>
      <c r="H3690" s="27"/>
      <c r="I3690" s="27"/>
    </row>
    <row r="3691" spans="1:9" x14ac:dyDescent="0.35">
      <c r="A3691" s="27"/>
      <c r="B3691" s="27"/>
      <c r="C3691" s="27"/>
      <c r="D3691" s="27"/>
      <c r="E3691" s="27"/>
      <c r="F3691" s="27"/>
      <c r="G3691" s="27"/>
      <c r="H3691" s="27"/>
      <c r="I3691" s="27"/>
    </row>
    <row r="3692" spans="1:9" x14ac:dyDescent="0.35">
      <c r="A3692" s="27"/>
      <c r="B3692" s="27"/>
      <c r="C3692" s="27"/>
      <c r="D3692" s="27"/>
      <c r="E3692" s="27"/>
      <c r="F3692" s="27"/>
      <c r="G3692" s="27"/>
      <c r="H3692" s="27"/>
      <c r="I3692" s="27"/>
    </row>
    <row r="3693" spans="1:9" x14ac:dyDescent="0.35">
      <c r="A3693" s="27"/>
      <c r="B3693" s="27"/>
      <c r="C3693" s="27"/>
      <c r="D3693" s="27"/>
      <c r="E3693" s="27"/>
      <c r="F3693" s="27"/>
      <c r="G3693" s="27"/>
      <c r="H3693" s="27"/>
      <c r="I3693" s="27"/>
    </row>
    <row r="3694" spans="1:9" x14ac:dyDescent="0.35">
      <c r="A3694" s="27"/>
      <c r="B3694" s="27"/>
      <c r="C3694" s="27"/>
      <c r="D3694" s="27"/>
      <c r="E3694" s="27"/>
      <c r="F3694" s="27"/>
      <c r="G3694" s="27"/>
      <c r="H3694" s="27"/>
      <c r="I3694" s="27"/>
    </row>
    <row r="3695" spans="1:9" x14ac:dyDescent="0.35">
      <c r="A3695" s="27"/>
      <c r="B3695" s="27"/>
      <c r="C3695" s="27"/>
      <c r="D3695" s="27"/>
      <c r="E3695" s="27"/>
      <c r="F3695" s="27"/>
      <c r="G3695" s="27"/>
      <c r="H3695" s="27"/>
      <c r="I3695" s="27"/>
    </row>
    <row r="3696" spans="1:9" x14ac:dyDescent="0.35">
      <c r="A3696" s="27"/>
      <c r="B3696" s="27"/>
      <c r="C3696" s="27"/>
      <c r="D3696" s="27"/>
      <c r="E3696" s="27"/>
      <c r="F3696" s="27"/>
      <c r="G3696" s="27"/>
      <c r="H3696" s="27"/>
      <c r="I3696" s="27"/>
    </row>
    <row r="3697" spans="1:9" x14ac:dyDescent="0.35">
      <c r="A3697" s="27"/>
      <c r="B3697" s="27"/>
      <c r="C3697" s="27"/>
      <c r="D3697" s="27"/>
      <c r="E3697" s="27"/>
      <c r="F3697" s="27"/>
      <c r="G3697" s="27"/>
      <c r="H3697" s="27"/>
      <c r="I3697" s="27"/>
    </row>
    <row r="3698" spans="1:9" x14ac:dyDescent="0.35">
      <c r="A3698" s="27"/>
      <c r="B3698" s="27"/>
      <c r="C3698" s="27"/>
      <c r="D3698" s="27"/>
      <c r="E3698" s="27"/>
      <c r="F3698" s="27"/>
      <c r="G3698" s="27"/>
      <c r="H3698" s="27"/>
      <c r="I3698" s="27"/>
    </row>
    <row r="3699" spans="1:9" x14ac:dyDescent="0.35">
      <c r="A3699" s="27"/>
      <c r="B3699" s="27"/>
      <c r="C3699" s="27"/>
      <c r="D3699" s="27"/>
      <c r="E3699" s="27"/>
      <c r="F3699" s="27"/>
      <c r="G3699" s="27"/>
      <c r="H3699" s="27"/>
      <c r="I3699" s="27"/>
    </row>
    <row r="3700" spans="1:9" x14ac:dyDescent="0.35">
      <c r="A3700" s="27"/>
      <c r="B3700" s="27"/>
      <c r="C3700" s="27"/>
      <c r="D3700" s="27"/>
      <c r="E3700" s="27"/>
      <c r="F3700" s="27"/>
      <c r="G3700" s="27"/>
      <c r="H3700" s="27"/>
      <c r="I3700" s="27"/>
    </row>
    <row r="3701" spans="1:9" x14ac:dyDescent="0.35">
      <c r="A3701" s="27"/>
      <c r="B3701" s="27"/>
      <c r="C3701" s="27"/>
      <c r="D3701" s="27"/>
      <c r="E3701" s="27"/>
      <c r="F3701" s="27"/>
      <c r="G3701" s="27"/>
      <c r="H3701" s="27"/>
      <c r="I3701" s="27"/>
    </row>
    <row r="3702" spans="1:9" x14ac:dyDescent="0.35">
      <c r="A3702" s="27"/>
      <c r="B3702" s="27"/>
      <c r="C3702" s="27"/>
      <c r="D3702" s="27"/>
      <c r="E3702" s="27"/>
      <c r="F3702" s="27"/>
      <c r="G3702" s="27"/>
      <c r="H3702" s="27"/>
      <c r="I3702" s="27"/>
    </row>
    <row r="3703" spans="1:9" x14ac:dyDescent="0.35">
      <c r="A3703" s="27"/>
      <c r="B3703" s="27"/>
      <c r="C3703" s="27"/>
      <c r="D3703" s="27"/>
      <c r="E3703" s="27"/>
      <c r="F3703" s="27"/>
      <c r="G3703" s="27"/>
      <c r="H3703" s="27"/>
      <c r="I3703" s="27"/>
    </row>
    <row r="3704" spans="1:9" x14ac:dyDescent="0.35">
      <c r="A3704" s="27"/>
      <c r="B3704" s="27"/>
      <c r="C3704" s="27"/>
      <c r="D3704" s="27"/>
      <c r="E3704" s="27"/>
      <c r="F3704" s="27"/>
      <c r="G3704" s="27"/>
      <c r="H3704" s="27"/>
      <c r="I3704" s="27"/>
    </row>
    <row r="3705" spans="1:9" x14ac:dyDescent="0.35">
      <c r="A3705" s="27"/>
      <c r="B3705" s="27"/>
      <c r="C3705" s="27"/>
      <c r="D3705" s="27"/>
      <c r="E3705" s="27"/>
      <c r="F3705" s="27"/>
      <c r="G3705" s="27"/>
      <c r="H3705" s="27"/>
      <c r="I3705" s="27"/>
    </row>
    <row r="3706" spans="1:9" x14ac:dyDescent="0.35">
      <c r="A3706" s="27"/>
      <c r="B3706" s="27"/>
      <c r="C3706" s="27"/>
      <c r="D3706" s="27"/>
      <c r="E3706" s="27"/>
      <c r="F3706" s="27"/>
      <c r="G3706" s="27"/>
      <c r="H3706" s="27"/>
      <c r="I3706" s="27"/>
    </row>
    <row r="3707" spans="1:9" x14ac:dyDescent="0.35">
      <c r="A3707" s="27"/>
      <c r="B3707" s="27"/>
      <c r="C3707" s="27"/>
      <c r="D3707" s="27"/>
      <c r="E3707" s="27"/>
      <c r="F3707" s="27"/>
      <c r="G3707" s="27"/>
      <c r="H3707" s="27"/>
      <c r="I3707" s="27"/>
    </row>
    <row r="3708" spans="1:9" x14ac:dyDescent="0.35">
      <c r="A3708" s="27"/>
      <c r="B3708" s="27"/>
      <c r="C3708" s="27"/>
      <c r="D3708" s="27"/>
      <c r="E3708" s="27"/>
      <c r="F3708" s="27"/>
      <c r="G3708" s="27"/>
      <c r="H3708" s="27"/>
      <c r="I3708" s="27"/>
    </row>
    <row r="3709" spans="1:9" x14ac:dyDescent="0.35">
      <c r="A3709" s="27"/>
      <c r="B3709" s="27"/>
      <c r="C3709" s="27"/>
      <c r="D3709" s="27"/>
      <c r="E3709" s="27"/>
      <c r="F3709" s="27"/>
      <c r="G3709" s="27"/>
      <c r="H3709" s="27"/>
      <c r="I3709" s="27"/>
    </row>
    <row r="3710" spans="1:9" x14ac:dyDescent="0.35">
      <c r="A3710" s="27"/>
      <c r="B3710" s="27"/>
      <c r="C3710" s="27"/>
      <c r="D3710" s="27"/>
      <c r="E3710" s="27"/>
      <c r="F3710" s="27"/>
      <c r="G3710" s="27"/>
      <c r="H3710" s="27"/>
      <c r="I3710" s="27"/>
    </row>
    <row r="3711" spans="1:9" x14ac:dyDescent="0.35">
      <c r="A3711" s="27"/>
      <c r="B3711" s="27"/>
      <c r="C3711" s="27"/>
      <c r="D3711" s="27"/>
      <c r="E3711" s="27"/>
      <c r="F3711" s="27"/>
      <c r="G3711" s="27"/>
      <c r="H3711" s="27"/>
      <c r="I3711" s="27"/>
    </row>
    <row r="3712" spans="1:9" x14ac:dyDescent="0.35">
      <c r="A3712" s="27"/>
      <c r="B3712" s="27"/>
      <c r="C3712" s="27"/>
      <c r="D3712" s="27"/>
      <c r="E3712" s="27"/>
      <c r="F3712" s="27"/>
      <c r="G3712" s="27"/>
      <c r="H3712" s="27"/>
      <c r="I3712" s="27"/>
    </row>
    <row r="3713" spans="1:9" x14ac:dyDescent="0.35">
      <c r="A3713" s="27"/>
      <c r="B3713" s="27"/>
      <c r="C3713" s="27"/>
      <c r="D3713" s="27"/>
      <c r="E3713" s="27"/>
      <c r="F3713" s="27"/>
      <c r="G3713" s="27"/>
      <c r="H3713" s="27"/>
      <c r="I3713" s="27"/>
    </row>
    <row r="3714" spans="1:9" x14ac:dyDescent="0.35">
      <c r="A3714" s="27"/>
      <c r="B3714" s="27"/>
      <c r="C3714" s="27"/>
      <c r="D3714" s="27"/>
      <c r="E3714" s="27"/>
      <c r="F3714" s="27"/>
      <c r="G3714" s="27"/>
      <c r="H3714" s="27"/>
      <c r="I3714" s="27"/>
    </row>
    <row r="3715" spans="1:9" x14ac:dyDescent="0.35">
      <c r="A3715" s="27"/>
      <c r="B3715" s="27"/>
      <c r="C3715" s="27"/>
      <c r="D3715" s="27"/>
      <c r="E3715" s="27"/>
      <c r="F3715" s="27"/>
      <c r="G3715" s="27"/>
      <c r="H3715" s="27"/>
      <c r="I3715" s="27"/>
    </row>
    <row r="3716" spans="1:9" x14ac:dyDescent="0.35">
      <c r="A3716" s="27"/>
      <c r="B3716" s="27"/>
      <c r="C3716" s="27"/>
      <c r="D3716" s="27"/>
      <c r="E3716" s="27"/>
      <c r="F3716" s="27"/>
      <c r="G3716" s="27"/>
      <c r="H3716" s="27"/>
      <c r="I3716" s="27"/>
    </row>
    <row r="3717" spans="1:9" x14ac:dyDescent="0.35">
      <c r="A3717" s="27"/>
      <c r="B3717" s="27"/>
      <c r="C3717" s="27"/>
      <c r="D3717" s="27"/>
      <c r="E3717" s="27"/>
      <c r="F3717" s="27"/>
      <c r="G3717" s="27"/>
      <c r="H3717" s="27"/>
      <c r="I3717" s="27"/>
    </row>
    <row r="3718" spans="1:9" x14ac:dyDescent="0.35">
      <c r="A3718" s="27"/>
      <c r="B3718" s="27"/>
      <c r="C3718" s="27"/>
      <c r="D3718" s="27"/>
      <c r="E3718" s="27"/>
      <c r="F3718" s="27"/>
      <c r="G3718" s="27"/>
      <c r="H3718" s="27"/>
      <c r="I3718" s="27"/>
    </row>
    <row r="3719" spans="1:9" x14ac:dyDescent="0.35">
      <c r="A3719" s="27"/>
      <c r="B3719" s="27"/>
      <c r="C3719" s="27"/>
      <c r="D3719" s="27"/>
      <c r="E3719" s="27"/>
      <c r="F3719" s="27"/>
      <c r="G3719" s="27"/>
      <c r="H3719" s="27"/>
      <c r="I3719" s="27"/>
    </row>
    <row r="3720" spans="1:9" x14ac:dyDescent="0.35">
      <c r="A3720" s="27"/>
      <c r="B3720" s="27"/>
      <c r="C3720" s="27"/>
      <c r="D3720" s="27"/>
      <c r="E3720" s="27"/>
      <c r="F3720" s="27"/>
      <c r="G3720" s="27"/>
      <c r="H3720" s="27"/>
      <c r="I3720" s="27"/>
    </row>
    <row r="3721" spans="1:9" x14ac:dyDescent="0.35">
      <c r="A3721" s="27"/>
      <c r="B3721" s="27"/>
      <c r="C3721" s="27"/>
      <c r="D3721" s="27"/>
      <c r="E3721" s="27"/>
      <c r="F3721" s="27"/>
      <c r="G3721" s="27"/>
      <c r="H3721" s="27"/>
      <c r="I3721" s="27"/>
    </row>
    <row r="3722" spans="1:9" x14ac:dyDescent="0.35">
      <c r="A3722" s="27"/>
      <c r="B3722" s="27"/>
      <c r="C3722" s="27"/>
      <c r="D3722" s="27"/>
      <c r="E3722" s="27"/>
      <c r="F3722" s="27"/>
      <c r="G3722" s="27"/>
      <c r="H3722" s="27"/>
      <c r="I3722" s="27"/>
    </row>
    <row r="3723" spans="1:9" x14ac:dyDescent="0.35">
      <c r="A3723" s="27"/>
      <c r="B3723" s="27"/>
      <c r="C3723" s="27"/>
      <c r="D3723" s="27"/>
      <c r="E3723" s="27"/>
      <c r="F3723" s="27"/>
      <c r="G3723" s="27"/>
      <c r="H3723" s="27"/>
      <c r="I3723" s="27"/>
    </row>
    <row r="3724" spans="1:9" x14ac:dyDescent="0.35">
      <c r="A3724" s="27"/>
      <c r="B3724" s="27"/>
      <c r="C3724" s="27"/>
      <c r="D3724" s="27"/>
      <c r="E3724" s="27"/>
      <c r="F3724" s="27"/>
      <c r="G3724" s="27"/>
      <c r="H3724" s="27"/>
      <c r="I3724" s="27"/>
    </row>
    <row r="3725" spans="1:9" x14ac:dyDescent="0.35">
      <c r="A3725" s="27"/>
      <c r="B3725" s="27"/>
      <c r="C3725" s="27"/>
      <c r="D3725" s="27"/>
      <c r="E3725" s="27"/>
      <c r="F3725" s="27"/>
      <c r="G3725" s="27"/>
      <c r="H3725" s="27"/>
      <c r="I3725" s="27"/>
    </row>
    <row r="3726" spans="1:9" x14ac:dyDescent="0.35">
      <c r="A3726" s="27"/>
      <c r="B3726" s="27"/>
      <c r="C3726" s="27"/>
      <c r="D3726" s="27"/>
      <c r="E3726" s="27"/>
      <c r="F3726" s="27"/>
      <c r="G3726" s="27"/>
      <c r="H3726" s="27"/>
      <c r="I3726" s="27"/>
    </row>
    <row r="3727" spans="1:9" x14ac:dyDescent="0.35">
      <c r="A3727" s="27"/>
      <c r="B3727" s="27"/>
      <c r="C3727" s="27"/>
      <c r="D3727" s="27"/>
      <c r="E3727" s="27"/>
      <c r="F3727" s="27"/>
      <c r="G3727" s="27"/>
      <c r="H3727" s="27"/>
      <c r="I3727" s="27"/>
    </row>
    <row r="3728" spans="1:9" x14ac:dyDescent="0.35">
      <c r="A3728" s="27"/>
      <c r="B3728" s="27"/>
      <c r="C3728" s="27"/>
      <c r="D3728" s="27"/>
      <c r="E3728" s="27"/>
      <c r="F3728" s="27"/>
      <c r="G3728" s="27"/>
      <c r="H3728" s="27"/>
      <c r="I3728" s="27"/>
    </row>
    <row r="3729" spans="1:9" x14ac:dyDescent="0.35">
      <c r="A3729" s="27"/>
      <c r="B3729" s="27"/>
      <c r="C3729" s="27"/>
      <c r="D3729" s="27"/>
      <c r="E3729" s="27"/>
      <c r="F3729" s="27"/>
      <c r="G3729" s="27"/>
      <c r="H3729" s="27"/>
      <c r="I3729" s="27"/>
    </row>
    <row r="3730" spans="1:9" x14ac:dyDescent="0.35">
      <c r="A3730" s="27"/>
      <c r="B3730" s="27"/>
      <c r="C3730" s="27"/>
      <c r="D3730" s="27"/>
      <c r="E3730" s="27"/>
      <c r="F3730" s="27"/>
      <c r="G3730" s="27"/>
      <c r="H3730" s="27"/>
      <c r="I3730" s="27"/>
    </row>
    <row r="3731" spans="1:9" x14ac:dyDescent="0.35">
      <c r="A3731" s="27"/>
      <c r="B3731" s="27"/>
      <c r="C3731" s="27"/>
      <c r="D3731" s="27"/>
      <c r="E3731" s="27"/>
      <c r="F3731" s="27"/>
      <c r="G3731" s="27"/>
      <c r="H3731" s="27"/>
      <c r="I3731" s="27"/>
    </row>
    <row r="3732" spans="1:9" x14ac:dyDescent="0.35">
      <c r="A3732" s="27"/>
      <c r="B3732" s="27"/>
      <c r="C3732" s="27"/>
      <c r="D3732" s="27"/>
      <c r="E3732" s="27"/>
      <c r="F3732" s="27"/>
      <c r="G3732" s="27"/>
      <c r="H3732" s="27"/>
      <c r="I3732" s="27"/>
    </row>
    <row r="3733" spans="1:9" x14ac:dyDescent="0.35">
      <c r="A3733" s="27"/>
      <c r="B3733" s="27"/>
      <c r="C3733" s="27"/>
      <c r="D3733" s="27"/>
      <c r="E3733" s="27"/>
      <c r="F3733" s="27"/>
      <c r="G3733" s="27"/>
      <c r="H3733" s="27"/>
      <c r="I3733" s="27"/>
    </row>
    <row r="3734" spans="1:9" x14ac:dyDescent="0.35">
      <c r="A3734" s="27"/>
      <c r="B3734" s="27"/>
      <c r="C3734" s="27"/>
      <c r="D3734" s="27"/>
      <c r="E3734" s="27"/>
      <c r="F3734" s="27"/>
      <c r="G3734" s="27"/>
      <c r="H3734" s="27"/>
      <c r="I3734" s="27"/>
    </row>
    <row r="3735" spans="1:9" x14ac:dyDescent="0.35">
      <c r="A3735" s="27"/>
      <c r="B3735" s="27"/>
      <c r="C3735" s="27"/>
      <c r="D3735" s="27"/>
      <c r="E3735" s="27"/>
      <c r="F3735" s="27"/>
      <c r="G3735" s="27"/>
      <c r="H3735" s="27"/>
      <c r="I3735" s="27"/>
    </row>
    <row r="3736" spans="1:9" x14ac:dyDescent="0.35">
      <c r="A3736" s="27"/>
      <c r="B3736" s="27"/>
      <c r="C3736" s="27"/>
      <c r="D3736" s="27"/>
      <c r="E3736" s="27"/>
      <c r="F3736" s="27"/>
      <c r="G3736" s="27"/>
      <c r="H3736" s="27"/>
      <c r="I3736" s="27"/>
    </row>
    <row r="3737" spans="1:9" x14ac:dyDescent="0.35">
      <c r="A3737" s="27"/>
      <c r="B3737" s="27"/>
      <c r="C3737" s="27"/>
      <c r="D3737" s="27"/>
      <c r="E3737" s="27"/>
      <c r="F3737" s="27"/>
      <c r="G3737" s="27"/>
      <c r="H3737" s="27"/>
      <c r="I3737" s="27"/>
    </row>
    <row r="3738" spans="1:9" x14ac:dyDescent="0.35">
      <c r="A3738" s="27"/>
      <c r="B3738" s="27"/>
      <c r="C3738" s="27"/>
      <c r="D3738" s="27"/>
      <c r="E3738" s="27"/>
      <c r="F3738" s="27"/>
      <c r="G3738" s="27"/>
      <c r="H3738" s="27"/>
      <c r="I3738" s="27"/>
    </row>
    <row r="3739" spans="1:9" x14ac:dyDescent="0.35">
      <c r="A3739" s="27"/>
      <c r="B3739" s="27"/>
      <c r="C3739" s="27"/>
      <c r="D3739" s="27"/>
      <c r="E3739" s="27"/>
      <c r="F3739" s="27"/>
      <c r="G3739" s="27"/>
      <c r="H3739" s="27"/>
      <c r="I3739" s="27"/>
    </row>
    <row r="3740" spans="1:9" x14ac:dyDescent="0.35">
      <c r="A3740" s="27"/>
      <c r="B3740" s="27"/>
      <c r="C3740" s="27"/>
      <c r="D3740" s="27"/>
      <c r="E3740" s="27"/>
      <c r="F3740" s="27"/>
      <c r="G3740" s="27"/>
      <c r="H3740" s="27"/>
      <c r="I3740" s="27"/>
    </row>
    <row r="3741" spans="1:9" x14ac:dyDescent="0.35">
      <c r="A3741" s="27"/>
      <c r="B3741" s="27"/>
      <c r="C3741" s="27"/>
      <c r="D3741" s="27"/>
      <c r="E3741" s="27"/>
      <c r="F3741" s="27"/>
      <c r="G3741" s="27"/>
      <c r="H3741" s="27"/>
      <c r="I3741" s="27"/>
    </row>
    <row r="3742" spans="1:9" x14ac:dyDescent="0.35">
      <c r="A3742" s="27"/>
      <c r="B3742" s="27"/>
      <c r="C3742" s="27"/>
      <c r="D3742" s="27"/>
      <c r="E3742" s="27"/>
      <c r="F3742" s="27"/>
      <c r="G3742" s="27"/>
      <c r="H3742" s="27"/>
      <c r="I3742" s="27"/>
    </row>
    <row r="3743" spans="1:9" x14ac:dyDescent="0.35">
      <c r="A3743" s="27"/>
      <c r="B3743" s="27"/>
      <c r="C3743" s="27"/>
      <c r="D3743" s="27"/>
      <c r="E3743" s="27"/>
      <c r="F3743" s="27"/>
      <c r="G3743" s="27"/>
      <c r="H3743" s="27"/>
      <c r="I3743" s="27"/>
    </row>
    <row r="3744" spans="1:9" x14ac:dyDescent="0.35">
      <c r="A3744" s="27"/>
      <c r="B3744" s="27"/>
      <c r="C3744" s="27"/>
      <c r="D3744" s="27"/>
      <c r="E3744" s="27"/>
      <c r="F3744" s="27"/>
      <c r="G3744" s="27"/>
      <c r="H3744" s="27"/>
      <c r="I3744" s="27"/>
    </row>
    <row r="3745" spans="1:9" x14ac:dyDescent="0.35">
      <c r="A3745" s="27"/>
      <c r="B3745" s="27"/>
      <c r="C3745" s="27"/>
      <c r="D3745" s="27"/>
      <c r="E3745" s="27"/>
      <c r="F3745" s="27"/>
      <c r="G3745" s="27"/>
      <c r="H3745" s="27"/>
      <c r="I3745" s="27"/>
    </row>
    <row r="3746" spans="1:9" x14ac:dyDescent="0.35">
      <c r="A3746" s="27"/>
      <c r="B3746" s="27"/>
      <c r="C3746" s="27"/>
      <c r="D3746" s="27"/>
      <c r="E3746" s="27"/>
      <c r="F3746" s="27"/>
      <c r="G3746" s="27"/>
      <c r="H3746" s="27"/>
      <c r="I3746" s="27"/>
    </row>
    <row r="3747" spans="1:9" x14ac:dyDescent="0.35">
      <c r="A3747" s="27"/>
      <c r="B3747" s="27"/>
      <c r="C3747" s="27"/>
      <c r="D3747" s="27"/>
      <c r="E3747" s="27"/>
      <c r="F3747" s="27"/>
      <c r="G3747" s="27"/>
      <c r="H3747" s="27"/>
      <c r="I3747" s="27"/>
    </row>
    <row r="3748" spans="1:9" x14ac:dyDescent="0.35">
      <c r="A3748" s="27"/>
      <c r="B3748" s="27"/>
      <c r="C3748" s="27"/>
      <c r="D3748" s="27"/>
      <c r="E3748" s="27"/>
      <c r="F3748" s="27"/>
      <c r="G3748" s="27"/>
      <c r="H3748" s="27"/>
      <c r="I3748" s="27"/>
    </row>
    <row r="3749" spans="1:9" x14ac:dyDescent="0.35">
      <c r="A3749" s="27"/>
      <c r="B3749" s="27"/>
      <c r="C3749" s="27"/>
      <c r="D3749" s="27"/>
      <c r="E3749" s="27"/>
      <c r="F3749" s="27"/>
      <c r="G3749" s="27"/>
      <c r="H3749" s="27"/>
      <c r="I3749" s="27"/>
    </row>
    <row r="3750" spans="1:9" x14ac:dyDescent="0.35">
      <c r="A3750" s="27"/>
      <c r="B3750" s="27"/>
      <c r="C3750" s="27"/>
      <c r="D3750" s="27"/>
      <c r="E3750" s="27"/>
      <c r="F3750" s="27"/>
      <c r="G3750" s="27"/>
      <c r="H3750" s="27"/>
      <c r="I3750" s="27"/>
    </row>
    <row r="3751" spans="1:9" x14ac:dyDescent="0.35">
      <c r="A3751" s="27"/>
      <c r="B3751" s="27"/>
      <c r="C3751" s="27"/>
      <c r="D3751" s="27"/>
      <c r="E3751" s="27"/>
      <c r="F3751" s="27"/>
      <c r="G3751" s="27"/>
      <c r="H3751" s="27"/>
      <c r="I3751" s="27"/>
    </row>
    <row r="3752" spans="1:9" x14ac:dyDescent="0.35">
      <c r="A3752" s="27"/>
      <c r="B3752" s="27"/>
      <c r="C3752" s="27"/>
      <c r="D3752" s="27"/>
      <c r="E3752" s="27"/>
      <c r="F3752" s="27"/>
      <c r="G3752" s="27"/>
      <c r="H3752" s="27"/>
      <c r="I3752" s="27"/>
    </row>
    <row r="3753" spans="1:9" x14ac:dyDescent="0.35">
      <c r="A3753" s="27"/>
      <c r="B3753" s="27"/>
      <c r="C3753" s="27"/>
      <c r="D3753" s="27"/>
      <c r="E3753" s="27"/>
      <c r="F3753" s="27"/>
      <c r="G3753" s="27"/>
      <c r="H3753" s="27"/>
      <c r="I3753" s="27"/>
    </row>
    <row r="3754" spans="1:9" x14ac:dyDescent="0.35">
      <c r="A3754" s="27"/>
      <c r="B3754" s="27"/>
      <c r="C3754" s="27"/>
      <c r="D3754" s="27"/>
      <c r="E3754" s="27"/>
      <c r="F3754" s="27"/>
      <c r="G3754" s="27"/>
      <c r="H3754" s="27"/>
      <c r="I3754" s="27"/>
    </row>
    <row r="3755" spans="1:9" x14ac:dyDescent="0.35">
      <c r="A3755" s="27"/>
      <c r="B3755" s="27"/>
      <c r="C3755" s="27"/>
      <c r="D3755" s="27"/>
      <c r="E3755" s="27"/>
      <c r="F3755" s="27"/>
      <c r="G3755" s="27"/>
      <c r="H3755" s="27"/>
      <c r="I3755" s="27"/>
    </row>
    <row r="3756" spans="1:9" x14ac:dyDescent="0.35">
      <c r="A3756" s="27"/>
      <c r="B3756" s="27"/>
      <c r="C3756" s="27"/>
      <c r="D3756" s="27"/>
      <c r="E3756" s="27"/>
      <c r="F3756" s="27"/>
      <c r="G3756" s="27"/>
      <c r="H3756" s="27"/>
      <c r="I3756" s="27"/>
    </row>
    <row r="3757" spans="1:9" x14ac:dyDescent="0.35">
      <c r="A3757" s="27"/>
      <c r="B3757" s="27"/>
      <c r="C3757" s="27"/>
      <c r="D3757" s="27"/>
      <c r="E3757" s="27"/>
      <c r="F3757" s="27"/>
      <c r="G3757" s="27"/>
      <c r="H3757" s="27"/>
      <c r="I3757" s="27"/>
    </row>
    <row r="3758" spans="1:9" x14ac:dyDescent="0.35">
      <c r="A3758" s="27"/>
      <c r="B3758" s="27"/>
      <c r="C3758" s="27"/>
      <c r="D3758" s="27"/>
      <c r="E3758" s="27"/>
      <c r="F3758" s="27"/>
      <c r="G3758" s="27"/>
      <c r="H3758" s="27"/>
      <c r="I3758" s="27"/>
    </row>
    <row r="3759" spans="1:9" x14ac:dyDescent="0.35">
      <c r="A3759" s="27"/>
      <c r="B3759" s="27"/>
      <c r="C3759" s="27"/>
      <c r="D3759" s="27"/>
      <c r="E3759" s="27"/>
      <c r="F3759" s="27"/>
      <c r="G3759" s="27"/>
      <c r="H3759" s="27"/>
      <c r="I3759" s="27"/>
    </row>
    <row r="3760" spans="1:9" x14ac:dyDescent="0.35">
      <c r="A3760" s="27"/>
      <c r="B3760" s="27"/>
      <c r="C3760" s="27"/>
      <c r="D3760" s="27"/>
      <c r="E3760" s="27"/>
      <c r="F3760" s="27"/>
      <c r="G3760" s="27"/>
      <c r="H3760" s="27"/>
      <c r="I3760" s="27"/>
    </row>
    <row r="3761" spans="1:9" x14ac:dyDescent="0.35">
      <c r="A3761" s="27"/>
      <c r="B3761" s="27"/>
      <c r="C3761" s="27"/>
      <c r="D3761" s="27"/>
      <c r="E3761" s="27"/>
      <c r="F3761" s="27"/>
      <c r="G3761" s="27"/>
      <c r="H3761" s="27"/>
      <c r="I3761" s="27"/>
    </row>
    <row r="3762" spans="1:9" x14ac:dyDescent="0.35">
      <c r="A3762" s="27"/>
      <c r="B3762" s="27"/>
      <c r="C3762" s="27"/>
      <c r="D3762" s="27"/>
      <c r="E3762" s="27"/>
      <c r="F3762" s="27"/>
      <c r="G3762" s="27"/>
      <c r="H3762" s="27"/>
      <c r="I3762" s="27"/>
    </row>
    <row r="3763" spans="1:9" x14ac:dyDescent="0.35">
      <c r="A3763" s="27"/>
      <c r="B3763" s="27"/>
      <c r="C3763" s="27"/>
      <c r="D3763" s="27"/>
      <c r="E3763" s="27"/>
      <c r="F3763" s="27"/>
      <c r="G3763" s="27"/>
      <c r="H3763" s="27"/>
      <c r="I3763" s="27"/>
    </row>
    <row r="3764" spans="1:9" x14ac:dyDescent="0.35">
      <c r="A3764" s="27"/>
      <c r="B3764" s="27"/>
      <c r="C3764" s="27"/>
      <c r="D3764" s="27"/>
      <c r="E3764" s="27"/>
      <c r="F3764" s="27"/>
      <c r="G3764" s="27"/>
      <c r="H3764" s="27"/>
      <c r="I3764" s="27"/>
    </row>
    <row r="3765" spans="1:9" x14ac:dyDescent="0.35">
      <c r="A3765" s="27"/>
      <c r="B3765" s="27"/>
      <c r="C3765" s="27"/>
      <c r="D3765" s="27"/>
      <c r="E3765" s="27"/>
      <c r="F3765" s="27"/>
      <c r="G3765" s="27"/>
      <c r="H3765" s="27"/>
      <c r="I3765" s="27"/>
    </row>
    <row r="3766" spans="1:9" x14ac:dyDescent="0.35">
      <c r="A3766" s="27"/>
      <c r="B3766" s="27"/>
      <c r="C3766" s="27"/>
      <c r="D3766" s="27"/>
      <c r="E3766" s="27"/>
      <c r="F3766" s="27"/>
      <c r="G3766" s="27"/>
      <c r="H3766" s="27"/>
      <c r="I3766" s="27"/>
    </row>
    <row r="3767" spans="1:9" x14ac:dyDescent="0.35">
      <c r="A3767" s="27"/>
      <c r="B3767" s="27"/>
      <c r="C3767" s="27"/>
      <c r="D3767" s="27"/>
      <c r="E3767" s="27"/>
      <c r="F3767" s="27"/>
      <c r="G3767" s="27"/>
      <c r="H3767" s="27"/>
      <c r="I3767" s="27"/>
    </row>
    <row r="3768" spans="1:9" x14ac:dyDescent="0.35">
      <c r="A3768" s="27"/>
      <c r="B3768" s="27"/>
      <c r="C3768" s="27"/>
      <c r="D3768" s="27"/>
      <c r="E3768" s="27"/>
      <c r="F3768" s="27"/>
      <c r="G3768" s="27"/>
      <c r="H3768" s="27"/>
      <c r="I3768" s="27"/>
    </row>
    <row r="3769" spans="1:9" x14ac:dyDescent="0.35">
      <c r="A3769" s="27"/>
      <c r="B3769" s="27"/>
      <c r="C3769" s="27"/>
      <c r="D3769" s="27"/>
      <c r="E3769" s="27"/>
      <c r="F3769" s="27"/>
      <c r="G3769" s="27"/>
      <c r="H3769" s="27"/>
      <c r="I3769" s="27"/>
    </row>
    <row r="3770" spans="1:9" x14ac:dyDescent="0.35">
      <c r="A3770" s="27"/>
      <c r="B3770" s="27"/>
      <c r="C3770" s="27"/>
      <c r="D3770" s="27"/>
      <c r="E3770" s="27"/>
      <c r="F3770" s="27"/>
      <c r="G3770" s="27"/>
      <c r="H3770" s="27"/>
      <c r="I3770" s="27"/>
    </row>
    <row r="3771" spans="1:9" x14ac:dyDescent="0.35">
      <c r="A3771" s="27"/>
      <c r="B3771" s="27"/>
      <c r="C3771" s="27"/>
      <c r="D3771" s="27"/>
      <c r="E3771" s="27"/>
      <c r="F3771" s="27"/>
      <c r="G3771" s="27"/>
      <c r="H3771" s="27"/>
      <c r="I3771" s="27"/>
    </row>
    <row r="3772" spans="1:9" x14ac:dyDescent="0.35">
      <c r="A3772" s="27"/>
      <c r="B3772" s="27"/>
      <c r="C3772" s="27"/>
      <c r="D3772" s="27"/>
      <c r="E3772" s="27"/>
      <c r="F3772" s="27"/>
      <c r="G3772" s="27"/>
      <c r="H3772" s="27"/>
      <c r="I3772" s="27"/>
    </row>
    <row r="3773" spans="1:9" x14ac:dyDescent="0.35">
      <c r="A3773" s="27"/>
      <c r="B3773" s="27"/>
      <c r="C3773" s="27"/>
      <c r="D3773" s="27"/>
      <c r="E3773" s="27"/>
      <c r="F3773" s="27"/>
      <c r="G3773" s="27"/>
      <c r="H3773" s="27"/>
      <c r="I3773" s="27"/>
    </row>
    <row r="3774" spans="1:9" x14ac:dyDescent="0.35">
      <c r="A3774" s="27"/>
      <c r="B3774" s="27"/>
      <c r="C3774" s="27"/>
      <c r="D3774" s="27"/>
      <c r="E3774" s="27"/>
      <c r="F3774" s="27"/>
      <c r="G3774" s="27"/>
      <c r="H3774" s="27"/>
      <c r="I3774" s="27"/>
    </row>
    <row r="3775" spans="1:9" x14ac:dyDescent="0.35">
      <c r="A3775" s="27"/>
      <c r="B3775" s="27"/>
      <c r="C3775" s="27"/>
      <c r="D3775" s="27"/>
      <c r="E3775" s="27"/>
      <c r="F3775" s="27"/>
      <c r="G3775" s="27"/>
      <c r="H3775" s="27"/>
      <c r="I3775" s="27"/>
    </row>
    <row r="3776" spans="1:9" x14ac:dyDescent="0.35">
      <c r="A3776" s="27"/>
      <c r="B3776" s="27"/>
      <c r="C3776" s="27"/>
      <c r="D3776" s="27"/>
      <c r="E3776" s="27"/>
      <c r="F3776" s="27"/>
      <c r="G3776" s="27"/>
      <c r="H3776" s="27"/>
      <c r="I3776" s="27"/>
    </row>
    <row r="3777" spans="1:9" x14ac:dyDescent="0.35">
      <c r="A3777" s="27"/>
      <c r="B3777" s="27"/>
      <c r="C3777" s="27"/>
      <c r="D3777" s="27"/>
      <c r="E3777" s="27"/>
      <c r="F3777" s="27"/>
      <c r="G3777" s="27"/>
      <c r="H3777" s="27"/>
      <c r="I3777" s="27"/>
    </row>
    <row r="3778" spans="1:9" x14ac:dyDescent="0.35">
      <c r="A3778" s="27"/>
      <c r="B3778" s="27"/>
      <c r="C3778" s="27"/>
      <c r="D3778" s="27"/>
      <c r="E3778" s="27"/>
      <c r="F3778" s="27"/>
      <c r="G3778" s="27"/>
      <c r="H3778" s="27"/>
      <c r="I3778" s="27"/>
    </row>
    <row r="3779" spans="1:9" x14ac:dyDescent="0.35">
      <c r="A3779" s="27"/>
      <c r="B3779" s="27"/>
      <c r="C3779" s="27"/>
      <c r="D3779" s="27"/>
      <c r="E3779" s="27"/>
      <c r="F3779" s="27"/>
      <c r="G3779" s="27"/>
      <c r="H3779" s="27"/>
      <c r="I3779" s="27"/>
    </row>
    <row r="3780" spans="1:9" x14ac:dyDescent="0.35">
      <c r="A3780" s="27"/>
      <c r="B3780" s="27"/>
      <c r="C3780" s="27"/>
      <c r="D3780" s="27"/>
      <c r="E3780" s="27"/>
      <c r="F3780" s="27"/>
      <c r="G3780" s="27"/>
      <c r="H3780" s="27"/>
      <c r="I3780" s="27"/>
    </row>
    <row r="3781" spans="1:9" x14ac:dyDescent="0.35">
      <c r="A3781" s="27"/>
      <c r="B3781" s="27"/>
      <c r="C3781" s="27"/>
      <c r="D3781" s="27"/>
      <c r="E3781" s="27"/>
      <c r="F3781" s="27"/>
      <c r="G3781" s="27"/>
      <c r="H3781" s="27"/>
      <c r="I3781" s="27"/>
    </row>
    <row r="3782" spans="1:9" x14ac:dyDescent="0.35">
      <c r="A3782" s="27"/>
      <c r="B3782" s="27"/>
      <c r="C3782" s="27"/>
      <c r="D3782" s="27"/>
      <c r="E3782" s="27"/>
      <c r="F3782" s="27"/>
      <c r="G3782" s="27"/>
      <c r="H3782" s="27"/>
      <c r="I3782" s="27"/>
    </row>
    <row r="3783" spans="1:9" x14ac:dyDescent="0.35">
      <c r="A3783" s="27"/>
      <c r="B3783" s="27"/>
      <c r="C3783" s="27"/>
      <c r="D3783" s="27"/>
      <c r="E3783" s="27"/>
      <c r="F3783" s="27"/>
      <c r="G3783" s="27"/>
      <c r="H3783" s="27"/>
      <c r="I3783" s="27"/>
    </row>
    <row r="3784" spans="1:9" x14ac:dyDescent="0.35">
      <c r="A3784" s="27"/>
      <c r="B3784" s="27"/>
      <c r="C3784" s="27"/>
      <c r="D3784" s="27"/>
      <c r="E3784" s="27"/>
      <c r="F3784" s="27"/>
      <c r="G3784" s="27"/>
      <c r="H3784" s="27"/>
      <c r="I3784" s="27"/>
    </row>
    <row r="3785" spans="1:9" x14ac:dyDescent="0.35">
      <c r="A3785" s="27"/>
      <c r="B3785" s="27"/>
      <c r="C3785" s="27"/>
      <c r="D3785" s="27"/>
      <c r="E3785" s="27"/>
      <c r="F3785" s="27"/>
      <c r="G3785" s="27"/>
      <c r="H3785" s="27"/>
      <c r="I3785" s="27"/>
    </row>
    <row r="3786" spans="1:9" x14ac:dyDescent="0.35">
      <c r="A3786" s="27"/>
      <c r="B3786" s="27"/>
      <c r="C3786" s="27"/>
      <c r="D3786" s="27"/>
      <c r="E3786" s="27"/>
      <c r="F3786" s="27"/>
      <c r="G3786" s="27"/>
      <c r="H3786" s="27"/>
      <c r="I3786" s="27"/>
    </row>
    <row r="3787" spans="1:9" x14ac:dyDescent="0.35">
      <c r="A3787" s="27"/>
      <c r="B3787" s="27"/>
      <c r="C3787" s="27"/>
      <c r="D3787" s="27"/>
      <c r="E3787" s="27"/>
      <c r="F3787" s="27"/>
      <c r="G3787" s="27"/>
      <c r="H3787" s="27"/>
      <c r="I3787" s="27"/>
    </row>
    <row r="3788" spans="1:9" x14ac:dyDescent="0.35">
      <c r="A3788" s="27"/>
      <c r="B3788" s="27"/>
      <c r="C3788" s="27"/>
      <c r="D3788" s="27"/>
      <c r="E3788" s="27"/>
      <c r="F3788" s="27"/>
      <c r="G3788" s="27"/>
      <c r="H3788" s="27"/>
      <c r="I3788" s="27"/>
    </row>
    <row r="3789" spans="1:9" x14ac:dyDescent="0.35">
      <c r="A3789" s="27"/>
      <c r="B3789" s="27"/>
      <c r="C3789" s="27"/>
      <c r="D3789" s="27"/>
      <c r="E3789" s="27"/>
      <c r="F3789" s="27"/>
      <c r="G3789" s="27"/>
      <c r="H3789" s="27"/>
      <c r="I3789" s="27"/>
    </row>
    <row r="3790" spans="1:9" x14ac:dyDescent="0.35">
      <c r="A3790" s="27"/>
      <c r="B3790" s="27"/>
      <c r="C3790" s="27"/>
      <c r="D3790" s="27"/>
      <c r="E3790" s="27"/>
      <c r="F3790" s="27"/>
      <c r="G3790" s="27"/>
      <c r="H3790" s="27"/>
      <c r="I3790" s="27"/>
    </row>
    <row r="3791" spans="1:9" x14ac:dyDescent="0.35">
      <c r="A3791" s="27"/>
      <c r="B3791" s="27"/>
      <c r="C3791" s="27"/>
      <c r="D3791" s="27"/>
      <c r="E3791" s="27"/>
      <c r="F3791" s="27"/>
      <c r="G3791" s="27"/>
      <c r="H3791" s="27"/>
      <c r="I3791" s="27"/>
    </row>
    <row r="3792" spans="1:9" x14ac:dyDescent="0.35">
      <c r="A3792" s="27"/>
      <c r="B3792" s="27"/>
      <c r="C3792" s="27"/>
      <c r="D3792" s="27"/>
      <c r="E3792" s="27"/>
      <c r="F3792" s="27"/>
      <c r="G3792" s="27"/>
      <c r="H3792" s="27"/>
      <c r="I3792" s="27"/>
    </row>
    <row r="3793" spans="1:9" x14ac:dyDescent="0.35">
      <c r="A3793" s="27"/>
      <c r="B3793" s="27"/>
      <c r="C3793" s="27"/>
      <c r="D3793" s="27"/>
      <c r="E3793" s="27"/>
      <c r="F3793" s="27"/>
      <c r="G3793" s="27"/>
      <c r="H3793" s="27"/>
      <c r="I3793" s="27"/>
    </row>
    <row r="3794" spans="1:9" x14ac:dyDescent="0.35">
      <c r="A3794" s="27"/>
      <c r="B3794" s="27"/>
      <c r="C3794" s="27"/>
      <c r="D3794" s="27"/>
      <c r="E3794" s="27"/>
      <c r="F3794" s="27"/>
      <c r="G3794" s="27"/>
      <c r="H3794" s="27"/>
      <c r="I3794" s="27"/>
    </row>
    <row r="3795" spans="1:9" x14ac:dyDescent="0.35">
      <c r="A3795" s="27"/>
      <c r="B3795" s="27"/>
      <c r="C3795" s="27"/>
      <c r="D3795" s="27"/>
      <c r="E3795" s="27"/>
      <c r="F3795" s="27"/>
      <c r="G3795" s="27"/>
      <c r="H3795" s="27"/>
      <c r="I3795" s="27"/>
    </row>
    <row r="3796" spans="1:9" x14ac:dyDescent="0.35">
      <c r="A3796" s="27"/>
      <c r="B3796" s="27"/>
      <c r="C3796" s="27"/>
      <c r="D3796" s="27"/>
      <c r="E3796" s="27"/>
      <c r="F3796" s="27"/>
      <c r="G3796" s="27"/>
      <c r="H3796" s="27"/>
      <c r="I3796" s="27"/>
    </row>
    <row r="3797" spans="1:9" x14ac:dyDescent="0.35">
      <c r="A3797" s="27"/>
      <c r="B3797" s="27"/>
      <c r="C3797" s="27"/>
      <c r="D3797" s="27"/>
      <c r="E3797" s="27"/>
      <c r="F3797" s="27"/>
      <c r="G3797" s="27"/>
      <c r="H3797" s="27"/>
      <c r="I3797" s="27"/>
    </row>
    <row r="3798" spans="1:9" x14ac:dyDescent="0.35">
      <c r="A3798" s="27"/>
      <c r="B3798" s="27"/>
      <c r="C3798" s="27"/>
      <c r="D3798" s="27"/>
      <c r="E3798" s="27"/>
      <c r="F3798" s="27"/>
      <c r="G3798" s="27"/>
      <c r="H3798" s="27"/>
      <c r="I3798" s="27"/>
    </row>
    <row r="3799" spans="1:9" x14ac:dyDescent="0.35">
      <c r="A3799" s="27"/>
      <c r="B3799" s="27"/>
      <c r="C3799" s="27"/>
      <c r="D3799" s="27"/>
      <c r="E3799" s="27"/>
      <c r="F3799" s="27"/>
      <c r="G3799" s="27"/>
      <c r="H3799" s="27"/>
      <c r="I3799" s="27"/>
    </row>
    <row r="3800" spans="1:9" x14ac:dyDescent="0.35">
      <c r="A3800" s="27"/>
      <c r="B3800" s="27"/>
      <c r="C3800" s="27"/>
      <c r="D3800" s="27"/>
      <c r="E3800" s="27"/>
      <c r="F3800" s="27"/>
      <c r="G3800" s="27"/>
      <c r="H3800" s="27"/>
      <c r="I3800" s="27"/>
    </row>
    <row r="3801" spans="1:9" x14ac:dyDescent="0.35">
      <c r="A3801" s="27"/>
      <c r="B3801" s="27"/>
      <c r="C3801" s="27"/>
      <c r="D3801" s="27"/>
      <c r="E3801" s="27"/>
      <c r="F3801" s="27"/>
      <c r="G3801" s="27"/>
      <c r="H3801" s="27"/>
      <c r="I3801" s="27"/>
    </row>
    <row r="3802" spans="1:9" x14ac:dyDescent="0.35">
      <c r="A3802" s="27"/>
      <c r="B3802" s="27"/>
      <c r="C3802" s="27"/>
      <c r="D3802" s="27"/>
      <c r="E3802" s="27"/>
      <c r="F3802" s="27"/>
      <c r="G3802" s="27"/>
      <c r="H3802" s="27"/>
      <c r="I3802" s="27"/>
    </row>
    <row r="3803" spans="1:9" x14ac:dyDescent="0.35">
      <c r="A3803" s="27"/>
      <c r="B3803" s="27"/>
      <c r="C3803" s="27"/>
      <c r="D3803" s="27"/>
      <c r="E3803" s="27"/>
      <c r="F3803" s="27"/>
      <c r="G3803" s="27"/>
      <c r="H3803" s="27"/>
      <c r="I3803" s="27"/>
    </row>
    <row r="3804" spans="1:9" x14ac:dyDescent="0.35">
      <c r="A3804" s="27"/>
      <c r="B3804" s="27"/>
      <c r="C3804" s="27"/>
      <c r="D3804" s="27"/>
      <c r="E3804" s="27"/>
      <c r="F3804" s="27"/>
      <c r="G3804" s="27"/>
      <c r="H3804" s="27"/>
      <c r="I3804" s="27"/>
    </row>
    <row r="3805" spans="1:9" x14ac:dyDescent="0.35">
      <c r="A3805" s="27"/>
      <c r="B3805" s="27"/>
      <c r="C3805" s="27"/>
      <c r="D3805" s="27"/>
      <c r="E3805" s="27"/>
      <c r="F3805" s="27"/>
      <c r="G3805" s="27"/>
      <c r="H3805" s="27"/>
      <c r="I3805" s="27"/>
    </row>
    <row r="3806" spans="1:9" x14ac:dyDescent="0.35">
      <c r="A3806" s="27"/>
      <c r="B3806" s="27"/>
      <c r="C3806" s="27"/>
      <c r="D3806" s="27"/>
      <c r="E3806" s="27"/>
      <c r="F3806" s="27"/>
      <c r="G3806" s="27"/>
      <c r="H3806" s="27"/>
      <c r="I3806" s="27"/>
    </row>
    <row r="3807" spans="1:9" x14ac:dyDescent="0.35">
      <c r="A3807" s="27"/>
      <c r="B3807" s="27"/>
      <c r="C3807" s="27"/>
      <c r="D3807" s="27"/>
      <c r="E3807" s="27"/>
      <c r="F3807" s="27"/>
      <c r="G3807" s="27"/>
      <c r="H3807" s="27"/>
      <c r="I3807" s="27"/>
    </row>
    <row r="3808" spans="1:9" x14ac:dyDescent="0.35">
      <c r="A3808" s="27"/>
      <c r="B3808" s="27"/>
      <c r="C3808" s="27"/>
      <c r="D3808" s="27"/>
      <c r="E3808" s="27"/>
      <c r="F3808" s="27"/>
      <c r="G3808" s="27"/>
      <c r="H3808" s="27"/>
      <c r="I3808" s="27"/>
    </row>
    <row r="3809" spans="1:9" x14ac:dyDescent="0.35">
      <c r="A3809" s="27"/>
      <c r="B3809" s="27"/>
      <c r="C3809" s="27"/>
      <c r="D3809" s="27"/>
      <c r="E3809" s="27"/>
      <c r="F3809" s="27"/>
      <c r="G3809" s="27"/>
      <c r="H3809" s="27"/>
      <c r="I3809" s="27"/>
    </row>
    <row r="3810" spans="1:9" x14ac:dyDescent="0.35">
      <c r="A3810" s="27"/>
      <c r="B3810" s="27"/>
      <c r="C3810" s="27"/>
      <c r="D3810" s="27"/>
      <c r="E3810" s="27"/>
      <c r="F3810" s="27"/>
      <c r="G3810" s="27"/>
      <c r="H3810" s="27"/>
      <c r="I3810" s="27"/>
    </row>
    <row r="3811" spans="1:9" x14ac:dyDescent="0.35">
      <c r="A3811" s="27"/>
      <c r="B3811" s="27"/>
      <c r="C3811" s="27"/>
      <c r="D3811" s="27"/>
      <c r="E3811" s="27"/>
      <c r="F3811" s="27"/>
      <c r="G3811" s="27"/>
      <c r="H3811" s="27"/>
      <c r="I3811" s="27"/>
    </row>
    <row r="3812" spans="1:9" x14ac:dyDescent="0.35">
      <c r="A3812" s="27"/>
      <c r="B3812" s="27"/>
      <c r="C3812" s="27"/>
      <c r="D3812" s="27"/>
      <c r="E3812" s="27"/>
      <c r="F3812" s="27"/>
      <c r="G3812" s="27"/>
      <c r="H3812" s="27"/>
      <c r="I3812" s="27"/>
    </row>
    <row r="3813" spans="1:9" x14ac:dyDescent="0.35">
      <c r="A3813" s="27"/>
      <c r="B3813" s="27"/>
      <c r="C3813" s="27"/>
      <c r="D3813" s="27"/>
      <c r="E3813" s="27"/>
      <c r="F3813" s="27"/>
      <c r="G3813" s="27"/>
      <c r="H3813" s="27"/>
      <c r="I3813" s="27"/>
    </row>
    <row r="3814" spans="1:9" x14ac:dyDescent="0.35">
      <c r="A3814" s="27"/>
      <c r="B3814" s="27"/>
      <c r="C3814" s="27"/>
      <c r="D3814" s="27"/>
      <c r="E3814" s="27"/>
      <c r="F3814" s="27"/>
      <c r="G3814" s="27"/>
      <c r="H3814" s="27"/>
      <c r="I3814" s="27"/>
    </row>
    <row r="3815" spans="1:9" x14ac:dyDescent="0.35">
      <c r="A3815" s="27"/>
      <c r="B3815" s="27"/>
      <c r="C3815" s="27"/>
      <c r="D3815" s="27"/>
      <c r="E3815" s="27"/>
      <c r="F3815" s="27"/>
      <c r="G3815" s="27"/>
      <c r="H3815" s="27"/>
      <c r="I3815" s="27"/>
    </row>
    <row r="3816" spans="1:9" x14ac:dyDescent="0.35">
      <c r="A3816" s="27"/>
      <c r="B3816" s="27"/>
      <c r="C3816" s="27"/>
      <c r="D3816" s="27"/>
      <c r="E3816" s="27"/>
      <c r="F3816" s="27"/>
      <c r="G3816" s="27"/>
      <c r="H3816" s="27"/>
      <c r="I3816" s="27"/>
    </row>
    <row r="3817" spans="1:9" x14ac:dyDescent="0.35">
      <c r="A3817" s="27"/>
      <c r="B3817" s="27"/>
      <c r="C3817" s="27"/>
      <c r="D3817" s="27"/>
      <c r="E3817" s="27"/>
      <c r="F3817" s="27"/>
      <c r="G3817" s="27"/>
      <c r="H3817" s="27"/>
      <c r="I3817" s="27"/>
    </row>
    <row r="3818" spans="1:9" x14ac:dyDescent="0.35">
      <c r="A3818" s="27"/>
      <c r="B3818" s="27"/>
      <c r="C3818" s="27"/>
      <c r="D3818" s="27"/>
      <c r="E3818" s="27"/>
      <c r="F3818" s="27"/>
      <c r="G3818" s="27"/>
      <c r="H3818" s="27"/>
      <c r="I3818" s="27"/>
    </row>
    <row r="3819" spans="1:9" x14ac:dyDescent="0.35">
      <c r="A3819" s="27"/>
      <c r="B3819" s="27"/>
      <c r="C3819" s="27"/>
      <c r="D3819" s="27"/>
      <c r="E3819" s="27"/>
      <c r="F3819" s="27"/>
      <c r="G3819" s="27"/>
      <c r="H3819" s="27"/>
      <c r="I3819" s="27"/>
    </row>
    <row r="3820" spans="1:9" x14ac:dyDescent="0.35">
      <c r="A3820" s="27"/>
      <c r="B3820" s="27"/>
      <c r="C3820" s="27"/>
      <c r="D3820" s="27"/>
      <c r="E3820" s="27"/>
      <c r="F3820" s="27"/>
      <c r="G3820" s="27"/>
      <c r="H3820" s="27"/>
      <c r="I3820" s="27"/>
    </row>
    <row r="3821" spans="1:9" x14ac:dyDescent="0.35">
      <c r="A3821" s="27"/>
      <c r="B3821" s="27"/>
      <c r="C3821" s="27"/>
      <c r="D3821" s="27"/>
      <c r="E3821" s="27"/>
      <c r="F3821" s="27"/>
      <c r="G3821" s="27"/>
      <c r="H3821" s="27"/>
      <c r="I3821" s="27"/>
    </row>
    <row r="3822" spans="1:9" x14ac:dyDescent="0.35">
      <c r="A3822" s="27"/>
      <c r="B3822" s="27"/>
      <c r="C3822" s="27"/>
      <c r="D3822" s="27"/>
      <c r="E3822" s="27"/>
      <c r="F3822" s="27"/>
      <c r="G3822" s="27"/>
      <c r="H3822" s="27"/>
      <c r="I3822" s="27"/>
    </row>
    <row r="3823" spans="1:9" x14ac:dyDescent="0.35">
      <c r="A3823" s="27"/>
      <c r="B3823" s="27"/>
      <c r="C3823" s="27"/>
      <c r="D3823" s="27"/>
      <c r="E3823" s="27"/>
      <c r="F3823" s="27"/>
      <c r="G3823" s="27"/>
      <c r="H3823" s="27"/>
      <c r="I3823" s="27"/>
    </row>
    <row r="3824" spans="1:9" x14ac:dyDescent="0.35">
      <c r="A3824" s="27"/>
      <c r="B3824" s="27"/>
      <c r="C3824" s="27"/>
      <c r="D3824" s="27"/>
      <c r="E3824" s="27"/>
      <c r="F3824" s="27"/>
      <c r="G3824" s="27"/>
      <c r="H3824" s="27"/>
      <c r="I3824" s="27"/>
    </row>
    <row r="3825" spans="1:9" x14ac:dyDescent="0.35">
      <c r="A3825" s="27"/>
      <c r="B3825" s="27"/>
      <c r="C3825" s="27"/>
      <c r="D3825" s="27"/>
      <c r="E3825" s="27"/>
      <c r="F3825" s="27"/>
      <c r="G3825" s="27"/>
      <c r="H3825" s="27"/>
      <c r="I3825" s="27"/>
    </row>
    <row r="3826" spans="1:9" x14ac:dyDescent="0.35">
      <c r="A3826" s="27"/>
      <c r="B3826" s="27"/>
      <c r="C3826" s="27"/>
      <c r="D3826" s="27"/>
      <c r="E3826" s="27"/>
      <c r="F3826" s="27"/>
      <c r="G3826" s="27"/>
      <c r="H3826" s="27"/>
      <c r="I3826" s="27"/>
    </row>
    <row r="3827" spans="1:9" x14ac:dyDescent="0.35">
      <c r="A3827" s="27"/>
      <c r="B3827" s="27"/>
      <c r="C3827" s="27"/>
      <c r="D3827" s="27"/>
      <c r="E3827" s="27"/>
      <c r="F3827" s="27"/>
      <c r="G3827" s="27"/>
      <c r="H3827" s="27"/>
      <c r="I3827" s="27"/>
    </row>
    <row r="3828" spans="1:9" x14ac:dyDescent="0.35">
      <c r="A3828" s="27"/>
      <c r="B3828" s="27"/>
      <c r="C3828" s="27"/>
      <c r="D3828" s="27"/>
      <c r="E3828" s="27"/>
      <c r="F3828" s="27"/>
      <c r="G3828" s="27"/>
      <c r="H3828" s="27"/>
      <c r="I3828" s="27"/>
    </row>
    <row r="3829" spans="1:9" x14ac:dyDescent="0.35">
      <c r="A3829" s="27"/>
      <c r="B3829" s="27"/>
      <c r="C3829" s="27"/>
      <c r="D3829" s="27"/>
      <c r="E3829" s="27"/>
      <c r="F3829" s="27"/>
      <c r="G3829" s="27"/>
      <c r="H3829" s="27"/>
      <c r="I3829" s="27"/>
    </row>
    <row r="3830" spans="1:9" x14ac:dyDescent="0.35">
      <c r="A3830" s="27"/>
      <c r="B3830" s="27"/>
      <c r="C3830" s="27"/>
      <c r="D3830" s="27"/>
      <c r="E3830" s="27"/>
      <c r="F3830" s="27"/>
      <c r="G3830" s="27"/>
      <c r="H3830" s="27"/>
      <c r="I3830" s="27"/>
    </row>
    <row r="3831" spans="1:9" x14ac:dyDescent="0.35">
      <c r="A3831" s="27"/>
      <c r="B3831" s="27"/>
      <c r="C3831" s="27"/>
      <c r="D3831" s="27"/>
      <c r="E3831" s="27"/>
      <c r="F3831" s="27"/>
      <c r="G3831" s="27"/>
      <c r="H3831" s="27"/>
      <c r="I3831" s="27"/>
    </row>
    <row r="3832" spans="1:9" x14ac:dyDescent="0.35">
      <c r="A3832" s="27"/>
      <c r="B3832" s="27"/>
      <c r="C3832" s="27"/>
      <c r="D3832" s="27"/>
      <c r="E3832" s="27"/>
      <c r="F3832" s="27"/>
      <c r="G3832" s="27"/>
      <c r="H3832" s="27"/>
      <c r="I3832" s="27"/>
    </row>
    <row r="3833" spans="1:9" x14ac:dyDescent="0.35">
      <c r="A3833" s="27"/>
      <c r="B3833" s="27"/>
      <c r="C3833" s="27"/>
      <c r="D3833" s="27"/>
      <c r="E3833" s="27"/>
      <c r="F3833" s="27"/>
      <c r="G3833" s="27"/>
      <c r="H3833" s="27"/>
      <c r="I3833" s="27"/>
    </row>
    <row r="3834" spans="1:9" x14ac:dyDescent="0.35">
      <c r="A3834" s="27"/>
      <c r="B3834" s="27"/>
      <c r="C3834" s="27"/>
      <c r="D3834" s="27"/>
      <c r="E3834" s="27"/>
      <c r="F3834" s="27"/>
      <c r="G3834" s="27"/>
      <c r="H3834" s="27"/>
      <c r="I3834" s="27"/>
    </row>
    <row r="3835" spans="1:9" x14ac:dyDescent="0.35">
      <c r="A3835" s="27"/>
      <c r="B3835" s="27"/>
      <c r="C3835" s="27"/>
      <c r="D3835" s="27"/>
      <c r="E3835" s="27"/>
      <c r="F3835" s="27"/>
      <c r="G3835" s="27"/>
      <c r="H3835" s="27"/>
      <c r="I3835" s="27"/>
    </row>
    <row r="3836" spans="1:9" x14ac:dyDescent="0.35">
      <c r="A3836" s="27"/>
      <c r="B3836" s="27"/>
      <c r="C3836" s="27"/>
      <c r="D3836" s="27"/>
      <c r="E3836" s="27"/>
      <c r="F3836" s="27"/>
      <c r="G3836" s="27"/>
      <c r="H3836" s="27"/>
      <c r="I3836" s="27"/>
    </row>
    <row r="3837" spans="1:9" x14ac:dyDescent="0.35">
      <c r="A3837" s="27"/>
      <c r="B3837" s="27"/>
      <c r="C3837" s="27"/>
      <c r="D3837" s="27"/>
      <c r="E3837" s="27"/>
      <c r="F3837" s="27"/>
      <c r="G3837" s="27"/>
      <c r="H3837" s="27"/>
      <c r="I3837" s="27"/>
    </row>
    <row r="3838" spans="1:9" x14ac:dyDescent="0.35">
      <c r="A3838" s="27"/>
      <c r="B3838" s="27"/>
      <c r="C3838" s="27"/>
      <c r="D3838" s="27"/>
      <c r="E3838" s="27"/>
      <c r="F3838" s="27"/>
      <c r="G3838" s="27"/>
      <c r="H3838" s="27"/>
      <c r="I3838" s="27"/>
    </row>
    <row r="3839" spans="1:9" x14ac:dyDescent="0.35">
      <c r="A3839" s="27"/>
      <c r="B3839" s="27"/>
      <c r="C3839" s="27"/>
      <c r="D3839" s="27"/>
      <c r="E3839" s="27"/>
      <c r="F3839" s="27"/>
      <c r="G3839" s="27"/>
      <c r="H3839" s="27"/>
      <c r="I3839" s="27"/>
    </row>
    <row r="3840" spans="1:9" x14ac:dyDescent="0.35">
      <c r="A3840" s="27"/>
      <c r="B3840" s="27"/>
      <c r="C3840" s="27"/>
      <c r="D3840" s="27"/>
      <c r="E3840" s="27"/>
      <c r="F3840" s="27"/>
      <c r="G3840" s="27"/>
      <c r="H3840" s="27"/>
      <c r="I3840" s="27"/>
    </row>
    <row r="3841" spans="1:9" x14ac:dyDescent="0.35">
      <c r="A3841" s="27"/>
      <c r="B3841" s="27"/>
      <c r="C3841" s="27"/>
      <c r="D3841" s="27"/>
      <c r="E3841" s="27"/>
      <c r="F3841" s="27"/>
      <c r="G3841" s="27"/>
      <c r="H3841" s="27"/>
      <c r="I3841" s="27"/>
    </row>
    <row r="3842" spans="1:9" x14ac:dyDescent="0.35">
      <c r="A3842" s="27"/>
      <c r="B3842" s="27"/>
      <c r="C3842" s="27"/>
      <c r="D3842" s="27"/>
      <c r="E3842" s="27"/>
      <c r="F3842" s="27"/>
      <c r="G3842" s="27"/>
      <c r="H3842" s="27"/>
      <c r="I3842" s="27"/>
    </row>
    <row r="3843" spans="1:9" x14ac:dyDescent="0.35">
      <c r="A3843" s="27"/>
      <c r="B3843" s="27"/>
      <c r="C3843" s="27"/>
      <c r="D3843" s="27"/>
      <c r="E3843" s="27"/>
      <c r="F3843" s="27"/>
      <c r="G3843" s="27"/>
      <c r="H3843" s="27"/>
      <c r="I3843" s="27"/>
    </row>
    <row r="3844" spans="1:9" x14ac:dyDescent="0.35">
      <c r="A3844" s="27"/>
      <c r="B3844" s="27"/>
      <c r="C3844" s="27"/>
      <c r="D3844" s="27"/>
      <c r="E3844" s="27"/>
      <c r="F3844" s="27"/>
      <c r="G3844" s="27"/>
      <c r="H3844" s="27"/>
      <c r="I3844" s="27"/>
    </row>
    <row r="3845" spans="1:9" x14ac:dyDescent="0.35">
      <c r="A3845" s="27"/>
      <c r="B3845" s="27"/>
      <c r="C3845" s="27"/>
      <c r="D3845" s="27"/>
      <c r="E3845" s="27"/>
      <c r="F3845" s="27"/>
      <c r="G3845" s="27"/>
      <c r="H3845" s="27"/>
      <c r="I3845" s="27"/>
    </row>
    <row r="3846" spans="1:9" x14ac:dyDescent="0.35">
      <c r="A3846" s="27"/>
      <c r="B3846" s="27"/>
      <c r="C3846" s="27"/>
      <c r="D3846" s="27"/>
      <c r="E3846" s="27"/>
      <c r="F3846" s="27"/>
      <c r="G3846" s="27"/>
      <c r="H3846" s="27"/>
      <c r="I3846" s="27"/>
    </row>
    <row r="3847" spans="1:9" x14ac:dyDescent="0.35">
      <c r="A3847" s="27"/>
      <c r="B3847" s="27"/>
      <c r="C3847" s="27"/>
      <c r="D3847" s="27"/>
      <c r="E3847" s="27"/>
      <c r="F3847" s="27"/>
      <c r="G3847" s="27"/>
      <c r="H3847" s="27"/>
      <c r="I3847" s="27"/>
    </row>
    <row r="3848" spans="1:9" x14ac:dyDescent="0.35">
      <c r="A3848" s="27"/>
      <c r="B3848" s="27"/>
      <c r="C3848" s="27"/>
      <c r="D3848" s="27"/>
      <c r="E3848" s="27"/>
      <c r="F3848" s="27"/>
      <c r="G3848" s="27"/>
      <c r="H3848" s="27"/>
      <c r="I3848" s="27"/>
    </row>
    <row r="3849" spans="1:9" x14ac:dyDescent="0.35">
      <c r="A3849" s="27"/>
      <c r="B3849" s="27"/>
      <c r="C3849" s="27"/>
      <c r="D3849" s="27"/>
      <c r="E3849" s="27"/>
      <c r="F3849" s="27"/>
      <c r="G3849" s="27"/>
      <c r="H3849" s="27"/>
      <c r="I3849" s="27"/>
    </row>
    <row r="3850" spans="1:9" x14ac:dyDescent="0.35">
      <c r="A3850" s="27"/>
      <c r="B3850" s="27"/>
      <c r="C3850" s="27"/>
      <c r="D3850" s="27"/>
      <c r="E3850" s="27"/>
      <c r="F3850" s="27"/>
      <c r="G3850" s="27"/>
      <c r="H3850" s="27"/>
      <c r="I3850" s="27"/>
    </row>
    <row r="3851" spans="1:9" x14ac:dyDescent="0.35">
      <c r="A3851" s="27"/>
      <c r="B3851" s="27"/>
      <c r="C3851" s="27"/>
      <c r="D3851" s="27"/>
      <c r="E3851" s="27"/>
      <c r="F3851" s="27"/>
      <c r="G3851" s="27"/>
      <c r="H3851" s="27"/>
      <c r="I3851" s="27"/>
    </row>
    <row r="3852" spans="1:9" x14ac:dyDescent="0.35">
      <c r="A3852" s="27"/>
      <c r="B3852" s="27"/>
      <c r="C3852" s="27"/>
      <c r="D3852" s="27"/>
      <c r="E3852" s="27"/>
      <c r="F3852" s="27"/>
      <c r="G3852" s="27"/>
      <c r="H3852" s="27"/>
      <c r="I3852" s="27"/>
    </row>
    <row r="3853" spans="1:9" x14ac:dyDescent="0.35">
      <c r="A3853" s="27"/>
      <c r="B3853" s="27"/>
      <c r="C3853" s="27"/>
      <c r="D3853" s="27"/>
      <c r="E3853" s="27"/>
      <c r="F3853" s="27"/>
      <c r="G3853" s="27"/>
      <c r="H3853" s="27"/>
      <c r="I3853" s="27"/>
    </row>
    <row r="3854" spans="1:9" x14ac:dyDescent="0.35">
      <c r="A3854" s="27"/>
      <c r="B3854" s="27"/>
      <c r="C3854" s="27"/>
      <c r="D3854" s="27"/>
      <c r="E3854" s="27"/>
      <c r="F3854" s="27"/>
      <c r="G3854" s="27"/>
      <c r="H3854" s="27"/>
      <c r="I3854" s="27"/>
    </row>
    <row r="3855" spans="1:9" x14ac:dyDescent="0.35">
      <c r="A3855" s="27"/>
      <c r="B3855" s="27"/>
      <c r="C3855" s="27"/>
      <c r="D3855" s="27"/>
      <c r="E3855" s="27"/>
      <c r="F3855" s="27"/>
      <c r="G3855" s="27"/>
      <c r="H3855" s="27"/>
      <c r="I3855" s="27"/>
    </row>
    <row r="3856" spans="1:9" x14ac:dyDescent="0.35">
      <c r="A3856" s="27"/>
      <c r="B3856" s="27"/>
      <c r="C3856" s="27"/>
      <c r="D3856" s="27"/>
      <c r="E3856" s="27"/>
      <c r="F3856" s="27"/>
      <c r="G3856" s="27"/>
      <c r="H3856" s="27"/>
      <c r="I3856" s="27"/>
    </row>
    <row r="3857" spans="1:9" x14ac:dyDescent="0.35">
      <c r="A3857" s="27"/>
      <c r="B3857" s="27"/>
      <c r="C3857" s="27"/>
      <c r="D3857" s="27"/>
      <c r="E3857" s="27"/>
      <c r="F3857" s="27"/>
      <c r="G3857" s="27"/>
      <c r="H3857" s="27"/>
      <c r="I3857" s="27"/>
    </row>
    <row r="3858" spans="1:9" x14ac:dyDescent="0.35">
      <c r="A3858" s="27"/>
      <c r="B3858" s="27"/>
      <c r="C3858" s="27"/>
      <c r="D3858" s="27"/>
      <c r="E3858" s="27"/>
      <c r="F3858" s="27"/>
      <c r="G3858" s="27"/>
      <c r="H3858" s="27"/>
      <c r="I3858" s="27"/>
    </row>
    <row r="3859" spans="1:9" x14ac:dyDescent="0.35">
      <c r="A3859" s="27"/>
      <c r="B3859" s="27"/>
      <c r="C3859" s="27"/>
      <c r="D3859" s="27"/>
      <c r="E3859" s="27"/>
      <c r="F3859" s="27"/>
      <c r="G3859" s="27"/>
      <c r="H3859" s="27"/>
      <c r="I3859" s="27"/>
    </row>
    <row r="3860" spans="1:9" x14ac:dyDescent="0.35">
      <c r="A3860" s="27"/>
      <c r="B3860" s="27"/>
      <c r="C3860" s="27"/>
      <c r="D3860" s="27"/>
      <c r="E3860" s="27"/>
      <c r="F3860" s="27"/>
      <c r="G3860" s="27"/>
      <c r="H3860" s="27"/>
      <c r="I3860" s="27"/>
    </row>
    <row r="3861" spans="1:9" x14ac:dyDescent="0.35">
      <c r="A3861" s="27"/>
      <c r="B3861" s="27"/>
      <c r="C3861" s="27"/>
      <c r="D3861" s="27"/>
      <c r="E3861" s="27"/>
      <c r="F3861" s="27"/>
      <c r="G3861" s="27"/>
      <c r="H3861" s="27"/>
      <c r="I3861" s="27"/>
    </row>
    <row r="3862" spans="1:9" x14ac:dyDescent="0.35">
      <c r="A3862" s="27"/>
      <c r="B3862" s="27"/>
      <c r="C3862" s="27"/>
      <c r="D3862" s="27"/>
      <c r="E3862" s="27"/>
      <c r="F3862" s="27"/>
      <c r="G3862" s="27"/>
      <c r="H3862" s="27"/>
      <c r="I3862" s="27"/>
    </row>
    <row r="3863" spans="1:9" x14ac:dyDescent="0.35">
      <c r="A3863" s="27"/>
      <c r="B3863" s="27"/>
      <c r="C3863" s="27"/>
      <c r="D3863" s="27"/>
      <c r="E3863" s="27"/>
      <c r="F3863" s="27"/>
      <c r="G3863" s="27"/>
      <c r="H3863" s="27"/>
      <c r="I3863" s="27"/>
    </row>
    <row r="3864" spans="1:9" x14ac:dyDescent="0.35">
      <c r="A3864" s="27"/>
      <c r="B3864" s="27"/>
      <c r="C3864" s="27"/>
      <c r="D3864" s="27"/>
      <c r="E3864" s="27"/>
      <c r="F3864" s="27"/>
      <c r="G3864" s="27"/>
      <c r="H3864" s="27"/>
      <c r="I3864" s="27"/>
    </row>
    <row r="3865" spans="1:9" x14ac:dyDescent="0.35">
      <c r="A3865" s="27"/>
      <c r="B3865" s="27"/>
      <c r="C3865" s="27"/>
      <c r="D3865" s="27"/>
      <c r="E3865" s="27"/>
      <c r="F3865" s="27"/>
      <c r="G3865" s="27"/>
      <c r="H3865" s="27"/>
      <c r="I3865" s="27"/>
    </row>
    <row r="3866" spans="1:9" x14ac:dyDescent="0.35">
      <c r="A3866" s="27"/>
      <c r="B3866" s="27"/>
      <c r="C3866" s="27"/>
      <c r="D3866" s="27"/>
      <c r="E3866" s="27"/>
      <c r="F3866" s="27"/>
      <c r="G3866" s="27"/>
      <c r="H3866" s="27"/>
      <c r="I3866" s="27"/>
    </row>
    <row r="3867" spans="1:9" x14ac:dyDescent="0.35">
      <c r="A3867" s="27"/>
      <c r="B3867" s="27"/>
      <c r="C3867" s="27"/>
      <c r="D3867" s="27"/>
      <c r="E3867" s="27"/>
      <c r="F3867" s="27"/>
      <c r="G3867" s="27"/>
      <c r="H3867" s="27"/>
      <c r="I3867" s="27"/>
    </row>
    <row r="3868" spans="1:9" x14ac:dyDescent="0.35">
      <c r="A3868" s="27"/>
      <c r="B3868" s="27"/>
      <c r="C3868" s="27"/>
      <c r="D3868" s="27"/>
      <c r="E3868" s="27"/>
      <c r="F3868" s="27"/>
      <c r="G3868" s="27"/>
      <c r="H3868" s="27"/>
      <c r="I3868" s="27"/>
    </row>
    <row r="3869" spans="1:9" x14ac:dyDescent="0.35">
      <c r="A3869" s="27"/>
      <c r="B3869" s="27"/>
      <c r="C3869" s="27"/>
      <c r="D3869" s="27"/>
      <c r="E3869" s="27"/>
      <c r="F3869" s="27"/>
      <c r="G3869" s="27"/>
      <c r="H3869" s="27"/>
      <c r="I3869" s="27"/>
    </row>
    <row r="3870" spans="1:9" x14ac:dyDescent="0.35">
      <c r="A3870" s="27"/>
      <c r="B3870" s="27"/>
      <c r="C3870" s="27"/>
      <c r="D3870" s="27"/>
      <c r="E3870" s="27"/>
      <c r="F3870" s="27"/>
      <c r="G3870" s="27"/>
      <c r="H3870" s="27"/>
      <c r="I3870" s="27"/>
    </row>
    <row r="3871" spans="1:9" x14ac:dyDescent="0.35">
      <c r="A3871" s="27"/>
      <c r="B3871" s="27"/>
      <c r="C3871" s="27"/>
      <c r="D3871" s="27"/>
      <c r="E3871" s="27"/>
      <c r="F3871" s="27"/>
      <c r="G3871" s="27"/>
      <c r="H3871" s="27"/>
      <c r="I3871" s="27"/>
    </row>
    <row r="3872" spans="1:9" x14ac:dyDescent="0.35">
      <c r="A3872" s="27"/>
      <c r="B3872" s="27"/>
      <c r="C3872" s="27"/>
      <c r="D3872" s="27"/>
      <c r="E3872" s="27"/>
      <c r="F3872" s="27"/>
      <c r="G3872" s="27"/>
      <c r="H3872" s="27"/>
      <c r="I3872" s="27"/>
    </row>
    <row r="3873" spans="1:9" x14ac:dyDescent="0.35">
      <c r="A3873" s="27"/>
      <c r="B3873" s="27"/>
      <c r="C3873" s="27"/>
      <c r="D3873" s="27"/>
      <c r="E3873" s="27"/>
      <c r="F3873" s="27"/>
      <c r="G3873" s="27"/>
      <c r="H3873" s="27"/>
      <c r="I3873" s="27"/>
    </row>
    <row r="3874" spans="1:9" x14ac:dyDescent="0.35">
      <c r="A3874" s="27"/>
      <c r="B3874" s="27"/>
      <c r="C3874" s="27"/>
      <c r="D3874" s="27"/>
      <c r="E3874" s="27"/>
      <c r="F3874" s="27"/>
      <c r="G3874" s="27"/>
      <c r="H3874" s="27"/>
      <c r="I3874" s="27"/>
    </row>
    <row r="3875" spans="1:9" x14ac:dyDescent="0.35">
      <c r="A3875" s="27"/>
      <c r="B3875" s="27"/>
      <c r="C3875" s="27"/>
      <c r="D3875" s="27"/>
      <c r="E3875" s="27"/>
      <c r="F3875" s="27"/>
      <c r="G3875" s="27"/>
      <c r="H3875" s="27"/>
      <c r="I3875" s="27"/>
    </row>
    <row r="3876" spans="1:9" x14ac:dyDescent="0.35">
      <c r="A3876" s="27"/>
      <c r="B3876" s="27"/>
      <c r="C3876" s="27"/>
      <c r="D3876" s="27"/>
      <c r="E3876" s="27"/>
      <c r="F3876" s="27"/>
      <c r="G3876" s="27"/>
      <c r="H3876" s="27"/>
      <c r="I3876" s="27"/>
    </row>
    <row r="3877" spans="1:9" x14ac:dyDescent="0.35">
      <c r="A3877" s="27"/>
      <c r="B3877" s="27"/>
      <c r="C3877" s="27"/>
      <c r="D3877" s="27"/>
      <c r="E3877" s="27"/>
      <c r="F3877" s="27"/>
      <c r="G3877" s="27"/>
      <c r="H3877" s="27"/>
      <c r="I3877" s="27"/>
    </row>
    <row r="3878" spans="1:9" x14ac:dyDescent="0.35">
      <c r="A3878" s="27"/>
      <c r="B3878" s="27"/>
      <c r="C3878" s="27"/>
      <c r="D3878" s="27"/>
      <c r="E3878" s="27"/>
      <c r="F3878" s="27"/>
      <c r="G3878" s="27"/>
      <c r="H3878" s="27"/>
      <c r="I3878" s="27"/>
    </row>
    <row r="3879" spans="1:9" x14ac:dyDescent="0.35">
      <c r="A3879" s="27"/>
      <c r="B3879" s="27"/>
      <c r="C3879" s="27"/>
      <c r="D3879" s="27"/>
      <c r="E3879" s="27"/>
      <c r="F3879" s="27"/>
      <c r="G3879" s="27"/>
      <c r="H3879" s="27"/>
      <c r="I3879" s="27"/>
    </row>
    <row r="3880" spans="1:9" x14ac:dyDescent="0.35">
      <c r="A3880" s="27"/>
      <c r="B3880" s="27"/>
      <c r="C3880" s="27"/>
      <c r="D3880" s="27"/>
      <c r="E3880" s="27"/>
      <c r="F3880" s="27"/>
      <c r="G3880" s="27"/>
      <c r="H3880" s="27"/>
      <c r="I3880" s="27"/>
    </row>
    <row r="3881" spans="1:9" x14ac:dyDescent="0.35">
      <c r="A3881" s="27"/>
      <c r="B3881" s="27"/>
      <c r="C3881" s="27"/>
      <c r="D3881" s="27"/>
      <c r="E3881" s="27"/>
      <c r="F3881" s="27"/>
      <c r="G3881" s="27"/>
      <c r="H3881" s="27"/>
      <c r="I3881" s="27"/>
    </row>
    <row r="3882" spans="1:9" x14ac:dyDescent="0.35">
      <c r="A3882" s="27"/>
      <c r="B3882" s="27"/>
      <c r="C3882" s="27"/>
      <c r="D3882" s="27"/>
      <c r="E3882" s="27"/>
      <c r="F3882" s="27"/>
      <c r="G3882" s="27"/>
      <c r="H3882" s="27"/>
      <c r="I3882" s="27"/>
    </row>
    <row r="3883" spans="1:9" x14ac:dyDescent="0.35">
      <c r="A3883" s="27"/>
      <c r="B3883" s="27"/>
      <c r="C3883" s="27"/>
      <c r="D3883" s="27"/>
      <c r="E3883" s="27"/>
      <c r="F3883" s="27"/>
      <c r="G3883" s="27"/>
      <c r="H3883" s="27"/>
      <c r="I3883" s="27"/>
    </row>
    <row r="3884" spans="1:9" x14ac:dyDescent="0.35">
      <c r="A3884" s="27"/>
      <c r="B3884" s="27"/>
      <c r="C3884" s="27"/>
      <c r="D3884" s="27"/>
      <c r="E3884" s="27"/>
      <c r="F3884" s="27"/>
      <c r="G3884" s="27"/>
      <c r="H3884" s="27"/>
      <c r="I3884" s="27"/>
    </row>
    <row r="3885" spans="1:9" x14ac:dyDescent="0.35">
      <c r="A3885" s="27"/>
      <c r="B3885" s="27"/>
      <c r="C3885" s="27"/>
      <c r="D3885" s="27"/>
      <c r="E3885" s="27"/>
      <c r="F3885" s="27"/>
      <c r="G3885" s="27"/>
      <c r="H3885" s="27"/>
      <c r="I3885" s="27"/>
    </row>
    <row r="3886" spans="1:9" x14ac:dyDescent="0.35">
      <c r="A3886" s="27"/>
      <c r="B3886" s="27"/>
      <c r="C3886" s="27"/>
      <c r="D3886" s="27"/>
      <c r="E3886" s="27"/>
      <c r="F3886" s="27"/>
      <c r="G3886" s="27"/>
      <c r="H3886" s="27"/>
      <c r="I3886" s="27"/>
    </row>
    <row r="3887" spans="1:9" x14ac:dyDescent="0.35">
      <c r="A3887" s="27"/>
      <c r="B3887" s="27"/>
      <c r="C3887" s="27"/>
      <c r="D3887" s="27"/>
      <c r="E3887" s="27"/>
      <c r="F3887" s="27"/>
      <c r="G3887" s="27"/>
      <c r="H3887" s="27"/>
      <c r="I3887" s="27"/>
    </row>
    <row r="3888" spans="1:9" x14ac:dyDescent="0.35">
      <c r="A3888" s="27"/>
      <c r="B3888" s="27"/>
      <c r="C3888" s="27"/>
      <c r="D3888" s="27"/>
      <c r="E3888" s="27"/>
      <c r="F3888" s="27"/>
      <c r="G3888" s="27"/>
      <c r="H3888" s="27"/>
      <c r="I3888" s="27"/>
    </row>
    <row r="3889" spans="1:9" x14ac:dyDescent="0.35">
      <c r="A3889" s="27"/>
      <c r="B3889" s="27"/>
      <c r="C3889" s="27"/>
      <c r="D3889" s="27"/>
      <c r="E3889" s="27"/>
      <c r="F3889" s="27"/>
      <c r="G3889" s="27"/>
      <c r="H3889" s="27"/>
      <c r="I3889" s="27"/>
    </row>
    <row r="3890" spans="1:9" x14ac:dyDescent="0.35">
      <c r="A3890" s="27"/>
      <c r="B3890" s="27"/>
      <c r="C3890" s="27"/>
      <c r="D3890" s="27"/>
      <c r="E3890" s="27"/>
      <c r="F3890" s="27"/>
      <c r="G3890" s="27"/>
      <c r="H3890" s="27"/>
      <c r="I3890" s="27"/>
    </row>
    <row r="3891" spans="1:9" x14ac:dyDescent="0.35">
      <c r="A3891" s="27"/>
      <c r="B3891" s="27"/>
      <c r="C3891" s="27"/>
      <c r="D3891" s="27"/>
      <c r="E3891" s="27"/>
      <c r="F3891" s="27"/>
      <c r="G3891" s="27"/>
      <c r="H3891" s="27"/>
      <c r="I3891" s="27"/>
    </row>
    <row r="3892" spans="1:9" x14ac:dyDescent="0.35">
      <c r="A3892" s="27"/>
      <c r="B3892" s="27"/>
      <c r="C3892" s="27"/>
      <c r="D3892" s="27"/>
      <c r="E3892" s="27"/>
      <c r="F3892" s="27"/>
      <c r="G3892" s="27"/>
      <c r="H3892" s="27"/>
      <c r="I3892" s="27"/>
    </row>
    <row r="3893" spans="1:9" x14ac:dyDescent="0.35">
      <c r="A3893" s="27"/>
      <c r="B3893" s="27"/>
      <c r="C3893" s="27"/>
      <c r="D3893" s="27"/>
      <c r="E3893" s="27"/>
      <c r="F3893" s="27"/>
      <c r="G3893" s="27"/>
      <c r="H3893" s="27"/>
      <c r="I3893" s="27"/>
    </row>
    <row r="3894" spans="1:9" x14ac:dyDescent="0.35">
      <c r="A3894" s="27"/>
      <c r="B3894" s="27"/>
      <c r="C3894" s="27"/>
      <c r="D3894" s="27"/>
      <c r="E3894" s="27"/>
      <c r="F3894" s="27"/>
      <c r="G3894" s="27"/>
      <c r="H3894" s="27"/>
      <c r="I3894" s="27"/>
    </row>
    <row r="3895" spans="1:9" x14ac:dyDescent="0.35">
      <c r="A3895" s="27"/>
      <c r="B3895" s="27"/>
      <c r="C3895" s="27"/>
      <c r="D3895" s="27"/>
      <c r="E3895" s="27"/>
      <c r="F3895" s="27"/>
      <c r="G3895" s="27"/>
      <c r="H3895" s="27"/>
      <c r="I3895" s="27"/>
    </row>
    <row r="3896" spans="1:9" x14ac:dyDescent="0.35">
      <c r="A3896" s="27"/>
      <c r="B3896" s="27"/>
      <c r="C3896" s="27"/>
      <c r="D3896" s="27"/>
      <c r="E3896" s="27"/>
      <c r="F3896" s="27"/>
      <c r="G3896" s="27"/>
      <c r="H3896" s="27"/>
      <c r="I3896" s="27"/>
    </row>
    <row r="3897" spans="1:9" x14ac:dyDescent="0.35">
      <c r="A3897" s="27"/>
      <c r="B3897" s="27"/>
      <c r="C3897" s="27"/>
      <c r="D3897" s="27"/>
      <c r="E3897" s="27"/>
      <c r="F3897" s="27"/>
      <c r="G3897" s="27"/>
      <c r="H3897" s="27"/>
      <c r="I3897" s="27"/>
    </row>
    <row r="3898" spans="1:9" x14ac:dyDescent="0.35">
      <c r="A3898" s="27"/>
      <c r="B3898" s="27"/>
      <c r="C3898" s="27"/>
      <c r="D3898" s="27"/>
      <c r="E3898" s="27"/>
      <c r="F3898" s="27"/>
      <c r="G3898" s="27"/>
      <c r="H3898" s="27"/>
      <c r="I3898" s="27"/>
    </row>
    <row r="3899" spans="1:9" x14ac:dyDescent="0.35">
      <c r="A3899" s="27"/>
      <c r="B3899" s="27"/>
      <c r="C3899" s="27"/>
      <c r="D3899" s="27"/>
      <c r="E3899" s="27"/>
      <c r="F3899" s="27"/>
      <c r="G3899" s="27"/>
      <c r="H3899" s="27"/>
      <c r="I3899" s="27"/>
    </row>
    <row r="3900" spans="1:9" x14ac:dyDescent="0.35">
      <c r="A3900" s="27"/>
      <c r="B3900" s="27"/>
      <c r="C3900" s="27"/>
      <c r="D3900" s="27"/>
      <c r="E3900" s="27"/>
      <c r="F3900" s="27"/>
      <c r="G3900" s="27"/>
      <c r="H3900" s="27"/>
      <c r="I3900" s="27"/>
    </row>
    <row r="3901" spans="1:9" x14ac:dyDescent="0.35">
      <c r="A3901" s="27"/>
      <c r="B3901" s="27"/>
      <c r="C3901" s="27"/>
      <c r="D3901" s="27"/>
      <c r="E3901" s="27"/>
      <c r="F3901" s="27"/>
      <c r="G3901" s="27"/>
      <c r="H3901" s="27"/>
      <c r="I3901" s="27"/>
    </row>
    <row r="3902" spans="1:9" x14ac:dyDescent="0.35">
      <c r="A3902" s="27"/>
      <c r="B3902" s="27"/>
      <c r="C3902" s="27"/>
      <c r="D3902" s="27"/>
      <c r="E3902" s="27"/>
      <c r="F3902" s="27"/>
      <c r="G3902" s="27"/>
      <c r="H3902" s="27"/>
      <c r="I3902" s="27"/>
    </row>
    <row r="3903" spans="1:9" x14ac:dyDescent="0.35">
      <c r="A3903" s="27"/>
      <c r="B3903" s="27"/>
      <c r="C3903" s="27"/>
      <c r="D3903" s="27"/>
      <c r="E3903" s="27"/>
      <c r="F3903" s="27"/>
      <c r="G3903" s="27"/>
      <c r="H3903" s="27"/>
      <c r="I3903" s="27"/>
    </row>
    <row r="3904" spans="1:9" x14ac:dyDescent="0.35">
      <c r="A3904" s="27"/>
      <c r="B3904" s="27"/>
      <c r="C3904" s="27"/>
      <c r="D3904" s="27"/>
      <c r="E3904" s="27"/>
      <c r="F3904" s="27"/>
      <c r="G3904" s="27"/>
      <c r="H3904" s="27"/>
      <c r="I3904" s="27"/>
    </row>
    <row r="3905" spans="1:9" x14ac:dyDescent="0.35">
      <c r="A3905" s="27"/>
      <c r="B3905" s="27"/>
      <c r="C3905" s="27"/>
      <c r="D3905" s="27"/>
      <c r="E3905" s="27"/>
      <c r="F3905" s="27"/>
      <c r="G3905" s="27"/>
      <c r="H3905" s="27"/>
      <c r="I3905" s="27"/>
    </row>
    <row r="3906" spans="1:9" x14ac:dyDescent="0.35">
      <c r="A3906" s="27"/>
      <c r="B3906" s="27"/>
      <c r="C3906" s="27"/>
      <c r="D3906" s="27"/>
      <c r="E3906" s="27"/>
      <c r="F3906" s="27"/>
      <c r="G3906" s="27"/>
      <c r="H3906" s="27"/>
      <c r="I3906" s="27"/>
    </row>
    <row r="3907" spans="1:9" x14ac:dyDescent="0.35">
      <c r="A3907" s="27"/>
      <c r="B3907" s="27"/>
      <c r="C3907" s="27"/>
      <c r="D3907" s="27"/>
      <c r="E3907" s="27"/>
      <c r="F3907" s="27"/>
      <c r="G3907" s="27"/>
      <c r="H3907" s="27"/>
      <c r="I3907" s="27"/>
    </row>
    <row r="3908" spans="1:9" x14ac:dyDescent="0.35">
      <c r="A3908" s="27"/>
      <c r="B3908" s="27"/>
      <c r="C3908" s="27"/>
      <c r="D3908" s="27"/>
      <c r="E3908" s="27"/>
      <c r="F3908" s="27"/>
      <c r="G3908" s="27"/>
      <c r="H3908" s="27"/>
      <c r="I3908" s="27"/>
    </row>
    <row r="3909" spans="1:9" x14ac:dyDescent="0.35">
      <c r="A3909" s="27"/>
      <c r="B3909" s="27"/>
      <c r="C3909" s="27"/>
      <c r="D3909" s="27"/>
      <c r="E3909" s="27"/>
      <c r="F3909" s="27"/>
      <c r="G3909" s="27"/>
      <c r="H3909" s="27"/>
      <c r="I3909" s="27"/>
    </row>
    <row r="3910" spans="1:9" x14ac:dyDescent="0.35">
      <c r="A3910" s="27"/>
      <c r="B3910" s="27"/>
      <c r="C3910" s="27"/>
      <c r="D3910" s="27"/>
      <c r="E3910" s="27"/>
      <c r="F3910" s="27"/>
      <c r="G3910" s="27"/>
      <c r="H3910" s="27"/>
      <c r="I3910" s="27"/>
    </row>
    <row r="3911" spans="1:9" x14ac:dyDescent="0.35">
      <c r="A3911" s="27"/>
      <c r="B3911" s="27"/>
      <c r="C3911" s="27"/>
      <c r="D3911" s="27"/>
      <c r="E3911" s="27"/>
      <c r="F3911" s="27"/>
      <c r="G3911" s="27"/>
      <c r="H3911" s="27"/>
      <c r="I3911" s="27"/>
    </row>
    <row r="3912" spans="1:9" x14ac:dyDescent="0.35">
      <c r="A3912" s="27"/>
      <c r="B3912" s="27"/>
      <c r="C3912" s="27"/>
      <c r="D3912" s="27"/>
      <c r="E3912" s="27"/>
      <c r="F3912" s="27"/>
      <c r="G3912" s="27"/>
      <c r="H3912" s="27"/>
      <c r="I3912" s="27"/>
    </row>
    <row r="3913" spans="1:9" x14ac:dyDescent="0.35">
      <c r="A3913" s="27"/>
      <c r="B3913" s="27"/>
      <c r="C3913" s="27"/>
      <c r="D3913" s="27"/>
      <c r="E3913" s="27"/>
      <c r="F3913" s="27"/>
      <c r="G3913" s="27"/>
      <c r="H3913" s="27"/>
      <c r="I3913" s="27"/>
    </row>
    <row r="3914" spans="1:9" x14ac:dyDescent="0.35">
      <c r="A3914" s="27"/>
      <c r="B3914" s="27"/>
      <c r="C3914" s="27"/>
      <c r="D3914" s="27"/>
      <c r="E3914" s="27"/>
      <c r="F3914" s="27"/>
      <c r="G3914" s="27"/>
      <c r="H3914" s="27"/>
      <c r="I3914" s="27"/>
    </row>
    <row r="3915" spans="1:9" x14ac:dyDescent="0.35">
      <c r="A3915" s="27"/>
      <c r="B3915" s="27"/>
      <c r="C3915" s="27"/>
      <c r="D3915" s="27"/>
      <c r="E3915" s="27"/>
      <c r="F3915" s="27"/>
      <c r="G3915" s="27"/>
      <c r="H3915" s="27"/>
      <c r="I3915" s="27"/>
    </row>
    <row r="3916" spans="1:9" x14ac:dyDescent="0.35">
      <c r="A3916" s="27"/>
      <c r="B3916" s="27"/>
      <c r="C3916" s="27"/>
      <c r="D3916" s="27"/>
      <c r="E3916" s="27"/>
      <c r="F3916" s="27"/>
      <c r="G3916" s="27"/>
      <c r="H3916" s="27"/>
      <c r="I3916" s="27"/>
    </row>
    <row r="3917" spans="1:9" x14ac:dyDescent="0.35">
      <c r="A3917" s="27"/>
      <c r="B3917" s="27"/>
      <c r="C3917" s="27"/>
      <c r="D3917" s="27"/>
      <c r="E3917" s="27"/>
      <c r="F3917" s="27"/>
      <c r="G3917" s="27"/>
      <c r="H3917" s="27"/>
      <c r="I3917" s="27"/>
    </row>
    <row r="3918" spans="1:9" x14ac:dyDescent="0.35">
      <c r="A3918" s="27"/>
      <c r="B3918" s="27"/>
      <c r="C3918" s="27"/>
      <c r="D3918" s="27"/>
      <c r="E3918" s="27"/>
      <c r="F3918" s="27"/>
      <c r="G3918" s="27"/>
      <c r="H3918" s="27"/>
      <c r="I3918" s="27"/>
    </row>
    <row r="3919" spans="1:9" x14ac:dyDescent="0.35">
      <c r="A3919" s="27"/>
      <c r="B3919" s="27"/>
      <c r="C3919" s="27"/>
      <c r="D3919" s="27"/>
      <c r="E3919" s="27"/>
      <c r="F3919" s="27"/>
      <c r="G3919" s="27"/>
      <c r="H3919" s="27"/>
      <c r="I3919" s="27"/>
    </row>
    <row r="3920" spans="1:9" x14ac:dyDescent="0.35">
      <c r="A3920" s="27"/>
      <c r="B3920" s="27"/>
      <c r="C3920" s="27"/>
      <c r="D3920" s="27"/>
      <c r="E3920" s="27"/>
      <c r="F3920" s="27"/>
      <c r="G3920" s="27"/>
      <c r="H3920" s="27"/>
      <c r="I3920" s="27"/>
    </row>
    <row r="3921" spans="1:9" x14ac:dyDescent="0.35">
      <c r="A3921" s="27"/>
      <c r="B3921" s="27"/>
      <c r="C3921" s="27"/>
      <c r="D3921" s="27"/>
      <c r="E3921" s="27"/>
      <c r="F3921" s="27"/>
      <c r="G3921" s="27"/>
      <c r="H3921" s="27"/>
      <c r="I3921" s="27"/>
    </row>
    <row r="3922" spans="1:9" x14ac:dyDescent="0.35">
      <c r="A3922" s="27"/>
      <c r="B3922" s="27"/>
      <c r="C3922" s="27"/>
      <c r="D3922" s="27"/>
      <c r="E3922" s="27"/>
      <c r="F3922" s="27"/>
      <c r="G3922" s="27"/>
      <c r="H3922" s="27"/>
      <c r="I3922" s="27"/>
    </row>
    <row r="3923" spans="1:9" x14ac:dyDescent="0.35">
      <c r="A3923" s="27"/>
      <c r="B3923" s="27"/>
      <c r="C3923" s="27"/>
      <c r="D3923" s="27"/>
      <c r="E3923" s="27"/>
      <c r="F3923" s="27"/>
      <c r="G3923" s="27"/>
      <c r="H3923" s="27"/>
      <c r="I3923" s="27"/>
    </row>
    <row r="3924" spans="1:9" x14ac:dyDescent="0.35">
      <c r="A3924" s="27"/>
      <c r="B3924" s="27"/>
      <c r="C3924" s="27"/>
      <c r="D3924" s="27"/>
      <c r="E3924" s="27"/>
      <c r="F3924" s="27"/>
      <c r="G3924" s="27"/>
      <c r="H3924" s="27"/>
      <c r="I3924" s="27"/>
    </row>
    <row r="3925" spans="1:9" x14ac:dyDescent="0.35">
      <c r="A3925" s="27"/>
      <c r="B3925" s="27"/>
      <c r="C3925" s="27"/>
      <c r="D3925" s="27"/>
      <c r="E3925" s="27"/>
      <c r="F3925" s="27"/>
      <c r="G3925" s="27"/>
      <c r="H3925" s="27"/>
      <c r="I3925" s="27"/>
    </row>
    <row r="3926" spans="1:9" x14ac:dyDescent="0.35">
      <c r="A3926" s="27"/>
      <c r="B3926" s="27"/>
      <c r="C3926" s="27"/>
      <c r="D3926" s="27"/>
      <c r="E3926" s="27"/>
      <c r="F3926" s="27"/>
      <c r="G3926" s="27"/>
      <c r="H3926" s="27"/>
      <c r="I3926" s="27"/>
    </row>
    <row r="3927" spans="1:9" x14ac:dyDescent="0.35">
      <c r="A3927" s="27"/>
      <c r="B3927" s="27"/>
      <c r="C3927" s="27"/>
      <c r="D3927" s="27"/>
      <c r="E3927" s="27"/>
      <c r="F3927" s="27"/>
      <c r="G3927" s="27"/>
      <c r="H3927" s="27"/>
      <c r="I3927" s="27"/>
    </row>
    <row r="3928" spans="1:9" x14ac:dyDescent="0.35">
      <c r="A3928" s="27"/>
      <c r="B3928" s="27"/>
      <c r="C3928" s="27"/>
      <c r="D3928" s="27"/>
      <c r="E3928" s="27"/>
      <c r="F3928" s="27"/>
      <c r="G3928" s="27"/>
      <c r="H3928" s="27"/>
      <c r="I3928" s="27"/>
    </row>
    <row r="3929" spans="1:9" x14ac:dyDescent="0.35">
      <c r="A3929" s="27"/>
      <c r="B3929" s="27"/>
      <c r="C3929" s="27"/>
      <c r="D3929" s="27"/>
      <c r="E3929" s="27"/>
      <c r="F3929" s="27"/>
      <c r="G3929" s="27"/>
      <c r="H3929" s="27"/>
      <c r="I3929" s="27"/>
    </row>
    <row r="3930" spans="1:9" x14ac:dyDescent="0.35">
      <c r="A3930" s="27"/>
      <c r="B3930" s="27"/>
      <c r="C3930" s="27"/>
      <c r="D3930" s="27"/>
      <c r="E3930" s="27"/>
      <c r="F3930" s="27"/>
      <c r="G3930" s="27"/>
      <c r="H3930" s="27"/>
      <c r="I3930" s="27"/>
    </row>
    <row r="3931" spans="1:9" x14ac:dyDescent="0.35">
      <c r="A3931" s="27"/>
      <c r="B3931" s="27"/>
      <c r="C3931" s="27"/>
      <c r="D3931" s="27"/>
      <c r="E3931" s="27"/>
      <c r="F3931" s="27"/>
      <c r="G3931" s="27"/>
      <c r="H3931" s="27"/>
      <c r="I3931" s="27"/>
    </row>
    <row r="3932" spans="1:9" x14ac:dyDescent="0.35">
      <c r="A3932" s="27"/>
      <c r="B3932" s="27"/>
      <c r="C3932" s="27"/>
      <c r="D3932" s="27"/>
      <c r="E3932" s="27"/>
      <c r="F3932" s="27"/>
      <c r="G3932" s="27"/>
      <c r="H3932" s="27"/>
      <c r="I3932" s="27"/>
    </row>
    <row r="3933" spans="1:9" x14ac:dyDescent="0.35">
      <c r="A3933" s="27"/>
      <c r="B3933" s="27"/>
      <c r="C3933" s="27"/>
      <c r="D3933" s="27"/>
      <c r="E3933" s="27"/>
      <c r="F3933" s="27"/>
      <c r="G3933" s="27"/>
      <c r="H3933" s="27"/>
      <c r="I3933" s="27"/>
    </row>
    <row r="3934" spans="1:9" x14ac:dyDescent="0.35">
      <c r="A3934" s="27"/>
      <c r="B3934" s="27"/>
      <c r="C3934" s="27"/>
      <c r="D3934" s="27"/>
      <c r="E3934" s="27"/>
      <c r="F3934" s="27"/>
      <c r="G3934" s="27"/>
      <c r="H3934" s="27"/>
      <c r="I3934" s="27"/>
    </row>
    <row r="3935" spans="1:9" x14ac:dyDescent="0.35">
      <c r="A3935" s="27"/>
      <c r="B3935" s="27"/>
      <c r="C3935" s="27"/>
      <c r="D3935" s="27"/>
      <c r="E3935" s="27"/>
      <c r="F3935" s="27"/>
      <c r="G3935" s="27"/>
      <c r="H3935" s="27"/>
      <c r="I3935" s="27"/>
    </row>
    <row r="3936" spans="1:9" x14ac:dyDescent="0.35">
      <c r="A3936" s="27"/>
      <c r="B3936" s="27"/>
      <c r="C3936" s="27"/>
      <c r="D3936" s="27"/>
      <c r="E3936" s="27"/>
      <c r="F3936" s="27"/>
      <c r="G3936" s="27"/>
      <c r="H3936" s="27"/>
      <c r="I3936" s="27"/>
    </row>
    <row r="3937" spans="1:9" x14ac:dyDescent="0.35">
      <c r="A3937" s="27"/>
      <c r="B3937" s="27"/>
      <c r="C3937" s="27"/>
      <c r="D3937" s="27"/>
      <c r="E3937" s="27"/>
      <c r="F3937" s="27"/>
      <c r="G3937" s="27"/>
      <c r="H3937" s="27"/>
      <c r="I3937" s="27"/>
    </row>
    <row r="3938" spans="1:9" x14ac:dyDescent="0.35">
      <c r="A3938" s="27"/>
      <c r="B3938" s="27"/>
      <c r="C3938" s="27"/>
      <c r="D3938" s="27"/>
      <c r="E3938" s="27"/>
      <c r="F3938" s="27"/>
      <c r="G3938" s="27"/>
      <c r="H3938" s="27"/>
      <c r="I3938" s="27"/>
    </row>
    <row r="3939" spans="1:9" x14ac:dyDescent="0.35">
      <c r="A3939" s="27"/>
      <c r="B3939" s="27"/>
      <c r="C3939" s="27"/>
      <c r="D3939" s="27"/>
      <c r="E3939" s="27"/>
      <c r="F3939" s="27"/>
      <c r="G3939" s="27"/>
      <c r="H3939" s="27"/>
      <c r="I3939" s="27"/>
    </row>
    <row r="3940" spans="1:9" x14ac:dyDescent="0.35">
      <c r="A3940" s="27"/>
      <c r="B3940" s="27"/>
      <c r="C3940" s="27"/>
      <c r="D3940" s="27"/>
      <c r="E3940" s="27"/>
      <c r="F3940" s="27"/>
      <c r="G3940" s="27"/>
      <c r="H3940" s="27"/>
      <c r="I3940" s="27"/>
    </row>
    <row r="3941" spans="1:9" x14ac:dyDescent="0.35">
      <c r="A3941" s="27"/>
      <c r="B3941" s="27"/>
      <c r="C3941" s="27"/>
      <c r="D3941" s="27"/>
      <c r="E3941" s="27"/>
      <c r="F3941" s="27"/>
      <c r="G3941" s="27"/>
      <c r="H3941" s="27"/>
      <c r="I3941" s="27"/>
    </row>
    <row r="3942" spans="1:9" x14ac:dyDescent="0.35">
      <c r="A3942" s="27"/>
      <c r="B3942" s="27"/>
      <c r="C3942" s="27"/>
      <c r="D3942" s="27"/>
      <c r="E3942" s="27"/>
      <c r="F3942" s="27"/>
      <c r="G3942" s="27"/>
      <c r="H3942" s="27"/>
      <c r="I3942" s="27"/>
    </row>
    <row r="3943" spans="1:9" x14ac:dyDescent="0.35">
      <c r="A3943" s="27"/>
      <c r="B3943" s="27"/>
      <c r="C3943" s="27"/>
      <c r="D3943" s="27"/>
      <c r="E3943" s="27"/>
      <c r="F3943" s="27"/>
      <c r="G3943" s="27"/>
      <c r="H3943" s="27"/>
      <c r="I3943" s="27"/>
    </row>
    <row r="3944" spans="1:9" x14ac:dyDescent="0.35">
      <c r="A3944" s="27"/>
      <c r="B3944" s="27"/>
      <c r="C3944" s="27"/>
      <c r="D3944" s="27"/>
      <c r="E3944" s="27"/>
      <c r="F3944" s="27"/>
      <c r="G3944" s="27"/>
      <c r="H3944" s="27"/>
      <c r="I3944" s="27"/>
    </row>
    <row r="3945" spans="1:9" x14ac:dyDescent="0.35">
      <c r="A3945" s="27"/>
      <c r="B3945" s="27"/>
      <c r="C3945" s="27"/>
      <c r="D3945" s="27"/>
      <c r="E3945" s="27"/>
      <c r="F3945" s="27"/>
      <c r="G3945" s="27"/>
      <c r="H3945" s="27"/>
      <c r="I3945" s="27"/>
    </row>
    <row r="3946" spans="1:9" x14ac:dyDescent="0.35">
      <c r="A3946" s="27"/>
      <c r="B3946" s="27"/>
      <c r="C3946" s="27"/>
      <c r="D3946" s="27"/>
      <c r="E3946" s="27"/>
      <c r="F3946" s="27"/>
      <c r="G3946" s="27"/>
      <c r="H3946" s="27"/>
      <c r="I3946" s="27"/>
    </row>
    <row r="3947" spans="1:9" x14ac:dyDescent="0.35">
      <c r="A3947" s="27"/>
      <c r="B3947" s="27"/>
      <c r="C3947" s="27"/>
      <c r="D3947" s="27"/>
      <c r="E3947" s="27"/>
      <c r="F3947" s="27"/>
      <c r="G3947" s="27"/>
      <c r="H3947" s="27"/>
      <c r="I3947" s="27"/>
    </row>
    <row r="3948" spans="1:9" x14ac:dyDescent="0.35">
      <c r="A3948" s="27"/>
      <c r="B3948" s="27"/>
      <c r="C3948" s="27"/>
      <c r="D3948" s="27"/>
      <c r="E3948" s="27"/>
      <c r="F3948" s="27"/>
      <c r="G3948" s="27"/>
      <c r="H3948" s="27"/>
      <c r="I3948" s="27"/>
    </row>
    <row r="3949" spans="1:9" x14ac:dyDescent="0.35">
      <c r="A3949" s="27"/>
      <c r="B3949" s="27"/>
      <c r="C3949" s="27"/>
      <c r="D3949" s="27"/>
      <c r="E3949" s="27"/>
      <c r="F3949" s="27"/>
      <c r="G3949" s="27"/>
      <c r="H3949" s="27"/>
      <c r="I3949" s="27"/>
    </row>
    <row r="3950" spans="1:9" x14ac:dyDescent="0.35">
      <c r="A3950" s="27"/>
      <c r="B3950" s="27"/>
      <c r="C3950" s="27"/>
      <c r="D3950" s="27"/>
      <c r="E3950" s="27"/>
      <c r="F3950" s="27"/>
      <c r="G3950" s="27"/>
      <c r="H3950" s="27"/>
      <c r="I3950" s="27"/>
    </row>
    <row r="3951" spans="1:9" x14ac:dyDescent="0.35">
      <c r="A3951" s="27"/>
      <c r="B3951" s="27"/>
      <c r="C3951" s="27"/>
      <c r="D3951" s="27"/>
      <c r="E3951" s="27"/>
      <c r="F3951" s="27"/>
      <c r="G3951" s="27"/>
      <c r="H3951" s="27"/>
      <c r="I3951" s="27"/>
    </row>
    <row r="3952" spans="1:9" x14ac:dyDescent="0.35">
      <c r="A3952" s="27"/>
      <c r="B3952" s="27"/>
      <c r="C3952" s="27"/>
      <c r="D3952" s="27"/>
      <c r="E3952" s="27"/>
      <c r="F3952" s="27"/>
      <c r="G3952" s="27"/>
      <c r="H3952" s="27"/>
      <c r="I3952" s="27"/>
    </row>
    <row r="3953" spans="1:9" x14ac:dyDescent="0.35">
      <c r="A3953" s="27"/>
      <c r="B3953" s="27"/>
      <c r="C3953" s="27"/>
      <c r="D3953" s="27"/>
      <c r="E3953" s="27"/>
      <c r="F3953" s="27"/>
      <c r="G3953" s="27"/>
      <c r="H3953" s="27"/>
      <c r="I3953" s="27"/>
    </row>
    <row r="3954" spans="1:9" x14ac:dyDescent="0.35">
      <c r="A3954" s="27"/>
      <c r="B3954" s="27"/>
      <c r="C3954" s="27"/>
      <c r="D3954" s="27"/>
      <c r="E3954" s="27"/>
      <c r="F3954" s="27"/>
      <c r="G3954" s="27"/>
      <c r="H3954" s="27"/>
      <c r="I3954" s="27"/>
    </row>
    <row r="3955" spans="1:9" x14ac:dyDescent="0.35">
      <c r="A3955" s="27"/>
      <c r="B3955" s="27"/>
      <c r="C3955" s="27"/>
      <c r="D3955" s="27"/>
      <c r="E3955" s="27"/>
      <c r="F3955" s="27"/>
      <c r="G3955" s="27"/>
      <c r="H3955" s="27"/>
      <c r="I3955" s="27"/>
    </row>
    <row r="3956" spans="1:9" x14ac:dyDescent="0.35">
      <c r="A3956" s="27"/>
      <c r="B3956" s="27"/>
      <c r="C3956" s="27"/>
      <c r="D3956" s="27"/>
      <c r="E3956" s="27"/>
      <c r="F3956" s="27"/>
      <c r="G3956" s="27"/>
      <c r="H3956" s="27"/>
      <c r="I3956" s="27"/>
    </row>
    <row r="3957" spans="1:9" x14ac:dyDescent="0.35">
      <c r="A3957" s="27"/>
      <c r="B3957" s="27"/>
      <c r="C3957" s="27"/>
      <c r="D3957" s="27"/>
      <c r="E3957" s="27"/>
      <c r="F3957" s="27"/>
      <c r="G3957" s="27"/>
      <c r="H3957" s="27"/>
      <c r="I3957" s="27"/>
    </row>
    <row r="3958" spans="1:9" x14ac:dyDescent="0.35">
      <c r="A3958" s="27"/>
      <c r="B3958" s="27"/>
      <c r="C3958" s="27"/>
      <c r="D3958" s="27"/>
      <c r="E3958" s="27"/>
      <c r="F3958" s="27"/>
      <c r="G3958" s="27"/>
      <c r="H3958" s="27"/>
      <c r="I3958" s="27"/>
    </row>
    <row r="3959" spans="1:9" x14ac:dyDescent="0.35">
      <c r="A3959" s="27"/>
      <c r="B3959" s="27"/>
      <c r="C3959" s="27"/>
      <c r="D3959" s="27"/>
      <c r="E3959" s="27"/>
      <c r="F3959" s="27"/>
      <c r="G3959" s="27"/>
      <c r="H3959" s="27"/>
      <c r="I3959" s="27"/>
    </row>
    <row r="3960" spans="1:9" x14ac:dyDescent="0.35">
      <c r="A3960" s="27"/>
      <c r="B3960" s="27"/>
      <c r="C3960" s="27"/>
      <c r="D3960" s="27"/>
      <c r="E3960" s="27"/>
      <c r="F3960" s="27"/>
      <c r="G3960" s="27"/>
      <c r="H3960" s="27"/>
      <c r="I3960" s="27"/>
    </row>
    <row r="3961" spans="1:9" x14ac:dyDescent="0.35">
      <c r="A3961" s="27"/>
      <c r="B3961" s="27"/>
      <c r="C3961" s="27"/>
      <c r="D3961" s="27"/>
      <c r="E3961" s="27"/>
      <c r="F3961" s="27"/>
      <c r="G3961" s="27"/>
      <c r="H3961" s="27"/>
      <c r="I3961" s="27"/>
    </row>
    <row r="3962" spans="1:9" x14ac:dyDescent="0.35">
      <c r="A3962" s="27"/>
      <c r="B3962" s="27"/>
      <c r="C3962" s="27"/>
      <c r="D3962" s="27"/>
      <c r="E3962" s="27"/>
      <c r="F3962" s="27"/>
      <c r="G3962" s="27"/>
      <c r="H3962" s="27"/>
      <c r="I3962" s="27"/>
    </row>
    <row r="3963" spans="1:9" x14ac:dyDescent="0.35">
      <c r="A3963" s="27"/>
      <c r="B3963" s="27"/>
      <c r="C3963" s="27"/>
      <c r="D3963" s="27"/>
      <c r="E3963" s="27"/>
      <c r="F3963" s="27"/>
      <c r="G3963" s="27"/>
      <c r="H3963" s="27"/>
      <c r="I3963" s="27"/>
    </row>
    <row r="3964" spans="1:9" x14ac:dyDescent="0.35">
      <c r="A3964" s="27"/>
      <c r="B3964" s="27"/>
      <c r="C3964" s="27"/>
      <c r="D3964" s="27"/>
      <c r="E3964" s="27"/>
      <c r="F3964" s="27"/>
      <c r="G3964" s="27"/>
      <c r="H3964" s="27"/>
      <c r="I3964" s="27"/>
    </row>
    <row r="3965" spans="1:9" x14ac:dyDescent="0.35">
      <c r="A3965" s="27"/>
      <c r="B3965" s="27"/>
      <c r="C3965" s="27"/>
      <c r="D3965" s="27"/>
      <c r="E3965" s="27"/>
      <c r="F3965" s="27"/>
      <c r="G3965" s="27"/>
      <c r="H3965" s="27"/>
      <c r="I3965" s="27"/>
    </row>
    <row r="3966" spans="1:9" x14ac:dyDescent="0.35">
      <c r="A3966" s="27"/>
      <c r="B3966" s="27"/>
      <c r="C3966" s="27"/>
      <c r="D3966" s="27"/>
      <c r="E3966" s="27"/>
      <c r="F3966" s="27"/>
      <c r="G3966" s="27"/>
      <c r="H3966" s="27"/>
      <c r="I3966" s="27"/>
    </row>
    <row r="3967" spans="1:9" x14ac:dyDescent="0.35">
      <c r="A3967" s="27"/>
      <c r="B3967" s="27"/>
      <c r="C3967" s="27"/>
      <c r="D3967" s="27"/>
      <c r="E3967" s="27"/>
      <c r="F3967" s="27"/>
      <c r="G3967" s="27"/>
      <c r="H3967" s="27"/>
      <c r="I3967" s="27"/>
    </row>
    <row r="3968" spans="1:9" x14ac:dyDescent="0.35">
      <c r="A3968" s="27"/>
      <c r="B3968" s="27"/>
      <c r="C3968" s="27"/>
      <c r="D3968" s="27"/>
      <c r="E3968" s="27"/>
      <c r="F3968" s="27"/>
      <c r="G3968" s="27"/>
      <c r="H3968" s="27"/>
      <c r="I3968" s="27"/>
    </row>
    <row r="3969" spans="1:9" x14ac:dyDescent="0.35">
      <c r="A3969" s="27"/>
      <c r="B3969" s="27"/>
      <c r="C3969" s="27"/>
      <c r="D3969" s="27"/>
      <c r="E3969" s="27"/>
      <c r="F3969" s="27"/>
      <c r="G3969" s="27"/>
      <c r="H3969" s="27"/>
      <c r="I3969" s="27"/>
    </row>
    <row r="3970" spans="1:9" x14ac:dyDescent="0.35">
      <c r="A3970" s="27"/>
      <c r="B3970" s="27"/>
      <c r="C3970" s="27"/>
      <c r="D3970" s="27"/>
      <c r="E3970" s="27"/>
      <c r="F3970" s="27"/>
      <c r="G3970" s="27"/>
      <c r="H3970" s="27"/>
      <c r="I3970" s="27"/>
    </row>
    <row r="3971" spans="1:9" x14ac:dyDescent="0.35">
      <c r="A3971" s="27"/>
      <c r="B3971" s="27"/>
      <c r="C3971" s="27"/>
      <c r="D3971" s="27"/>
      <c r="E3971" s="27"/>
      <c r="F3971" s="27"/>
      <c r="G3971" s="27"/>
      <c r="H3971" s="27"/>
      <c r="I3971" s="27"/>
    </row>
    <row r="3972" spans="1:9" x14ac:dyDescent="0.35">
      <c r="A3972" s="27"/>
      <c r="B3972" s="27"/>
      <c r="C3972" s="27"/>
      <c r="D3972" s="27"/>
      <c r="E3972" s="27"/>
      <c r="F3972" s="27"/>
      <c r="G3972" s="27"/>
      <c r="H3972" s="27"/>
      <c r="I3972" s="27"/>
    </row>
    <row r="3973" spans="1:9" x14ac:dyDescent="0.35">
      <c r="A3973" s="27"/>
      <c r="B3973" s="27"/>
      <c r="C3973" s="27"/>
      <c r="D3973" s="27"/>
      <c r="E3973" s="27"/>
      <c r="F3973" s="27"/>
      <c r="G3973" s="27"/>
      <c r="H3973" s="27"/>
      <c r="I3973" s="27"/>
    </row>
    <row r="3974" spans="1:9" x14ac:dyDescent="0.35">
      <c r="A3974" s="27"/>
      <c r="B3974" s="27"/>
      <c r="C3974" s="27"/>
      <c r="D3974" s="27"/>
      <c r="E3974" s="27"/>
      <c r="F3974" s="27"/>
      <c r="G3974" s="27"/>
      <c r="H3974" s="27"/>
      <c r="I3974" s="27"/>
    </row>
    <row r="3975" spans="1:9" x14ac:dyDescent="0.35">
      <c r="A3975" s="27"/>
      <c r="B3975" s="27"/>
      <c r="C3975" s="27"/>
      <c r="D3975" s="27"/>
      <c r="E3975" s="27"/>
      <c r="F3975" s="27"/>
      <c r="G3975" s="27"/>
      <c r="H3975" s="27"/>
      <c r="I3975" s="27"/>
    </row>
    <row r="3976" spans="1:9" x14ac:dyDescent="0.35">
      <c r="A3976" s="27"/>
      <c r="B3976" s="27"/>
      <c r="C3976" s="27"/>
      <c r="D3976" s="27"/>
      <c r="E3976" s="27"/>
      <c r="F3976" s="27"/>
      <c r="G3976" s="27"/>
      <c r="H3976" s="27"/>
      <c r="I3976" s="27"/>
    </row>
    <row r="3977" spans="1:9" x14ac:dyDescent="0.35">
      <c r="A3977" s="27"/>
      <c r="B3977" s="27"/>
      <c r="C3977" s="27"/>
      <c r="D3977" s="27"/>
      <c r="E3977" s="27"/>
      <c r="F3977" s="27"/>
      <c r="G3977" s="27"/>
      <c r="H3977" s="27"/>
      <c r="I3977" s="27"/>
    </row>
    <row r="3978" spans="1:9" x14ac:dyDescent="0.35">
      <c r="A3978" s="27"/>
      <c r="B3978" s="27"/>
      <c r="C3978" s="27"/>
      <c r="D3978" s="27"/>
      <c r="E3978" s="27"/>
      <c r="F3978" s="27"/>
      <c r="G3978" s="27"/>
      <c r="H3978" s="27"/>
      <c r="I3978" s="27"/>
    </row>
    <row r="3979" spans="1:9" x14ac:dyDescent="0.35">
      <c r="A3979" s="27"/>
      <c r="B3979" s="27"/>
      <c r="C3979" s="27"/>
      <c r="D3979" s="27"/>
      <c r="E3979" s="27"/>
      <c r="F3979" s="27"/>
      <c r="G3979" s="27"/>
      <c r="H3979" s="27"/>
      <c r="I3979" s="27"/>
    </row>
    <row r="3980" spans="1:9" x14ac:dyDescent="0.35">
      <c r="A3980" s="27"/>
      <c r="B3980" s="27"/>
      <c r="C3980" s="27"/>
      <c r="D3980" s="27"/>
      <c r="E3980" s="27"/>
      <c r="F3980" s="27"/>
      <c r="G3980" s="27"/>
      <c r="H3980" s="27"/>
      <c r="I3980" s="27"/>
    </row>
    <row r="3981" spans="1:9" x14ac:dyDescent="0.35">
      <c r="A3981" s="27"/>
      <c r="B3981" s="27"/>
      <c r="C3981" s="27"/>
      <c r="D3981" s="27"/>
      <c r="E3981" s="27"/>
      <c r="F3981" s="27"/>
      <c r="G3981" s="27"/>
      <c r="H3981" s="27"/>
      <c r="I3981" s="27"/>
    </row>
    <row r="3982" spans="1:9" x14ac:dyDescent="0.35">
      <c r="A3982" s="27"/>
      <c r="B3982" s="27"/>
      <c r="C3982" s="27"/>
      <c r="D3982" s="27"/>
      <c r="E3982" s="27"/>
      <c r="F3982" s="27"/>
      <c r="G3982" s="27"/>
      <c r="H3982" s="27"/>
      <c r="I3982" s="27"/>
    </row>
    <row r="3983" spans="1:9" x14ac:dyDescent="0.35">
      <c r="A3983" s="27"/>
      <c r="B3983" s="27"/>
      <c r="C3983" s="27"/>
      <c r="D3983" s="27"/>
      <c r="E3983" s="27"/>
      <c r="F3983" s="27"/>
      <c r="G3983" s="27"/>
      <c r="H3983" s="27"/>
      <c r="I3983" s="27"/>
    </row>
    <row r="3984" spans="1:9" x14ac:dyDescent="0.35">
      <c r="A3984" s="27"/>
      <c r="B3984" s="27"/>
      <c r="C3984" s="27"/>
      <c r="D3984" s="27"/>
      <c r="E3984" s="27"/>
      <c r="F3984" s="27"/>
      <c r="G3984" s="27"/>
      <c r="H3984" s="27"/>
      <c r="I3984" s="27"/>
    </row>
    <row r="3985" spans="1:9" x14ac:dyDescent="0.35">
      <c r="A3985" s="27"/>
      <c r="B3985" s="27"/>
      <c r="C3985" s="27"/>
      <c r="D3985" s="27"/>
      <c r="E3985" s="27"/>
      <c r="F3985" s="27"/>
      <c r="G3985" s="27"/>
      <c r="H3985" s="27"/>
      <c r="I3985" s="27"/>
    </row>
    <row r="3986" spans="1:9" x14ac:dyDescent="0.35">
      <c r="A3986" s="27"/>
      <c r="B3986" s="27"/>
      <c r="C3986" s="27"/>
      <c r="D3986" s="27"/>
      <c r="E3986" s="27"/>
      <c r="F3986" s="27"/>
      <c r="G3986" s="27"/>
      <c r="H3986" s="27"/>
      <c r="I3986" s="27"/>
    </row>
    <row r="3987" spans="1:9" x14ac:dyDescent="0.35">
      <c r="A3987" s="27"/>
      <c r="B3987" s="27"/>
      <c r="C3987" s="27"/>
      <c r="D3987" s="27"/>
      <c r="E3987" s="27"/>
      <c r="F3987" s="27"/>
      <c r="G3987" s="27"/>
      <c r="H3987" s="27"/>
      <c r="I3987" s="27"/>
    </row>
    <row r="3988" spans="1:9" x14ac:dyDescent="0.35">
      <c r="A3988" s="27"/>
      <c r="B3988" s="27"/>
      <c r="C3988" s="27"/>
      <c r="D3988" s="27"/>
      <c r="E3988" s="27"/>
      <c r="F3988" s="27"/>
      <c r="G3988" s="27"/>
      <c r="H3988" s="27"/>
      <c r="I3988" s="27"/>
    </row>
    <row r="3989" spans="1:9" x14ac:dyDescent="0.35">
      <c r="A3989" s="27"/>
      <c r="B3989" s="27"/>
      <c r="C3989" s="27"/>
      <c r="D3989" s="27"/>
      <c r="E3989" s="27"/>
      <c r="F3989" s="27"/>
      <c r="G3989" s="27"/>
      <c r="H3989" s="27"/>
      <c r="I3989" s="27"/>
    </row>
    <row r="3990" spans="1:9" x14ac:dyDescent="0.35">
      <c r="A3990" s="27"/>
      <c r="B3990" s="27"/>
      <c r="C3990" s="27"/>
      <c r="D3990" s="27"/>
      <c r="E3990" s="27"/>
      <c r="F3990" s="27"/>
      <c r="G3990" s="27"/>
      <c r="H3990" s="27"/>
      <c r="I3990" s="27"/>
    </row>
    <row r="3991" spans="1:9" x14ac:dyDescent="0.35">
      <c r="A3991" s="27"/>
      <c r="B3991" s="27"/>
      <c r="C3991" s="27"/>
      <c r="D3991" s="27"/>
      <c r="E3991" s="27"/>
      <c r="F3991" s="27"/>
      <c r="G3991" s="27"/>
      <c r="H3991" s="27"/>
      <c r="I3991" s="27"/>
    </row>
    <row r="3992" spans="1:9" x14ac:dyDescent="0.35">
      <c r="A3992" s="27"/>
      <c r="B3992" s="27"/>
      <c r="C3992" s="27"/>
      <c r="D3992" s="27"/>
      <c r="E3992" s="27"/>
      <c r="F3992" s="27"/>
      <c r="G3992" s="27"/>
      <c r="H3992" s="27"/>
      <c r="I3992" s="27"/>
    </row>
    <row r="3993" spans="1:9" x14ac:dyDescent="0.35">
      <c r="A3993" s="27"/>
      <c r="B3993" s="27"/>
      <c r="C3993" s="27"/>
      <c r="D3993" s="27"/>
      <c r="E3993" s="27"/>
      <c r="F3993" s="27"/>
      <c r="G3993" s="27"/>
      <c r="H3993" s="27"/>
      <c r="I3993" s="27"/>
    </row>
    <row r="3994" spans="1:9" x14ac:dyDescent="0.35">
      <c r="A3994" s="27"/>
      <c r="B3994" s="27"/>
      <c r="C3994" s="27"/>
      <c r="D3994" s="27"/>
      <c r="E3994" s="27"/>
      <c r="F3994" s="27"/>
      <c r="G3994" s="27"/>
      <c r="H3994" s="27"/>
      <c r="I3994" s="27"/>
    </row>
    <row r="3995" spans="1:9" x14ac:dyDescent="0.35">
      <c r="A3995" s="27"/>
      <c r="B3995" s="27"/>
      <c r="C3995" s="27"/>
      <c r="D3995" s="27"/>
      <c r="E3995" s="27"/>
      <c r="F3995" s="27"/>
      <c r="G3995" s="27"/>
      <c r="H3995" s="27"/>
      <c r="I3995" s="27"/>
    </row>
    <row r="3996" spans="1:9" x14ac:dyDescent="0.35">
      <c r="A3996" s="27"/>
      <c r="B3996" s="27"/>
      <c r="C3996" s="27"/>
      <c r="D3996" s="27"/>
      <c r="E3996" s="27"/>
      <c r="F3996" s="27"/>
      <c r="G3996" s="27"/>
      <c r="H3996" s="27"/>
      <c r="I3996" s="27"/>
    </row>
    <row r="3997" spans="1:9" x14ac:dyDescent="0.35">
      <c r="A3997" s="27"/>
      <c r="B3997" s="27"/>
      <c r="C3997" s="27"/>
      <c r="D3997" s="27"/>
      <c r="E3997" s="27"/>
      <c r="F3997" s="27"/>
      <c r="G3997" s="27"/>
      <c r="H3997" s="27"/>
      <c r="I3997" s="27"/>
    </row>
    <row r="3998" spans="1:9" x14ac:dyDescent="0.35">
      <c r="A3998" s="27"/>
      <c r="B3998" s="27"/>
      <c r="C3998" s="27"/>
      <c r="D3998" s="27"/>
      <c r="E3998" s="27"/>
      <c r="F3998" s="27"/>
      <c r="G3998" s="27"/>
      <c r="H3998" s="27"/>
      <c r="I3998" s="27"/>
    </row>
    <row r="3999" spans="1:9" x14ac:dyDescent="0.35">
      <c r="A3999" s="27"/>
      <c r="B3999" s="27"/>
      <c r="C3999" s="27"/>
      <c r="D3999" s="27"/>
      <c r="E3999" s="27"/>
      <c r="F3999" s="27"/>
      <c r="G3999" s="27"/>
      <c r="H3999" s="27"/>
      <c r="I3999" s="27"/>
    </row>
    <row r="4000" spans="1:9" x14ac:dyDescent="0.35">
      <c r="A4000" s="27"/>
      <c r="B4000" s="27"/>
      <c r="C4000" s="27"/>
      <c r="D4000" s="27"/>
      <c r="E4000" s="27"/>
      <c r="F4000" s="27"/>
      <c r="G4000" s="27"/>
      <c r="H4000" s="27"/>
      <c r="I4000" s="27"/>
    </row>
    <row r="4001" spans="1:9" x14ac:dyDescent="0.35">
      <c r="A4001" s="27"/>
      <c r="B4001" s="27"/>
      <c r="C4001" s="27"/>
      <c r="D4001" s="27"/>
      <c r="E4001" s="27"/>
      <c r="F4001" s="27"/>
      <c r="G4001" s="27"/>
      <c r="H4001" s="27"/>
      <c r="I4001" s="27"/>
    </row>
    <row r="4002" spans="1:9" x14ac:dyDescent="0.35">
      <c r="A4002" s="27"/>
      <c r="B4002" s="27"/>
      <c r="C4002" s="27"/>
      <c r="D4002" s="27"/>
      <c r="E4002" s="27"/>
      <c r="F4002" s="27"/>
      <c r="G4002" s="27"/>
      <c r="H4002" s="27"/>
      <c r="I4002" s="27"/>
    </row>
    <row r="4003" spans="1:9" x14ac:dyDescent="0.35">
      <c r="A4003" s="27"/>
      <c r="B4003" s="27"/>
      <c r="C4003" s="27"/>
      <c r="D4003" s="27"/>
      <c r="E4003" s="27"/>
      <c r="F4003" s="27"/>
      <c r="G4003" s="27"/>
      <c r="H4003" s="27"/>
      <c r="I4003" s="27"/>
    </row>
    <row r="4004" spans="1:9" x14ac:dyDescent="0.35">
      <c r="A4004" s="27"/>
      <c r="B4004" s="27"/>
      <c r="C4004" s="27"/>
      <c r="D4004" s="27"/>
      <c r="E4004" s="27"/>
      <c r="F4004" s="27"/>
      <c r="G4004" s="27"/>
      <c r="H4004" s="27"/>
      <c r="I4004" s="27"/>
    </row>
    <row r="4005" spans="1:9" x14ac:dyDescent="0.35">
      <c r="A4005" s="27"/>
      <c r="B4005" s="27"/>
      <c r="C4005" s="27"/>
      <c r="D4005" s="27"/>
      <c r="E4005" s="27"/>
      <c r="F4005" s="27"/>
      <c r="G4005" s="27"/>
      <c r="H4005" s="27"/>
      <c r="I4005" s="27"/>
    </row>
    <row r="4006" spans="1:9" x14ac:dyDescent="0.35">
      <c r="A4006" s="27"/>
      <c r="B4006" s="27"/>
      <c r="C4006" s="27"/>
      <c r="D4006" s="27"/>
      <c r="E4006" s="27"/>
      <c r="F4006" s="27"/>
      <c r="G4006" s="27"/>
      <c r="H4006" s="27"/>
      <c r="I4006" s="27"/>
    </row>
    <row r="4007" spans="1:9" x14ac:dyDescent="0.35">
      <c r="A4007" s="27"/>
      <c r="B4007" s="27"/>
      <c r="C4007" s="27"/>
      <c r="D4007" s="27"/>
      <c r="E4007" s="27"/>
      <c r="F4007" s="27"/>
      <c r="G4007" s="27"/>
      <c r="H4007" s="27"/>
      <c r="I4007" s="27"/>
    </row>
    <row r="4008" spans="1:9" x14ac:dyDescent="0.35">
      <c r="A4008" s="27"/>
      <c r="B4008" s="27"/>
      <c r="C4008" s="27"/>
      <c r="D4008" s="27"/>
      <c r="E4008" s="27"/>
      <c r="F4008" s="27"/>
      <c r="G4008" s="27"/>
      <c r="H4008" s="27"/>
      <c r="I4008" s="27"/>
    </row>
    <row r="4009" spans="1:9" x14ac:dyDescent="0.35">
      <c r="A4009" s="27"/>
      <c r="B4009" s="27"/>
      <c r="C4009" s="27"/>
      <c r="D4009" s="27"/>
      <c r="E4009" s="27"/>
      <c r="F4009" s="27"/>
      <c r="G4009" s="27"/>
      <c r="H4009" s="27"/>
      <c r="I4009" s="27"/>
    </row>
    <row r="4010" spans="1:9" x14ac:dyDescent="0.35">
      <c r="A4010" s="27"/>
      <c r="B4010" s="27"/>
      <c r="C4010" s="27"/>
      <c r="D4010" s="27"/>
      <c r="E4010" s="27"/>
      <c r="F4010" s="27"/>
      <c r="G4010" s="27"/>
      <c r="H4010" s="27"/>
      <c r="I4010" s="27"/>
    </row>
    <row r="4011" spans="1:9" x14ac:dyDescent="0.35">
      <c r="A4011" s="27"/>
      <c r="B4011" s="27"/>
      <c r="C4011" s="27"/>
      <c r="D4011" s="27"/>
      <c r="E4011" s="27"/>
      <c r="F4011" s="27"/>
      <c r="G4011" s="27"/>
      <c r="H4011" s="27"/>
      <c r="I4011" s="27"/>
    </row>
    <row r="4012" spans="1:9" x14ac:dyDescent="0.35">
      <c r="A4012" s="27"/>
      <c r="B4012" s="27"/>
      <c r="C4012" s="27"/>
      <c r="D4012" s="27"/>
      <c r="E4012" s="27"/>
      <c r="F4012" s="27"/>
      <c r="G4012" s="27"/>
      <c r="H4012" s="27"/>
      <c r="I4012" s="27"/>
    </row>
    <row r="4013" spans="1:9" x14ac:dyDescent="0.35">
      <c r="A4013" s="27"/>
      <c r="B4013" s="27"/>
      <c r="C4013" s="27"/>
      <c r="D4013" s="27"/>
      <c r="E4013" s="27"/>
      <c r="F4013" s="27"/>
      <c r="G4013" s="27"/>
      <c r="H4013" s="27"/>
      <c r="I4013" s="27"/>
    </row>
    <row r="4014" spans="1:9" x14ac:dyDescent="0.35">
      <c r="A4014" s="27"/>
      <c r="B4014" s="27"/>
      <c r="C4014" s="27"/>
      <c r="D4014" s="27"/>
      <c r="E4014" s="27"/>
      <c r="F4014" s="27"/>
      <c r="G4014" s="27"/>
      <c r="H4014" s="27"/>
      <c r="I4014" s="27"/>
    </row>
    <row r="4015" spans="1:9" x14ac:dyDescent="0.35">
      <c r="A4015" s="27"/>
      <c r="B4015" s="27"/>
      <c r="C4015" s="27"/>
      <c r="D4015" s="27"/>
      <c r="E4015" s="27"/>
      <c r="F4015" s="27"/>
      <c r="G4015" s="27"/>
      <c r="H4015" s="27"/>
      <c r="I4015" s="27"/>
    </row>
    <row r="4016" spans="1:9" x14ac:dyDescent="0.35">
      <c r="A4016" s="27"/>
      <c r="B4016" s="27"/>
      <c r="C4016" s="27"/>
      <c r="D4016" s="27"/>
      <c r="E4016" s="27"/>
      <c r="F4016" s="27"/>
      <c r="G4016" s="27"/>
      <c r="H4016" s="27"/>
      <c r="I4016" s="27"/>
    </row>
    <row r="4017" spans="1:9" x14ac:dyDescent="0.35">
      <c r="A4017" s="27"/>
      <c r="B4017" s="27"/>
      <c r="C4017" s="27"/>
      <c r="D4017" s="27"/>
      <c r="E4017" s="27"/>
      <c r="F4017" s="27"/>
      <c r="G4017" s="27"/>
      <c r="H4017" s="27"/>
      <c r="I4017" s="27"/>
    </row>
    <row r="4018" spans="1:9" x14ac:dyDescent="0.35">
      <c r="A4018" s="27"/>
      <c r="B4018" s="27"/>
      <c r="C4018" s="27"/>
      <c r="D4018" s="27"/>
      <c r="E4018" s="27"/>
      <c r="F4018" s="27"/>
      <c r="G4018" s="27"/>
      <c r="H4018" s="27"/>
      <c r="I4018" s="27"/>
    </row>
    <row r="4019" spans="1:9" x14ac:dyDescent="0.35">
      <c r="A4019" s="27"/>
      <c r="B4019" s="27"/>
      <c r="C4019" s="27"/>
      <c r="D4019" s="27"/>
      <c r="E4019" s="27"/>
      <c r="F4019" s="27"/>
      <c r="G4019" s="27"/>
      <c r="H4019" s="27"/>
      <c r="I4019" s="27"/>
    </row>
    <row r="4020" spans="1:9" x14ac:dyDescent="0.35">
      <c r="A4020" s="27"/>
      <c r="B4020" s="27"/>
      <c r="C4020" s="27"/>
      <c r="D4020" s="27"/>
      <c r="E4020" s="27"/>
      <c r="F4020" s="27"/>
      <c r="G4020" s="27"/>
      <c r="H4020" s="27"/>
      <c r="I4020" s="27"/>
    </row>
    <row r="4021" spans="1:9" x14ac:dyDescent="0.35">
      <c r="A4021" s="27"/>
      <c r="B4021" s="27"/>
      <c r="C4021" s="27"/>
      <c r="D4021" s="27"/>
      <c r="E4021" s="27"/>
      <c r="F4021" s="27"/>
      <c r="G4021" s="27"/>
      <c r="H4021" s="27"/>
      <c r="I4021" s="27"/>
    </row>
    <row r="4022" spans="1:9" x14ac:dyDescent="0.35">
      <c r="A4022" s="27"/>
      <c r="B4022" s="27"/>
      <c r="C4022" s="27"/>
      <c r="D4022" s="27"/>
      <c r="E4022" s="27"/>
      <c r="F4022" s="27"/>
      <c r="G4022" s="27"/>
      <c r="H4022" s="27"/>
      <c r="I4022" s="27"/>
    </row>
    <row r="4023" spans="1:9" x14ac:dyDescent="0.35">
      <c r="A4023" s="27"/>
      <c r="B4023" s="27"/>
      <c r="C4023" s="27"/>
      <c r="D4023" s="27"/>
      <c r="E4023" s="27"/>
      <c r="F4023" s="27"/>
      <c r="G4023" s="27"/>
      <c r="H4023" s="27"/>
      <c r="I4023" s="27"/>
    </row>
    <row r="4024" spans="1:9" x14ac:dyDescent="0.35">
      <c r="A4024" s="27"/>
      <c r="B4024" s="27"/>
      <c r="C4024" s="27"/>
      <c r="D4024" s="27"/>
      <c r="E4024" s="27"/>
      <c r="F4024" s="27"/>
      <c r="G4024" s="27"/>
      <c r="H4024" s="27"/>
      <c r="I4024" s="27"/>
    </row>
    <row r="4025" spans="1:9" x14ac:dyDescent="0.35">
      <c r="A4025" s="27"/>
      <c r="B4025" s="27"/>
      <c r="C4025" s="27"/>
      <c r="D4025" s="27"/>
      <c r="E4025" s="27"/>
      <c r="F4025" s="27"/>
      <c r="G4025" s="27"/>
      <c r="H4025" s="27"/>
      <c r="I4025" s="27"/>
    </row>
    <row r="4026" spans="1:9" x14ac:dyDescent="0.35">
      <c r="A4026" s="27"/>
      <c r="B4026" s="27"/>
      <c r="C4026" s="27"/>
      <c r="D4026" s="27"/>
      <c r="E4026" s="27"/>
      <c r="F4026" s="27"/>
      <c r="G4026" s="27"/>
      <c r="H4026" s="27"/>
      <c r="I4026" s="27"/>
    </row>
    <row r="4027" spans="1:9" x14ac:dyDescent="0.35">
      <c r="A4027" s="27"/>
      <c r="B4027" s="27"/>
      <c r="C4027" s="27"/>
      <c r="D4027" s="27"/>
      <c r="E4027" s="27"/>
      <c r="F4027" s="27"/>
      <c r="G4027" s="27"/>
      <c r="H4027" s="27"/>
      <c r="I4027" s="27"/>
    </row>
    <row r="4028" spans="1:9" x14ac:dyDescent="0.35">
      <c r="A4028" s="27"/>
      <c r="B4028" s="27"/>
      <c r="C4028" s="27"/>
      <c r="D4028" s="27"/>
      <c r="E4028" s="27"/>
      <c r="F4028" s="27"/>
      <c r="G4028" s="27"/>
      <c r="H4028" s="27"/>
      <c r="I4028" s="27"/>
    </row>
    <row r="4029" spans="1:9" x14ac:dyDescent="0.35">
      <c r="A4029" s="27"/>
      <c r="B4029" s="27"/>
      <c r="C4029" s="27"/>
      <c r="D4029" s="27"/>
      <c r="E4029" s="27"/>
      <c r="F4029" s="27"/>
      <c r="G4029" s="27"/>
      <c r="H4029" s="27"/>
      <c r="I4029" s="27"/>
    </row>
    <row r="4030" spans="1:9" x14ac:dyDescent="0.35">
      <c r="A4030" s="27"/>
      <c r="B4030" s="27"/>
      <c r="C4030" s="27"/>
      <c r="D4030" s="27"/>
      <c r="E4030" s="27"/>
      <c r="F4030" s="27"/>
      <c r="G4030" s="27"/>
      <c r="H4030" s="27"/>
      <c r="I4030" s="27"/>
    </row>
    <row r="4031" spans="1:9" x14ac:dyDescent="0.35">
      <c r="A4031" s="27"/>
      <c r="B4031" s="27"/>
      <c r="C4031" s="27"/>
      <c r="D4031" s="27"/>
      <c r="E4031" s="27"/>
      <c r="F4031" s="27"/>
      <c r="G4031" s="27"/>
      <c r="H4031" s="27"/>
      <c r="I4031" s="27"/>
    </row>
    <row r="4032" spans="1:9" x14ac:dyDescent="0.35">
      <c r="A4032" s="27"/>
      <c r="B4032" s="27"/>
      <c r="C4032" s="27"/>
      <c r="D4032" s="27"/>
      <c r="E4032" s="27"/>
      <c r="F4032" s="27"/>
      <c r="G4032" s="27"/>
      <c r="H4032" s="27"/>
      <c r="I4032" s="27"/>
    </row>
    <row r="4033" spans="1:9" x14ac:dyDescent="0.35">
      <c r="A4033" s="27"/>
      <c r="B4033" s="27"/>
      <c r="C4033" s="27"/>
      <c r="D4033" s="27"/>
      <c r="E4033" s="27"/>
      <c r="F4033" s="27"/>
      <c r="G4033" s="27"/>
      <c r="H4033" s="27"/>
      <c r="I4033" s="27"/>
    </row>
    <row r="4034" spans="1:9" x14ac:dyDescent="0.35">
      <c r="A4034" s="27"/>
      <c r="B4034" s="27"/>
      <c r="C4034" s="27"/>
      <c r="D4034" s="27"/>
      <c r="E4034" s="27"/>
      <c r="F4034" s="27"/>
      <c r="G4034" s="27"/>
      <c r="H4034" s="27"/>
      <c r="I4034" s="27"/>
    </row>
    <row r="4035" spans="1:9" x14ac:dyDescent="0.35">
      <c r="A4035" s="27"/>
      <c r="B4035" s="27"/>
      <c r="C4035" s="27"/>
      <c r="D4035" s="27"/>
      <c r="E4035" s="27"/>
      <c r="F4035" s="27"/>
      <c r="G4035" s="27"/>
      <c r="H4035" s="27"/>
      <c r="I4035" s="27"/>
    </row>
    <row r="4036" spans="1:9" x14ac:dyDescent="0.35">
      <c r="A4036" s="27"/>
      <c r="B4036" s="27"/>
      <c r="C4036" s="27"/>
      <c r="D4036" s="27"/>
      <c r="E4036" s="27"/>
      <c r="F4036" s="27"/>
      <c r="G4036" s="27"/>
      <c r="H4036" s="27"/>
      <c r="I4036" s="27"/>
    </row>
    <row r="4037" spans="1:9" x14ac:dyDescent="0.35">
      <c r="A4037" s="27"/>
      <c r="B4037" s="27"/>
      <c r="C4037" s="27"/>
      <c r="D4037" s="27"/>
      <c r="E4037" s="27"/>
      <c r="F4037" s="27"/>
      <c r="G4037" s="27"/>
      <c r="H4037" s="27"/>
      <c r="I4037" s="27"/>
    </row>
    <row r="4038" spans="1:9" x14ac:dyDescent="0.35">
      <c r="A4038" s="27"/>
      <c r="B4038" s="27"/>
      <c r="C4038" s="27"/>
      <c r="D4038" s="27"/>
      <c r="E4038" s="27"/>
      <c r="F4038" s="27"/>
      <c r="G4038" s="27"/>
      <c r="H4038" s="27"/>
      <c r="I4038" s="27"/>
    </row>
    <row r="4039" spans="1:9" x14ac:dyDescent="0.35">
      <c r="A4039" s="27"/>
      <c r="B4039" s="27"/>
      <c r="C4039" s="27"/>
      <c r="D4039" s="27"/>
      <c r="E4039" s="27"/>
      <c r="F4039" s="27"/>
      <c r="G4039" s="27"/>
      <c r="H4039" s="27"/>
      <c r="I4039" s="27"/>
    </row>
    <row r="4040" spans="1:9" x14ac:dyDescent="0.35">
      <c r="A4040" s="27"/>
      <c r="B4040" s="27"/>
      <c r="C4040" s="27"/>
      <c r="D4040" s="27"/>
      <c r="E4040" s="27"/>
      <c r="F4040" s="27"/>
      <c r="G4040" s="27"/>
      <c r="H4040" s="27"/>
      <c r="I4040" s="27"/>
    </row>
    <row r="4041" spans="1:9" x14ac:dyDescent="0.35">
      <c r="A4041" s="27"/>
      <c r="B4041" s="27"/>
      <c r="C4041" s="27"/>
      <c r="D4041" s="27"/>
      <c r="E4041" s="27"/>
      <c r="F4041" s="27"/>
      <c r="G4041" s="27"/>
      <c r="H4041" s="27"/>
      <c r="I4041" s="27"/>
    </row>
    <row r="4042" spans="1:9" x14ac:dyDescent="0.35">
      <c r="A4042" s="27"/>
      <c r="B4042" s="27"/>
      <c r="C4042" s="27"/>
      <c r="D4042" s="27"/>
      <c r="E4042" s="27"/>
      <c r="F4042" s="27"/>
      <c r="G4042" s="27"/>
      <c r="H4042" s="27"/>
      <c r="I4042" s="27"/>
    </row>
    <row r="4043" spans="1:9" x14ac:dyDescent="0.35">
      <c r="A4043" s="27"/>
      <c r="B4043" s="27"/>
      <c r="C4043" s="27"/>
      <c r="D4043" s="27"/>
      <c r="E4043" s="27"/>
      <c r="F4043" s="27"/>
      <c r="G4043" s="27"/>
      <c r="H4043" s="27"/>
      <c r="I4043" s="27"/>
    </row>
    <row r="4044" spans="1:9" x14ac:dyDescent="0.35">
      <c r="A4044" s="27"/>
      <c r="B4044" s="27"/>
      <c r="C4044" s="27"/>
      <c r="D4044" s="27"/>
      <c r="E4044" s="27"/>
      <c r="F4044" s="27"/>
      <c r="G4044" s="27"/>
      <c r="H4044" s="27"/>
      <c r="I4044" s="27"/>
    </row>
    <row r="4045" spans="1:9" x14ac:dyDescent="0.35">
      <c r="A4045" s="27"/>
      <c r="B4045" s="27"/>
      <c r="C4045" s="27"/>
      <c r="D4045" s="27"/>
      <c r="E4045" s="27"/>
      <c r="F4045" s="27"/>
      <c r="G4045" s="27"/>
      <c r="H4045" s="27"/>
      <c r="I4045" s="27"/>
    </row>
    <row r="4046" spans="1:9" x14ac:dyDescent="0.35">
      <c r="A4046" s="27"/>
      <c r="B4046" s="27"/>
      <c r="C4046" s="27"/>
      <c r="D4046" s="27"/>
      <c r="E4046" s="27"/>
      <c r="F4046" s="27"/>
      <c r="G4046" s="27"/>
      <c r="H4046" s="27"/>
      <c r="I4046" s="27"/>
    </row>
    <row r="4047" spans="1:9" x14ac:dyDescent="0.35">
      <c r="A4047" s="27"/>
      <c r="B4047" s="27"/>
      <c r="C4047" s="27"/>
      <c r="D4047" s="27"/>
      <c r="E4047" s="27"/>
      <c r="F4047" s="27"/>
      <c r="G4047" s="27"/>
      <c r="H4047" s="27"/>
      <c r="I4047" s="27"/>
    </row>
    <row r="4048" spans="1:9" x14ac:dyDescent="0.35">
      <c r="A4048" s="27"/>
      <c r="B4048" s="27"/>
      <c r="C4048" s="27"/>
      <c r="D4048" s="27"/>
      <c r="E4048" s="27"/>
      <c r="F4048" s="27"/>
      <c r="G4048" s="27"/>
      <c r="H4048" s="27"/>
      <c r="I4048" s="27"/>
    </row>
    <row r="4049" spans="1:9" x14ac:dyDescent="0.35">
      <c r="A4049" s="27"/>
      <c r="B4049" s="27"/>
      <c r="C4049" s="27"/>
      <c r="D4049" s="27"/>
      <c r="E4049" s="27"/>
      <c r="F4049" s="27"/>
      <c r="G4049" s="27"/>
      <c r="H4049" s="27"/>
      <c r="I4049" s="27"/>
    </row>
    <row r="4050" spans="1:9" x14ac:dyDescent="0.35">
      <c r="A4050" s="27"/>
      <c r="B4050" s="27"/>
      <c r="C4050" s="27"/>
      <c r="D4050" s="27"/>
      <c r="E4050" s="27"/>
      <c r="F4050" s="27"/>
      <c r="G4050" s="27"/>
      <c r="H4050" s="27"/>
      <c r="I4050" s="27"/>
    </row>
    <row r="4051" spans="1:9" x14ac:dyDescent="0.35">
      <c r="A4051" s="27"/>
      <c r="B4051" s="27"/>
      <c r="C4051" s="27"/>
      <c r="D4051" s="27"/>
      <c r="E4051" s="27"/>
      <c r="F4051" s="27"/>
      <c r="G4051" s="27"/>
      <c r="H4051" s="27"/>
      <c r="I4051" s="27"/>
    </row>
    <row r="4052" spans="1:9" x14ac:dyDescent="0.35">
      <c r="A4052" s="27"/>
      <c r="B4052" s="27"/>
      <c r="C4052" s="27"/>
      <c r="D4052" s="27"/>
      <c r="E4052" s="27"/>
      <c r="F4052" s="27"/>
      <c r="G4052" s="27"/>
      <c r="H4052" s="27"/>
      <c r="I4052" s="27"/>
    </row>
    <row r="4053" spans="1:9" x14ac:dyDescent="0.35">
      <c r="A4053" s="27"/>
      <c r="B4053" s="27"/>
      <c r="C4053" s="27"/>
      <c r="D4053" s="27"/>
      <c r="E4053" s="27"/>
      <c r="F4053" s="27"/>
      <c r="G4053" s="27"/>
      <c r="H4053" s="27"/>
      <c r="I4053" s="27"/>
    </row>
    <row r="4054" spans="1:9" x14ac:dyDescent="0.35">
      <c r="A4054" s="27"/>
      <c r="B4054" s="27"/>
      <c r="C4054" s="27"/>
      <c r="D4054" s="27"/>
      <c r="E4054" s="27"/>
      <c r="F4054" s="27"/>
      <c r="G4054" s="27"/>
      <c r="H4054" s="27"/>
      <c r="I4054" s="27"/>
    </row>
    <row r="4055" spans="1:9" x14ac:dyDescent="0.35">
      <c r="A4055" s="27"/>
      <c r="B4055" s="27"/>
      <c r="C4055" s="27"/>
      <c r="D4055" s="27"/>
      <c r="E4055" s="27"/>
      <c r="F4055" s="27"/>
      <c r="G4055" s="27"/>
      <c r="H4055" s="27"/>
      <c r="I4055" s="27"/>
    </row>
    <row r="4056" spans="1:9" x14ac:dyDescent="0.35">
      <c r="A4056" s="27"/>
      <c r="B4056" s="27"/>
      <c r="C4056" s="27"/>
      <c r="D4056" s="27"/>
      <c r="E4056" s="27"/>
      <c r="F4056" s="27"/>
      <c r="G4056" s="27"/>
      <c r="H4056" s="27"/>
      <c r="I4056" s="27"/>
    </row>
    <row r="4057" spans="1:9" x14ac:dyDescent="0.35">
      <c r="A4057" s="27"/>
      <c r="B4057" s="27"/>
      <c r="C4057" s="27"/>
      <c r="D4057" s="27"/>
      <c r="E4057" s="27"/>
      <c r="F4057" s="27"/>
      <c r="G4057" s="27"/>
      <c r="H4057" s="27"/>
      <c r="I4057" s="27"/>
    </row>
    <row r="4058" spans="1:9" x14ac:dyDescent="0.35">
      <c r="A4058" s="27"/>
      <c r="B4058" s="27"/>
      <c r="C4058" s="27"/>
      <c r="D4058" s="27"/>
      <c r="E4058" s="27"/>
      <c r="F4058" s="27"/>
      <c r="G4058" s="27"/>
      <c r="H4058" s="27"/>
      <c r="I4058" s="27"/>
    </row>
    <row r="4059" spans="1:9" x14ac:dyDescent="0.35">
      <c r="A4059" s="27"/>
      <c r="B4059" s="27"/>
      <c r="C4059" s="27"/>
      <c r="D4059" s="27"/>
      <c r="E4059" s="27"/>
      <c r="F4059" s="27"/>
      <c r="G4059" s="27"/>
      <c r="H4059" s="27"/>
      <c r="I4059" s="27"/>
    </row>
    <row r="4060" spans="1:9" x14ac:dyDescent="0.35">
      <c r="A4060" s="27"/>
      <c r="B4060" s="27"/>
      <c r="C4060" s="27"/>
      <c r="D4060" s="27"/>
      <c r="E4060" s="27"/>
      <c r="F4060" s="27"/>
      <c r="G4060" s="27"/>
      <c r="H4060" s="27"/>
      <c r="I4060" s="27"/>
    </row>
    <row r="4061" spans="1:9" x14ac:dyDescent="0.35">
      <c r="A4061" s="27"/>
      <c r="B4061" s="27"/>
      <c r="C4061" s="27"/>
      <c r="D4061" s="27"/>
      <c r="E4061" s="27"/>
      <c r="F4061" s="27"/>
      <c r="G4061" s="27"/>
      <c r="H4061" s="27"/>
      <c r="I4061" s="27"/>
    </row>
    <row r="4062" spans="1:9" x14ac:dyDescent="0.35">
      <c r="A4062" s="27"/>
      <c r="B4062" s="27"/>
      <c r="C4062" s="27"/>
      <c r="D4062" s="27"/>
      <c r="E4062" s="27"/>
      <c r="F4062" s="27"/>
      <c r="G4062" s="27"/>
      <c r="H4062" s="27"/>
      <c r="I4062" s="27"/>
    </row>
    <row r="4063" spans="1:9" x14ac:dyDescent="0.35">
      <c r="A4063" s="27"/>
      <c r="B4063" s="27"/>
      <c r="C4063" s="27"/>
      <c r="D4063" s="27"/>
      <c r="E4063" s="27"/>
      <c r="F4063" s="27"/>
      <c r="G4063" s="27"/>
      <c r="H4063" s="27"/>
      <c r="I4063" s="27"/>
    </row>
    <row r="4064" spans="1:9" x14ac:dyDescent="0.35">
      <c r="A4064" s="27"/>
      <c r="B4064" s="27"/>
      <c r="C4064" s="27"/>
      <c r="D4064" s="27"/>
      <c r="E4064" s="27"/>
      <c r="F4064" s="27"/>
      <c r="G4064" s="27"/>
      <c r="H4064" s="27"/>
      <c r="I4064" s="27"/>
    </row>
    <row r="4065" spans="1:9" x14ac:dyDescent="0.35">
      <c r="A4065" s="27"/>
      <c r="B4065" s="27"/>
      <c r="C4065" s="27"/>
      <c r="D4065" s="27"/>
      <c r="E4065" s="27"/>
      <c r="F4065" s="27"/>
      <c r="G4065" s="27"/>
      <c r="H4065" s="27"/>
      <c r="I4065" s="27"/>
    </row>
    <row r="4066" spans="1:9" x14ac:dyDescent="0.35">
      <c r="A4066" s="27"/>
      <c r="B4066" s="27"/>
      <c r="C4066" s="27"/>
      <c r="D4066" s="27"/>
      <c r="E4066" s="27"/>
      <c r="F4066" s="27"/>
      <c r="G4066" s="27"/>
      <c r="H4066" s="27"/>
      <c r="I4066" s="27"/>
    </row>
    <row r="4067" spans="1:9" x14ac:dyDescent="0.35">
      <c r="A4067" s="27"/>
      <c r="B4067" s="27"/>
      <c r="C4067" s="27"/>
      <c r="D4067" s="27"/>
      <c r="E4067" s="27"/>
      <c r="F4067" s="27"/>
      <c r="G4067" s="27"/>
      <c r="H4067" s="27"/>
      <c r="I4067" s="27"/>
    </row>
    <row r="4068" spans="1:9" x14ac:dyDescent="0.35">
      <c r="A4068" s="27"/>
      <c r="B4068" s="27"/>
      <c r="C4068" s="27"/>
      <c r="D4068" s="27"/>
      <c r="E4068" s="27"/>
      <c r="F4068" s="27"/>
      <c r="G4068" s="27"/>
      <c r="H4068" s="27"/>
      <c r="I4068" s="27"/>
    </row>
    <row r="4069" spans="1:9" x14ac:dyDescent="0.35">
      <c r="A4069" s="27"/>
      <c r="B4069" s="27"/>
      <c r="C4069" s="27"/>
      <c r="D4069" s="27"/>
      <c r="E4069" s="27"/>
      <c r="F4069" s="27"/>
      <c r="G4069" s="27"/>
      <c r="H4069" s="27"/>
      <c r="I4069" s="27"/>
    </row>
    <row r="4070" spans="1:9" x14ac:dyDescent="0.35">
      <c r="A4070" s="27"/>
      <c r="B4070" s="27"/>
      <c r="C4070" s="27"/>
      <c r="D4070" s="27"/>
      <c r="E4070" s="27"/>
      <c r="F4070" s="27"/>
      <c r="G4070" s="27"/>
      <c r="H4070" s="27"/>
      <c r="I4070" s="27"/>
    </row>
    <row r="4071" spans="1:9" x14ac:dyDescent="0.35">
      <c r="A4071" s="27"/>
      <c r="B4071" s="27"/>
      <c r="C4071" s="27"/>
      <c r="D4071" s="27"/>
      <c r="E4071" s="27"/>
      <c r="F4071" s="27"/>
      <c r="G4071" s="27"/>
      <c r="H4071" s="27"/>
      <c r="I4071" s="27"/>
    </row>
    <row r="4072" spans="1:9" x14ac:dyDescent="0.35">
      <c r="A4072" s="27"/>
      <c r="B4072" s="27"/>
      <c r="C4072" s="27"/>
      <c r="D4072" s="27"/>
      <c r="E4072" s="27"/>
      <c r="F4072" s="27"/>
      <c r="G4072" s="27"/>
      <c r="H4072" s="27"/>
      <c r="I4072" s="27"/>
    </row>
    <row r="4073" spans="1:9" x14ac:dyDescent="0.35">
      <c r="A4073" s="27"/>
      <c r="B4073" s="27"/>
      <c r="C4073" s="27"/>
      <c r="D4073" s="27"/>
      <c r="E4073" s="27"/>
      <c r="F4073" s="27"/>
      <c r="G4073" s="27"/>
      <c r="H4073" s="27"/>
      <c r="I4073" s="27"/>
    </row>
    <row r="4074" spans="1:9" x14ac:dyDescent="0.35">
      <c r="A4074" s="27"/>
      <c r="B4074" s="27"/>
      <c r="C4074" s="27"/>
      <c r="D4074" s="27"/>
      <c r="E4074" s="27"/>
      <c r="F4074" s="27"/>
      <c r="G4074" s="27"/>
      <c r="H4074" s="27"/>
      <c r="I4074" s="27"/>
    </row>
    <row r="4075" spans="1:9" x14ac:dyDescent="0.35">
      <c r="A4075" s="27"/>
      <c r="B4075" s="27"/>
      <c r="C4075" s="27"/>
      <c r="D4075" s="27"/>
      <c r="E4075" s="27"/>
      <c r="F4075" s="27"/>
      <c r="G4075" s="27"/>
      <c r="H4075" s="27"/>
      <c r="I4075" s="27"/>
    </row>
    <row r="4076" spans="1:9" x14ac:dyDescent="0.35">
      <c r="A4076" s="27"/>
      <c r="B4076" s="27"/>
      <c r="C4076" s="27"/>
      <c r="D4076" s="27"/>
      <c r="E4076" s="27"/>
      <c r="F4076" s="27"/>
      <c r="G4076" s="27"/>
      <c r="H4076" s="27"/>
      <c r="I4076" s="27"/>
    </row>
    <row r="4077" spans="1:9" x14ac:dyDescent="0.35">
      <c r="A4077" s="27"/>
      <c r="B4077" s="27"/>
      <c r="C4077" s="27"/>
      <c r="D4077" s="27"/>
      <c r="E4077" s="27"/>
      <c r="F4077" s="27"/>
      <c r="G4077" s="27"/>
      <c r="H4077" s="27"/>
      <c r="I4077" s="27"/>
    </row>
    <row r="4078" spans="1:9" x14ac:dyDescent="0.35">
      <c r="A4078" s="27"/>
      <c r="B4078" s="27"/>
      <c r="C4078" s="27"/>
      <c r="D4078" s="27"/>
      <c r="E4078" s="27"/>
      <c r="F4078" s="27"/>
      <c r="G4078" s="27"/>
      <c r="H4078" s="27"/>
      <c r="I4078" s="27"/>
    </row>
    <row r="4079" spans="1:9" x14ac:dyDescent="0.35">
      <c r="A4079" s="27"/>
      <c r="B4079" s="27"/>
      <c r="C4079" s="27"/>
      <c r="D4079" s="27"/>
      <c r="E4079" s="27"/>
      <c r="F4079" s="27"/>
      <c r="G4079" s="27"/>
      <c r="H4079" s="27"/>
      <c r="I4079" s="27"/>
    </row>
    <row r="4080" spans="1:9" x14ac:dyDescent="0.35">
      <c r="A4080" s="27"/>
      <c r="B4080" s="27"/>
      <c r="C4080" s="27"/>
      <c r="D4080" s="27"/>
      <c r="E4080" s="27"/>
      <c r="F4080" s="27"/>
      <c r="G4080" s="27"/>
      <c r="H4080" s="27"/>
      <c r="I4080" s="27"/>
    </row>
    <row r="4081" spans="1:9" x14ac:dyDescent="0.35">
      <c r="A4081" s="27"/>
      <c r="B4081" s="27"/>
      <c r="C4081" s="27"/>
      <c r="D4081" s="27"/>
      <c r="E4081" s="27"/>
      <c r="F4081" s="27"/>
      <c r="G4081" s="27"/>
      <c r="H4081" s="27"/>
      <c r="I4081" s="27"/>
    </row>
    <row r="4082" spans="1:9" x14ac:dyDescent="0.35">
      <c r="A4082" s="27"/>
      <c r="B4082" s="27"/>
      <c r="C4082" s="27"/>
      <c r="D4082" s="27"/>
      <c r="E4082" s="27"/>
      <c r="F4082" s="27"/>
      <c r="G4082" s="27"/>
      <c r="H4082" s="27"/>
      <c r="I4082" s="27"/>
    </row>
    <row r="4083" spans="1:9" x14ac:dyDescent="0.35">
      <c r="A4083" s="27"/>
      <c r="B4083" s="27"/>
      <c r="C4083" s="27"/>
      <c r="D4083" s="27"/>
      <c r="E4083" s="27"/>
      <c r="F4083" s="27"/>
      <c r="G4083" s="27"/>
      <c r="H4083" s="27"/>
      <c r="I4083" s="27"/>
    </row>
    <row r="4084" spans="1:9" x14ac:dyDescent="0.35">
      <c r="A4084" s="27"/>
      <c r="B4084" s="27"/>
      <c r="C4084" s="27"/>
      <c r="D4084" s="27"/>
      <c r="E4084" s="27"/>
      <c r="F4084" s="27"/>
      <c r="G4084" s="27"/>
      <c r="H4084" s="27"/>
      <c r="I4084" s="27"/>
    </row>
    <row r="4085" spans="1:9" x14ac:dyDescent="0.35">
      <c r="A4085" s="27"/>
      <c r="B4085" s="27"/>
      <c r="C4085" s="27"/>
      <c r="D4085" s="27"/>
      <c r="E4085" s="27"/>
      <c r="F4085" s="27"/>
      <c r="G4085" s="27"/>
      <c r="H4085" s="27"/>
      <c r="I4085" s="27"/>
    </row>
    <row r="4086" spans="1:9" x14ac:dyDescent="0.35">
      <c r="A4086" s="27"/>
      <c r="B4086" s="27"/>
      <c r="C4086" s="27"/>
      <c r="D4086" s="27"/>
      <c r="E4086" s="27"/>
      <c r="F4086" s="27"/>
      <c r="G4086" s="27"/>
      <c r="H4086" s="27"/>
      <c r="I4086" s="27"/>
    </row>
    <row r="4087" spans="1:9" x14ac:dyDescent="0.35">
      <c r="A4087" s="27"/>
      <c r="B4087" s="27"/>
      <c r="C4087" s="27"/>
      <c r="D4087" s="27"/>
      <c r="E4087" s="27"/>
      <c r="F4087" s="27"/>
      <c r="G4087" s="27"/>
      <c r="H4087" s="27"/>
      <c r="I4087" s="27"/>
    </row>
    <row r="4088" spans="1:9" x14ac:dyDescent="0.35">
      <c r="A4088" s="27"/>
      <c r="B4088" s="27"/>
      <c r="C4088" s="27"/>
      <c r="D4088" s="27"/>
      <c r="E4088" s="27"/>
      <c r="F4088" s="27"/>
      <c r="G4088" s="27"/>
      <c r="H4088" s="27"/>
      <c r="I4088" s="27"/>
    </row>
    <row r="4089" spans="1:9" x14ac:dyDescent="0.35">
      <c r="A4089" s="27"/>
      <c r="B4089" s="27"/>
      <c r="C4089" s="27"/>
      <c r="D4089" s="27"/>
      <c r="E4089" s="27"/>
      <c r="F4089" s="27"/>
      <c r="G4089" s="27"/>
      <c r="H4089" s="27"/>
      <c r="I4089" s="27"/>
    </row>
    <row r="4090" spans="1:9" x14ac:dyDescent="0.35">
      <c r="A4090" s="27"/>
      <c r="B4090" s="27"/>
      <c r="C4090" s="27"/>
      <c r="D4090" s="27"/>
      <c r="E4090" s="27"/>
      <c r="F4090" s="27"/>
      <c r="G4090" s="27"/>
      <c r="H4090" s="27"/>
      <c r="I4090" s="27"/>
    </row>
    <row r="4091" spans="1:9" x14ac:dyDescent="0.35">
      <c r="A4091" s="27"/>
      <c r="B4091" s="27"/>
      <c r="C4091" s="27"/>
      <c r="D4091" s="27"/>
      <c r="E4091" s="27"/>
      <c r="F4091" s="27"/>
      <c r="G4091" s="27"/>
      <c r="H4091" s="27"/>
      <c r="I4091" s="27"/>
    </row>
    <row r="4092" spans="1:9" x14ac:dyDescent="0.35">
      <c r="A4092" s="27"/>
      <c r="B4092" s="27"/>
      <c r="C4092" s="27"/>
      <c r="D4092" s="27"/>
      <c r="E4092" s="27"/>
      <c r="F4092" s="27"/>
      <c r="G4092" s="27"/>
      <c r="H4092" s="27"/>
      <c r="I4092" s="27"/>
    </row>
    <row r="4093" spans="1:9" x14ac:dyDescent="0.35">
      <c r="A4093" s="27"/>
      <c r="B4093" s="27"/>
      <c r="C4093" s="27"/>
      <c r="D4093" s="27"/>
      <c r="E4093" s="27"/>
      <c r="F4093" s="27"/>
      <c r="G4093" s="27"/>
      <c r="H4093" s="27"/>
      <c r="I4093" s="27"/>
    </row>
    <row r="4094" spans="1:9" x14ac:dyDescent="0.35">
      <c r="A4094" s="27"/>
      <c r="B4094" s="27"/>
      <c r="C4094" s="27"/>
      <c r="D4094" s="27"/>
      <c r="E4094" s="27"/>
      <c r="F4094" s="27"/>
      <c r="G4094" s="27"/>
      <c r="H4094" s="27"/>
      <c r="I4094" s="27"/>
    </row>
    <row r="4095" spans="1:9" x14ac:dyDescent="0.35">
      <c r="A4095" s="27"/>
      <c r="B4095" s="27"/>
      <c r="C4095" s="27"/>
      <c r="D4095" s="27"/>
      <c r="E4095" s="27"/>
      <c r="F4095" s="27"/>
      <c r="G4095" s="27"/>
      <c r="H4095" s="27"/>
      <c r="I4095" s="27"/>
    </row>
    <row r="4096" spans="1:9" x14ac:dyDescent="0.35">
      <c r="A4096" s="27"/>
      <c r="B4096" s="27"/>
      <c r="C4096" s="27"/>
      <c r="D4096" s="27"/>
      <c r="E4096" s="27"/>
      <c r="F4096" s="27"/>
      <c r="G4096" s="27"/>
      <c r="H4096" s="27"/>
      <c r="I4096" s="27"/>
    </row>
    <row r="4097" spans="1:9" x14ac:dyDescent="0.35">
      <c r="A4097" s="27"/>
      <c r="B4097" s="27"/>
      <c r="C4097" s="27"/>
      <c r="D4097" s="27"/>
      <c r="E4097" s="27"/>
      <c r="F4097" s="27"/>
      <c r="G4097" s="27"/>
      <c r="H4097" s="27"/>
      <c r="I4097" s="27"/>
    </row>
    <row r="4098" spans="1:9" x14ac:dyDescent="0.35">
      <c r="A4098" s="27"/>
      <c r="B4098" s="27"/>
      <c r="C4098" s="27"/>
      <c r="D4098" s="27"/>
      <c r="E4098" s="27"/>
      <c r="F4098" s="27"/>
      <c r="G4098" s="27"/>
      <c r="H4098" s="27"/>
      <c r="I4098" s="27"/>
    </row>
    <row r="4099" spans="1:9" x14ac:dyDescent="0.35">
      <c r="A4099" s="27"/>
      <c r="B4099" s="27"/>
      <c r="C4099" s="27"/>
      <c r="D4099" s="27"/>
      <c r="E4099" s="27"/>
      <c r="F4099" s="27"/>
      <c r="G4099" s="27"/>
      <c r="H4099" s="27"/>
      <c r="I4099" s="27"/>
    </row>
    <row r="4100" spans="1:9" x14ac:dyDescent="0.35">
      <c r="A4100" s="27"/>
      <c r="B4100" s="27"/>
      <c r="C4100" s="27"/>
      <c r="D4100" s="27"/>
      <c r="E4100" s="27"/>
      <c r="F4100" s="27"/>
      <c r="G4100" s="27"/>
      <c r="H4100" s="27"/>
      <c r="I4100" s="27"/>
    </row>
    <row r="4101" spans="1:9" x14ac:dyDescent="0.35">
      <c r="A4101" s="27"/>
      <c r="B4101" s="27"/>
      <c r="C4101" s="27"/>
      <c r="D4101" s="27"/>
      <c r="E4101" s="27"/>
      <c r="F4101" s="27"/>
      <c r="G4101" s="27"/>
      <c r="H4101" s="27"/>
      <c r="I4101" s="27"/>
    </row>
    <row r="4102" spans="1:9" x14ac:dyDescent="0.35">
      <c r="A4102" s="27"/>
      <c r="B4102" s="27"/>
      <c r="C4102" s="27"/>
      <c r="D4102" s="27"/>
      <c r="E4102" s="27"/>
      <c r="F4102" s="27"/>
      <c r="G4102" s="27"/>
      <c r="H4102" s="27"/>
      <c r="I4102" s="27"/>
    </row>
    <row r="4103" spans="1:9" x14ac:dyDescent="0.35">
      <c r="A4103" s="27"/>
      <c r="B4103" s="27"/>
      <c r="C4103" s="27"/>
      <c r="D4103" s="27"/>
      <c r="E4103" s="27"/>
      <c r="F4103" s="27"/>
      <c r="G4103" s="27"/>
      <c r="H4103" s="27"/>
      <c r="I4103" s="27"/>
    </row>
    <row r="4104" spans="1:9" x14ac:dyDescent="0.35">
      <c r="A4104" s="27"/>
      <c r="B4104" s="27"/>
      <c r="C4104" s="27"/>
      <c r="D4104" s="27"/>
      <c r="E4104" s="27"/>
      <c r="F4104" s="27"/>
      <c r="G4104" s="27"/>
      <c r="H4104" s="27"/>
      <c r="I4104" s="27"/>
    </row>
    <row r="4105" spans="1:9" x14ac:dyDescent="0.35">
      <c r="A4105" s="27"/>
      <c r="B4105" s="27"/>
      <c r="C4105" s="27"/>
      <c r="D4105" s="27"/>
      <c r="E4105" s="27"/>
      <c r="F4105" s="27"/>
      <c r="G4105" s="27"/>
      <c r="H4105" s="27"/>
      <c r="I4105" s="27"/>
    </row>
    <row r="4106" spans="1:9" x14ac:dyDescent="0.35">
      <c r="A4106" s="27"/>
      <c r="B4106" s="27"/>
      <c r="C4106" s="27"/>
      <c r="D4106" s="27"/>
      <c r="E4106" s="27"/>
      <c r="F4106" s="27"/>
      <c r="G4106" s="27"/>
      <c r="H4106" s="27"/>
      <c r="I4106" s="27"/>
    </row>
    <row r="4107" spans="1:9" x14ac:dyDescent="0.35">
      <c r="A4107" s="27"/>
      <c r="B4107" s="27"/>
      <c r="C4107" s="27"/>
      <c r="D4107" s="27"/>
      <c r="E4107" s="27"/>
      <c r="F4107" s="27"/>
      <c r="G4107" s="27"/>
      <c r="H4107" s="27"/>
      <c r="I4107" s="27"/>
    </row>
    <row r="4108" spans="1:9" x14ac:dyDescent="0.35">
      <c r="A4108" s="27"/>
      <c r="B4108" s="27"/>
      <c r="C4108" s="27"/>
      <c r="D4108" s="27"/>
      <c r="E4108" s="27"/>
      <c r="F4108" s="27"/>
      <c r="G4108" s="27"/>
      <c r="H4108" s="27"/>
      <c r="I4108" s="27"/>
    </row>
    <row r="4109" spans="1:9" x14ac:dyDescent="0.35">
      <c r="A4109" s="27"/>
      <c r="B4109" s="27"/>
      <c r="C4109" s="27"/>
      <c r="D4109" s="27"/>
      <c r="E4109" s="27"/>
      <c r="F4109" s="27"/>
      <c r="G4109" s="27"/>
      <c r="H4109" s="27"/>
      <c r="I4109" s="27"/>
    </row>
    <row r="4110" spans="1:9" x14ac:dyDescent="0.35">
      <c r="A4110" s="27"/>
      <c r="B4110" s="27"/>
      <c r="C4110" s="27"/>
      <c r="D4110" s="27"/>
      <c r="E4110" s="27"/>
      <c r="F4110" s="27"/>
      <c r="G4110" s="27"/>
      <c r="H4110" s="27"/>
      <c r="I4110" s="27"/>
    </row>
    <row r="4111" spans="1:9" x14ac:dyDescent="0.35">
      <c r="A4111" s="27"/>
      <c r="B4111" s="27"/>
      <c r="C4111" s="27"/>
      <c r="D4111" s="27"/>
      <c r="E4111" s="27"/>
      <c r="F4111" s="27"/>
      <c r="G4111" s="27"/>
      <c r="H4111" s="27"/>
      <c r="I4111" s="27"/>
    </row>
    <row r="4112" spans="1:9" x14ac:dyDescent="0.35">
      <c r="A4112" s="27"/>
      <c r="B4112" s="27"/>
      <c r="C4112" s="27"/>
      <c r="D4112" s="27"/>
      <c r="E4112" s="27"/>
      <c r="F4112" s="27"/>
      <c r="G4112" s="27"/>
      <c r="H4112" s="27"/>
      <c r="I4112" s="27"/>
    </row>
    <row r="4113" spans="1:9" x14ac:dyDescent="0.35">
      <c r="A4113" s="27"/>
      <c r="B4113" s="27"/>
      <c r="C4113" s="27"/>
      <c r="D4113" s="27"/>
      <c r="E4113" s="27"/>
      <c r="F4113" s="27"/>
      <c r="G4113" s="27"/>
      <c r="H4113" s="27"/>
      <c r="I4113" s="27"/>
    </row>
    <row r="4114" spans="1:9" x14ac:dyDescent="0.35">
      <c r="A4114" s="27"/>
      <c r="B4114" s="27"/>
      <c r="C4114" s="27"/>
      <c r="D4114" s="27"/>
      <c r="E4114" s="27"/>
      <c r="F4114" s="27"/>
      <c r="G4114" s="27"/>
      <c r="H4114" s="27"/>
      <c r="I4114" s="27"/>
    </row>
    <row r="4115" spans="1:9" x14ac:dyDescent="0.35">
      <c r="A4115" s="27"/>
      <c r="B4115" s="27"/>
      <c r="C4115" s="27"/>
      <c r="D4115" s="27"/>
      <c r="E4115" s="27"/>
      <c r="F4115" s="27"/>
      <c r="G4115" s="27"/>
      <c r="H4115" s="27"/>
      <c r="I4115" s="27"/>
    </row>
    <row r="4116" spans="1:9" x14ac:dyDescent="0.35">
      <c r="A4116" s="27"/>
      <c r="B4116" s="27"/>
      <c r="C4116" s="27"/>
      <c r="D4116" s="27"/>
      <c r="E4116" s="27"/>
      <c r="F4116" s="27"/>
      <c r="G4116" s="27"/>
      <c r="H4116" s="27"/>
      <c r="I4116" s="27"/>
    </row>
    <row r="4117" spans="1:9" x14ac:dyDescent="0.35">
      <c r="A4117" s="27"/>
      <c r="B4117" s="27"/>
      <c r="C4117" s="27"/>
      <c r="D4117" s="27"/>
      <c r="E4117" s="27"/>
      <c r="F4117" s="27"/>
      <c r="G4117" s="27"/>
      <c r="H4117" s="27"/>
      <c r="I4117" s="27"/>
    </row>
    <row r="4118" spans="1:9" x14ac:dyDescent="0.35">
      <c r="A4118" s="27"/>
      <c r="B4118" s="27"/>
      <c r="C4118" s="27"/>
      <c r="D4118" s="27"/>
      <c r="E4118" s="27"/>
      <c r="F4118" s="27"/>
      <c r="G4118" s="27"/>
      <c r="H4118" s="27"/>
      <c r="I4118" s="27"/>
    </row>
    <row r="4119" spans="1:9" x14ac:dyDescent="0.35">
      <c r="A4119" s="27"/>
      <c r="B4119" s="27"/>
      <c r="C4119" s="27"/>
      <c r="D4119" s="27"/>
      <c r="E4119" s="27"/>
      <c r="F4119" s="27"/>
      <c r="G4119" s="27"/>
      <c r="H4119" s="27"/>
      <c r="I4119" s="27"/>
    </row>
    <row r="4120" spans="1:9" x14ac:dyDescent="0.35">
      <c r="A4120" s="27"/>
      <c r="B4120" s="27"/>
      <c r="C4120" s="27"/>
      <c r="D4120" s="27"/>
      <c r="E4120" s="27"/>
      <c r="F4120" s="27"/>
      <c r="G4120" s="27"/>
      <c r="H4120" s="27"/>
      <c r="I4120" s="27"/>
    </row>
    <row r="4121" spans="1:9" x14ac:dyDescent="0.35">
      <c r="A4121" s="27"/>
      <c r="B4121" s="27"/>
      <c r="C4121" s="27"/>
      <c r="D4121" s="27"/>
      <c r="E4121" s="27"/>
      <c r="F4121" s="27"/>
      <c r="G4121" s="27"/>
      <c r="H4121" s="27"/>
      <c r="I4121" s="27"/>
    </row>
    <row r="4122" spans="1:9" x14ac:dyDescent="0.35">
      <c r="A4122" s="27"/>
      <c r="B4122" s="27"/>
      <c r="C4122" s="27"/>
      <c r="D4122" s="27"/>
      <c r="E4122" s="27"/>
      <c r="F4122" s="27"/>
      <c r="G4122" s="27"/>
      <c r="H4122" s="27"/>
      <c r="I4122" s="27"/>
    </row>
    <row r="4123" spans="1:9" x14ac:dyDescent="0.35">
      <c r="A4123" s="27"/>
      <c r="B4123" s="27"/>
      <c r="C4123" s="27"/>
      <c r="D4123" s="27"/>
      <c r="E4123" s="27"/>
      <c r="F4123" s="27"/>
      <c r="G4123" s="27"/>
      <c r="H4123" s="27"/>
      <c r="I4123" s="27"/>
    </row>
    <row r="4124" spans="1:9" x14ac:dyDescent="0.35">
      <c r="A4124" s="27"/>
      <c r="B4124" s="27"/>
      <c r="C4124" s="27"/>
      <c r="D4124" s="27"/>
      <c r="E4124" s="27"/>
      <c r="F4124" s="27"/>
      <c r="G4124" s="27"/>
      <c r="H4124" s="27"/>
      <c r="I4124" s="27"/>
    </row>
    <row r="4125" spans="1:9" x14ac:dyDescent="0.35">
      <c r="A4125" s="27"/>
      <c r="B4125" s="27"/>
      <c r="C4125" s="27"/>
      <c r="D4125" s="27"/>
      <c r="E4125" s="27"/>
      <c r="F4125" s="27"/>
      <c r="G4125" s="27"/>
      <c r="H4125" s="27"/>
      <c r="I4125" s="27"/>
    </row>
    <row r="4126" spans="1:9" x14ac:dyDescent="0.35">
      <c r="A4126" s="27"/>
      <c r="B4126" s="27"/>
      <c r="C4126" s="27"/>
      <c r="D4126" s="27"/>
      <c r="E4126" s="27"/>
      <c r="F4126" s="27"/>
      <c r="G4126" s="27"/>
      <c r="H4126" s="27"/>
      <c r="I4126" s="27"/>
    </row>
    <row r="4127" spans="1:9" x14ac:dyDescent="0.35">
      <c r="A4127" s="27"/>
      <c r="B4127" s="27"/>
      <c r="C4127" s="27"/>
      <c r="D4127" s="27"/>
      <c r="E4127" s="27"/>
      <c r="F4127" s="27"/>
      <c r="G4127" s="27"/>
      <c r="H4127" s="27"/>
      <c r="I4127" s="27"/>
    </row>
    <row r="4128" spans="1:9" x14ac:dyDescent="0.35">
      <c r="A4128" s="27"/>
      <c r="B4128" s="27"/>
      <c r="C4128" s="27"/>
      <c r="D4128" s="27"/>
      <c r="E4128" s="27"/>
      <c r="F4128" s="27"/>
      <c r="G4128" s="27"/>
      <c r="H4128" s="27"/>
      <c r="I4128" s="27"/>
    </row>
    <row r="4129" spans="1:9" x14ac:dyDescent="0.35">
      <c r="A4129" s="27"/>
      <c r="B4129" s="27"/>
      <c r="C4129" s="27"/>
      <c r="D4129" s="27"/>
      <c r="E4129" s="27"/>
      <c r="F4129" s="27"/>
      <c r="G4129" s="27"/>
      <c r="H4129" s="27"/>
      <c r="I4129" s="27"/>
    </row>
    <row r="4130" spans="1:9" x14ac:dyDescent="0.35">
      <c r="A4130" s="27"/>
      <c r="B4130" s="27"/>
      <c r="C4130" s="27"/>
      <c r="D4130" s="27"/>
      <c r="E4130" s="27"/>
      <c r="F4130" s="27"/>
      <c r="G4130" s="27"/>
      <c r="H4130" s="27"/>
      <c r="I4130" s="27"/>
    </row>
    <row r="4131" spans="1:9" x14ac:dyDescent="0.35">
      <c r="A4131" s="27"/>
      <c r="B4131" s="27"/>
      <c r="C4131" s="27"/>
      <c r="D4131" s="27"/>
      <c r="E4131" s="27"/>
      <c r="F4131" s="27"/>
      <c r="G4131" s="27"/>
      <c r="H4131" s="27"/>
      <c r="I4131" s="27"/>
    </row>
    <row r="4132" spans="1:9" x14ac:dyDescent="0.35">
      <c r="A4132" s="27"/>
      <c r="B4132" s="27"/>
      <c r="C4132" s="27"/>
      <c r="D4132" s="27"/>
      <c r="E4132" s="27"/>
      <c r="F4132" s="27"/>
      <c r="G4132" s="27"/>
      <c r="H4132" s="27"/>
      <c r="I4132" s="27"/>
    </row>
    <row r="4133" spans="1:9" x14ac:dyDescent="0.35">
      <c r="A4133" s="27"/>
      <c r="B4133" s="27"/>
      <c r="C4133" s="27"/>
      <c r="D4133" s="27"/>
      <c r="E4133" s="27"/>
      <c r="F4133" s="27"/>
      <c r="G4133" s="27"/>
      <c r="H4133" s="27"/>
      <c r="I4133" s="27"/>
    </row>
    <row r="4134" spans="1:9" x14ac:dyDescent="0.35">
      <c r="A4134" s="27"/>
      <c r="B4134" s="27"/>
      <c r="C4134" s="27"/>
      <c r="D4134" s="27"/>
      <c r="E4134" s="27"/>
      <c r="F4134" s="27"/>
      <c r="G4134" s="27"/>
      <c r="H4134" s="27"/>
      <c r="I4134" s="27"/>
    </row>
    <row r="4135" spans="1:9" x14ac:dyDescent="0.35">
      <c r="A4135" s="27"/>
      <c r="B4135" s="27"/>
      <c r="C4135" s="27"/>
      <c r="D4135" s="27"/>
      <c r="E4135" s="27"/>
      <c r="F4135" s="27"/>
      <c r="G4135" s="27"/>
      <c r="H4135" s="27"/>
      <c r="I4135" s="27"/>
    </row>
    <row r="4136" spans="1:9" x14ac:dyDescent="0.35">
      <c r="A4136" s="27"/>
      <c r="B4136" s="27"/>
      <c r="C4136" s="27"/>
      <c r="D4136" s="27"/>
      <c r="E4136" s="27"/>
      <c r="F4136" s="27"/>
      <c r="G4136" s="27"/>
      <c r="H4136" s="27"/>
      <c r="I4136" s="27"/>
    </row>
    <row r="4137" spans="1:9" x14ac:dyDescent="0.35">
      <c r="A4137" s="27"/>
      <c r="B4137" s="27"/>
      <c r="C4137" s="27"/>
      <c r="D4137" s="27"/>
      <c r="E4137" s="27"/>
      <c r="F4137" s="27"/>
      <c r="G4137" s="27"/>
      <c r="H4137" s="27"/>
      <c r="I4137" s="27"/>
    </row>
    <row r="4138" spans="1:9" x14ac:dyDescent="0.35">
      <c r="A4138" s="27"/>
      <c r="B4138" s="27"/>
      <c r="C4138" s="27"/>
      <c r="D4138" s="27"/>
      <c r="E4138" s="27"/>
      <c r="F4138" s="27"/>
      <c r="G4138" s="27"/>
      <c r="H4138" s="27"/>
      <c r="I4138" s="27"/>
    </row>
    <row r="4139" spans="1:9" x14ac:dyDescent="0.35">
      <c r="A4139" s="27"/>
      <c r="B4139" s="27"/>
      <c r="C4139" s="27"/>
      <c r="D4139" s="27"/>
      <c r="E4139" s="27"/>
      <c r="F4139" s="27"/>
      <c r="G4139" s="27"/>
      <c r="H4139" s="27"/>
      <c r="I4139" s="27"/>
    </row>
    <row r="4140" spans="1:9" x14ac:dyDescent="0.35">
      <c r="A4140" s="27"/>
      <c r="B4140" s="27"/>
      <c r="C4140" s="27"/>
      <c r="D4140" s="27"/>
      <c r="E4140" s="27"/>
      <c r="F4140" s="27"/>
      <c r="G4140" s="27"/>
      <c r="H4140" s="27"/>
      <c r="I4140" s="27"/>
    </row>
    <row r="4141" spans="1:9" x14ac:dyDescent="0.35">
      <c r="A4141" s="27"/>
      <c r="B4141" s="27"/>
      <c r="C4141" s="27"/>
      <c r="D4141" s="27"/>
      <c r="E4141" s="27"/>
      <c r="F4141" s="27"/>
      <c r="G4141" s="27"/>
      <c r="H4141" s="27"/>
      <c r="I4141" s="27"/>
    </row>
    <row r="4142" spans="1:9" x14ac:dyDescent="0.35">
      <c r="A4142" s="27"/>
      <c r="B4142" s="27"/>
      <c r="C4142" s="27"/>
      <c r="D4142" s="27"/>
      <c r="E4142" s="27"/>
      <c r="F4142" s="27"/>
      <c r="G4142" s="27"/>
      <c r="H4142" s="27"/>
      <c r="I4142" s="27"/>
    </row>
    <row r="4143" spans="1:9" x14ac:dyDescent="0.35">
      <c r="A4143" s="27"/>
      <c r="B4143" s="27"/>
      <c r="C4143" s="27"/>
      <c r="D4143" s="27"/>
      <c r="E4143" s="27"/>
      <c r="F4143" s="27"/>
      <c r="G4143" s="27"/>
      <c r="H4143" s="27"/>
      <c r="I4143" s="27"/>
    </row>
    <row r="4144" spans="1:9" x14ac:dyDescent="0.35">
      <c r="A4144" s="27"/>
      <c r="B4144" s="27"/>
      <c r="C4144" s="27"/>
      <c r="D4144" s="27"/>
      <c r="E4144" s="27"/>
      <c r="F4144" s="27"/>
      <c r="G4144" s="27"/>
      <c r="H4144" s="27"/>
      <c r="I4144" s="27"/>
    </row>
    <row r="4145" spans="1:9" x14ac:dyDescent="0.35">
      <c r="A4145" s="27"/>
      <c r="B4145" s="27"/>
      <c r="C4145" s="27"/>
      <c r="D4145" s="27"/>
      <c r="E4145" s="27"/>
      <c r="F4145" s="27"/>
      <c r="G4145" s="27"/>
      <c r="H4145" s="27"/>
      <c r="I4145" s="27"/>
    </row>
    <row r="4146" spans="1:9" x14ac:dyDescent="0.35">
      <c r="A4146" s="27"/>
      <c r="B4146" s="27"/>
      <c r="C4146" s="27"/>
      <c r="D4146" s="27"/>
      <c r="E4146" s="27"/>
      <c r="F4146" s="27"/>
      <c r="G4146" s="27"/>
      <c r="H4146" s="27"/>
      <c r="I4146" s="27"/>
    </row>
    <row r="4147" spans="1:9" x14ac:dyDescent="0.35">
      <c r="A4147" s="27"/>
      <c r="B4147" s="27"/>
      <c r="C4147" s="27"/>
      <c r="D4147" s="27"/>
      <c r="E4147" s="27"/>
      <c r="F4147" s="27"/>
      <c r="G4147" s="27"/>
      <c r="H4147" s="27"/>
      <c r="I4147" s="27"/>
    </row>
    <row r="4148" spans="1:9" x14ac:dyDescent="0.35">
      <c r="A4148" s="27"/>
      <c r="B4148" s="27"/>
      <c r="C4148" s="27"/>
      <c r="D4148" s="27"/>
      <c r="E4148" s="27"/>
      <c r="F4148" s="27"/>
      <c r="G4148" s="27"/>
      <c r="H4148" s="27"/>
      <c r="I4148" s="27"/>
    </row>
    <row r="4149" spans="1:9" x14ac:dyDescent="0.35">
      <c r="A4149" s="27"/>
      <c r="B4149" s="27"/>
      <c r="C4149" s="27"/>
      <c r="D4149" s="27"/>
      <c r="E4149" s="27"/>
      <c r="F4149" s="27"/>
      <c r="G4149" s="27"/>
      <c r="H4149" s="27"/>
      <c r="I4149" s="27"/>
    </row>
    <row r="4150" spans="1:9" x14ac:dyDescent="0.35">
      <c r="A4150" s="27"/>
      <c r="B4150" s="27"/>
      <c r="C4150" s="27"/>
      <c r="D4150" s="27"/>
      <c r="E4150" s="27"/>
      <c r="F4150" s="27"/>
      <c r="G4150" s="27"/>
      <c r="H4150" s="27"/>
      <c r="I4150" s="27"/>
    </row>
    <row r="4151" spans="1:9" x14ac:dyDescent="0.35">
      <c r="A4151" s="27"/>
      <c r="B4151" s="27"/>
      <c r="C4151" s="27"/>
      <c r="D4151" s="27"/>
      <c r="E4151" s="27"/>
      <c r="F4151" s="27"/>
      <c r="G4151" s="27"/>
      <c r="H4151" s="27"/>
      <c r="I4151" s="27"/>
    </row>
    <row r="4152" spans="1:9" x14ac:dyDescent="0.35">
      <c r="A4152" s="27"/>
      <c r="B4152" s="27"/>
      <c r="C4152" s="27"/>
      <c r="D4152" s="27"/>
      <c r="E4152" s="27"/>
      <c r="F4152" s="27"/>
      <c r="G4152" s="27"/>
      <c r="H4152" s="27"/>
      <c r="I4152" s="27"/>
    </row>
    <row r="4153" spans="1:9" x14ac:dyDescent="0.35">
      <c r="A4153" s="27"/>
      <c r="B4153" s="27"/>
      <c r="C4153" s="27"/>
      <c r="D4153" s="27"/>
      <c r="E4153" s="27"/>
      <c r="F4153" s="27"/>
      <c r="G4153" s="27"/>
      <c r="H4153" s="27"/>
      <c r="I4153" s="27"/>
    </row>
    <row r="4154" spans="1:9" x14ac:dyDescent="0.35">
      <c r="A4154" s="27"/>
      <c r="B4154" s="27"/>
      <c r="C4154" s="27"/>
      <c r="D4154" s="27"/>
      <c r="E4154" s="27"/>
      <c r="F4154" s="27"/>
      <c r="G4154" s="27"/>
      <c r="H4154" s="27"/>
      <c r="I4154" s="27"/>
    </row>
    <row r="4155" spans="1:9" x14ac:dyDescent="0.35">
      <c r="A4155" s="27"/>
      <c r="B4155" s="27"/>
      <c r="C4155" s="27"/>
      <c r="D4155" s="27"/>
      <c r="E4155" s="27"/>
      <c r="F4155" s="27"/>
      <c r="G4155" s="27"/>
      <c r="H4155" s="27"/>
      <c r="I4155" s="27"/>
    </row>
    <row r="4156" spans="1:9" x14ac:dyDescent="0.35">
      <c r="A4156" s="27"/>
      <c r="B4156" s="27"/>
      <c r="C4156" s="27"/>
      <c r="D4156" s="27"/>
      <c r="E4156" s="27"/>
      <c r="F4156" s="27"/>
      <c r="G4156" s="27"/>
      <c r="H4156" s="27"/>
      <c r="I4156" s="27"/>
    </row>
    <row r="4157" spans="1:9" x14ac:dyDescent="0.35">
      <c r="A4157" s="27"/>
      <c r="B4157" s="27"/>
      <c r="C4157" s="27"/>
      <c r="D4157" s="27"/>
      <c r="E4157" s="27"/>
      <c r="F4157" s="27"/>
      <c r="G4157" s="27"/>
      <c r="H4157" s="27"/>
      <c r="I4157" s="27"/>
    </row>
    <row r="4158" spans="1:9" x14ac:dyDescent="0.35">
      <c r="A4158" s="27"/>
      <c r="B4158" s="27"/>
      <c r="C4158" s="27"/>
      <c r="D4158" s="27"/>
      <c r="E4158" s="27"/>
      <c r="F4158" s="27"/>
      <c r="G4158" s="27"/>
      <c r="H4158" s="27"/>
      <c r="I4158" s="27"/>
    </row>
    <row r="4159" spans="1:9" x14ac:dyDescent="0.35">
      <c r="A4159" s="27"/>
      <c r="B4159" s="27"/>
      <c r="C4159" s="27"/>
      <c r="D4159" s="27"/>
      <c r="E4159" s="27"/>
      <c r="F4159" s="27"/>
      <c r="G4159" s="27"/>
      <c r="H4159" s="27"/>
      <c r="I4159" s="27"/>
    </row>
    <row r="4160" spans="1:9" x14ac:dyDescent="0.35">
      <c r="A4160" s="27"/>
      <c r="B4160" s="27"/>
      <c r="C4160" s="27"/>
      <c r="D4160" s="27"/>
      <c r="E4160" s="27"/>
      <c r="F4160" s="27"/>
      <c r="G4160" s="27"/>
      <c r="H4160" s="27"/>
      <c r="I4160" s="27"/>
    </row>
    <row r="4161" spans="1:9" x14ac:dyDescent="0.35">
      <c r="A4161" s="27"/>
      <c r="B4161" s="27"/>
      <c r="C4161" s="27"/>
      <c r="D4161" s="27"/>
      <c r="E4161" s="27"/>
      <c r="F4161" s="27"/>
      <c r="G4161" s="27"/>
      <c r="H4161" s="27"/>
      <c r="I4161" s="27"/>
    </row>
    <row r="4162" spans="1:9" x14ac:dyDescent="0.35">
      <c r="A4162" s="27"/>
      <c r="B4162" s="27"/>
      <c r="C4162" s="27"/>
      <c r="D4162" s="27"/>
      <c r="E4162" s="27"/>
      <c r="F4162" s="27"/>
      <c r="G4162" s="27"/>
      <c r="H4162" s="27"/>
      <c r="I4162" s="27"/>
    </row>
    <row r="4163" spans="1:9" x14ac:dyDescent="0.35">
      <c r="A4163" s="27"/>
      <c r="B4163" s="27"/>
      <c r="C4163" s="27"/>
      <c r="D4163" s="27"/>
      <c r="E4163" s="27"/>
      <c r="F4163" s="27"/>
      <c r="G4163" s="27"/>
      <c r="H4163" s="27"/>
      <c r="I4163" s="27"/>
    </row>
    <row r="4164" spans="1:9" x14ac:dyDescent="0.35">
      <c r="A4164" s="27"/>
      <c r="B4164" s="27"/>
      <c r="C4164" s="27"/>
      <c r="D4164" s="27"/>
      <c r="E4164" s="27"/>
      <c r="F4164" s="27"/>
      <c r="G4164" s="27"/>
      <c r="H4164" s="27"/>
      <c r="I4164" s="27"/>
    </row>
    <row r="4165" spans="1:9" x14ac:dyDescent="0.35">
      <c r="A4165" s="27"/>
      <c r="B4165" s="27"/>
      <c r="C4165" s="27"/>
      <c r="D4165" s="27"/>
      <c r="E4165" s="27"/>
      <c r="F4165" s="27"/>
      <c r="G4165" s="27"/>
      <c r="H4165" s="27"/>
      <c r="I4165" s="27"/>
    </row>
    <row r="4166" spans="1:9" x14ac:dyDescent="0.35">
      <c r="A4166" s="27"/>
      <c r="B4166" s="27"/>
      <c r="C4166" s="27"/>
      <c r="D4166" s="27"/>
      <c r="E4166" s="27"/>
      <c r="F4166" s="27"/>
      <c r="G4166" s="27"/>
      <c r="H4166" s="27"/>
      <c r="I4166" s="27"/>
    </row>
    <row r="4167" spans="1:9" x14ac:dyDescent="0.35">
      <c r="A4167" s="27"/>
      <c r="B4167" s="27"/>
      <c r="C4167" s="27"/>
      <c r="D4167" s="27"/>
      <c r="E4167" s="27"/>
      <c r="F4167" s="27"/>
      <c r="G4167" s="27"/>
      <c r="H4167" s="27"/>
      <c r="I4167" s="27"/>
    </row>
    <row r="4168" spans="1:9" x14ac:dyDescent="0.35">
      <c r="A4168" s="27"/>
      <c r="B4168" s="27"/>
      <c r="C4168" s="27"/>
      <c r="D4168" s="27"/>
      <c r="E4168" s="27"/>
      <c r="F4168" s="27"/>
      <c r="G4168" s="27"/>
      <c r="H4168" s="27"/>
      <c r="I4168" s="27"/>
    </row>
    <row r="4169" spans="1:9" x14ac:dyDescent="0.35">
      <c r="A4169" s="27"/>
      <c r="B4169" s="27"/>
      <c r="C4169" s="27"/>
      <c r="D4169" s="27"/>
      <c r="E4169" s="27"/>
      <c r="F4169" s="27"/>
      <c r="G4169" s="27"/>
      <c r="H4169" s="27"/>
      <c r="I4169" s="27"/>
    </row>
    <row r="4170" spans="1:9" x14ac:dyDescent="0.35">
      <c r="A4170" s="27"/>
      <c r="B4170" s="27"/>
      <c r="C4170" s="27"/>
      <c r="D4170" s="27"/>
      <c r="E4170" s="27"/>
      <c r="F4170" s="27"/>
      <c r="G4170" s="27"/>
      <c r="H4170" s="27"/>
      <c r="I4170" s="27"/>
    </row>
    <row r="4171" spans="1:9" x14ac:dyDescent="0.35">
      <c r="A4171" s="27"/>
      <c r="B4171" s="27"/>
      <c r="C4171" s="27"/>
      <c r="D4171" s="27"/>
      <c r="E4171" s="27"/>
      <c r="F4171" s="27"/>
      <c r="G4171" s="27"/>
      <c r="H4171" s="27"/>
      <c r="I4171" s="27"/>
    </row>
    <row r="4172" spans="1:9" x14ac:dyDescent="0.35">
      <c r="A4172" s="27"/>
      <c r="B4172" s="27"/>
      <c r="C4172" s="27"/>
      <c r="D4172" s="27"/>
      <c r="E4172" s="27"/>
      <c r="F4172" s="27"/>
      <c r="G4172" s="27"/>
      <c r="H4172" s="27"/>
      <c r="I4172" s="27"/>
    </row>
    <row r="4173" spans="1:9" x14ac:dyDescent="0.35">
      <c r="A4173" s="27"/>
      <c r="B4173" s="27"/>
      <c r="C4173" s="27"/>
      <c r="D4173" s="27"/>
      <c r="E4173" s="27"/>
      <c r="F4173" s="27"/>
      <c r="G4173" s="27"/>
      <c r="H4173" s="27"/>
      <c r="I4173" s="27"/>
    </row>
    <row r="4174" spans="1:9" x14ac:dyDescent="0.35">
      <c r="A4174" s="27"/>
      <c r="B4174" s="27"/>
      <c r="C4174" s="27"/>
      <c r="D4174" s="27"/>
      <c r="E4174" s="27"/>
      <c r="F4174" s="27"/>
      <c r="G4174" s="27"/>
      <c r="H4174" s="27"/>
      <c r="I4174" s="27"/>
    </row>
    <row r="4175" spans="1:9" x14ac:dyDescent="0.35">
      <c r="A4175" s="27"/>
      <c r="B4175" s="27"/>
      <c r="C4175" s="27"/>
      <c r="D4175" s="27"/>
      <c r="E4175" s="27"/>
      <c r="F4175" s="27"/>
      <c r="G4175" s="27"/>
      <c r="H4175" s="27"/>
      <c r="I4175" s="27"/>
    </row>
    <row r="4176" spans="1:9" x14ac:dyDescent="0.35">
      <c r="A4176" s="27"/>
      <c r="B4176" s="27"/>
      <c r="C4176" s="27"/>
      <c r="D4176" s="27"/>
      <c r="E4176" s="27"/>
      <c r="F4176" s="27"/>
      <c r="G4176" s="27"/>
      <c r="H4176" s="27"/>
      <c r="I4176" s="27"/>
    </row>
    <row r="4177" spans="1:9" x14ac:dyDescent="0.35">
      <c r="A4177" s="27"/>
      <c r="B4177" s="27"/>
      <c r="C4177" s="27"/>
      <c r="D4177" s="27"/>
      <c r="E4177" s="27"/>
      <c r="F4177" s="27"/>
      <c r="G4177" s="27"/>
      <c r="H4177" s="27"/>
      <c r="I4177" s="27"/>
    </row>
    <row r="4178" spans="1:9" x14ac:dyDescent="0.35">
      <c r="A4178" s="27"/>
      <c r="B4178" s="27"/>
      <c r="C4178" s="27"/>
      <c r="D4178" s="27"/>
      <c r="E4178" s="27"/>
      <c r="F4178" s="27"/>
      <c r="G4178" s="27"/>
      <c r="H4178" s="27"/>
      <c r="I4178" s="27"/>
    </row>
    <row r="4179" spans="1:9" x14ac:dyDescent="0.35">
      <c r="A4179" s="27"/>
      <c r="B4179" s="27"/>
      <c r="C4179" s="27"/>
      <c r="D4179" s="27"/>
      <c r="E4179" s="27"/>
      <c r="F4179" s="27"/>
      <c r="G4179" s="27"/>
      <c r="H4179" s="27"/>
      <c r="I4179" s="27"/>
    </row>
    <row r="4180" spans="1:9" x14ac:dyDescent="0.35">
      <c r="A4180" s="27"/>
      <c r="B4180" s="27"/>
      <c r="C4180" s="27"/>
      <c r="D4180" s="27"/>
      <c r="E4180" s="27"/>
      <c r="F4180" s="27"/>
      <c r="G4180" s="27"/>
      <c r="H4180" s="27"/>
      <c r="I4180" s="27"/>
    </row>
    <row r="4181" spans="1:9" x14ac:dyDescent="0.35">
      <c r="A4181" s="27"/>
      <c r="B4181" s="27"/>
      <c r="C4181" s="27"/>
      <c r="D4181" s="27"/>
      <c r="E4181" s="27"/>
      <c r="F4181" s="27"/>
      <c r="G4181" s="27"/>
      <c r="H4181" s="27"/>
      <c r="I4181" s="27"/>
    </row>
    <row r="4182" spans="1:9" x14ac:dyDescent="0.35">
      <c r="A4182" s="27"/>
      <c r="B4182" s="27"/>
      <c r="C4182" s="27"/>
      <c r="D4182" s="27"/>
      <c r="E4182" s="27"/>
      <c r="F4182" s="27"/>
      <c r="G4182" s="27"/>
      <c r="H4182" s="27"/>
      <c r="I4182" s="27"/>
    </row>
    <row r="4183" spans="1:9" x14ac:dyDescent="0.35">
      <c r="A4183" s="27"/>
      <c r="B4183" s="27"/>
      <c r="C4183" s="27"/>
      <c r="D4183" s="27"/>
      <c r="E4183" s="27"/>
      <c r="F4183" s="27"/>
      <c r="G4183" s="27"/>
      <c r="H4183" s="27"/>
      <c r="I4183" s="27"/>
    </row>
    <row r="4184" spans="1:9" x14ac:dyDescent="0.35">
      <c r="A4184" s="27"/>
      <c r="B4184" s="27"/>
      <c r="C4184" s="27"/>
      <c r="D4184" s="27"/>
      <c r="E4184" s="27"/>
      <c r="F4184" s="27"/>
      <c r="G4184" s="27"/>
      <c r="H4184" s="27"/>
      <c r="I4184" s="27"/>
    </row>
    <row r="4185" spans="1:9" x14ac:dyDescent="0.35">
      <c r="A4185" s="27"/>
      <c r="B4185" s="27"/>
      <c r="C4185" s="27"/>
      <c r="D4185" s="27"/>
      <c r="E4185" s="27"/>
      <c r="F4185" s="27"/>
      <c r="G4185" s="27"/>
      <c r="H4185" s="27"/>
      <c r="I4185" s="27"/>
    </row>
    <row r="4186" spans="1:9" x14ac:dyDescent="0.35">
      <c r="A4186" s="27"/>
      <c r="B4186" s="27"/>
      <c r="C4186" s="27"/>
      <c r="D4186" s="27"/>
      <c r="E4186" s="27"/>
      <c r="F4186" s="27"/>
      <c r="G4186" s="27"/>
      <c r="H4186" s="27"/>
      <c r="I4186" s="27"/>
    </row>
    <row r="4187" spans="1:9" x14ac:dyDescent="0.35">
      <c r="A4187" s="27"/>
      <c r="B4187" s="27"/>
      <c r="C4187" s="27"/>
      <c r="D4187" s="27"/>
      <c r="E4187" s="27"/>
      <c r="F4187" s="27"/>
      <c r="G4187" s="27"/>
      <c r="H4187" s="27"/>
      <c r="I4187" s="27"/>
    </row>
    <row r="4188" spans="1:9" x14ac:dyDescent="0.35">
      <c r="A4188" s="27"/>
      <c r="B4188" s="27"/>
      <c r="C4188" s="27"/>
      <c r="D4188" s="27"/>
      <c r="E4188" s="27"/>
      <c r="F4188" s="27"/>
      <c r="G4188" s="27"/>
      <c r="H4188" s="27"/>
      <c r="I4188" s="27"/>
    </row>
    <row r="4189" spans="1:9" x14ac:dyDescent="0.35">
      <c r="A4189" s="27"/>
      <c r="B4189" s="27"/>
      <c r="C4189" s="27"/>
      <c r="D4189" s="27"/>
      <c r="E4189" s="27"/>
      <c r="F4189" s="27"/>
      <c r="G4189" s="27"/>
      <c r="H4189" s="27"/>
      <c r="I4189" s="27"/>
    </row>
    <row r="4190" spans="1:9" x14ac:dyDescent="0.35">
      <c r="A4190" s="27"/>
      <c r="B4190" s="27"/>
      <c r="C4190" s="27"/>
      <c r="D4190" s="27"/>
      <c r="E4190" s="27"/>
      <c r="F4190" s="27"/>
      <c r="G4190" s="27"/>
      <c r="H4190" s="27"/>
      <c r="I4190" s="27"/>
    </row>
    <row r="4191" spans="1:9" x14ac:dyDescent="0.35">
      <c r="A4191" s="27"/>
      <c r="B4191" s="27"/>
      <c r="C4191" s="27"/>
      <c r="D4191" s="27"/>
      <c r="E4191" s="27"/>
      <c r="F4191" s="27"/>
      <c r="G4191" s="27"/>
      <c r="H4191" s="27"/>
      <c r="I4191" s="27"/>
    </row>
    <row r="4192" spans="1:9" x14ac:dyDescent="0.35">
      <c r="A4192" s="27"/>
      <c r="B4192" s="27"/>
      <c r="C4192" s="27"/>
      <c r="D4192" s="27"/>
      <c r="E4192" s="27"/>
      <c r="F4192" s="27"/>
      <c r="G4192" s="27"/>
      <c r="H4192" s="27"/>
      <c r="I4192" s="27"/>
    </row>
    <row r="4193" spans="1:9" x14ac:dyDescent="0.35">
      <c r="A4193" s="27"/>
      <c r="B4193" s="27"/>
      <c r="C4193" s="27"/>
      <c r="D4193" s="27"/>
      <c r="E4193" s="27"/>
      <c r="F4193" s="27"/>
      <c r="G4193" s="27"/>
      <c r="H4193" s="27"/>
      <c r="I4193" s="27"/>
    </row>
    <row r="4194" spans="1:9" x14ac:dyDescent="0.35">
      <c r="A4194" s="27"/>
      <c r="B4194" s="27"/>
      <c r="C4194" s="27"/>
      <c r="D4194" s="27"/>
      <c r="E4194" s="27"/>
      <c r="F4194" s="27"/>
      <c r="G4194" s="27"/>
      <c r="H4194" s="27"/>
      <c r="I4194" s="27"/>
    </row>
    <row r="4195" spans="1:9" x14ac:dyDescent="0.35">
      <c r="A4195" s="27"/>
      <c r="B4195" s="27"/>
      <c r="C4195" s="27"/>
      <c r="D4195" s="27"/>
      <c r="E4195" s="27"/>
      <c r="F4195" s="27"/>
      <c r="G4195" s="27"/>
      <c r="H4195" s="27"/>
      <c r="I4195" s="27"/>
    </row>
    <row r="4196" spans="1:9" x14ac:dyDescent="0.35">
      <c r="A4196" s="27"/>
      <c r="B4196" s="27"/>
      <c r="C4196" s="27"/>
      <c r="D4196" s="27"/>
      <c r="E4196" s="27"/>
      <c r="F4196" s="27"/>
      <c r="G4196" s="27"/>
      <c r="H4196" s="27"/>
      <c r="I4196" s="27"/>
    </row>
    <row r="4197" spans="1:9" x14ac:dyDescent="0.35">
      <c r="A4197" s="27"/>
      <c r="B4197" s="27"/>
      <c r="C4197" s="27"/>
      <c r="D4197" s="27"/>
      <c r="E4197" s="27"/>
      <c r="F4197" s="27"/>
      <c r="G4197" s="27"/>
      <c r="H4197" s="27"/>
      <c r="I4197" s="27"/>
    </row>
    <row r="4198" spans="1:9" x14ac:dyDescent="0.35">
      <c r="A4198" s="27"/>
      <c r="B4198" s="27"/>
      <c r="C4198" s="27"/>
      <c r="D4198" s="27"/>
      <c r="E4198" s="27"/>
      <c r="F4198" s="27"/>
      <c r="G4198" s="27"/>
      <c r="H4198" s="27"/>
      <c r="I4198" s="27"/>
    </row>
    <row r="4199" spans="1:9" x14ac:dyDescent="0.35">
      <c r="A4199" s="27"/>
      <c r="B4199" s="27"/>
      <c r="C4199" s="27"/>
      <c r="D4199" s="27"/>
      <c r="E4199" s="27"/>
      <c r="F4199" s="27"/>
      <c r="G4199" s="27"/>
      <c r="H4199" s="27"/>
      <c r="I4199" s="27"/>
    </row>
    <row r="4200" spans="1:9" x14ac:dyDescent="0.35">
      <c r="A4200" s="27"/>
      <c r="B4200" s="27"/>
      <c r="C4200" s="27"/>
      <c r="D4200" s="27"/>
      <c r="E4200" s="27"/>
      <c r="F4200" s="27"/>
      <c r="G4200" s="27"/>
      <c r="H4200" s="27"/>
      <c r="I4200" s="27"/>
    </row>
    <row r="4201" spans="1:9" x14ac:dyDescent="0.35">
      <c r="A4201" s="27"/>
      <c r="B4201" s="27"/>
      <c r="C4201" s="27"/>
      <c r="D4201" s="27"/>
      <c r="E4201" s="27"/>
      <c r="F4201" s="27"/>
      <c r="G4201" s="27"/>
      <c r="H4201" s="27"/>
      <c r="I4201" s="27"/>
    </row>
    <row r="4202" spans="1:9" x14ac:dyDescent="0.35">
      <c r="A4202" s="27"/>
      <c r="B4202" s="27"/>
      <c r="C4202" s="27"/>
      <c r="D4202" s="27"/>
      <c r="E4202" s="27"/>
      <c r="F4202" s="27"/>
      <c r="G4202" s="27"/>
      <c r="H4202" s="27"/>
      <c r="I4202" s="27"/>
    </row>
    <row r="4203" spans="1:9" x14ac:dyDescent="0.35">
      <c r="A4203" s="27"/>
      <c r="B4203" s="27"/>
      <c r="C4203" s="27"/>
      <c r="D4203" s="27"/>
      <c r="E4203" s="27"/>
      <c r="F4203" s="27"/>
      <c r="G4203" s="27"/>
      <c r="H4203" s="27"/>
      <c r="I4203" s="27"/>
    </row>
    <row r="4204" spans="1:9" x14ac:dyDescent="0.35">
      <c r="A4204" s="27"/>
      <c r="B4204" s="27"/>
      <c r="C4204" s="27"/>
      <c r="D4204" s="27"/>
      <c r="E4204" s="27"/>
      <c r="F4204" s="27"/>
      <c r="G4204" s="27"/>
      <c r="H4204" s="27"/>
      <c r="I4204" s="27"/>
    </row>
    <row r="4205" spans="1:9" x14ac:dyDescent="0.35">
      <c r="A4205" s="27"/>
      <c r="B4205" s="27"/>
      <c r="C4205" s="27"/>
      <c r="D4205" s="27"/>
      <c r="E4205" s="27"/>
      <c r="F4205" s="27"/>
      <c r="G4205" s="27"/>
      <c r="H4205" s="27"/>
      <c r="I4205" s="27"/>
    </row>
    <row r="4206" spans="1:9" x14ac:dyDescent="0.35">
      <c r="A4206" s="27"/>
      <c r="B4206" s="27"/>
      <c r="C4206" s="27"/>
      <c r="D4206" s="27"/>
      <c r="E4206" s="27"/>
      <c r="F4206" s="27"/>
      <c r="G4206" s="27"/>
      <c r="H4206" s="27"/>
      <c r="I4206" s="27"/>
    </row>
    <row r="4207" spans="1:9" x14ac:dyDescent="0.35">
      <c r="A4207" s="27"/>
      <c r="B4207" s="27"/>
      <c r="C4207" s="27"/>
      <c r="D4207" s="27"/>
      <c r="E4207" s="27"/>
      <c r="F4207" s="27"/>
      <c r="G4207" s="27"/>
      <c r="H4207" s="27"/>
      <c r="I4207" s="27"/>
    </row>
    <row r="4208" spans="1:9" x14ac:dyDescent="0.35">
      <c r="A4208" s="27"/>
      <c r="B4208" s="27"/>
      <c r="C4208" s="27"/>
      <c r="D4208" s="27"/>
      <c r="E4208" s="27"/>
      <c r="F4208" s="27"/>
      <c r="G4208" s="27"/>
      <c r="H4208" s="27"/>
      <c r="I4208" s="27"/>
    </row>
    <row r="4209" spans="1:9" x14ac:dyDescent="0.35">
      <c r="A4209" s="27"/>
      <c r="B4209" s="27"/>
      <c r="C4209" s="27"/>
      <c r="D4209" s="27"/>
      <c r="E4209" s="27"/>
      <c r="F4209" s="27"/>
      <c r="G4209" s="27"/>
      <c r="H4209" s="27"/>
      <c r="I4209" s="27"/>
    </row>
    <row r="4210" spans="1:9" x14ac:dyDescent="0.35">
      <c r="A4210" s="27"/>
      <c r="B4210" s="27"/>
      <c r="C4210" s="27"/>
      <c r="D4210" s="27"/>
      <c r="E4210" s="27"/>
      <c r="F4210" s="27"/>
      <c r="G4210" s="27"/>
      <c r="H4210" s="27"/>
      <c r="I4210" s="27"/>
    </row>
    <row r="4211" spans="1:9" x14ac:dyDescent="0.35">
      <c r="A4211" s="27"/>
      <c r="B4211" s="27"/>
      <c r="C4211" s="27"/>
      <c r="D4211" s="27"/>
      <c r="E4211" s="27"/>
      <c r="F4211" s="27"/>
      <c r="G4211" s="27"/>
      <c r="H4211" s="27"/>
      <c r="I4211" s="27"/>
    </row>
    <row r="4212" spans="1:9" x14ac:dyDescent="0.35">
      <c r="A4212" s="27"/>
      <c r="B4212" s="27"/>
      <c r="C4212" s="27"/>
      <c r="D4212" s="27"/>
      <c r="E4212" s="27"/>
      <c r="F4212" s="27"/>
      <c r="G4212" s="27"/>
      <c r="H4212" s="27"/>
      <c r="I4212" s="27"/>
    </row>
    <row r="4213" spans="1:9" x14ac:dyDescent="0.35">
      <c r="A4213" s="27"/>
      <c r="B4213" s="27"/>
      <c r="C4213" s="27"/>
      <c r="D4213" s="27"/>
      <c r="E4213" s="27"/>
      <c r="F4213" s="27"/>
      <c r="G4213" s="27"/>
      <c r="H4213" s="27"/>
      <c r="I4213" s="27"/>
    </row>
    <row r="4214" spans="1:9" x14ac:dyDescent="0.35">
      <c r="A4214" s="27"/>
      <c r="B4214" s="27"/>
      <c r="C4214" s="27"/>
      <c r="D4214" s="27"/>
      <c r="E4214" s="27"/>
      <c r="F4214" s="27"/>
      <c r="G4214" s="27"/>
      <c r="H4214" s="27"/>
      <c r="I4214" s="27"/>
    </row>
    <row r="4215" spans="1:9" x14ac:dyDescent="0.35">
      <c r="A4215" s="27"/>
      <c r="B4215" s="27"/>
      <c r="C4215" s="27"/>
      <c r="D4215" s="27"/>
      <c r="E4215" s="27"/>
      <c r="F4215" s="27"/>
      <c r="G4215" s="27"/>
      <c r="H4215" s="27"/>
      <c r="I4215" s="27"/>
    </row>
    <row r="4216" spans="1:9" x14ac:dyDescent="0.35">
      <c r="A4216" s="27"/>
      <c r="B4216" s="27"/>
      <c r="C4216" s="27"/>
      <c r="D4216" s="27"/>
      <c r="E4216" s="27"/>
      <c r="F4216" s="27"/>
      <c r="G4216" s="27"/>
      <c r="H4216" s="27"/>
      <c r="I4216" s="27"/>
    </row>
    <row r="4217" spans="1:9" x14ac:dyDescent="0.35">
      <c r="A4217" s="27"/>
      <c r="B4217" s="27"/>
      <c r="C4217" s="27"/>
      <c r="D4217" s="27"/>
      <c r="E4217" s="27"/>
      <c r="F4217" s="27"/>
      <c r="G4217" s="27"/>
      <c r="H4217" s="27"/>
      <c r="I4217" s="27"/>
    </row>
    <row r="4218" spans="1:9" x14ac:dyDescent="0.35">
      <c r="A4218" s="27"/>
      <c r="B4218" s="27"/>
      <c r="C4218" s="27"/>
      <c r="D4218" s="27"/>
      <c r="E4218" s="27"/>
      <c r="F4218" s="27"/>
      <c r="G4218" s="27"/>
      <c r="H4218" s="27"/>
      <c r="I4218" s="27"/>
    </row>
    <row r="4219" spans="1:9" x14ac:dyDescent="0.35">
      <c r="A4219" s="27"/>
      <c r="B4219" s="27"/>
      <c r="C4219" s="27"/>
      <c r="D4219" s="27"/>
      <c r="E4219" s="27"/>
      <c r="F4219" s="27"/>
      <c r="G4219" s="27"/>
      <c r="H4219" s="27"/>
      <c r="I4219" s="27"/>
    </row>
    <row r="4220" spans="1:9" x14ac:dyDescent="0.35">
      <c r="A4220" s="27"/>
      <c r="B4220" s="27"/>
      <c r="C4220" s="27"/>
      <c r="D4220" s="27"/>
      <c r="E4220" s="27"/>
      <c r="F4220" s="27"/>
      <c r="G4220" s="27"/>
      <c r="H4220" s="27"/>
      <c r="I4220" s="27"/>
    </row>
    <row r="4221" spans="1:9" x14ac:dyDescent="0.35">
      <c r="A4221" s="27"/>
      <c r="B4221" s="27"/>
      <c r="C4221" s="27"/>
      <c r="D4221" s="27"/>
      <c r="E4221" s="27"/>
      <c r="F4221" s="27"/>
      <c r="G4221" s="27"/>
      <c r="H4221" s="27"/>
      <c r="I4221" s="27"/>
    </row>
    <row r="4222" spans="1:9" x14ac:dyDescent="0.35">
      <c r="A4222" s="27"/>
      <c r="B4222" s="27"/>
      <c r="C4222" s="27"/>
      <c r="D4222" s="27"/>
      <c r="E4222" s="27"/>
      <c r="F4222" s="27"/>
      <c r="G4222" s="27"/>
      <c r="H4222" s="27"/>
      <c r="I4222" s="27"/>
    </row>
    <row r="4223" spans="1:9" x14ac:dyDescent="0.35">
      <c r="A4223" s="27"/>
      <c r="B4223" s="27"/>
      <c r="C4223" s="27"/>
      <c r="D4223" s="27"/>
      <c r="E4223" s="27"/>
      <c r="F4223" s="27"/>
      <c r="G4223" s="27"/>
      <c r="H4223" s="27"/>
      <c r="I4223" s="27"/>
    </row>
    <row r="4224" spans="1:9" x14ac:dyDescent="0.35">
      <c r="A4224" s="27"/>
      <c r="B4224" s="27"/>
      <c r="C4224" s="27"/>
      <c r="D4224" s="27"/>
      <c r="E4224" s="27"/>
      <c r="F4224" s="27"/>
      <c r="G4224" s="27"/>
      <c r="H4224" s="27"/>
      <c r="I4224" s="27"/>
    </row>
    <row r="4225" spans="1:9" x14ac:dyDescent="0.35">
      <c r="A4225" s="27"/>
      <c r="B4225" s="27"/>
      <c r="C4225" s="27"/>
      <c r="D4225" s="27"/>
      <c r="E4225" s="27"/>
      <c r="F4225" s="27"/>
      <c r="G4225" s="27"/>
      <c r="H4225" s="27"/>
      <c r="I4225" s="27"/>
    </row>
    <row r="4226" spans="1:9" x14ac:dyDescent="0.35">
      <c r="A4226" s="27"/>
      <c r="B4226" s="27"/>
      <c r="C4226" s="27"/>
      <c r="D4226" s="27"/>
      <c r="E4226" s="27"/>
      <c r="F4226" s="27"/>
      <c r="G4226" s="27"/>
      <c r="H4226" s="27"/>
      <c r="I4226" s="27"/>
    </row>
    <row r="4227" spans="1:9" x14ac:dyDescent="0.35">
      <c r="A4227" s="27"/>
      <c r="B4227" s="27"/>
      <c r="C4227" s="27"/>
      <c r="D4227" s="27"/>
      <c r="E4227" s="27"/>
      <c r="F4227" s="27"/>
      <c r="G4227" s="27"/>
      <c r="H4227" s="27"/>
      <c r="I4227" s="27"/>
    </row>
    <row r="4228" spans="1:9" x14ac:dyDescent="0.35">
      <c r="A4228" s="27"/>
      <c r="B4228" s="27"/>
      <c r="C4228" s="27"/>
      <c r="D4228" s="27"/>
      <c r="E4228" s="27"/>
      <c r="F4228" s="27"/>
      <c r="G4228" s="27"/>
      <c r="H4228" s="27"/>
      <c r="I4228" s="27"/>
    </row>
    <row r="4229" spans="1:9" x14ac:dyDescent="0.35">
      <c r="A4229" s="27"/>
      <c r="B4229" s="27"/>
      <c r="C4229" s="27"/>
      <c r="D4229" s="27"/>
      <c r="E4229" s="27"/>
      <c r="F4229" s="27"/>
      <c r="G4229" s="27"/>
      <c r="H4229" s="27"/>
      <c r="I4229" s="27"/>
    </row>
    <row r="4230" spans="1:9" x14ac:dyDescent="0.35">
      <c r="A4230" s="27"/>
      <c r="B4230" s="27"/>
      <c r="C4230" s="27"/>
      <c r="D4230" s="27"/>
      <c r="E4230" s="27"/>
      <c r="F4230" s="27"/>
      <c r="G4230" s="27"/>
      <c r="H4230" s="27"/>
      <c r="I4230" s="27"/>
    </row>
    <row r="4231" spans="1:9" x14ac:dyDescent="0.35">
      <c r="A4231" s="27"/>
      <c r="B4231" s="27"/>
      <c r="C4231" s="27"/>
      <c r="D4231" s="27"/>
      <c r="E4231" s="27"/>
      <c r="F4231" s="27"/>
      <c r="G4231" s="27"/>
      <c r="H4231" s="27"/>
      <c r="I4231" s="27"/>
    </row>
    <row r="4232" spans="1:9" x14ac:dyDescent="0.35">
      <c r="A4232" s="27"/>
      <c r="B4232" s="27"/>
      <c r="C4232" s="27"/>
      <c r="D4232" s="27"/>
      <c r="E4232" s="27"/>
      <c r="F4232" s="27"/>
      <c r="G4232" s="27"/>
      <c r="H4232" s="27"/>
      <c r="I4232" s="27"/>
    </row>
    <row r="4233" spans="1:9" x14ac:dyDescent="0.35">
      <c r="A4233" s="27"/>
      <c r="B4233" s="27"/>
      <c r="C4233" s="27"/>
      <c r="D4233" s="27"/>
      <c r="E4233" s="27"/>
      <c r="F4233" s="27"/>
      <c r="G4233" s="27"/>
      <c r="H4233" s="27"/>
      <c r="I4233" s="27"/>
    </row>
    <row r="4234" spans="1:9" x14ac:dyDescent="0.35">
      <c r="A4234" s="27"/>
      <c r="B4234" s="27"/>
      <c r="C4234" s="27"/>
      <c r="D4234" s="27"/>
      <c r="E4234" s="27"/>
      <c r="F4234" s="27"/>
      <c r="G4234" s="27"/>
      <c r="H4234" s="27"/>
      <c r="I4234" s="27"/>
    </row>
    <row r="4235" spans="1:9" x14ac:dyDescent="0.35">
      <c r="A4235" s="27"/>
      <c r="B4235" s="27"/>
      <c r="C4235" s="27"/>
      <c r="D4235" s="27"/>
      <c r="E4235" s="27"/>
      <c r="F4235" s="27"/>
      <c r="G4235" s="27"/>
      <c r="H4235" s="27"/>
      <c r="I4235" s="27"/>
    </row>
    <row r="4236" spans="1:9" x14ac:dyDescent="0.35">
      <c r="A4236" s="27"/>
      <c r="B4236" s="27"/>
      <c r="C4236" s="27"/>
      <c r="D4236" s="27"/>
      <c r="E4236" s="27"/>
      <c r="F4236" s="27"/>
      <c r="G4236" s="27"/>
      <c r="H4236" s="27"/>
      <c r="I4236" s="27"/>
    </row>
    <row r="4237" spans="1:9" x14ac:dyDescent="0.35">
      <c r="A4237" s="27"/>
      <c r="B4237" s="27"/>
      <c r="C4237" s="27"/>
      <c r="D4237" s="27"/>
      <c r="E4237" s="27"/>
      <c r="F4237" s="27"/>
      <c r="G4237" s="27"/>
      <c r="H4237" s="27"/>
      <c r="I4237" s="27"/>
    </row>
    <row r="4238" spans="1:9" x14ac:dyDescent="0.35">
      <c r="A4238" s="27"/>
      <c r="B4238" s="27"/>
      <c r="C4238" s="27"/>
      <c r="D4238" s="27"/>
      <c r="E4238" s="27"/>
      <c r="F4238" s="27"/>
      <c r="G4238" s="27"/>
      <c r="H4238" s="27"/>
      <c r="I4238" s="27"/>
    </row>
    <row r="4239" spans="1:9" x14ac:dyDescent="0.35">
      <c r="A4239" s="27"/>
      <c r="B4239" s="27"/>
      <c r="C4239" s="27"/>
      <c r="D4239" s="27"/>
      <c r="E4239" s="27"/>
      <c r="F4239" s="27"/>
      <c r="G4239" s="27"/>
      <c r="H4239" s="27"/>
      <c r="I4239" s="27"/>
    </row>
    <row r="4240" spans="1:9" x14ac:dyDescent="0.35">
      <c r="A4240" s="27"/>
      <c r="B4240" s="27"/>
      <c r="C4240" s="27"/>
      <c r="D4240" s="27"/>
      <c r="E4240" s="27"/>
      <c r="F4240" s="27"/>
      <c r="G4240" s="27"/>
      <c r="H4240" s="27"/>
      <c r="I4240" s="27"/>
    </row>
    <row r="4241" spans="1:9" x14ac:dyDescent="0.35">
      <c r="A4241" s="27"/>
      <c r="B4241" s="27"/>
      <c r="C4241" s="27"/>
      <c r="D4241" s="27"/>
      <c r="E4241" s="27"/>
      <c r="F4241" s="27"/>
      <c r="G4241" s="27"/>
      <c r="H4241" s="27"/>
      <c r="I4241" s="27"/>
    </row>
    <row r="4242" spans="1:9" x14ac:dyDescent="0.35">
      <c r="A4242" s="27"/>
      <c r="B4242" s="27"/>
      <c r="C4242" s="27"/>
      <c r="D4242" s="27"/>
      <c r="E4242" s="27"/>
      <c r="F4242" s="27"/>
      <c r="G4242" s="27"/>
      <c r="H4242" s="27"/>
      <c r="I4242" s="27"/>
    </row>
    <row r="4243" spans="1:9" x14ac:dyDescent="0.35">
      <c r="A4243" s="27"/>
      <c r="B4243" s="27"/>
      <c r="C4243" s="27"/>
      <c r="D4243" s="27"/>
      <c r="E4243" s="27"/>
      <c r="F4243" s="27"/>
      <c r="G4243" s="27"/>
      <c r="H4243" s="27"/>
      <c r="I4243" s="27"/>
    </row>
    <row r="4244" spans="1:9" x14ac:dyDescent="0.35">
      <c r="A4244" s="27"/>
      <c r="B4244" s="27"/>
      <c r="C4244" s="27"/>
      <c r="D4244" s="27"/>
      <c r="E4244" s="27"/>
      <c r="F4244" s="27"/>
      <c r="G4244" s="27"/>
      <c r="H4244" s="27"/>
      <c r="I4244" s="27"/>
    </row>
    <row r="4245" spans="1:9" x14ac:dyDescent="0.35">
      <c r="A4245" s="27"/>
      <c r="B4245" s="27"/>
      <c r="C4245" s="27"/>
      <c r="D4245" s="27"/>
      <c r="E4245" s="27"/>
      <c r="F4245" s="27"/>
      <c r="G4245" s="27"/>
      <c r="H4245" s="27"/>
      <c r="I4245" s="27"/>
    </row>
    <row r="4246" spans="1:9" x14ac:dyDescent="0.35">
      <c r="A4246" s="27"/>
      <c r="B4246" s="27"/>
      <c r="C4246" s="27"/>
      <c r="D4246" s="27"/>
      <c r="E4246" s="27"/>
      <c r="F4246" s="27"/>
      <c r="G4246" s="27"/>
      <c r="H4246" s="27"/>
      <c r="I4246" s="27"/>
    </row>
    <row r="4247" spans="1:9" x14ac:dyDescent="0.35">
      <c r="A4247" s="27"/>
      <c r="B4247" s="27"/>
      <c r="C4247" s="27"/>
      <c r="D4247" s="27"/>
      <c r="E4247" s="27"/>
      <c r="F4247" s="27"/>
      <c r="G4247" s="27"/>
      <c r="H4247" s="27"/>
      <c r="I4247" s="27"/>
    </row>
    <row r="4248" spans="1:9" x14ac:dyDescent="0.35">
      <c r="A4248" s="27"/>
      <c r="B4248" s="27"/>
      <c r="C4248" s="27"/>
      <c r="D4248" s="27"/>
      <c r="E4248" s="27"/>
      <c r="F4248" s="27"/>
      <c r="G4248" s="27"/>
      <c r="H4248" s="27"/>
      <c r="I4248" s="27"/>
    </row>
    <row r="4249" spans="1:9" x14ac:dyDescent="0.35">
      <c r="A4249" s="27"/>
      <c r="B4249" s="27"/>
      <c r="C4249" s="27"/>
      <c r="D4249" s="27"/>
      <c r="E4249" s="27"/>
      <c r="F4249" s="27"/>
      <c r="G4249" s="27"/>
      <c r="H4249" s="27"/>
      <c r="I4249" s="27"/>
    </row>
    <row r="4250" spans="1:9" x14ac:dyDescent="0.35">
      <c r="A4250" s="27"/>
      <c r="B4250" s="27"/>
      <c r="C4250" s="27"/>
      <c r="D4250" s="27"/>
      <c r="E4250" s="27"/>
      <c r="F4250" s="27"/>
      <c r="G4250" s="27"/>
      <c r="H4250" s="27"/>
      <c r="I4250" s="27"/>
    </row>
    <row r="4251" spans="1:9" x14ac:dyDescent="0.35">
      <c r="A4251" s="27"/>
      <c r="B4251" s="27"/>
      <c r="C4251" s="27"/>
      <c r="D4251" s="27"/>
      <c r="E4251" s="27"/>
      <c r="F4251" s="27"/>
      <c r="G4251" s="27"/>
      <c r="H4251" s="27"/>
      <c r="I4251" s="27"/>
    </row>
    <row r="4252" spans="1:9" x14ac:dyDescent="0.35">
      <c r="A4252" s="27"/>
      <c r="B4252" s="27"/>
      <c r="C4252" s="27"/>
      <c r="D4252" s="27"/>
      <c r="E4252" s="27"/>
      <c r="F4252" s="27"/>
      <c r="G4252" s="27"/>
      <c r="H4252" s="27"/>
      <c r="I4252" s="27"/>
    </row>
    <row r="4253" spans="1:9" x14ac:dyDescent="0.35">
      <c r="A4253" s="27"/>
      <c r="B4253" s="27"/>
      <c r="C4253" s="27"/>
      <c r="D4253" s="27"/>
      <c r="E4253" s="27"/>
      <c r="F4253" s="27"/>
      <c r="G4253" s="27"/>
      <c r="H4253" s="27"/>
      <c r="I4253" s="27"/>
    </row>
    <row r="4254" spans="1:9" x14ac:dyDescent="0.35">
      <c r="A4254" s="27"/>
      <c r="B4254" s="27"/>
      <c r="C4254" s="27"/>
      <c r="D4254" s="27"/>
      <c r="E4254" s="27"/>
      <c r="F4254" s="27"/>
      <c r="G4254" s="27"/>
      <c r="H4254" s="27"/>
      <c r="I4254" s="27"/>
    </row>
    <row r="4255" spans="1:9" x14ac:dyDescent="0.35">
      <c r="A4255" s="27"/>
      <c r="B4255" s="27"/>
      <c r="C4255" s="27"/>
      <c r="D4255" s="27"/>
      <c r="E4255" s="27"/>
      <c r="F4255" s="27"/>
      <c r="G4255" s="27"/>
      <c r="H4255" s="27"/>
      <c r="I4255" s="27"/>
    </row>
    <row r="4256" spans="1:9" x14ac:dyDescent="0.35">
      <c r="A4256" s="27"/>
      <c r="B4256" s="27"/>
      <c r="C4256" s="27"/>
      <c r="D4256" s="27"/>
      <c r="E4256" s="27"/>
      <c r="F4256" s="27"/>
      <c r="G4256" s="27"/>
      <c r="H4256" s="27"/>
      <c r="I4256" s="27"/>
    </row>
    <row r="4257" spans="1:9" x14ac:dyDescent="0.35">
      <c r="A4257" s="27"/>
      <c r="B4257" s="27"/>
      <c r="C4257" s="27"/>
      <c r="D4257" s="27"/>
      <c r="E4257" s="27"/>
      <c r="F4257" s="27"/>
      <c r="G4257" s="27"/>
      <c r="H4257" s="27"/>
      <c r="I4257" s="27"/>
    </row>
    <row r="4258" spans="1:9" x14ac:dyDescent="0.35">
      <c r="A4258" s="27"/>
      <c r="B4258" s="27"/>
      <c r="C4258" s="27"/>
      <c r="D4258" s="27"/>
      <c r="E4258" s="27"/>
      <c r="F4258" s="27"/>
      <c r="G4258" s="27"/>
      <c r="H4258" s="27"/>
      <c r="I4258" s="27"/>
    </row>
    <row r="4259" spans="1:9" x14ac:dyDescent="0.35">
      <c r="A4259" s="27"/>
      <c r="B4259" s="27"/>
      <c r="C4259" s="27"/>
      <c r="D4259" s="27"/>
      <c r="E4259" s="27"/>
      <c r="F4259" s="27"/>
      <c r="G4259" s="27"/>
      <c r="H4259" s="27"/>
      <c r="I4259" s="27"/>
    </row>
    <row r="4260" spans="1:9" x14ac:dyDescent="0.35">
      <c r="A4260" s="27"/>
      <c r="B4260" s="27"/>
      <c r="C4260" s="27"/>
      <c r="D4260" s="27"/>
      <c r="E4260" s="27"/>
      <c r="F4260" s="27"/>
      <c r="G4260" s="27"/>
      <c r="H4260" s="27"/>
      <c r="I4260" s="27"/>
    </row>
    <row r="4261" spans="1:9" x14ac:dyDescent="0.35">
      <c r="A4261" s="27"/>
      <c r="B4261" s="27"/>
      <c r="C4261" s="27"/>
      <c r="D4261" s="27"/>
      <c r="E4261" s="27"/>
      <c r="F4261" s="27"/>
      <c r="G4261" s="27"/>
      <c r="H4261" s="27"/>
      <c r="I4261" s="27"/>
    </row>
    <row r="4262" spans="1:9" x14ac:dyDescent="0.35">
      <c r="A4262" s="27"/>
      <c r="B4262" s="27"/>
      <c r="C4262" s="27"/>
      <c r="D4262" s="27"/>
      <c r="E4262" s="27"/>
      <c r="F4262" s="27"/>
      <c r="G4262" s="27"/>
      <c r="H4262" s="27"/>
      <c r="I4262" s="27"/>
    </row>
    <row r="4263" spans="1:9" x14ac:dyDescent="0.35">
      <c r="A4263" s="27"/>
      <c r="B4263" s="27"/>
      <c r="C4263" s="27"/>
      <c r="D4263" s="27"/>
      <c r="E4263" s="27"/>
      <c r="F4263" s="27"/>
      <c r="G4263" s="27"/>
      <c r="H4263" s="27"/>
      <c r="I4263" s="27"/>
    </row>
    <row r="4264" spans="1:9" x14ac:dyDescent="0.35">
      <c r="A4264" s="27"/>
      <c r="B4264" s="27"/>
      <c r="C4264" s="27"/>
      <c r="D4264" s="27"/>
      <c r="E4264" s="27"/>
      <c r="F4264" s="27"/>
      <c r="G4264" s="27"/>
      <c r="H4264" s="27"/>
      <c r="I4264" s="27"/>
    </row>
    <row r="4265" spans="1:9" x14ac:dyDescent="0.35">
      <c r="A4265" s="27"/>
      <c r="B4265" s="27"/>
      <c r="C4265" s="27"/>
      <c r="D4265" s="27"/>
      <c r="E4265" s="27"/>
      <c r="F4265" s="27"/>
      <c r="G4265" s="27"/>
      <c r="H4265" s="27"/>
      <c r="I4265" s="27"/>
    </row>
    <row r="4266" spans="1:9" x14ac:dyDescent="0.35">
      <c r="A4266" s="27"/>
      <c r="B4266" s="27"/>
      <c r="C4266" s="27"/>
      <c r="D4266" s="27"/>
      <c r="E4266" s="27"/>
      <c r="F4266" s="27"/>
      <c r="G4266" s="27"/>
      <c r="H4266" s="27"/>
      <c r="I4266" s="27"/>
    </row>
    <row r="4267" spans="1:9" x14ac:dyDescent="0.35">
      <c r="A4267" s="27"/>
      <c r="B4267" s="27"/>
      <c r="C4267" s="27"/>
      <c r="D4267" s="27"/>
      <c r="E4267" s="27"/>
      <c r="F4267" s="27"/>
      <c r="G4267" s="27"/>
      <c r="H4267" s="27"/>
      <c r="I4267" s="27"/>
    </row>
    <row r="4268" spans="1:9" x14ac:dyDescent="0.35">
      <c r="A4268" s="27"/>
      <c r="B4268" s="27"/>
      <c r="C4268" s="27"/>
      <c r="D4268" s="27"/>
      <c r="E4268" s="27"/>
      <c r="F4268" s="27"/>
      <c r="G4268" s="27"/>
      <c r="H4268" s="27"/>
      <c r="I4268" s="27"/>
    </row>
    <row r="4269" spans="1:9" x14ac:dyDescent="0.35">
      <c r="A4269" s="27"/>
      <c r="B4269" s="27"/>
      <c r="C4269" s="27"/>
      <c r="D4269" s="27"/>
      <c r="E4269" s="27"/>
      <c r="F4269" s="27"/>
      <c r="G4269" s="27"/>
      <c r="H4269" s="27"/>
      <c r="I4269" s="27"/>
    </row>
    <row r="4270" spans="1:9" x14ac:dyDescent="0.35">
      <c r="A4270" s="27"/>
      <c r="B4270" s="27"/>
      <c r="C4270" s="27"/>
      <c r="D4270" s="27"/>
      <c r="E4270" s="27"/>
      <c r="F4270" s="27"/>
      <c r="G4270" s="27"/>
      <c r="H4270" s="27"/>
      <c r="I4270" s="27"/>
    </row>
    <row r="4271" spans="1:9" x14ac:dyDescent="0.35">
      <c r="A4271" s="27"/>
      <c r="B4271" s="27"/>
      <c r="C4271" s="27"/>
      <c r="D4271" s="27"/>
      <c r="E4271" s="27"/>
      <c r="F4271" s="27"/>
      <c r="G4271" s="27"/>
      <c r="H4271" s="27"/>
      <c r="I4271" s="27"/>
    </row>
    <row r="4272" spans="1:9" x14ac:dyDescent="0.35">
      <c r="A4272" s="27"/>
      <c r="B4272" s="27"/>
      <c r="C4272" s="27"/>
      <c r="D4272" s="27"/>
      <c r="E4272" s="27"/>
      <c r="F4272" s="27"/>
      <c r="G4272" s="27"/>
      <c r="H4272" s="27"/>
      <c r="I4272" s="27"/>
    </row>
    <row r="4273" spans="1:9" x14ac:dyDescent="0.35">
      <c r="A4273" s="27"/>
      <c r="B4273" s="27"/>
      <c r="C4273" s="27"/>
      <c r="D4273" s="27"/>
      <c r="E4273" s="27"/>
      <c r="F4273" s="27"/>
      <c r="G4273" s="27"/>
      <c r="H4273" s="27"/>
      <c r="I4273" s="27"/>
    </row>
    <row r="4274" spans="1:9" x14ac:dyDescent="0.35">
      <c r="A4274" s="27"/>
      <c r="B4274" s="27"/>
      <c r="C4274" s="27"/>
      <c r="D4274" s="27"/>
      <c r="E4274" s="27"/>
      <c r="F4274" s="27"/>
      <c r="G4274" s="27"/>
      <c r="H4274" s="27"/>
      <c r="I4274" s="27"/>
    </row>
    <row r="4275" spans="1:9" x14ac:dyDescent="0.35">
      <c r="A4275" s="27"/>
      <c r="B4275" s="27"/>
      <c r="C4275" s="27"/>
      <c r="D4275" s="27"/>
      <c r="E4275" s="27"/>
      <c r="F4275" s="27"/>
      <c r="G4275" s="27"/>
      <c r="H4275" s="27"/>
      <c r="I4275" s="27"/>
    </row>
    <row r="4276" spans="1:9" x14ac:dyDescent="0.35">
      <c r="A4276" s="27"/>
      <c r="B4276" s="27"/>
      <c r="C4276" s="27"/>
      <c r="D4276" s="27"/>
      <c r="E4276" s="27"/>
      <c r="F4276" s="27"/>
      <c r="G4276" s="27"/>
      <c r="H4276" s="27"/>
      <c r="I4276" s="27"/>
    </row>
    <row r="4277" spans="1:9" x14ac:dyDescent="0.35">
      <c r="A4277" s="27"/>
      <c r="B4277" s="27"/>
      <c r="C4277" s="27"/>
      <c r="D4277" s="27"/>
      <c r="E4277" s="27"/>
      <c r="F4277" s="27"/>
      <c r="G4277" s="27"/>
      <c r="H4277" s="27"/>
      <c r="I4277" s="27"/>
    </row>
    <row r="4278" spans="1:9" x14ac:dyDescent="0.35">
      <c r="A4278" s="27"/>
      <c r="B4278" s="27"/>
      <c r="C4278" s="27"/>
      <c r="D4278" s="27"/>
      <c r="E4278" s="27"/>
      <c r="F4278" s="27"/>
      <c r="G4278" s="27"/>
      <c r="H4278" s="27"/>
      <c r="I4278" s="27"/>
    </row>
    <row r="4279" spans="1:9" x14ac:dyDescent="0.35">
      <c r="A4279" s="27"/>
      <c r="B4279" s="27"/>
      <c r="C4279" s="27"/>
      <c r="D4279" s="27"/>
      <c r="E4279" s="27"/>
      <c r="F4279" s="27"/>
      <c r="G4279" s="27"/>
      <c r="H4279" s="27"/>
      <c r="I4279" s="27"/>
    </row>
    <row r="4280" spans="1:9" x14ac:dyDescent="0.35">
      <c r="A4280" s="27"/>
      <c r="B4280" s="27"/>
      <c r="C4280" s="27"/>
      <c r="D4280" s="27"/>
      <c r="E4280" s="27"/>
      <c r="F4280" s="27"/>
      <c r="G4280" s="27"/>
      <c r="H4280" s="27"/>
      <c r="I4280" s="27"/>
    </row>
    <row r="4281" spans="1:9" x14ac:dyDescent="0.35">
      <c r="A4281" s="27"/>
      <c r="B4281" s="27"/>
      <c r="C4281" s="27"/>
      <c r="D4281" s="27"/>
      <c r="E4281" s="27"/>
      <c r="F4281" s="27"/>
      <c r="G4281" s="27"/>
      <c r="H4281" s="27"/>
      <c r="I4281" s="27"/>
    </row>
    <row r="4282" spans="1:9" x14ac:dyDescent="0.35">
      <c r="A4282" s="27"/>
      <c r="B4282" s="27"/>
      <c r="C4282" s="27"/>
      <c r="D4282" s="27"/>
      <c r="E4282" s="27"/>
      <c r="F4282" s="27"/>
      <c r="G4282" s="27"/>
      <c r="H4282" s="27"/>
      <c r="I4282" s="27"/>
    </row>
    <row r="4283" spans="1:9" x14ac:dyDescent="0.35">
      <c r="A4283" s="27"/>
      <c r="B4283" s="27"/>
      <c r="C4283" s="27"/>
      <c r="D4283" s="27"/>
      <c r="E4283" s="27"/>
      <c r="F4283" s="27"/>
      <c r="G4283" s="27"/>
      <c r="H4283" s="27"/>
      <c r="I4283" s="27"/>
    </row>
    <row r="4284" spans="1:9" x14ac:dyDescent="0.35">
      <c r="A4284" s="27"/>
      <c r="B4284" s="27"/>
      <c r="C4284" s="27"/>
      <c r="D4284" s="27"/>
      <c r="E4284" s="27"/>
      <c r="F4284" s="27"/>
      <c r="G4284" s="27"/>
      <c r="H4284" s="27"/>
      <c r="I4284" s="27"/>
    </row>
    <row r="4285" spans="1:9" x14ac:dyDescent="0.35">
      <c r="A4285" s="27"/>
      <c r="B4285" s="27"/>
      <c r="C4285" s="27"/>
      <c r="D4285" s="27"/>
      <c r="E4285" s="27"/>
      <c r="F4285" s="27"/>
      <c r="G4285" s="27"/>
      <c r="H4285" s="27"/>
      <c r="I4285" s="27"/>
    </row>
    <row r="4286" spans="1:9" x14ac:dyDescent="0.35">
      <c r="A4286" s="27"/>
      <c r="B4286" s="27"/>
      <c r="C4286" s="27"/>
      <c r="D4286" s="27"/>
      <c r="E4286" s="27"/>
      <c r="F4286" s="27"/>
      <c r="G4286" s="27"/>
      <c r="H4286" s="27"/>
      <c r="I4286" s="27"/>
    </row>
    <row r="4287" spans="1:9" x14ac:dyDescent="0.35">
      <c r="A4287" s="27"/>
      <c r="B4287" s="27"/>
      <c r="C4287" s="27"/>
      <c r="D4287" s="27"/>
      <c r="E4287" s="27"/>
      <c r="F4287" s="27"/>
      <c r="G4287" s="27"/>
      <c r="H4287" s="27"/>
      <c r="I4287" s="27"/>
    </row>
    <row r="4288" spans="1:9" x14ac:dyDescent="0.35">
      <c r="A4288" s="27"/>
      <c r="B4288" s="27"/>
      <c r="C4288" s="27"/>
      <c r="D4288" s="27"/>
      <c r="E4288" s="27"/>
      <c r="F4288" s="27"/>
      <c r="G4288" s="27"/>
      <c r="H4288" s="27"/>
      <c r="I4288" s="27"/>
    </row>
    <row r="4289" spans="1:9" x14ac:dyDescent="0.35">
      <c r="A4289" s="27"/>
      <c r="B4289" s="27"/>
      <c r="C4289" s="27"/>
      <c r="D4289" s="27"/>
      <c r="E4289" s="27"/>
      <c r="F4289" s="27"/>
      <c r="G4289" s="27"/>
      <c r="H4289" s="27"/>
      <c r="I4289" s="27"/>
    </row>
    <row r="4290" spans="1:9" x14ac:dyDescent="0.35">
      <c r="A4290" s="27"/>
      <c r="B4290" s="27"/>
      <c r="C4290" s="27"/>
      <c r="D4290" s="27"/>
      <c r="E4290" s="27"/>
      <c r="F4290" s="27"/>
      <c r="G4290" s="27"/>
      <c r="H4290" s="27"/>
      <c r="I4290" s="27"/>
    </row>
    <row r="4291" spans="1:9" x14ac:dyDescent="0.35">
      <c r="A4291" s="27"/>
      <c r="B4291" s="27"/>
      <c r="C4291" s="27"/>
      <c r="D4291" s="27"/>
      <c r="E4291" s="27"/>
      <c r="F4291" s="27"/>
      <c r="G4291" s="27"/>
      <c r="H4291" s="27"/>
      <c r="I4291" s="27"/>
    </row>
    <row r="4292" spans="1:9" x14ac:dyDescent="0.35">
      <c r="A4292" s="27"/>
      <c r="B4292" s="27"/>
      <c r="C4292" s="27"/>
      <c r="D4292" s="27"/>
      <c r="E4292" s="27"/>
      <c r="F4292" s="27"/>
      <c r="G4292" s="27"/>
      <c r="H4292" s="27"/>
      <c r="I4292" s="27"/>
    </row>
    <row r="4293" spans="1:9" x14ac:dyDescent="0.35">
      <c r="A4293" s="27"/>
      <c r="B4293" s="27"/>
      <c r="C4293" s="27"/>
      <c r="D4293" s="27"/>
      <c r="E4293" s="27"/>
      <c r="F4293" s="27"/>
      <c r="G4293" s="27"/>
      <c r="H4293" s="27"/>
      <c r="I4293" s="27"/>
    </row>
    <row r="4294" spans="1:9" x14ac:dyDescent="0.35">
      <c r="A4294" s="27"/>
      <c r="B4294" s="27"/>
      <c r="C4294" s="27"/>
      <c r="D4294" s="27"/>
      <c r="E4294" s="27"/>
      <c r="F4294" s="27"/>
      <c r="G4294" s="27"/>
      <c r="H4294" s="27"/>
      <c r="I4294" s="27"/>
    </row>
    <row r="4295" spans="1:9" x14ac:dyDescent="0.35">
      <c r="A4295" s="27"/>
      <c r="B4295" s="27"/>
      <c r="C4295" s="27"/>
      <c r="D4295" s="27"/>
      <c r="E4295" s="27"/>
      <c r="F4295" s="27"/>
      <c r="G4295" s="27"/>
      <c r="H4295" s="27"/>
      <c r="I4295" s="27"/>
    </row>
    <row r="4296" spans="1:9" x14ac:dyDescent="0.35">
      <c r="A4296" s="27"/>
      <c r="B4296" s="27"/>
      <c r="C4296" s="27"/>
      <c r="D4296" s="27"/>
      <c r="E4296" s="27"/>
      <c r="F4296" s="27"/>
      <c r="G4296" s="27"/>
      <c r="H4296" s="27"/>
      <c r="I4296" s="27"/>
    </row>
    <row r="4297" spans="1:9" x14ac:dyDescent="0.35">
      <c r="A4297" s="27"/>
      <c r="B4297" s="27"/>
      <c r="C4297" s="27"/>
      <c r="D4297" s="27"/>
      <c r="E4297" s="27"/>
      <c r="F4297" s="27"/>
      <c r="G4297" s="27"/>
      <c r="H4297" s="27"/>
      <c r="I4297" s="27"/>
    </row>
    <row r="4298" spans="1:9" x14ac:dyDescent="0.35">
      <c r="A4298" s="27"/>
      <c r="B4298" s="27"/>
      <c r="C4298" s="27"/>
      <c r="D4298" s="27"/>
      <c r="E4298" s="27"/>
      <c r="F4298" s="27"/>
      <c r="G4298" s="27"/>
      <c r="H4298" s="27"/>
      <c r="I4298" s="27"/>
    </row>
    <row r="4299" spans="1:9" x14ac:dyDescent="0.35">
      <c r="A4299" s="27"/>
      <c r="B4299" s="27"/>
      <c r="C4299" s="27"/>
      <c r="D4299" s="27"/>
      <c r="E4299" s="27"/>
      <c r="F4299" s="27"/>
      <c r="G4299" s="27"/>
      <c r="H4299" s="27"/>
      <c r="I4299" s="27"/>
    </row>
    <row r="4300" spans="1:9" x14ac:dyDescent="0.35">
      <c r="A4300" s="27"/>
      <c r="B4300" s="27"/>
      <c r="C4300" s="27"/>
      <c r="D4300" s="27"/>
      <c r="E4300" s="27"/>
      <c r="F4300" s="27"/>
      <c r="G4300" s="27"/>
      <c r="H4300" s="27"/>
      <c r="I4300" s="27"/>
    </row>
    <row r="4301" spans="1:9" x14ac:dyDescent="0.35">
      <c r="A4301" s="27"/>
      <c r="B4301" s="27"/>
      <c r="C4301" s="27"/>
      <c r="D4301" s="27"/>
      <c r="E4301" s="27"/>
      <c r="F4301" s="27"/>
      <c r="G4301" s="27"/>
      <c r="H4301" s="27"/>
      <c r="I4301" s="27"/>
    </row>
    <row r="4302" spans="1:9" x14ac:dyDescent="0.35">
      <c r="A4302" s="27"/>
      <c r="B4302" s="27"/>
      <c r="C4302" s="27"/>
      <c r="D4302" s="27"/>
      <c r="E4302" s="27"/>
      <c r="F4302" s="27"/>
      <c r="G4302" s="27"/>
      <c r="H4302" s="27"/>
      <c r="I4302" s="27"/>
    </row>
    <row r="4303" spans="1:9" x14ac:dyDescent="0.35">
      <c r="A4303" s="27"/>
      <c r="B4303" s="27"/>
      <c r="C4303" s="27"/>
      <c r="D4303" s="27"/>
      <c r="E4303" s="27"/>
      <c r="F4303" s="27"/>
      <c r="G4303" s="27"/>
      <c r="H4303" s="27"/>
      <c r="I4303" s="27"/>
    </row>
    <row r="4304" spans="1:9" x14ac:dyDescent="0.35">
      <c r="A4304" s="27"/>
      <c r="B4304" s="27"/>
      <c r="C4304" s="27"/>
      <c r="D4304" s="27"/>
      <c r="E4304" s="27"/>
      <c r="F4304" s="27"/>
      <c r="G4304" s="27"/>
      <c r="H4304" s="27"/>
      <c r="I4304" s="27"/>
    </row>
    <row r="4305" spans="1:9" x14ac:dyDescent="0.35">
      <c r="A4305" s="27"/>
      <c r="B4305" s="27"/>
      <c r="C4305" s="27"/>
      <c r="D4305" s="27"/>
      <c r="E4305" s="27"/>
      <c r="F4305" s="27"/>
      <c r="G4305" s="27"/>
      <c r="H4305" s="27"/>
      <c r="I4305" s="27"/>
    </row>
    <row r="4306" spans="1:9" x14ac:dyDescent="0.35">
      <c r="A4306" s="27"/>
      <c r="B4306" s="27"/>
      <c r="C4306" s="27"/>
      <c r="D4306" s="27"/>
      <c r="E4306" s="27"/>
      <c r="F4306" s="27"/>
      <c r="G4306" s="27"/>
      <c r="H4306" s="27"/>
      <c r="I4306" s="27"/>
    </row>
    <row r="4307" spans="1:9" x14ac:dyDescent="0.35">
      <c r="A4307" s="27"/>
      <c r="B4307" s="27"/>
      <c r="C4307" s="27"/>
      <c r="D4307" s="27"/>
      <c r="E4307" s="27"/>
      <c r="F4307" s="27"/>
      <c r="G4307" s="27"/>
      <c r="H4307" s="27"/>
      <c r="I4307" s="27"/>
    </row>
    <row r="4308" spans="1:9" x14ac:dyDescent="0.35">
      <c r="A4308" s="27"/>
      <c r="B4308" s="27"/>
      <c r="C4308" s="27"/>
      <c r="D4308" s="27"/>
      <c r="E4308" s="27"/>
      <c r="F4308" s="27"/>
      <c r="G4308" s="27"/>
      <c r="H4308" s="27"/>
      <c r="I4308" s="27"/>
    </row>
    <row r="4309" spans="1:9" x14ac:dyDescent="0.35">
      <c r="A4309" s="27"/>
      <c r="B4309" s="27"/>
      <c r="C4309" s="27"/>
      <c r="D4309" s="27"/>
      <c r="E4309" s="27"/>
      <c r="F4309" s="27"/>
      <c r="G4309" s="27"/>
      <c r="H4309" s="27"/>
      <c r="I4309" s="27"/>
    </row>
    <row r="4310" spans="1:9" x14ac:dyDescent="0.35">
      <c r="A4310" s="27"/>
      <c r="B4310" s="27"/>
      <c r="C4310" s="27"/>
      <c r="D4310" s="27"/>
      <c r="E4310" s="27"/>
      <c r="F4310" s="27"/>
      <c r="G4310" s="27"/>
      <c r="H4310" s="27"/>
      <c r="I4310" s="27"/>
    </row>
    <row r="4311" spans="1:9" x14ac:dyDescent="0.35">
      <c r="A4311" s="27"/>
      <c r="B4311" s="27"/>
      <c r="C4311" s="27"/>
      <c r="D4311" s="27"/>
      <c r="E4311" s="27"/>
      <c r="F4311" s="27"/>
      <c r="G4311" s="27"/>
      <c r="H4311" s="27"/>
      <c r="I4311" s="27"/>
    </row>
    <row r="4312" spans="1:9" x14ac:dyDescent="0.35">
      <c r="A4312" s="27"/>
      <c r="B4312" s="27"/>
      <c r="C4312" s="27"/>
      <c r="D4312" s="27"/>
      <c r="E4312" s="27"/>
      <c r="F4312" s="27"/>
      <c r="G4312" s="27"/>
      <c r="H4312" s="27"/>
      <c r="I4312" s="27"/>
    </row>
    <row r="4313" spans="1:9" x14ac:dyDescent="0.35">
      <c r="A4313" s="27"/>
      <c r="B4313" s="27"/>
      <c r="C4313" s="27"/>
      <c r="D4313" s="27"/>
      <c r="E4313" s="27"/>
      <c r="F4313" s="27"/>
      <c r="G4313" s="27"/>
      <c r="H4313" s="27"/>
      <c r="I4313" s="27"/>
    </row>
    <row r="4314" spans="1:9" x14ac:dyDescent="0.35">
      <c r="A4314" s="27"/>
      <c r="B4314" s="27"/>
      <c r="C4314" s="27"/>
      <c r="D4314" s="27"/>
      <c r="E4314" s="27"/>
      <c r="F4314" s="27"/>
      <c r="G4314" s="27"/>
      <c r="H4314" s="27"/>
      <c r="I4314" s="27"/>
    </row>
    <row r="4315" spans="1:9" x14ac:dyDescent="0.35">
      <c r="A4315" s="27"/>
      <c r="B4315" s="27"/>
      <c r="C4315" s="27"/>
      <c r="D4315" s="27"/>
      <c r="E4315" s="27"/>
      <c r="F4315" s="27"/>
      <c r="G4315" s="27"/>
      <c r="H4315" s="27"/>
      <c r="I4315" s="27"/>
    </row>
    <row r="4316" spans="1:9" x14ac:dyDescent="0.35">
      <c r="A4316" s="27"/>
      <c r="B4316" s="27"/>
      <c r="C4316" s="27"/>
      <c r="D4316" s="27"/>
      <c r="E4316" s="27"/>
      <c r="F4316" s="27"/>
      <c r="G4316" s="27"/>
      <c r="H4316" s="27"/>
      <c r="I4316" s="27"/>
    </row>
    <row r="4317" spans="1:9" x14ac:dyDescent="0.35">
      <c r="A4317" s="27"/>
      <c r="B4317" s="27"/>
      <c r="C4317" s="27"/>
      <c r="D4317" s="27"/>
      <c r="E4317" s="27"/>
      <c r="F4317" s="27"/>
      <c r="G4317" s="27"/>
      <c r="H4317" s="27"/>
      <c r="I4317" s="27"/>
    </row>
    <row r="4318" spans="1:9" x14ac:dyDescent="0.35">
      <c r="A4318" s="27"/>
      <c r="B4318" s="27"/>
      <c r="C4318" s="27"/>
      <c r="D4318" s="27"/>
      <c r="E4318" s="27"/>
      <c r="F4318" s="27"/>
      <c r="G4318" s="27"/>
      <c r="H4318" s="27"/>
      <c r="I4318" s="27"/>
    </row>
    <row r="4319" spans="1:9" x14ac:dyDescent="0.35">
      <c r="A4319" s="27"/>
      <c r="B4319" s="27"/>
      <c r="C4319" s="27"/>
      <c r="D4319" s="27"/>
      <c r="E4319" s="27"/>
      <c r="F4319" s="27"/>
      <c r="G4319" s="27"/>
      <c r="H4319" s="27"/>
      <c r="I4319" s="27"/>
    </row>
    <row r="4320" spans="1:9" x14ac:dyDescent="0.35">
      <c r="A4320" s="27"/>
      <c r="B4320" s="27"/>
      <c r="C4320" s="27"/>
      <c r="D4320" s="27"/>
      <c r="E4320" s="27"/>
      <c r="F4320" s="27"/>
      <c r="G4320" s="27"/>
      <c r="H4320" s="27"/>
      <c r="I4320" s="27"/>
    </row>
    <row r="4321" spans="1:9" x14ac:dyDescent="0.35">
      <c r="A4321" s="27"/>
      <c r="B4321" s="27"/>
      <c r="C4321" s="27"/>
      <c r="D4321" s="27"/>
      <c r="E4321" s="27"/>
      <c r="F4321" s="27"/>
      <c r="G4321" s="27"/>
      <c r="H4321" s="27"/>
      <c r="I4321" s="27"/>
    </row>
    <row r="4322" spans="1:9" x14ac:dyDescent="0.35">
      <c r="A4322" s="27"/>
      <c r="B4322" s="27"/>
      <c r="C4322" s="27"/>
      <c r="D4322" s="27"/>
      <c r="E4322" s="27"/>
      <c r="F4322" s="27"/>
      <c r="G4322" s="27"/>
      <c r="H4322" s="27"/>
      <c r="I4322" s="27"/>
    </row>
    <row r="4323" spans="1:9" x14ac:dyDescent="0.35">
      <c r="A4323" s="27"/>
      <c r="B4323" s="27"/>
      <c r="C4323" s="27"/>
      <c r="D4323" s="27"/>
      <c r="E4323" s="27"/>
      <c r="F4323" s="27"/>
      <c r="G4323" s="27"/>
      <c r="H4323" s="27"/>
      <c r="I4323" s="27"/>
    </row>
    <row r="4324" spans="1:9" x14ac:dyDescent="0.35">
      <c r="A4324" s="27"/>
      <c r="B4324" s="27"/>
      <c r="C4324" s="27"/>
      <c r="D4324" s="27"/>
      <c r="E4324" s="27"/>
      <c r="F4324" s="27"/>
      <c r="G4324" s="27"/>
      <c r="H4324" s="27"/>
      <c r="I4324" s="27"/>
    </row>
    <row r="4325" spans="1:9" x14ac:dyDescent="0.35">
      <c r="A4325" s="27"/>
      <c r="B4325" s="27"/>
      <c r="C4325" s="27"/>
      <c r="D4325" s="27"/>
      <c r="E4325" s="27"/>
      <c r="F4325" s="27"/>
      <c r="G4325" s="27"/>
      <c r="H4325" s="27"/>
      <c r="I4325" s="27"/>
    </row>
    <row r="4326" spans="1:9" x14ac:dyDescent="0.35">
      <c r="A4326" s="27"/>
      <c r="B4326" s="27"/>
      <c r="C4326" s="27"/>
      <c r="D4326" s="27"/>
      <c r="E4326" s="27"/>
      <c r="F4326" s="27"/>
      <c r="G4326" s="27"/>
      <c r="H4326" s="27"/>
      <c r="I4326" s="27"/>
    </row>
    <row r="4327" spans="1:9" x14ac:dyDescent="0.35">
      <c r="A4327" s="27"/>
      <c r="B4327" s="27"/>
      <c r="C4327" s="27"/>
      <c r="D4327" s="27"/>
      <c r="E4327" s="27"/>
      <c r="F4327" s="27"/>
      <c r="G4327" s="27"/>
      <c r="H4327" s="27"/>
      <c r="I4327" s="27"/>
    </row>
    <row r="4328" spans="1:9" x14ac:dyDescent="0.35">
      <c r="A4328" s="27"/>
      <c r="B4328" s="27"/>
      <c r="C4328" s="27"/>
      <c r="D4328" s="27"/>
      <c r="E4328" s="27"/>
      <c r="F4328" s="27"/>
      <c r="G4328" s="27"/>
      <c r="H4328" s="27"/>
      <c r="I4328" s="27"/>
    </row>
    <row r="4329" spans="1:9" x14ac:dyDescent="0.35">
      <c r="A4329" s="27"/>
      <c r="B4329" s="27"/>
      <c r="C4329" s="27"/>
      <c r="D4329" s="27"/>
      <c r="E4329" s="27"/>
      <c r="F4329" s="27"/>
      <c r="G4329" s="27"/>
      <c r="H4329" s="27"/>
      <c r="I4329" s="27"/>
    </row>
    <row r="4330" spans="1:9" x14ac:dyDescent="0.35">
      <c r="A4330" s="27"/>
      <c r="B4330" s="27"/>
      <c r="C4330" s="27"/>
      <c r="D4330" s="27"/>
      <c r="E4330" s="27"/>
      <c r="F4330" s="27"/>
      <c r="G4330" s="27"/>
      <c r="H4330" s="27"/>
      <c r="I4330" s="27"/>
    </row>
    <row r="4331" spans="1:9" x14ac:dyDescent="0.35">
      <c r="A4331" s="27"/>
      <c r="B4331" s="27"/>
      <c r="C4331" s="27"/>
      <c r="D4331" s="27"/>
      <c r="E4331" s="27"/>
      <c r="F4331" s="27"/>
      <c r="G4331" s="27"/>
      <c r="H4331" s="27"/>
      <c r="I4331" s="27"/>
    </row>
    <row r="4332" spans="1:9" x14ac:dyDescent="0.35">
      <c r="A4332" s="27"/>
      <c r="B4332" s="27"/>
      <c r="C4332" s="27"/>
      <c r="D4332" s="27"/>
      <c r="E4332" s="27"/>
      <c r="F4332" s="27"/>
      <c r="G4332" s="27"/>
      <c r="H4332" s="27"/>
      <c r="I4332" s="27"/>
    </row>
    <row r="4333" spans="1:9" x14ac:dyDescent="0.35">
      <c r="A4333" s="27"/>
      <c r="B4333" s="27"/>
      <c r="C4333" s="27"/>
      <c r="D4333" s="27"/>
      <c r="E4333" s="27"/>
      <c r="F4333" s="27"/>
      <c r="G4333" s="27"/>
      <c r="H4333" s="27"/>
      <c r="I4333" s="27"/>
    </row>
    <row r="4334" spans="1:9" x14ac:dyDescent="0.35">
      <c r="A4334" s="27"/>
      <c r="B4334" s="27"/>
      <c r="C4334" s="27"/>
      <c r="D4334" s="27"/>
      <c r="E4334" s="27"/>
      <c r="F4334" s="27"/>
      <c r="G4334" s="27"/>
      <c r="H4334" s="27"/>
      <c r="I4334" s="27"/>
    </row>
    <row r="4335" spans="1:9" x14ac:dyDescent="0.35">
      <c r="A4335" s="27"/>
      <c r="B4335" s="27"/>
      <c r="C4335" s="27"/>
      <c r="D4335" s="27"/>
      <c r="E4335" s="27"/>
      <c r="F4335" s="27"/>
      <c r="G4335" s="27"/>
      <c r="H4335" s="27"/>
      <c r="I4335" s="27"/>
    </row>
    <row r="4336" spans="1:9" x14ac:dyDescent="0.35">
      <c r="A4336" s="27"/>
      <c r="B4336" s="27"/>
      <c r="C4336" s="27"/>
      <c r="D4336" s="27"/>
      <c r="E4336" s="27"/>
      <c r="F4336" s="27"/>
      <c r="G4336" s="27"/>
      <c r="H4336" s="27"/>
      <c r="I4336" s="27"/>
    </row>
    <row r="4337" spans="1:9" x14ac:dyDescent="0.35">
      <c r="A4337" s="27"/>
      <c r="B4337" s="27"/>
      <c r="C4337" s="27"/>
      <c r="D4337" s="27"/>
      <c r="E4337" s="27"/>
      <c r="F4337" s="27"/>
      <c r="G4337" s="27"/>
      <c r="H4337" s="27"/>
      <c r="I4337" s="27"/>
    </row>
    <row r="4338" spans="1:9" x14ac:dyDescent="0.35">
      <c r="A4338" s="27"/>
      <c r="B4338" s="27"/>
      <c r="C4338" s="27"/>
      <c r="D4338" s="27"/>
      <c r="E4338" s="27"/>
      <c r="F4338" s="27"/>
      <c r="G4338" s="27"/>
      <c r="H4338" s="27"/>
      <c r="I4338" s="27"/>
    </row>
    <row r="4339" spans="1:9" x14ac:dyDescent="0.35">
      <c r="A4339" s="27"/>
      <c r="B4339" s="27"/>
      <c r="C4339" s="27"/>
      <c r="D4339" s="27"/>
      <c r="E4339" s="27"/>
      <c r="F4339" s="27"/>
      <c r="G4339" s="27"/>
      <c r="H4339" s="27"/>
      <c r="I4339" s="27"/>
    </row>
    <row r="4340" spans="1:9" x14ac:dyDescent="0.35">
      <c r="A4340" s="27"/>
      <c r="B4340" s="27"/>
      <c r="C4340" s="27"/>
      <c r="D4340" s="27"/>
      <c r="E4340" s="27"/>
      <c r="F4340" s="27"/>
      <c r="G4340" s="27"/>
      <c r="H4340" s="27"/>
      <c r="I4340" s="27"/>
    </row>
    <row r="4341" spans="1:9" x14ac:dyDescent="0.35">
      <c r="A4341" s="27"/>
      <c r="B4341" s="27"/>
      <c r="C4341" s="27"/>
      <c r="D4341" s="27"/>
      <c r="E4341" s="27"/>
      <c r="F4341" s="27"/>
      <c r="G4341" s="27"/>
      <c r="H4341" s="27"/>
      <c r="I4341" s="27"/>
    </row>
    <row r="4342" spans="1:9" x14ac:dyDescent="0.35">
      <c r="A4342" s="27"/>
      <c r="B4342" s="27"/>
      <c r="C4342" s="27"/>
      <c r="D4342" s="27"/>
      <c r="E4342" s="27"/>
      <c r="F4342" s="27"/>
      <c r="G4342" s="27"/>
      <c r="H4342" s="27"/>
      <c r="I4342" s="27"/>
    </row>
    <row r="4343" spans="1:9" x14ac:dyDescent="0.35">
      <c r="A4343" s="27"/>
      <c r="B4343" s="27"/>
      <c r="C4343" s="27"/>
      <c r="D4343" s="27"/>
      <c r="E4343" s="27"/>
      <c r="F4343" s="27"/>
      <c r="G4343" s="27"/>
      <c r="H4343" s="27"/>
      <c r="I4343" s="27"/>
    </row>
    <row r="4344" spans="1:9" x14ac:dyDescent="0.35">
      <c r="A4344" s="27"/>
      <c r="B4344" s="27"/>
      <c r="C4344" s="27"/>
      <c r="D4344" s="27"/>
      <c r="E4344" s="27"/>
      <c r="F4344" s="27"/>
      <c r="G4344" s="27"/>
      <c r="H4344" s="27"/>
      <c r="I4344" s="27"/>
    </row>
    <row r="4345" spans="1:9" x14ac:dyDescent="0.35">
      <c r="A4345" s="27"/>
      <c r="B4345" s="27"/>
      <c r="C4345" s="27"/>
      <c r="D4345" s="27"/>
      <c r="E4345" s="27"/>
      <c r="F4345" s="27"/>
      <c r="G4345" s="27"/>
      <c r="H4345" s="27"/>
      <c r="I4345" s="27"/>
    </row>
    <row r="4346" spans="1:9" x14ac:dyDescent="0.35">
      <c r="A4346" s="27"/>
      <c r="B4346" s="27"/>
      <c r="C4346" s="27"/>
      <c r="D4346" s="27"/>
      <c r="E4346" s="27"/>
      <c r="F4346" s="27"/>
      <c r="G4346" s="27"/>
      <c r="H4346" s="27"/>
      <c r="I4346" s="27"/>
    </row>
    <row r="4347" spans="1:9" x14ac:dyDescent="0.35">
      <c r="A4347" s="27"/>
      <c r="B4347" s="27"/>
      <c r="C4347" s="27"/>
      <c r="D4347" s="27"/>
      <c r="E4347" s="27"/>
      <c r="F4347" s="27"/>
      <c r="G4347" s="27"/>
      <c r="H4347" s="27"/>
      <c r="I4347" s="27"/>
    </row>
    <row r="4348" spans="1:9" x14ac:dyDescent="0.35">
      <c r="A4348" s="27"/>
      <c r="B4348" s="27"/>
      <c r="C4348" s="27"/>
      <c r="D4348" s="27"/>
      <c r="E4348" s="27"/>
      <c r="F4348" s="27"/>
      <c r="G4348" s="27"/>
      <c r="H4348" s="27"/>
      <c r="I4348" s="27"/>
    </row>
    <row r="4349" spans="1:9" x14ac:dyDescent="0.35">
      <c r="A4349" s="27"/>
      <c r="B4349" s="27"/>
      <c r="C4349" s="27"/>
      <c r="D4349" s="27"/>
      <c r="E4349" s="27"/>
      <c r="F4349" s="27"/>
      <c r="G4349" s="27"/>
      <c r="H4349" s="27"/>
      <c r="I4349" s="27"/>
    </row>
    <row r="4350" spans="1:9" x14ac:dyDescent="0.35">
      <c r="A4350" s="27"/>
      <c r="B4350" s="27"/>
      <c r="C4350" s="27"/>
      <c r="D4350" s="27"/>
      <c r="E4350" s="27"/>
      <c r="F4350" s="27"/>
      <c r="G4350" s="27"/>
      <c r="H4350" s="27"/>
      <c r="I4350" s="27"/>
    </row>
    <row r="4351" spans="1:9" x14ac:dyDescent="0.35">
      <c r="A4351" s="27"/>
      <c r="B4351" s="27"/>
      <c r="C4351" s="27"/>
      <c r="D4351" s="27"/>
      <c r="E4351" s="27"/>
      <c r="F4351" s="27"/>
      <c r="G4351" s="27"/>
      <c r="H4351" s="27"/>
      <c r="I4351" s="27"/>
    </row>
    <row r="4352" spans="1:9" x14ac:dyDescent="0.35">
      <c r="A4352" s="27"/>
      <c r="B4352" s="27"/>
      <c r="C4352" s="27"/>
      <c r="D4352" s="27"/>
      <c r="E4352" s="27"/>
      <c r="F4352" s="27"/>
      <c r="G4352" s="27"/>
      <c r="H4352" s="27"/>
      <c r="I4352" s="27"/>
    </row>
    <row r="4353" spans="1:9" x14ac:dyDescent="0.35">
      <c r="A4353" s="27"/>
      <c r="B4353" s="27"/>
      <c r="C4353" s="27"/>
      <c r="D4353" s="27"/>
      <c r="E4353" s="27"/>
      <c r="F4353" s="27"/>
      <c r="G4353" s="27"/>
      <c r="H4353" s="27"/>
      <c r="I4353" s="27"/>
    </row>
    <row r="4354" spans="1:9" x14ac:dyDescent="0.35">
      <c r="A4354" s="27"/>
      <c r="B4354" s="27"/>
      <c r="C4354" s="27"/>
      <c r="D4354" s="27"/>
      <c r="E4354" s="27"/>
      <c r="F4354" s="27"/>
      <c r="G4354" s="27"/>
      <c r="H4354" s="27"/>
      <c r="I4354" s="27"/>
    </row>
    <row r="4355" spans="1:9" x14ac:dyDescent="0.35">
      <c r="A4355" s="27"/>
      <c r="B4355" s="27"/>
      <c r="C4355" s="27"/>
      <c r="D4355" s="27"/>
      <c r="E4355" s="27"/>
      <c r="F4355" s="27"/>
      <c r="G4355" s="27"/>
      <c r="H4355" s="27"/>
      <c r="I4355" s="27"/>
    </row>
    <row r="4356" spans="1:9" x14ac:dyDescent="0.35">
      <c r="A4356" s="27"/>
      <c r="B4356" s="27"/>
      <c r="C4356" s="27"/>
      <c r="D4356" s="27"/>
      <c r="E4356" s="27"/>
      <c r="F4356" s="27"/>
      <c r="G4356" s="27"/>
      <c r="H4356" s="27"/>
      <c r="I4356" s="27"/>
    </row>
    <row r="4357" spans="1:9" x14ac:dyDescent="0.35">
      <c r="A4357" s="27"/>
      <c r="B4357" s="27"/>
      <c r="C4357" s="27"/>
      <c r="D4357" s="27"/>
      <c r="E4357" s="27"/>
      <c r="F4357" s="27"/>
      <c r="G4357" s="27"/>
      <c r="H4357" s="27"/>
      <c r="I4357" s="27"/>
    </row>
    <row r="4358" spans="1:9" x14ac:dyDescent="0.35">
      <c r="A4358" s="27"/>
      <c r="B4358" s="27"/>
      <c r="C4358" s="27"/>
      <c r="D4358" s="27"/>
      <c r="E4358" s="27"/>
      <c r="F4358" s="27"/>
      <c r="G4358" s="27"/>
      <c r="H4358" s="27"/>
      <c r="I4358" s="27"/>
    </row>
    <row r="4359" spans="1:9" x14ac:dyDescent="0.35">
      <c r="A4359" s="27"/>
      <c r="B4359" s="27"/>
      <c r="C4359" s="27"/>
      <c r="D4359" s="27"/>
      <c r="E4359" s="27"/>
      <c r="F4359" s="27"/>
      <c r="G4359" s="27"/>
      <c r="H4359" s="27"/>
      <c r="I4359" s="27"/>
    </row>
    <row r="4360" spans="1:9" x14ac:dyDescent="0.35">
      <c r="A4360" s="27"/>
      <c r="B4360" s="27"/>
      <c r="C4360" s="27"/>
      <c r="D4360" s="27"/>
      <c r="E4360" s="27"/>
      <c r="F4360" s="27"/>
      <c r="G4360" s="27"/>
      <c r="H4360" s="27"/>
      <c r="I4360" s="27"/>
    </row>
    <row r="4361" spans="1:9" x14ac:dyDescent="0.35">
      <c r="A4361" s="27"/>
      <c r="B4361" s="27"/>
      <c r="C4361" s="27"/>
      <c r="D4361" s="27"/>
      <c r="E4361" s="27"/>
      <c r="F4361" s="27"/>
      <c r="G4361" s="27"/>
      <c r="H4361" s="27"/>
      <c r="I4361" s="27"/>
    </row>
    <row r="4362" spans="1:9" x14ac:dyDescent="0.35">
      <c r="A4362" s="27"/>
      <c r="B4362" s="27"/>
      <c r="C4362" s="27"/>
      <c r="D4362" s="27"/>
      <c r="E4362" s="27"/>
      <c r="F4362" s="27"/>
      <c r="G4362" s="27"/>
      <c r="H4362" s="27"/>
      <c r="I4362" s="27"/>
    </row>
    <row r="4363" spans="1:9" x14ac:dyDescent="0.35">
      <c r="A4363" s="27"/>
      <c r="B4363" s="27"/>
      <c r="C4363" s="27"/>
      <c r="D4363" s="27"/>
      <c r="E4363" s="27"/>
      <c r="F4363" s="27"/>
      <c r="G4363" s="27"/>
      <c r="H4363" s="27"/>
      <c r="I4363" s="27"/>
    </row>
    <row r="4364" spans="1:9" x14ac:dyDescent="0.35">
      <c r="A4364" s="27"/>
      <c r="B4364" s="27"/>
      <c r="C4364" s="27"/>
      <c r="D4364" s="27"/>
      <c r="E4364" s="27"/>
      <c r="F4364" s="27"/>
      <c r="G4364" s="27"/>
      <c r="H4364" s="27"/>
      <c r="I4364" s="27"/>
    </row>
    <row r="4365" spans="1:9" x14ac:dyDescent="0.35">
      <c r="A4365" s="27"/>
      <c r="B4365" s="27"/>
      <c r="C4365" s="27"/>
      <c r="D4365" s="27"/>
      <c r="E4365" s="27"/>
      <c r="F4365" s="27"/>
      <c r="G4365" s="27"/>
      <c r="H4365" s="27"/>
      <c r="I4365" s="27"/>
    </row>
    <row r="4366" spans="1:9" x14ac:dyDescent="0.35">
      <c r="A4366" s="27"/>
      <c r="B4366" s="27"/>
      <c r="C4366" s="27"/>
      <c r="D4366" s="27"/>
      <c r="E4366" s="27"/>
      <c r="F4366" s="27"/>
      <c r="G4366" s="27"/>
      <c r="H4366" s="27"/>
      <c r="I4366" s="27"/>
    </row>
    <row r="4367" spans="1:9" x14ac:dyDescent="0.35">
      <c r="A4367" s="27"/>
      <c r="B4367" s="27"/>
      <c r="C4367" s="27"/>
      <c r="D4367" s="27"/>
      <c r="E4367" s="27"/>
      <c r="F4367" s="27"/>
      <c r="G4367" s="27"/>
      <c r="H4367" s="27"/>
      <c r="I4367" s="27"/>
    </row>
    <row r="4368" spans="1:9" x14ac:dyDescent="0.35">
      <c r="A4368" s="27"/>
      <c r="B4368" s="27"/>
      <c r="C4368" s="27"/>
      <c r="D4368" s="27"/>
      <c r="E4368" s="27"/>
      <c r="F4368" s="27"/>
      <c r="G4368" s="27"/>
      <c r="H4368" s="27"/>
      <c r="I4368" s="27"/>
    </row>
    <row r="4369" spans="1:9" x14ac:dyDescent="0.35">
      <c r="A4369" s="27"/>
      <c r="B4369" s="27"/>
      <c r="C4369" s="27"/>
      <c r="D4369" s="27"/>
      <c r="E4369" s="27"/>
      <c r="F4369" s="27"/>
      <c r="G4369" s="27"/>
      <c r="H4369" s="27"/>
      <c r="I4369" s="27"/>
    </row>
    <row r="4370" spans="1:9" x14ac:dyDescent="0.35">
      <c r="A4370" s="27"/>
      <c r="B4370" s="27"/>
      <c r="C4370" s="27"/>
      <c r="D4370" s="27"/>
      <c r="E4370" s="27"/>
      <c r="F4370" s="27"/>
      <c r="G4370" s="27"/>
      <c r="H4370" s="27"/>
      <c r="I4370" s="27"/>
    </row>
    <row r="4371" spans="1:9" x14ac:dyDescent="0.35">
      <c r="A4371" s="27"/>
      <c r="B4371" s="27"/>
      <c r="C4371" s="27"/>
      <c r="D4371" s="27"/>
      <c r="E4371" s="27"/>
      <c r="F4371" s="27"/>
      <c r="G4371" s="27"/>
      <c r="H4371" s="27"/>
      <c r="I4371" s="27"/>
    </row>
    <row r="4372" spans="1:9" x14ac:dyDescent="0.35">
      <c r="A4372" s="27"/>
      <c r="B4372" s="27"/>
      <c r="C4372" s="27"/>
      <c r="D4372" s="27"/>
      <c r="E4372" s="27"/>
      <c r="F4372" s="27"/>
      <c r="G4372" s="27"/>
      <c r="H4372" s="27"/>
      <c r="I4372" s="27"/>
    </row>
    <row r="4373" spans="1:9" x14ac:dyDescent="0.35">
      <c r="A4373" s="27"/>
      <c r="B4373" s="27"/>
      <c r="C4373" s="27"/>
      <c r="D4373" s="27"/>
      <c r="E4373" s="27"/>
      <c r="F4373" s="27"/>
      <c r="G4373" s="27"/>
      <c r="H4373" s="27"/>
      <c r="I4373" s="27"/>
    </row>
    <row r="4374" spans="1:9" x14ac:dyDescent="0.35">
      <c r="A4374" s="27"/>
      <c r="B4374" s="27"/>
      <c r="C4374" s="27"/>
      <c r="D4374" s="27"/>
      <c r="E4374" s="27"/>
      <c r="F4374" s="27"/>
      <c r="G4374" s="27"/>
      <c r="H4374" s="27"/>
      <c r="I4374" s="27"/>
    </row>
    <row r="4375" spans="1:9" x14ac:dyDescent="0.35">
      <c r="A4375" s="27"/>
      <c r="B4375" s="27"/>
      <c r="C4375" s="27"/>
      <c r="D4375" s="27"/>
      <c r="E4375" s="27"/>
      <c r="F4375" s="27"/>
      <c r="G4375" s="27"/>
      <c r="H4375" s="27"/>
      <c r="I4375" s="27"/>
    </row>
    <row r="4376" spans="1:9" x14ac:dyDescent="0.35">
      <c r="A4376" s="27"/>
      <c r="B4376" s="27"/>
      <c r="C4376" s="27"/>
      <c r="D4376" s="27"/>
      <c r="E4376" s="27"/>
      <c r="F4376" s="27"/>
      <c r="G4376" s="27"/>
      <c r="H4376" s="27"/>
      <c r="I4376" s="27"/>
    </row>
    <row r="4377" spans="1:9" x14ac:dyDescent="0.35">
      <c r="A4377" s="27"/>
      <c r="B4377" s="27"/>
      <c r="C4377" s="27"/>
      <c r="D4377" s="27"/>
      <c r="E4377" s="27"/>
      <c r="F4377" s="27"/>
      <c r="G4377" s="27"/>
      <c r="H4377" s="27"/>
      <c r="I4377" s="27"/>
    </row>
    <row r="4378" spans="1:9" x14ac:dyDescent="0.35">
      <c r="A4378" s="27"/>
      <c r="B4378" s="27"/>
      <c r="C4378" s="27"/>
      <c r="D4378" s="27"/>
      <c r="E4378" s="27"/>
      <c r="F4378" s="27"/>
      <c r="G4378" s="27"/>
      <c r="H4378" s="27"/>
      <c r="I4378" s="27"/>
    </row>
    <row r="4379" spans="1:9" x14ac:dyDescent="0.35">
      <c r="A4379" s="27"/>
      <c r="B4379" s="27"/>
      <c r="C4379" s="27"/>
      <c r="D4379" s="27"/>
      <c r="E4379" s="27"/>
      <c r="F4379" s="27"/>
      <c r="G4379" s="27"/>
      <c r="H4379" s="27"/>
      <c r="I4379" s="27"/>
    </row>
    <row r="4380" spans="1:9" x14ac:dyDescent="0.35">
      <c r="A4380" s="27"/>
      <c r="B4380" s="27"/>
      <c r="C4380" s="27"/>
      <c r="D4380" s="27"/>
      <c r="E4380" s="27"/>
      <c r="F4380" s="27"/>
      <c r="G4380" s="27"/>
      <c r="H4380" s="27"/>
      <c r="I4380" s="27"/>
    </row>
    <row r="4381" spans="1:9" x14ac:dyDescent="0.35">
      <c r="A4381" s="27"/>
      <c r="B4381" s="27"/>
      <c r="C4381" s="27"/>
      <c r="D4381" s="27"/>
      <c r="E4381" s="27"/>
      <c r="F4381" s="27"/>
      <c r="G4381" s="27"/>
      <c r="H4381" s="27"/>
      <c r="I4381" s="27"/>
    </row>
    <row r="4382" spans="1:9" x14ac:dyDescent="0.35">
      <c r="A4382" s="27"/>
      <c r="B4382" s="27"/>
      <c r="C4382" s="27"/>
      <c r="D4382" s="27"/>
      <c r="E4382" s="27"/>
      <c r="F4382" s="27"/>
      <c r="G4382" s="27"/>
      <c r="H4382" s="27"/>
      <c r="I4382" s="27"/>
    </row>
    <row r="4383" spans="1:9" x14ac:dyDescent="0.35">
      <c r="A4383" s="27"/>
      <c r="B4383" s="27"/>
      <c r="C4383" s="27"/>
      <c r="D4383" s="27"/>
      <c r="E4383" s="27"/>
      <c r="F4383" s="27"/>
      <c r="G4383" s="27"/>
      <c r="H4383" s="27"/>
      <c r="I4383" s="27"/>
    </row>
    <row r="4384" spans="1:9" x14ac:dyDescent="0.35">
      <c r="A4384" s="27"/>
      <c r="B4384" s="27"/>
      <c r="C4384" s="27"/>
      <c r="D4384" s="27"/>
      <c r="E4384" s="27"/>
      <c r="F4384" s="27"/>
      <c r="G4384" s="27"/>
      <c r="H4384" s="27"/>
      <c r="I4384" s="27"/>
    </row>
    <row r="4385" spans="1:9" x14ac:dyDescent="0.35">
      <c r="A4385" s="27"/>
      <c r="B4385" s="27"/>
      <c r="C4385" s="27"/>
      <c r="D4385" s="27"/>
      <c r="E4385" s="27"/>
      <c r="F4385" s="27"/>
      <c r="G4385" s="27"/>
      <c r="H4385" s="27"/>
      <c r="I4385" s="27"/>
    </row>
    <row r="4386" spans="1:9" x14ac:dyDescent="0.35">
      <c r="A4386" s="27"/>
      <c r="B4386" s="27"/>
      <c r="C4386" s="27"/>
      <c r="D4386" s="27"/>
      <c r="E4386" s="27"/>
      <c r="F4386" s="27"/>
      <c r="G4386" s="27"/>
      <c r="H4386" s="27"/>
      <c r="I4386" s="27"/>
    </row>
    <row r="4387" spans="1:9" x14ac:dyDescent="0.35">
      <c r="A4387" s="27"/>
      <c r="B4387" s="27"/>
      <c r="C4387" s="27"/>
      <c r="D4387" s="27"/>
      <c r="E4387" s="27"/>
      <c r="F4387" s="27"/>
      <c r="G4387" s="27"/>
      <c r="H4387" s="27"/>
      <c r="I4387" s="27"/>
    </row>
    <row r="4388" spans="1:9" x14ac:dyDescent="0.35">
      <c r="A4388" s="27"/>
      <c r="B4388" s="27"/>
      <c r="C4388" s="27"/>
      <c r="D4388" s="27"/>
      <c r="E4388" s="27"/>
      <c r="F4388" s="27"/>
      <c r="G4388" s="27"/>
      <c r="H4388" s="27"/>
      <c r="I4388" s="27"/>
    </row>
    <row r="4389" spans="1:9" x14ac:dyDescent="0.35">
      <c r="A4389" s="27"/>
      <c r="B4389" s="27"/>
      <c r="C4389" s="27"/>
      <c r="D4389" s="27"/>
      <c r="E4389" s="27"/>
      <c r="F4389" s="27"/>
      <c r="G4389" s="27"/>
      <c r="H4389" s="27"/>
      <c r="I4389" s="27"/>
    </row>
    <row r="4390" spans="1:9" x14ac:dyDescent="0.35">
      <c r="A4390" s="27"/>
      <c r="B4390" s="27"/>
      <c r="C4390" s="27"/>
      <c r="D4390" s="27"/>
      <c r="E4390" s="27"/>
      <c r="F4390" s="27"/>
      <c r="G4390" s="27"/>
      <c r="H4390" s="27"/>
      <c r="I4390" s="27"/>
    </row>
    <row r="4391" spans="1:9" x14ac:dyDescent="0.35">
      <c r="A4391" s="27"/>
      <c r="B4391" s="27"/>
      <c r="C4391" s="27"/>
      <c r="D4391" s="27"/>
      <c r="E4391" s="27"/>
      <c r="F4391" s="27"/>
      <c r="G4391" s="27"/>
      <c r="H4391" s="27"/>
      <c r="I4391" s="27"/>
    </row>
    <row r="4392" spans="1:9" x14ac:dyDescent="0.35">
      <c r="A4392" s="27"/>
      <c r="B4392" s="27"/>
      <c r="C4392" s="27"/>
      <c r="D4392" s="27"/>
      <c r="E4392" s="27"/>
      <c r="F4392" s="27"/>
      <c r="G4392" s="27"/>
      <c r="H4392" s="27"/>
      <c r="I4392" s="27"/>
    </row>
    <row r="4393" spans="1:9" x14ac:dyDescent="0.35">
      <c r="A4393" s="27"/>
      <c r="B4393" s="27"/>
      <c r="C4393" s="27"/>
      <c r="D4393" s="27"/>
      <c r="E4393" s="27"/>
      <c r="F4393" s="27"/>
      <c r="G4393" s="27"/>
      <c r="H4393" s="27"/>
      <c r="I4393" s="27"/>
    </row>
    <row r="4394" spans="1:9" x14ac:dyDescent="0.35">
      <c r="A4394" s="27"/>
      <c r="B4394" s="27"/>
      <c r="C4394" s="27"/>
      <c r="D4394" s="27"/>
      <c r="E4394" s="27"/>
      <c r="F4394" s="27"/>
      <c r="G4394" s="27"/>
      <c r="H4394" s="27"/>
      <c r="I4394" s="27"/>
    </row>
    <row r="4395" spans="1:9" x14ac:dyDescent="0.35">
      <c r="A4395" s="27"/>
      <c r="B4395" s="27"/>
      <c r="C4395" s="27"/>
      <c r="D4395" s="27"/>
      <c r="E4395" s="27"/>
      <c r="F4395" s="27"/>
      <c r="G4395" s="27"/>
      <c r="H4395" s="27"/>
      <c r="I4395" s="27"/>
    </row>
    <row r="4396" spans="1:9" x14ac:dyDescent="0.35">
      <c r="A4396" s="27"/>
      <c r="B4396" s="27"/>
      <c r="C4396" s="27"/>
      <c r="D4396" s="27"/>
      <c r="E4396" s="27"/>
      <c r="F4396" s="27"/>
      <c r="G4396" s="27"/>
      <c r="H4396" s="27"/>
      <c r="I4396" s="27"/>
    </row>
    <row r="4397" spans="1:9" x14ac:dyDescent="0.35">
      <c r="A4397" s="27"/>
      <c r="B4397" s="27"/>
      <c r="C4397" s="27"/>
      <c r="D4397" s="27"/>
      <c r="E4397" s="27"/>
      <c r="F4397" s="27"/>
      <c r="G4397" s="27"/>
      <c r="H4397" s="27"/>
      <c r="I4397" s="27"/>
    </row>
    <row r="4398" spans="1:9" x14ac:dyDescent="0.35">
      <c r="A4398" s="27"/>
      <c r="B4398" s="27"/>
      <c r="C4398" s="27"/>
      <c r="D4398" s="27"/>
      <c r="E4398" s="27"/>
      <c r="F4398" s="27"/>
      <c r="G4398" s="27"/>
      <c r="H4398" s="27"/>
      <c r="I4398" s="27"/>
    </row>
    <row r="4399" spans="1:9" x14ac:dyDescent="0.35">
      <c r="A4399" s="27"/>
      <c r="B4399" s="27"/>
      <c r="C4399" s="27"/>
      <c r="D4399" s="27"/>
      <c r="E4399" s="27"/>
      <c r="F4399" s="27"/>
      <c r="G4399" s="27"/>
      <c r="H4399" s="27"/>
      <c r="I4399" s="27"/>
    </row>
    <row r="4400" spans="1:9" x14ac:dyDescent="0.35">
      <c r="A4400" s="27"/>
      <c r="B4400" s="27"/>
      <c r="C4400" s="27"/>
      <c r="D4400" s="27"/>
      <c r="E4400" s="27"/>
      <c r="F4400" s="27"/>
      <c r="G4400" s="27"/>
      <c r="H4400" s="27"/>
      <c r="I4400" s="27"/>
    </row>
    <row r="4401" spans="1:9" x14ac:dyDescent="0.35">
      <c r="A4401" s="27"/>
      <c r="B4401" s="27"/>
      <c r="C4401" s="27"/>
      <c r="D4401" s="27"/>
      <c r="E4401" s="27"/>
      <c r="F4401" s="27"/>
      <c r="G4401" s="27"/>
      <c r="H4401" s="27"/>
      <c r="I4401" s="27"/>
    </row>
    <row r="4402" spans="1:9" x14ac:dyDescent="0.35">
      <c r="A4402" s="27"/>
      <c r="B4402" s="27"/>
      <c r="C4402" s="27"/>
      <c r="D4402" s="27"/>
      <c r="E4402" s="27"/>
      <c r="F4402" s="27"/>
      <c r="G4402" s="27"/>
      <c r="H4402" s="27"/>
      <c r="I4402" s="27"/>
    </row>
    <row r="4403" spans="1:9" x14ac:dyDescent="0.35">
      <c r="A4403" s="27"/>
      <c r="B4403" s="27"/>
      <c r="C4403" s="27"/>
      <c r="D4403" s="27"/>
      <c r="E4403" s="27"/>
      <c r="F4403" s="27"/>
      <c r="G4403" s="27"/>
      <c r="H4403" s="27"/>
      <c r="I4403" s="27"/>
    </row>
    <row r="4404" spans="1:9" x14ac:dyDescent="0.35">
      <c r="A4404" s="27"/>
      <c r="B4404" s="27"/>
      <c r="C4404" s="27"/>
      <c r="D4404" s="27"/>
      <c r="E4404" s="27"/>
      <c r="F4404" s="27"/>
      <c r="G4404" s="27"/>
      <c r="H4404" s="27"/>
      <c r="I4404" s="27"/>
    </row>
    <row r="4405" spans="1:9" x14ac:dyDescent="0.35">
      <c r="A4405" s="27"/>
      <c r="B4405" s="27"/>
      <c r="C4405" s="27"/>
      <c r="D4405" s="27"/>
      <c r="E4405" s="27"/>
      <c r="F4405" s="27"/>
      <c r="G4405" s="27"/>
      <c r="H4405" s="27"/>
      <c r="I4405" s="27"/>
    </row>
    <row r="4406" spans="1:9" x14ac:dyDescent="0.35">
      <c r="A4406" s="27"/>
      <c r="B4406" s="27"/>
      <c r="C4406" s="27"/>
      <c r="D4406" s="27"/>
      <c r="E4406" s="27"/>
      <c r="F4406" s="27"/>
      <c r="G4406" s="27"/>
      <c r="H4406" s="27"/>
      <c r="I4406" s="27"/>
    </row>
    <row r="4407" spans="1:9" x14ac:dyDescent="0.35">
      <c r="A4407" s="27"/>
      <c r="B4407" s="27"/>
      <c r="C4407" s="27"/>
      <c r="D4407" s="27"/>
      <c r="E4407" s="27"/>
      <c r="F4407" s="27"/>
      <c r="G4407" s="27"/>
      <c r="H4407" s="27"/>
      <c r="I4407" s="27"/>
    </row>
    <row r="4408" spans="1:9" x14ac:dyDescent="0.35">
      <c r="A4408" s="27"/>
      <c r="B4408" s="27"/>
      <c r="C4408" s="27"/>
      <c r="D4408" s="27"/>
      <c r="E4408" s="27"/>
      <c r="F4408" s="27"/>
      <c r="G4408" s="27"/>
      <c r="H4408" s="27"/>
      <c r="I4408" s="27"/>
    </row>
    <row r="4409" spans="1:9" x14ac:dyDescent="0.35">
      <c r="A4409" s="27"/>
      <c r="B4409" s="27"/>
      <c r="C4409" s="27"/>
      <c r="D4409" s="27"/>
      <c r="E4409" s="27"/>
      <c r="F4409" s="27"/>
      <c r="G4409" s="27"/>
      <c r="H4409" s="27"/>
      <c r="I4409" s="27"/>
    </row>
    <row r="4410" spans="1:9" x14ac:dyDescent="0.35">
      <c r="A4410" s="27"/>
      <c r="B4410" s="27"/>
      <c r="C4410" s="27"/>
      <c r="D4410" s="27"/>
      <c r="E4410" s="27"/>
      <c r="F4410" s="27"/>
      <c r="G4410" s="27"/>
      <c r="H4410" s="27"/>
      <c r="I4410" s="27"/>
    </row>
    <row r="4411" spans="1:9" x14ac:dyDescent="0.35">
      <c r="A4411" s="27"/>
      <c r="B4411" s="27"/>
      <c r="C4411" s="27"/>
      <c r="D4411" s="27"/>
      <c r="E4411" s="27"/>
      <c r="F4411" s="27"/>
      <c r="G4411" s="27"/>
      <c r="H4411" s="27"/>
      <c r="I4411" s="27"/>
    </row>
    <row r="4412" spans="1:9" x14ac:dyDescent="0.35">
      <c r="A4412" s="27"/>
      <c r="B4412" s="27"/>
      <c r="C4412" s="27"/>
      <c r="D4412" s="27"/>
      <c r="E4412" s="27"/>
      <c r="F4412" s="27"/>
      <c r="G4412" s="27"/>
      <c r="H4412" s="27"/>
      <c r="I4412" s="27"/>
    </row>
    <row r="4413" spans="1:9" x14ac:dyDescent="0.35">
      <c r="A4413" s="27"/>
      <c r="B4413" s="27"/>
      <c r="C4413" s="27"/>
      <c r="D4413" s="27"/>
      <c r="E4413" s="27"/>
      <c r="F4413" s="27"/>
      <c r="G4413" s="27"/>
      <c r="H4413" s="27"/>
      <c r="I4413" s="27"/>
    </row>
    <row r="4414" spans="1:9" x14ac:dyDescent="0.35">
      <c r="A4414" s="27"/>
      <c r="B4414" s="27"/>
      <c r="C4414" s="27"/>
      <c r="D4414" s="27"/>
      <c r="E4414" s="27"/>
      <c r="F4414" s="27"/>
      <c r="G4414" s="27"/>
      <c r="H4414" s="27"/>
      <c r="I4414" s="27"/>
    </row>
    <row r="4415" spans="1:9" x14ac:dyDescent="0.35">
      <c r="A4415" s="27"/>
      <c r="B4415" s="27"/>
      <c r="C4415" s="27"/>
      <c r="D4415" s="27"/>
      <c r="E4415" s="27"/>
      <c r="F4415" s="27"/>
      <c r="G4415" s="27"/>
      <c r="H4415" s="27"/>
      <c r="I4415" s="27"/>
    </row>
    <row r="4416" spans="1:9" x14ac:dyDescent="0.35">
      <c r="A4416" s="27"/>
      <c r="B4416" s="27"/>
      <c r="C4416" s="27"/>
      <c r="D4416" s="27"/>
      <c r="E4416" s="27"/>
      <c r="F4416" s="27"/>
      <c r="G4416" s="27"/>
      <c r="H4416" s="27"/>
      <c r="I4416" s="27"/>
    </row>
    <row r="4417" spans="1:9" x14ac:dyDescent="0.35">
      <c r="A4417" s="27"/>
      <c r="B4417" s="27"/>
      <c r="C4417" s="27"/>
      <c r="D4417" s="27"/>
      <c r="E4417" s="27"/>
      <c r="F4417" s="27"/>
      <c r="G4417" s="27"/>
      <c r="H4417" s="27"/>
      <c r="I4417" s="27"/>
    </row>
    <row r="4418" spans="1:9" x14ac:dyDescent="0.35">
      <c r="A4418" s="27"/>
      <c r="B4418" s="27"/>
      <c r="C4418" s="27"/>
      <c r="D4418" s="27"/>
      <c r="E4418" s="27"/>
      <c r="F4418" s="27"/>
      <c r="G4418" s="27"/>
      <c r="H4418" s="27"/>
      <c r="I4418" s="27"/>
    </row>
    <row r="4419" spans="1:9" x14ac:dyDescent="0.35">
      <c r="A4419" s="27"/>
      <c r="B4419" s="27"/>
      <c r="C4419" s="27"/>
      <c r="D4419" s="27"/>
      <c r="E4419" s="27"/>
      <c r="F4419" s="27"/>
      <c r="G4419" s="27"/>
      <c r="H4419" s="27"/>
      <c r="I4419" s="27"/>
    </row>
    <row r="4420" spans="1:9" x14ac:dyDescent="0.35">
      <c r="A4420" s="27"/>
      <c r="B4420" s="27"/>
      <c r="C4420" s="27"/>
      <c r="D4420" s="27"/>
      <c r="E4420" s="27"/>
      <c r="F4420" s="27"/>
      <c r="G4420" s="27"/>
      <c r="H4420" s="27"/>
      <c r="I4420" s="27"/>
    </row>
    <row r="4421" spans="1:9" x14ac:dyDescent="0.35">
      <c r="A4421" s="27"/>
      <c r="B4421" s="27"/>
      <c r="C4421" s="27"/>
      <c r="D4421" s="27"/>
      <c r="E4421" s="27"/>
      <c r="F4421" s="27"/>
      <c r="G4421" s="27"/>
      <c r="H4421" s="27"/>
      <c r="I4421" s="27"/>
    </row>
    <row r="4422" spans="1:9" x14ac:dyDescent="0.35">
      <c r="A4422" s="27"/>
      <c r="B4422" s="27"/>
      <c r="C4422" s="27"/>
      <c r="D4422" s="27"/>
      <c r="E4422" s="27"/>
      <c r="F4422" s="27"/>
      <c r="G4422" s="27"/>
      <c r="H4422" s="27"/>
      <c r="I4422" s="27"/>
    </row>
    <row r="4423" spans="1:9" x14ac:dyDescent="0.35">
      <c r="A4423" s="27"/>
      <c r="B4423" s="27"/>
      <c r="C4423" s="27"/>
      <c r="D4423" s="27"/>
      <c r="E4423" s="27"/>
      <c r="F4423" s="27"/>
      <c r="G4423" s="27"/>
      <c r="H4423" s="27"/>
      <c r="I4423" s="27"/>
    </row>
    <row r="4424" spans="1:9" x14ac:dyDescent="0.35">
      <c r="A4424" s="27"/>
      <c r="B4424" s="27"/>
      <c r="C4424" s="27"/>
      <c r="D4424" s="27"/>
      <c r="E4424" s="27"/>
      <c r="F4424" s="27"/>
      <c r="G4424" s="27"/>
      <c r="H4424" s="27"/>
      <c r="I4424" s="27"/>
    </row>
    <row r="4425" spans="1:9" x14ac:dyDescent="0.35">
      <c r="A4425" s="27"/>
      <c r="B4425" s="27"/>
      <c r="C4425" s="27"/>
      <c r="D4425" s="27"/>
      <c r="E4425" s="27"/>
      <c r="F4425" s="27"/>
      <c r="G4425" s="27"/>
      <c r="H4425" s="27"/>
      <c r="I4425" s="27"/>
    </row>
    <row r="4426" spans="1:9" x14ac:dyDescent="0.35">
      <c r="A4426" s="27"/>
      <c r="B4426" s="27"/>
      <c r="C4426" s="27"/>
      <c r="D4426" s="27"/>
      <c r="E4426" s="27"/>
      <c r="F4426" s="27"/>
      <c r="G4426" s="27"/>
      <c r="H4426" s="27"/>
      <c r="I4426" s="27"/>
    </row>
    <row r="4427" spans="1:9" x14ac:dyDescent="0.35">
      <c r="A4427" s="27"/>
      <c r="B4427" s="27"/>
      <c r="C4427" s="27"/>
      <c r="D4427" s="27"/>
      <c r="E4427" s="27"/>
      <c r="F4427" s="27"/>
      <c r="G4427" s="27"/>
      <c r="H4427" s="27"/>
      <c r="I4427" s="27"/>
    </row>
    <row r="4428" spans="1:9" x14ac:dyDescent="0.35">
      <c r="A4428" s="27"/>
      <c r="B4428" s="27"/>
      <c r="C4428" s="27"/>
      <c r="D4428" s="27"/>
      <c r="E4428" s="27"/>
      <c r="F4428" s="27"/>
      <c r="G4428" s="27"/>
      <c r="H4428" s="27"/>
      <c r="I4428" s="27"/>
    </row>
    <row r="4429" spans="1:9" x14ac:dyDescent="0.35">
      <c r="A4429" s="27"/>
      <c r="B4429" s="27"/>
      <c r="C4429" s="27"/>
      <c r="D4429" s="27"/>
      <c r="E4429" s="27"/>
      <c r="F4429" s="27"/>
      <c r="G4429" s="27"/>
      <c r="H4429" s="27"/>
      <c r="I4429" s="27"/>
    </row>
    <row r="4430" spans="1:9" x14ac:dyDescent="0.35">
      <c r="A4430" s="27"/>
      <c r="B4430" s="27"/>
      <c r="C4430" s="27"/>
      <c r="D4430" s="27"/>
      <c r="E4430" s="27"/>
      <c r="F4430" s="27"/>
      <c r="G4430" s="27"/>
      <c r="H4430" s="27"/>
      <c r="I4430" s="27"/>
    </row>
    <row r="4431" spans="1:9" x14ac:dyDescent="0.35">
      <c r="A4431" s="27"/>
      <c r="B4431" s="27"/>
      <c r="C4431" s="27"/>
      <c r="D4431" s="27"/>
      <c r="E4431" s="27"/>
      <c r="F4431" s="27"/>
      <c r="G4431" s="27"/>
      <c r="H4431" s="27"/>
      <c r="I4431" s="27"/>
    </row>
    <row r="4432" spans="1:9" x14ac:dyDescent="0.35">
      <c r="A4432" s="27"/>
      <c r="B4432" s="27"/>
      <c r="C4432" s="27"/>
      <c r="D4432" s="27"/>
      <c r="E4432" s="27"/>
      <c r="F4432" s="27"/>
      <c r="G4432" s="27"/>
      <c r="H4432" s="27"/>
      <c r="I4432" s="27"/>
    </row>
    <row r="4433" spans="1:9" x14ac:dyDescent="0.35">
      <c r="A4433" s="27"/>
      <c r="B4433" s="27"/>
      <c r="C4433" s="27"/>
      <c r="D4433" s="27"/>
      <c r="E4433" s="27"/>
      <c r="F4433" s="27"/>
      <c r="G4433" s="27"/>
      <c r="H4433" s="27"/>
      <c r="I4433" s="27"/>
    </row>
    <row r="4434" spans="1:9" x14ac:dyDescent="0.35">
      <c r="A4434" s="27"/>
      <c r="B4434" s="27"/>
      <c r="C4434" s="27"/>
      <c r="D4434" s="27"/>
      <c r="E4434" s="27"/>
      <c r="F4434" s="27"/>
      <c r="G4434" s="27"/>
      <c r="H4434" s="27"/>
      <c r="I4434" s="27"/>
    </row>
    <row r="4435" spans="1:9" x14ac:dyDescent="0.35">
      <c r="A4435" s="27"/>
      <c r="B4435" s="27"/>
      <c r="C4435" s="27"/>
      <c r="D4435" s="27"/>
      <c r="E4435" s="27"/>
      <c r="F4435" s="27"/>
      <c r="G4435" s="27"/>
      <c r="H4435" s="27"/>
      <c r="I4435" s="27"/>
    </row>
    <row r="4436" spans="1:9" x14ac:dyDescent="0.35">
      <c r="A4436" s="27"/>
      <c r="B4436" s="27"/>
      <c r="C4436" s="27"/>
      <c r="D4436" s="27"/>
      <c r="E4436" s="27"/>
      <c r="F4436" s="27"/>
      <c r="G4436" s="27"/>
      <c r="H4436" s="27"/>
      <c r="I4436" s="27"/>
    </row>
    <row r="4437" spans="1:9" x14ac:dyDescent="0.35">
      <c r="A4437" s="27"/>
      <c r="B4437" s="27"/>
      <c r="C4437" s="27"/>
      <c r="D4437" s="27"/>
      <c r="E4437" s="27"/>
      <c r="F4437" s="27"/>
      <c r="G4437" s="27"/>
      <c r="H4437" s="27"/>
      <c r="I4437" s="27"/>
    </row>
    <row r="4438" spans="1:9" x14ac:dyDescent="0.35">
      <c r="A4438" s="27"/>
      <c r="B4438" s="27"/>
      <c r="C4438" s="27"/>
      <c r="D4438" s="27"/>
      <c r="E4438" s="27"/>
      <c r="F4438" s="27"/>
      <c r="G4438" s="27"/>
      <c r="H4438" s="27"/>
      <c r="I4438" s="27"/>
    </row>
    <row r="4439" spans="1:9" x14ac:dyDescent="0.35">
      <c r="A4439" s="27"/>
      <c r="B4439" s="27"/>
      <c r="C4439" s="27"/>
      <c r="D4439" s="27"/>
      <c r="E4439" s="27"/>
      <c r="F4439" s="27"/>
      <c r="G4439" s="27"/>
      <c r="H4439" s="27"/>
      <c r="I4439" s="27"/>
    </row>
    <row r="4440" spans="1:9" x14ac:dyDescent="0.35">
      <c r="A4440" s="27"/>
      <c r="B4440" s="27"/>
      <c r="C4440" s="27"/>
      <c r="D4440" s="27"/>
      <c r="E4440" s="27"/>
      <c r="F4440" s="27"/>
      <c r="G4440" s="27"/>
      <c r="H4440" s="27"/>
      <c r="I4440" s="27"/>
    </row>
    <row r="4441" spans="1:9" x14ac:dyDescent="0.35">
      <c r="A4441" s="27"/>
      <c r="B4441" s="27"/>
      <c r="C4441" s="27"/>
      <c r="D4441" s="27"/>
      <c r="E4441" s="27"/>
      <c r="F4441" s="27"/>
      <c r="G4441" s="27"/>
      <c r="H4441" s="27"/>
      <c r="I4441" s="27"/>
    </row>
    <row r="4442" spans="1:9" x14ac:dyDescent="0.35">
      <c r="A4442" s="27"/>
      <c r="B4442" s="27"/>
      <c r="C4442" s="27"/>
      <c r="D4442" s="27"/>
      <c r="E4442" s="27"/>
      <c r="F4442" s="27"/>
      <c r="G4442" s="27"/>
      <c r="H4442" s="27"/>
      <c r="I4442" s="27"/>
    </row>
    <row r="4443" spans="1:9" x14ac:dyDescent="0.35">
      <c r="A4443" s="27"/>
      <c r="B4443" s="27"/>
      <c r="C4443" s="27"/>
      <c r="D4443" s="27"/>
      <c r="E4443" s="27"/>
      <c r="F4443" s="27"/>
      <c r="G4443" s="27"/>
      <c r="H4443" s="27"/>
      <c r="I4443" s="27"/>
    </row>
    <row r="4444" spans="1:9" x14ac:dyDescent="0.35">
      <c r="A4444" s="27"/>
      <c r="B4444" s="27"/>
      <c r="C4444" s="27"/>
      <c r="D4444" s="27"/>
      <c r="E4444" s="27"/>
      <c r="F4444" s="27"/>
      <c r="G4444" s="27"/>
      <c r="H4444" s="27"/>
      <c r="I4444" s="27"/>
    </row>
    <row r="4445" spans="1:9" x14ac:dyDescent="0.35">
      <c r="A4445" s="27"/>
      <c r="B4445" s="27"/>
      <c r="C4445" s="27"/>
      <c r="D4445" s="27"/>
      <c r="E4445" s="27"/>
      <c r="F4445" s="27"/>
      <c r="G4445" s="27"/>
      <c r="H4445" s="27"/>
      <c r="I4445" s="27"/>
    </row>
    <row r="4446" spans="1:9" x14ac:dyDescent="0.35">
      <c r="A4446" s="27"/>
      <c r="B4446" s="27"/>
      <c r="C4446" s="27"/>
      <c r="D4446" s="27"/>
      <c r="E4446" s="27"/>
      <c r="F4446" s="27"/>
      <c r="G4446" s="27"/>
      <c r="H4446" s="27"/>
      <c r="I4446" s="27"/>
    </row>
    <row r="4447" spans="1:9" x14ac:dyDescent="0.35">
      <c r="A4447" s="27"/>
      <c r="B4447" s="27"/>
      <c r="C4447" s="27"/>
      <c r="D4447" s="27"/>
      <c r="E4447" s="27"/>
      <c r="F4447" s="27"/>
      <c r="G4447" s="27"/>
      <c r="H4447" s="27"/>
      <c r="I4447" s="27"/>
    </row>
    <row r="4448" spans="1:9" x14ac:dyDescent="0.35">
      <c r="A4448" s="27"/>
      <c r="B4448" s="27"/>
      <c r="C4448" s="27"/>
      <c r="D4448" s="27"/>
      <c r="E4448" s="27"/>
      <c r="F4448" s="27"/>
      <c r="G4448" s="27"/>
      <c r="H4448" s="27"/>
      <c r="I4448" s="27"/>
    </row>
    <row r="4449" spans="1:9" x14ac:dyDescent="0.35">
      <c r="A4449" s="27"/>
      <c r="B4449" s="27"/>
      <c r="C4449" s="27"/>
      <c r="D4449" s="27"/>
      <c r="E4449" s="27"/>
      <c r="F4449" s="27"/>
      <c r="G4449" s="27"/>
      <c r="H4449" s="27"/>
      <c r="I4449" s="27"/>
    </row>
    <row r="4450" spans="1:9" x14ac:dyDescent="0.35">
      <c r="A4450" s="27"/>
      <c r="B4450" s="27"/>
      <c r="C4450" s="27"/>
      <c r="D4450" s="27"/>
      <c r="E4450" s="27"/>
      <c r="F4450" s="27"/>
      <c r="G4450" s="27"/>
      <c r="H4450" s="27"/>
      <c r="I4450" s="27"/>
    </row>
    <row r="4451" spans="1:9" x14ac:dyDescent="0.35">
      <c r="A4451" s="27"/>
      <c r="B4451" s="27"/>
      <c r="C4451" s="27"/>
      <c r="D4451" s="27"/>
      <c r="E4451" s="27"/>
      <c r="F4451" s="27"/>
      <c r="G4451" s="27"/>
      <c r="H4451" s="27"/>
      <c r="I4451" s="27"/>
    </row>
    <row r="4452" spans="1:9" x14ac:dyDescent="0.35">
      <c r="A4452" s="27"/>
      <c r="B4452" s="27"/>
      <c r="C4452" s="27"/>
      <c r="D4452" s="27"/>
      <c r="E4452" s="27"/>
      <c r="F4452" s="27"/>
      <c r="G4452" s="27"/>
      <c r="H4452" s="27"/>
      <c r="I4452" s="27"/>
    </row>
    <row r="4453" spans="1:9" x14ac:dyDescent="0.35">
      <c r="A4453" s="27"/>
      <c r="B4453" s="27"/>
      <c r="C4453" s="27"/>
      <c r="D4453" s="27"/>
      <c r="E4453" s="27"/>
      <c r="F4453" s="27"/>
      <c r="G4453" s="27"/>
      <c r="H4453" s="27"/>
      <c r="I4453" s="27"/>
    </row>
    <row r="4454" spans="1:9" x14ac:dyDescent="0.35">
      <c r="A4454" s="27"/>
      <c r="B4454" s="27"/>
      <c r="C4454" s="27"/>
      <c r="D4454" s="27"/>
      <c r="E4454" s="27"/>
      <c r="F4454" s="27"/>
      <c r="G4454" s="27"/>
      <c r="H4454" s="27"/>
      <c r="I4454" s="27"/>
    </row>
    <row r="4455" spans="1:9" x14ac:dyDescent="0.35">
      <c r="A4455" s="27"/>
      <c r="B4455" s="27"/>
      <c r="C4455" s="27"/>
      <c r="D4455" s="27"/>
      <c r="E4455" s="27"/>
      <c r="F4455" s="27"/>
      <c r="G4455" s="27"/>
      <c r="H4455" s="27"/>
      <c r="I4455" s="27"/>
    </row>
    <row r="4456" spans="1:9" x14ac:dyDescent="0.35">
      <c r="A4456" s="27"/>
      <c r="B4456" s="27"/>
      <c r="C4456" s="27"/>
      <c r="D4456" s="27"/>
      <c r="E4456" s="27"/>
      <c r="F4456" s="27"/>
      <c r="G4456" s="27"/>
      <c r="H4456" s="27"/>
      <c r="I4456" s="27"/>
    </row>
    <row r="4457" spans="1:9" x14ac:dyDescent="0.35">
      <c r="A4457" s="27"/>
      <c r="B4457" s="27"/>
      <c r="C4457" s="27"/>
      <c r="D4457" s="27"/>
      <c r="E4457" s="27"/>
      <c r="F4457" s="27"/>
      <c r="G4457" s="27"/>
      <c r="H4457" s="27"/>
      <c r="I4457" s="27"/>
    </row>
    <row r="4458" spans="1:9" x14ac:dyDescent="0.35">
      <c r="A4458" s="27"/>
      <c r="B4458" s="27"/>
      <c r="C4458" s="27"/>
      <c r="D4458" s="27"/>
      <c r="E4458" s="27"/>
      <c r="F4458" s="27"/>
      <c r="G4458" s="27"/>
      <c r="H4458" s="27"/>
      <c r="I4458" s="27"/>
    </row>
    <row r="4459" spans="1:9" x14ac:dyDescent="0.35">
      <c r="A4459" s="27"/>
      <c r="B4459" s="27"/>
      <c r="C4459" s="27"/>
      <c r="D4459" s="27"/>
      <c r="E4459" s="27"/>
      <c r="F4459" s="27"/>
      <c r="G4459" s="27"/>
      <c r="H4459" s="27"/>
      <c r="I4459" s="27"/>
    </row>
    <row r="4460" spans="1:9" x14ac:dyDescent="0.35">
      <c r="A4460" s="27"/>
      <c r="B4460" s="27"/>
      <c r="C4460" s="27"/>
      <c r="D4460" s="27"/>
      <c r="E4460" s="27"/>
      <c r="F4460" s="27"/>
      <c r="G4460" s="27"/>
      <c r="H4460" s="27"/>
      <c r="I4460" s="27"/>
    </row>
    <row r="4461" spans="1:9" x14ac:dyDescent="0.35">
      <c r="A4461" s="27"/>
      <c r="B4461" s="27"/>
      <c r="C4461" s="27"/>
      <c r="D4461" s="27"/>
      <c r="E4461" s="27"/>
      <c r="F4461" s="27"/>
      <c r="G4461" s="27"/>
      <c r="H4461" s="27"/>
      <c r="I4461" s="27"/>
    </row>
    <row r="4462" spans="1:9" x14ac:dyDescent="0.35">
      <c r="A4462" s="27"/>
      <c r="B4462" s="27"/>
      <c r="C4462" s="27"/>
      <c r="D4462" s="27"/>
      <c r="E4462" s="27"/>
      <c r="F4462" s="27"/>
      <c r="G4462" s="27"/>
      <c r="H4462" s="27"/>
      <c r="I4462" s="27"/>
    </row>
    <row r="4463" spans="1:9" x14ac:dyDescent="0.35">
      <c r="A4463" s="27"/>
      <c r="B4463" s="27"/>
      <c r="C4463" s="27"/>
      <c r="D4463" s="27"/>
      <c r="E4463" s="27"/>
      <c r="F4463" s="27"/>
      <c r="G4463" s="27"/>
      <c r="H4463" s="27"/>
      <c r="I4463" s="27"/>
    </row>
    <row r="4464" spans="1:9" x14ac:dyDescent="0.35">
      <c r="A4464" s="27"/>
      <c r="B4464" s="27"/>
      <c r="C4464" s="27"/>
      <c r="D4464" s="27"/>
      <c r="E4464" s="27"/>
      <c r="F4464" s="27"/>
      <c r="G4464" s="27"/>
      <c r="H4464" s="27"/>
      <c r="I4464" s="27"/>
    </row>
    <row r="4465" spans="1:9" x14ac:dyDescent="0.35">
      <c r="A4465" s="27"/>
      <c r="B4465" s="27"/>
      <c r="C4465" s="27"/>
      <c r="D4465" s="27"/>
      <c r="E4465" s="27"/>
      <c r="F4465" s="27"/>
      <c r="G4465" s="27"/>
      <c r="H4465" s="27"/>
      <c r="I4465" s="27"/>
    </row>
    <row r="4466" spans="1:9" x14ac:dyDescent="0.35">
      <c r="A4466" s="27"/>
      <c r="B4466" s="27"/>
      <c r="C4466" s="27"/>
      <c r="D4466" s="27"/>
      <c r="E4466" s="27"/>
      <c r="F4466" s="27"/>
      <c r="G4466" s="27"/>
      <c r="H4466" s="27"/>
      <c r="I4466" s="27"/>
    </row>
    <row r="4467" spans="1:9" x14ac:dyDescent="0.35">
      <c r="A4467" s="27"/>
      <c r="B4467" s="27"/>
      <c r="C4467" s="27"/>
      <c r="D4467" s="27"/>
      <c r="E4467" s="27"/>
      <c r="F4467" s="27"/>
      <c r="G4467" s="27"/>
      <c r="H4467" s="27"/>
      <c r="I4467" s="27"/>
    </row>
    <row r="4468" spans="1:9" x14ac:dyDescent="0.35">
      <c r="A4468" s="27"/>
      <c r="B4468" s="27"/>
      <c r="C4468" s="27"/>
      <c r="D4468" s="27"/>
      <c r="E4468" s="27"/>
      <c r="F4468" s="27"/>
      <c r="G4468" s="27"/>
      <c r="H4468" s="27"/>
      <c r="I4468" s="27"/>
    </row>
    <row r="4469" spans="1:9" x14ac:dyDescent="0.35">
      <c r="A4469" s="27"/>
      <c r="B4469" s="27"/>
      <c r="C4469" s="27"/>
      <c r="D4469" s="27"/>
      <c r="E4469" s="27"/>
      <c r="F4469" s="27"/>
      <c r="G4469" s="27"/>
      <c r="H4469" s="27"/>
      <c r="I4469" s="27"/>
    </row>
    <row r="4470" spans="1:9" x14ac:dyDescent="0.35">
      <c r="A4470" s="27"/>
      <c r="B4470" s="27"/>
      <c r="C4470" s="27"/>
      <c r="D4470" s="27"/>
      <c r="E4470" s="27"/>
      <c r="F4470" s="27"/>
      <c r="G4470" s="27"/>
      <c r="H4470" s="27"/>
      <c r="I4470" s="27"/>
    </row>
    <row r="4471" spans="1:9" x14ac:dyDescent="0.35">
      <c r="A4471" s="27"/>
      <c r="B4471" s="27"/>
      <c r="C4471" s="27"/>
      <c r="D4471" s="27"/>
      <c r="E4471" s="27"/>
      <c r="F4471" s="27"/>
      <c r="G4471" s="27"/>
      <c r="H4471" s="27"/>
      <c r="I4471" s="27"/>
    </row>
    <row r="4472" spans="1:9" x14ac:dyDescent="0.35">
      <c r="A4472" s="27"/>
      <c r="B4472" s="27"/>
      <c r="C4472" s="27"/>
      <c r="D4472" s="27"/>
      <c r="E4472" s="27"/>
      <c r="F4472" s="27"/>
      <c r="G4472" s="27"/>
      <c r="H4472" s="27"/>
      <c r="I4472" s="27"/>
    </row>
    <row r="4473" spans="1:9" x14ac:dyDescent="0.35">
      <c r="A4473" s="27"/>
      <c r="B4473" s="27"/>
      <c r="C4473" s="27"/>
      <c r="D4473" s="27"/>
      <c r="E4473" s="27"/>
      <c r="F4473" s="27"/>
      <c r="G4473" s="27"/>
      <c r="H4473" s="27"/>
      <c r="I4473" s="27"/>
    </row>
    <row r="4474" spans="1:9" x14ac:dyDescent="0.35">
      <c r="A4474" s="27"/>
      <c r="B4474" s="27"/>
      <c r="C4474" s="27"/>
      <c r="D4474" s="27"/>
      <c r="E4474" s="27"/>
      <c r="F4474" s="27"/>
      <c r="G4474" s="27"/>
      <c r="H4474" s="27"/>
      <c r="I4474" s="27"/>
    </row>
    <row r="4475" spans="1:9" x14ac:dyDescent="0.35">
      <c r="A4475" s="27"/>
      <c r="B4475" s="27"/>
      <c r="C4475" s="27"/>
      <c r="D4475" s="27"/>
      <c r="E4475" s="27"/>
      <c r="F4475" s="27"/>
      <c r="G4475" s="27"/>
      <c r="H4475" s="27"/>
      <c r="I4475" s="27"/>
    </row>
    <row r="4476" spans="1:9" x14ac:dyDescent="0.35">
      <c r="A4476" s="27"/>
      <c r="B4476" s="27"/>
      <c r="C4476" s="27"/>
      <c r="D4476" s="27"/>
      <c r="E4476" s="27"/>
      <c r="F4476" s="27"/>
      <c r="G4476" s="27"/>
      <c r="H4476" s="27"/>
      <c r="I4476" s="27"/>
    </row>
    <row r="4477" spans="1:9" x14ac:dyDescent="0.35">
      <c r="A4477" s="27"/>
      <c r="B4477" s="27"/>
      <c r="C4477" s="27"/>
      <c r="D4477" s="27"/>
      <c r="E4477" s="27"/>
      <c r="F4477" s="27"/>
      <c r="G4477" s="27"/>
      <c r="H4477" s="27"/>
      <c r="I4477" s="27"/>
    </row>
    <row r="4478" spans="1:9" x14ac:dyDescent="0.35">
      <c r="A4478" s="27"/>
      <c r="B4478" s="27"/>
      <c r="C4478" s="27"/>
      <c r="D4478" s="27"/>
      <c r="E4478" s="27"/>
      <c r="F4478" s="27"/>
      <c r="G4478" s="27"/>
      <c r="H4478" s="27"/>
      <c r="I4478" s="27"/>
    </row>
    <row r="4479" spans="1:9" x14ac:dyDescent="0.35">
      <c r="A4479" s="27"/>
      <c r="B4479" s="27"/>
      <c r="C4479" s="27"/>
      <c r="D4479" s="27"/>
      <c r="E4479" s="27"/>
      <c r="F4479" s="27"/>
      <c r="G4479" s="27"/>
      <c r="H4479" s="27"/>
      <c r="I4479" s="27"/>
    </row>
    <row r="4480" spans="1:9" x14ac:dyDescent="0.35">
      <c r="A4480" s="27"/>
      <c r="B4480" s="27"/>
      <c r="C4480" s="27"/>
      <c r="D4480" s="27"/>
      <c r="E4480" s="27"/>
      <c r="F4480" s="27"/>
      <c r="G4480" s="27"/>
      <c r="H4480" s="27"/>
      <c r="I4480" s="27"/>
    </row>
    <row r="4481" spans="1:9" x14ac:dyDescent="0.35">
      <c r="A4481" s="27"/>
      <c r="B4481" s="27"/>
      <c r="C4481" s="27"/>
      <c r="D4481" s="27"/>
      <c r="E4481" s="27"/>
      <c r="F4481" s="27"/>
      <c r="G4481" s="27"/>
      <c r="H4481" s="27"/>
      <c r="I4481" s="27"/>
    </row>
    <row r="4482" spans="1:9" x14ac:dyDescent="0.35">
      <c r="A4482" s="27"/>
      <c r="B4482" s="27"/>
      <c r="C4482" s="27"/>
      <c r="D4482" s="27"/>
      <c r="E4482" s="27"/>
      <c r="F4482" s="27"/>
      <c r="G4482" s="27"/>
      <c r="H4482" s="27"/>
      <c r="I4482" s="27"/>
    </row>
    <row r="4483" spans="1:9" x14ac:dyDescent="0.35">
      <c r="A4483" s="27"/>
      <c r="B4483" s="27"/>
      <c r="C4483" s="27"/>
      <c r="D4483" s="27"/>
      <c r="E4483" s="27"/>
      <c r="F4483" s="27"/>
      <c r="G4483" s="27"/>
      <c r="H4483" s="27"/>
      <c r="I4483" s="27"/>
    </row>
    <row r="4484" spans="1:9" x14ac:dyDescent="0.35">
      <c r="A4484" s="27"/>
      <c r="B4484" s="27"/>
      <c r="C4484" s="27"/>
      <c r="D4484" s="27"/>
      <c r="E4484" s="27"/>
      <c r="F4484" s="27"/>
      <c r="G4484" s="27"/>
      <c r="H4484" s="27"/>
      <c r="I4484" s="27"/>
    </row>
    <row r="4485" spans="1:9" x14ac:dyDescent="0.35">
      <c r="A4485" s="27"/>
      <c r="B4485" s="27"/>
      <c r="C4485" s="27"/>
      <c r="D4485" s="27"/>
      <c r="E4485" s="27"/>
      <c r="F4485" s="27"/>
      <c r="G4485" s="27"/>
      <c r="H4485" s="27"/>
      <c r="I4485" s="27"/>
    </row>
    <row r="4486" spans="1:9" x14ac:dyDescent="0.35">
      <c r="A4486" s="27"/>
      <c r="B4486" s="27"/>
      <c r="C4486" s="27"/>
      <c r="D4486" s="27"/>
      <c r="E4486" s="27"/>
      <c r="F4486" s="27"/>
      <c r="G4486" s="27"/>
      <c r="H4486" s="27"/>
      <c r="I4486" s="27"/>
    </row>
    <row r="4487" spans="1:9" x14ac:dyDescent="0.35">
      <c r="A4487" s="27"/>
      <c r="B4487" s="27"/>
      <c r="C4487" s="27"/>
      <c r="D4487" s="27"/>
      <c r="E4487" s="27"/>
      <c r="F4487" s="27"/>
      <c r="G4487" s="27"/>
      <c r="H4487" s="27"/>
      <c r="I4487" s="27"/>
    </row>
    <row r="4488" spans="1:9" x14ac:dyDescent="0.35">
      <c r="A4488" s="27"/>
      <c r="B4488" s="27"/>
      <c r="C4488" s="27"/>
      <c r="D4488" s="27"/>
      <c r="E4488" s="27"/>
      <c r="F4488" s="27"/>
      <c r="G4488" s="27"/>
      <c r="H4488" s="27"/>
      <c r="I4488" s="27"/>
    </row>
    <row r="4489" spans="1:9" x14ac:dyDescent="0.35">
      <c r="A4489" s="27"/>
      <c r="B4489" s="27"/>
      <c r="C4489" s="27"/>
      <c r="D4489" s="27"/>
      <c r="E4489" s="27"/>
      <c r="F4489" s="27"/>
      <c r="G4489" s="27"/>
      <c r="H4489" s="27"/>
      <c r="I4489" s="27"/>
    </row>
    <row r="4490" spans="1:9" x14ac:dyDescent="0.35">
      <c r="A4490" s="27"/>
      <c r="B4490" s="27"/>
      <c r="C4490" s="27"/>
      <c r="D4490" s="27"/>
      <c r="E4490" s="27"/>
      <c r="F4490" s="27"/>
      <c r="G4490" s="27"/>
      <c r="H4490" s="27"/>
      <c r="I4490" s="27"/>
    </row>
    <row r="4491" spans="1:9" x14ac:dyDescent="0.35">
      <c r="A4491" s="27"/>
      <c r="B4491" s="27"/>
      <c r="C4491" s="27"/>
      <c r="D4491" s="27"/>
      <c r="E4491" s="27"/>
      <c r="F4491" s="27"/>
      <c r="G4491" s="27"/>
      <c r="H4491" s="27"/>
      <c r="I4491" s="27"/>
    </row>
    <row r="4492" spans="1:9" x14ac:dyDescent="0.35">
      <c r="A4492" s="27"/>
      <c r="B4492" s="27"/>
      <c r="C4492" s="27"/>
      <c r="D4492" s="27"/>
      <c r="E4492" s="27"/>
      <c r="F4492" s="27"/>
      <c r="G4492" s="27"/>
      <c r="H4492" s="27"/>
      <c r="I4492" s="27"/>
    </row>
    <row r="4493" spans="1:9" x14ac:dyDescent="0.35">
      <c r="A4493" s="27"/>
      <c r="B4493" s="27"/>
      <c r="C4493" s="27"/>
      <c r="D4493" s="27"/>
      <c r="E4493" s="27"/>
      <c r="F4493" s="27"/>
      <c r="G4493" s="27"/>
      <c r="H4493" s="27"/>
      <c r="I4493" s="27"/>
    </row>
    <row r="4494" spans="1:9" x14ac:dyDescent="0.35">
      <c r="A4494" s="27"/>
      <c r="B4494" s="27"/>
      <c r="C4494" s="27"/>
      <c r="D4494" s="27"/>
      <c r="E4494" s="27"/>
      <c r="F4494" s="27"/>
      <c r="G4494" s="27"/>
      <c r="H4494" s="27"/>
      <c r="I4494" s="27"/>
    </row>
    <row r="4495" spans="1:9" x14ac:dyDescent="0.35">
      <c r="A4495" s="27"/>
      <c r="B4495" s="27"/>
      <c r="C4495" s="27"/>
      <c r="D4495" s="27"/>
      <c r="E4495" s="27"/>
      <c r="F4495" s="27"/>
      <c r="G4495" s="27"/>
      <c r="H4495" s="27"/>
      <c r="I4495" s="27"/>
    </row>
    <row r="4496" spans="1:9" x14ac:dyDescent="0.35">
      <c r="A4496" s="27"/>
      <c r="B4496" s="27"/>
      <c r="C4496" s="27"/>
      <c r="D4496" s="27"/>
      <c r="E4496" s="27"/>
      <c r="F4496" s="27"/>
      <c r="G4496" s="27"/>
      <c r="H4496" s="27"/>
      <c r="I4496" s="27"/>
    </row>
    <row r="4497" spans="1:9" x14ac:dyDescent="0.35">
      <c r="A4497" s="27"/>
      <c r="B4497" s="27"/>
      <c r="C4497" s="27"/>
      <c r="D4497" s="27"/>
      <c r="E4497" s="27"/>
      <c r="F4497" s="27"/>
      <c r="G4497" s="27"/>
      <c r="H4497" s="27"/>
      <c r="I4497" s="27"/>
    </row>
    <row r="4498" spans="1:9" x14ac:dyDescent="0.35">
      <c r="A4498" s="27"/>
      <c r="B4498" s="27"/>
      <c r="C4498" s="27"/>
      <c r="D4498" s="27"/>
      <c r="E4498" s="27"/>
      <c r="F4498" s="27"/>
      <c r="G4498" s="27"/>
      <c r="H4498" s="27"/>
      <c r="I4498" s="27"/>
    </row>
    <row r="4499" spans="1:9" x14ac:dyDescent="0.35">
      <c r="A4499" s="27"/>
      <c r="B4499" s="27"/>
      <c r="C4499" s="27"/>
      <c r="D4499" s="27"/>
      <c r="E4499" s="27"/>
      <c r="F4499" s="27"/>
      <c r="G4499" s="27"/>
      <c r="H4499" s="27"/>
      <c r="I4499" s="27"/>
    </row>
    <row r="4500" spans="1:9" x14ac:dyDescent="0.35">
      <c r="A4500" s="27"/>
      <c r="B4500" s="27"/>
      <c r="C4500" s="27"/>
      <c r="D4500" s="27"/>
      <c r="E4500" s="27"/>
      <c r="F4500" s="27"/>
      <c r="G4500" s="27"/>
      <c r="H4500" s="27"/>
      <c r="I4500" s="27"/>
    </row>
    <row r="4501" spans="1:9" x14ac:dyDescent="0.35">
      <c r="A4501" s="27"/>
      <c r="B4501" s="27"/>
      <c r="C4501" s="27"/>
      <c r="D4501" s="27"/>
      <c r="E4501" s="27"/>
      <c r="F4501" s="27"/>
      <c r="G4501" s="27"/>
      <c r="H4501" s="27"/>
      <c r="I4501" s="27"/>
    </row>
    <row r="4502" spans="1:9" x14ac:dyDescent="0.35">
      <c r="A4502" s="27"/>
      <c r="B4502" s="27"/>
      <c r="C4502" s="27"/>
      <c r="D4502" s="27"/>
      <c r="E4502" s="27"/>
      <c r="F4502" s="27"/>
      <c r="G4502" s="27"/>
      <c r="H4502" s="27"/>
      <c r="I4502" s="27"/>
    </row>
    <row r="4503" spans="1:9" x14ac:dyDescent="0.35">
      <c r="A4503" s="27"/>
      <c r="B4503" s="27"/>
      <c r="C4503" s="27"/>
      <c r="D4503" s="27"/>
      <c r="E4503" s="27"/>
      <c r="F4503" s="27"/>
      <c r="G4503" s="27"/>
      <c r="H4503" s="27"/>
      <c r="I4503" s="27"/>
    </row>
    <row r="4504" spans="1:9" x14ac:dyDescent="0.35">
      <c r="A4504" s="27"/>
      <c r="B4504" s="27"/>
      <c r="C4504" s="27"/>
      <c r="D4504" s="27"/>
      <c r="E4504" s="27"/>
      <c r="F4504" s="27"/>
      <c r="G4504" s="27"/>
      <c r="H4504" s="27"/>
      <c r="I4504" s="27"/>
    </row>
    <row r="4505" spans="1:9" x14ac:dyDescent="0.35">
      <c r="A4505" s="27"/>
      <c r="B4505" s="27"/>
      <c r="C4505" s="27"/>
      <c r="D4505" s="27"/>
      <c r="E4505" s="27"/>
      <c r="F4505" s="27"/>
      <c r="G4505" s="27"/>
      <c r="H4505" s="27"/>
      <c r="I4505" s="27"/>
    </row>
    <row r="4506" spans="1:9" x14ac:dyDescent="0.35">
      <c r="A4506" s="27"/>
      <c r="B4506" s="27"/>
      <c r="C4506" s="27"/>
      <c r="D4506" s="27"/>
      <c r="E4506" s="27"/>
      <c r="F4506" s="27"/>
      <c r="G4506" s="27"/>
      <c r="H4506" s="27"/>
      <c r="I4506" s="27"/>
    </row>
    <row r="4507" spans="1:9" x14ac:dyDescent="0.35">
      <c r="A4507" s="27"/>
      <c r="B4507" s="27"/>
      <c r="C4507" s="27"/>
      <c r="D4507" s="27"/>
      <c r="E4507" s="27"/>
      <c r="F4507" s="27"/>
      <c r="G4507" s="27"/>
      <c r="H4507" s="27"/>
      <c r="I4507" s="27"/>
    </row>
    <row r="4508" spans="1:9" x14ac:dyDescent="0.35">
      <c r="A4508" s="27"/>
      <c r="B4508" s="27"/>
      <c r="C4508" s="27"/>
      <c r="D4508" s="27"/>
      <c r="E4508" s="27"/>
      <c r="F4508" s="27"/>
      <c r="G4508" s="27"/>
      <c r="H4508" s="27"/>
      <c r="I4508" s="27"/>
    </row>
    <row r="4509" spans="1:9" x14ac:dyDescent="0.35">
      <c r="A4509" s="27"/>
      <c r="B4509" s="27"/>
      <c r="C4509" s="27"/>
      <c r="D4509" s="27"/>
      <c r="E4509" s="27"/>
      <c r="F4509" s="27"/>
      <c r="G4509" s="27"/>
      <c r="H4509" s="27"/>
      <c r="I4509" s="27"/>
    </row>
    <row r="4510" spans="1:9" x14ac:dyDescent="0.35">
      <c r="A4510" s="27"/>
      <c r="B4510" s="27"/>
      <c r="C4510" s="27"/>
      <c r="D4510" s="27"/>
      <c r="E4510" s="27"/>
      <c r="F4510" s="27"/>
      <c r="G4510" s="27"/>
      <c r="H4510" s="27"/>
      <c r="I4510" s="27"/>
    </row>
    <row r="4511" spans="1:9" x14ac:dyDescent="0.35">
      <c r="A4511" s="27"/>
      <c r="B4511" s="27"/>
      <c r="C4511" s="27"/>
      <c r="D4511" s="27"/>
      <c r="E4511" s="27"/>
      <c r="F4511" s="27"/>
      <c r="G4511" s="27"/>
      <c r="H4511" s="27"/>
      <c r="I4511" s="27"/>
    </row>
    <row r="4512" spans="1:9" x14ac:dyDescent="0.35">
      <c r="A4512" s="27"/>
      <c r="B4512" s="27"/>
      <c r="C4512" s="27"/>
      <c r="D4512" s="27"/>
      <c r="E4512" s="27"/>
      <c r="F4512" s="27"/>
      <c r="G4512" s="27"/>
      <c r="H4512" s="27"/>
      <c r="I4512" s="27"/>
    </row>
    <row r="4513" spans="1:9" x14ac:dyDescent="0.35">
      <c r="A4513" s="27"/>
      <c r="B4513" s="27"/>
      <c r="C4513" s="27"/>
      <c r="D4513" s="27"/>
      <c r="E4513" s="27"/>
      <c r="F4513" s="27"/>
      <c r="G4513" s="27"/>
      <c r="H4513" s="27"/>
      <c r="I4513" s="27"/>
    </row>
    <row r="4514" spans="1:9" x14ac:dyDescent="0.35">
      <c r="A4514" s="27"/>
      <c r="B4514" s="27"/>
      <c r="C4514" s="27"/>
      <c r="D4514" s="27"/>
      <c r="E4514" s="27"/>
      <c r="F4514" s="27"/>
      <c r="G4514" s="27"/>
      <c r="H4514" s="27"/>
      <c r="I4514" s="27"/>
    </row>
    <row r="4515" spans="1:9" x14ac:dyDescent="0.35">
      <c r="A4515" s="27"/>
      <c r="B4515" s="27"/>
      <c r="C4515" s="27"/>
      <c r="D4515" s="27"/>
      <c r="E4515" s="27"/>
      <c r="F4515" s="27"/>
      <c r="G4515" s="27"/>
      <c r="H4515" s="27"/>
      <c r="I4515" s="27"/>
    </row>
    <row r="4516" spans="1:9" x14ac:dyDescent="0.35">
      <c r="A4516" s="27"/>
      <c r="B4516" s="27"/>
      <c r="C4516" s="27"/>
      <c r="D4516" s="27"/>
      <c r="E4516" s="27"/>
      <c r="F4516" s="27"/>
      <c r="G4516" s="27"/>
      <c r="H4516" s="27"/>
      <c r="I4516" s="27"/>
    </row>
    <row r="4517" spans="1:9" x14ac:dyDescent="0.35">
      <c r="A4517" s="27"/>
      <c r="B4517" s="27"/>
      <c r="C4517" s="27"/>
      <c r="D4517" s="27"/>
      <c r="E4517" s="27"/>
      <c r="F4517" s="27"/>
      <c r="G4517" s="27"/>
      <c r="H4517" s="27"/>
      <c r="I4517" s="27"/>
    </row>
    <row r="4518" spans="1:9" x14ac:dyDescent="0.35">
      <c r="A4518" s="27"/>
      <c r="B4518" s="27"/>
      <c r="C4518" s="27"/>
      <c r="D4518" s="27"/>
      <c r="E4518" s="27"/>
      <c r="F4518" s="27"/>
      <c r="G4518" s="27"/>
      <c r="H4518" s="27"/>
      <c r="I4518" s="27"/>
    </row>
    <row r="4519" spans="1:9" x14ac:dyDescent="0.35">
      <c r="A4519" s="27"/>
      <c r="B4519" s="27"/>
      <c r="C4519" s="27"/>
      <c r="D4519" s="27"/>
      <c r="E4519" s="27"/>
      <c r="F4519" s="27"/>
      <c r="G4519" s="27"/>
      <c r="H4519" s="27"/>
      <c r="I4519" s="27"/>
    </row>
    <row r="4520" spans="1:9" x14ac:dyDescent="0.35">
      <c r="A4520" s="27"/>
      <c r="B4520" s="27"/>
      <c r="C4520" s="27"/>
      <c r="D4520" s="27"/>
      <c r="E4520" s="27"/>
      <c r="F4520" s="27"/>
      <c r="G4520" s="27"/>
      <c r="H4520" s="27"/>
      <c r="I4520" s="27"/>
    </row>
    <row r="4521" spans="1:9" x14ac:dyDescent="0.35">
      <c r="A4521" s="27"/>
      <c r="B4521" s="27"/>
      <c r="C4521" s="27"/>
      <c r="D4521" s="27"/>
      <c r="E4521" s="27"/>
      <c r="F4521" s="27"/>
      <c r="G4521" s="27"/>
      <c r="H4521" s="27"/>
      <c r="I4521" s="27"/>
    </row>
    <row r="4522" spans="1:9" x14ac:dyDescent="0.35">
      <c r="A4522" s="27"/>
      <c r="B4522" s="27"/>
      <c r="C4522" s="27"/>
      <c r="D4522" s="27"/>
      <c r="E4522" s="27"/>
      <c r="F4522" s="27"/>
      <c r="G4522" s="27"/>
      <c r="H4522" s="27"/>
      <c r="I4522" s="27"/>
    </row>
    <row r="4523" spans="1:9" x14ac:dyDescent="0.35">
      <c r="A4523" s="27"/>
      <c r="B4523" s="27"/>
      <c r="C4523" s="27"/>
      <c r="D4523" s="27"/>
      <c r="E4523" s="27"/>
      <c r="F4523" s="27"/>
      <c r="G4523" s="27"/>
      <c r="H4523" s="27"/>
      <c r="I4523" s="27"/>
    </row>
    <row r="4524" spans="1:9" x14ac:dyDescent="0.35">
      <c r="A4524" s="27"/>
      <c r="B4524" s="27"/>
      <c r="C4524" s="27"/>
      <c r="D4524" s="27"/>
      <c r="E4524" s="27"/>
      <c r="F4524" s="27"/>
      <c r="G4524" s="27"/>
      <c r="H4524" s="27"/>
      <c r="I4524" s="27"/>
    </row>
    <row r="4525" spans="1:9" x14ac:dyDescent="0.35">
      <c r="A4525" s="27"/>
      <c r="B4525" s="27"/>
      <c r="C4525" s="27"/>
      <c r="D4525" s="27"/>
      <c r="E4525" s="27"/>
      <c r="F4525" s="27"/>
      <c r="G4525" s="27"/>
      <c r="H4525" s="27"/>
      <c r="I4525" s="27"/>
    </row>
    <row r="4526" spans="1:9" x14ac:dyDescent="0.35">
      <c r="A4526" s="27"/>
      <c r="B4526" s="27"/>
      <c r="C4526" s="27"/>
      <c r="D4526" s="27"/>
      <c r="E4526" s="27"/>
      <c r="F4526" s="27"/>
      <c r="G4526" s="27"/>
      <c r="H4526" s="27"/>
      <c r="I4526" s="27"/>
    </row>
    <row r="4527" spans="1:9" x14ac:dyDescent="0.35">
      <c r="A4527" s="27"/>
      <c r="B4527" s="27"/>
      <c r="C4527" s="27"/>
      <c r="D4527" s="27"/>
      <c r="E4527" s="27"/>
      <c r="F4527" s="27"/>
      <c r="G4527" s="27"/>
      <c r="H4527" s="27"/>
      <c r="I4527" s="27"/>
    </row>
    <row r="4528" spans="1:9" x14ac:dyDescent="0.35">
      <c r="A4528" s="27"/>
      <c r="B4528" s="27"/>
      <c r="C4528" s="27"/>
      <c r="D4528" s="27"/>
      <c r="E4528" s="27"/>
      <c r="F4528" s="27"/>
      <c r="G4528" s="27"/>
      <c r="H4528" s="27"/>
      <c r="I4528" s="27"/>
    </row>
    <row r="4529" spans="1:9" x14ac:dyDescent="0.35">
      <c r="A4529" s="27"/>
      <c r="B4529" s="27"/>
      <c r="C4529" s="27"/>
      <c r="D4529" s="27"/>
      <c r="E4529" s="27"/>
      <c r="F4529" s="27"/>
      <c r="G4529" s="27"/>
      <c r="H4529" s="27"/>
      <c r="I4529" s="27"/>
    </row>
    <row r="4530" spans="1:9" x14ac:dyDescent="0.35">
      <c r="A4530" s="27"/>
      <c r="B4530" s="27"/>
      <c r="C4530" s="27"/>
      <c r="D4530" s="27"/>
      <c r="E4530" s="27"/>
      <c r="F4530" s="27"/>
      <c r="G4530" s="27"/>
      <c r="H4530" s="27"/>
      <c r="I4530" s="27"/>
    </row>
    <row r="4531" spans="1:9" x14ac:dyDescent="0.35">
      <c r="A4531" s="27"/>
      <c r="B4531" s="27"/>
      <c r="C4531" s="27"/>
      <c r="D4531" s="27"/>
      <c r="E4531" s="27"/>
      <c r="F4531" s="27"/>
      <c r="G4531" s="27"/>
      <c r="H4531" s="27"/>
      <c r="I4531" s="27"/>
    </row>
    <row r="4532" spans="1:9" x14ac:dyDescent="0.35">
      <c r="A4532" s="27"/>
      <c r="B4532" s="27"/>
      <c r="C4532" s="27"/>
      <c r="D4532" s="27"/>
      <c r="E4532" s="27"/>
      <c r="F4532" s="27"/>
      <c r="G4532" s="27"/>
      <c r="H4532" s="27"/>
      <c r="I4532" s="27"/>
    </row>
    <row r="4533" spans="1:9" x14ac:dyDescent="0.35">
      <c r="A4533" s="27"/>
      <c r="B4533" s="27"/>
      <c r="C4533" s="27"/>
      <c r="D4533" s="27"/>
      <c r="E4533" s="27"/>
      <c r="F4533" s="27"/>
      <c r="G4533" s="27"/>
      <c r="H4533" s="27"/>
      <c r="I4533" s="27"/>
    </row>
    <row r="4534" spans="1:9" x14ac:dyDescent="0.35">
      <c r="A4534" s="27"/>
      <c r="B4534" s="27"/>
      <c r="C4534" s="27"/>
      <c r="D4534" s="27"/>
      <c r="E4534" s="27"/>
      <c r="F4534" s="27"/>
      <c r="G4534" s="27"/>
      <c r="H4534" s="27"/>
      <c r="I4534" s="27"/>
    </row>
    <row r="4535" spans="1:9" x14ac:dyDescent="0.35">
      <c r="A4535" s="27"/>
      <c r="B4535" s="27"/>
      <c r="C4535" s="27"/>
      <c r="D4535" s="27"/>
      <c r="E4535" s="27"/>
      <c r="F4535" s="27"/>
      <c r="G4535" s="27"/>
      <c r="H4535" s="27"/>
      <c r="I4535" s="27"/>
    </row>
    <row r="4536" spans="1:9" x14ac:dyDescent="0.35">
      <c r="A4536" s="27"/>
      <c r="B4536" s="27"/>
      <c r="C4536" s="27"/>
      <c r="D4536" s="27"/>
      <c r="E4536" s="27"/>
      <c r="F4536" s="27"/>
      <c r="G4536" s="27"/>
      <c r="H4536" s="27"/>
      <c r="I4536" s="27"/>
    </row>
    <row r="4537" spans="1:9" x14ac:dyDescent="0.35">
      <c r="A4537" s="27"/>
      <c r="B4537" s="27"/>
      <c r="C4537" s="27"/>
      <c r="D4537" s="27"/>
      <c r="E4537" s="27"/>
      <c r="F4537" s="27"/>
      <c r="G4537" s="27"/>
      <c r="H4537" s="27"/>
      <c r="I4537" s="27"/>
    </row>
    <row r="4538" spans="1:9" x14ac:dyDescent="0.35">
      <c r="A4538" s="27"/>
      <c r="B4538" s="27"/>
      <c r="C4538" s="27"/>
      <c r="D4538" s="27"/>
      <c r="E4538" s="27"/>
      <c r="F4538" s="27"/>
      <c r="G4538" s="27"/>
      <c r="H4538" s="27"/>
      <c r="I4538" s="27"/>
    </row>
    <row r="4539" spans="1:9" x14ac:dyDescent="0.35">
      <c r="A4539" s="27"/>
      <c r="B4539" s="27"/>
      <c r="C4539" s="27"/>
      <c r="D4539" s="27"/>
      <c r="E4539" s="27"/>
      <c r="F4539" s="27"/>
      <c r="G4539" s="27"/>
      <c r="H4539" s="27"/>
      <c r="I4539" s="27"/>
    </row>
    <row r="4540" spans="1:9" x14ac:dyDescent="0.35">
      <c r="A4540" s="27"/>
      <c r="B4540" s="27"/>
      <c r="C4540" s="27"/>
      <c r="D4540" s="27"/>
      <c r="E4540" s="27"/>
      <c r="F4540" s="27"/>
      <c r="G4540" s="27"/>
      <c r="H4540" s="27"/>
      <c r="I4540" s="27"/>
    </row>
    <row r="4541" spans="1:9" x14ac:dyDescent="0.35">
      <c r="A4541" s="27"/>
      <c r="B4541" s="27"/>
      <c r="C4541" s="27"/>
      <c r="D4541" s="27"/>
      <c r="E4541" s="27"/>
      <c r="F4541" s="27"/>
      <c r="G4541" s="27"/>
      <c r="H4541" s="27"/>
      <c r="I4541" s="27"/>
    </row>
    <row r="4542" spans="1:9" x14ac:dyDescent="0.35">
      <c r="A4542" s="27"/>
      <c r="B4542" s="27"/>
      <c r="C4542" s="27"/>
      <c r="D4542" s="27"/>
      <c r="E4542" s="27"/>
      <c r="F4542" s="27"/>
      <c r="G4542" s="27"/>
      <c r="H4542" s="27"/>
      <c r="I4542" s="27"/>
    </row>
    <row r="4543" spans="1:9" x14ac:dyDescent="0.35">
      <c r="A4543" s="27"/>
      <c r="B4543" s="27"/>
      <c r="C4543" s="27"/>
      <c r="D4543" s="27"/>
      <c r="E4543" s="27"/>
      <c r="F4543" s="27"/>
      <c r="G4543" s="27"/>
      <c r="H4543" s="27"/>
      <c r="I4543" s="27"/>
    </row>
    <row r="4544" spans="1:9" x14ac:dyDescent="0.35">
      <c r="A4544" s="27"/>
      <c r="B4544" s="27"/>
      <c r="C4544" s="27"/>
      <c r="D4544" s="27"/>
      <c r="E4544" s="27"/>
      <c r="F4544" s="27"/>
      <c r="G4544" s="27"/>
      <c r="H4544" s="27"/>
      <c r="I4544" s="27"/>
    </row>
    <row r="4545" spans="1:9" x14ac:dyDescent="0.35">
      <c r="A4545" s="27"/>
      <c r="B4545" s="27"/>
      <c r="C4545" s="27"/>
      <c r="D4545" s="27"/>
      <c r="E4545" s="27"/>
      <c r="F4545" s="27"/>
      <c r="G4545" s="27"/>
      <c r="H4545" s="27"/>
      <c r="I4545" s="27"/>
    </row>
    <row r="4546" spans="1:9" x14ac:dyDescent="0.35">
      <c r="A4546" s="27"/>
      <c r="B4546" s="27"/>
      <c r="C4546" s="27"/>
      <c r="D4546" s="27"/>
      <c r="E4546" s="27"/>
      <c r="F4546" s="27"/>
      <c r="G4546" s="27"/>
      <c r="H4546" s="27"/>
      <c r="I4546" s="27"/>
    </row>
    <row r="4547" spans="1:9" x14ac:dyDescent="0.35">
      <c r="A4547" s="27"/>
      <c r="B4547" s="27"/>
      <c r="C4547" s="27"/>
      <c r="D4547" s="27"/>
      <c r="E4547" s="27"/>
      <c r="F4547" s="27"/>
      <c r="G4547" s="27"/>
      <c r="H4547" s="27"/>
      <c r="I4547" s="27"/>
    </row>
    <row r="4548" spans="1:9" x14ac:dyDescent="0.35">
      <c r="A4548" s="27"/>
      <c r="B4548" s="27"/>
      <c r="C4548" s="27"/>
      <c r="D4548" s="27"/>
      <c r="E4548" s="27"/>
      <c r="F4548" s="27"/>
      <c r="G4548" s="27"/>
      <c r="H4548" s="27"/>
      <c r="I4548" s="27"/>
    </row>
    <row r="4549" spans="1:9" x14ac:dyDescent="0.35">
      <c r="A4549" s="27"/>
      <c r="B4549" s="27"/>
      <c r="C4549" s="27"/>
      <c r="D4549" s="27"/>
      <c r="E4549" s="27"/>
      <c r="F4549" s="27"/>
      <c r="G4549" s="27"/>
      <c r="H4549" s="27"/>
      <c r="I4549" s="27"/>
    </row>
    <row r="4550" spans="1:9" x14ac:dyDescent="0.35">
      <c r="A4550" s="27"/>
      <c r="B4550" s="27"/>
      <c r="C4550" s="27"/>
      <c r="D4550" s="27"/>
      <c r="E4550" s="27"/>
      <c r="F4550" s="27"/>
      <c r="G4550" s="27"/>
      <c r="H4550" s="27"/>
      <c r="I4550" s="27"/>
    </row>
    <row r="4551" spans="1:9" x14ac:dyDescent="0.35">
      <c r="A4551" s="27"/>
      <c r="B4551" s="27"/>
      <c r="C4551" s="27"/>
      <c r="D4551" s="27"/>
      <c r="E4551" s="27"/>
      <c r="F4551" s="27"/>
      <c r="G4551" s="27"/>
      <c r="H4551" s="27"/>
      <c r="I4551" s="27"/>
    </row>
    <row r="4552" spans="1:9" x14ac:dyDescent="0.35">
      <c r="A4552" s="27"/>
      <c r="B4552" s="27"/>
      <c r="C4552" s="27"/>
      <c r="D4552" s="27"/>
      <c r="E4552" s="27"/>
      <c r="F4552" s="27"/>
      <c r="G4552" s="27"/>
      <c r="H4552" s="27"/>
      <c r="I4552" s="27"/>
    </row>
    <row r="4553" spans="1:9" x14ac:dyDescent="0.35">
      <c r="A4553" s="27"/>
      <c r="B4553" s="27"/>
      <c r="C4553" s="27"/>
      <c r="D4553" s="27"/>
      <c r="E4553" s="27"/>
      <c r="F4553" s="27"/>
      <c r="G4553" s="27"/>
      <c r="H4553" s="27"/>
      <c r="I4553" s="27"/>
    </row>
    <row r="4554" spans="1:9" x14ac:dyDescent="0.35">
      <c r="A4554" s="27"/>
      <c r="B4554" s="27"/>
      <c r="C4554" s="27"/>
      <c r="D4554" s="27"/>
      <c r="E4554" s="27"/>
      <c r="F4554" s="27"/>
      <c r="G4554" s="27"/>
      <c r="H4554" s="27"/>
      <c r="I4554" s="27"/>
    </row>
    <row r="4555" spans="1:9" x14ac:dyDescent="0.35">
      <c r="A4555" s="27"/>
      <c r="B4555" s="27"/>
      <c r="C4555" s="27"/>
      <c r="D4555" s="27"/>
      <c r="E4555" s="27"/>
      <c r="F4555" s="27"/>
      <c r="G4555" s="27"/>
      <c r="H4555" s="27"/>
      <c r="I4555" s="27"/>
    </row>
    <row r="4556" spans="1:9" x14ac:dyDescent="0.35">
      <c r="A4556" s="27"/>
      <c r="B4556" s="27"/>
      <c r="C4556" s="27"/>
      <c r="D4556" s="27"/>
      <c r="E4556" s="27"/>
      <c r="F4556" s="27"/>
      <c r="G4556" s="27"/>
      <c r="H4556" s="27"/>
      <c r="I4556" s="27"/>
    </row>
    <row r="4557" spans="1:9" x14ac:dyDescent="0.35">
      <c r="A4557" s="27"/>
      <c r="B4557" s="27"/>
      <c r="C4557" s="27"/>
      <c r="D4557" s="27"/>
      <c r="E4557" s="27"/>
      <c r="F4557" s="27"/>
      <c r="G4557" s="27"/>
      <c r="H4557" s="27"/>
      <c r="I4557" s="27"/>
    </row>
    <row r="4558" spans="1:9" x14ac:dyDescent="0.35">
      <c r="A4558" s="27"/>
      <c r="B4558" s="27"/>
      <c r="C4558" s="27"/>
      <c r="D4558" s="27"/>
      <c r="E4558" s="27"/>
      <c r="F4558" s="27"/>
      <c r="G4558" s="27"/>
      <c r="H4558" s="27"/>
      <c r="I4558" s="27"/>
    </row>
    <row r="4559" spans="1:9" x14ac:dyDescent="0.35">
      <c r="A4559" s="27"/>
      <c r="B4559" s="27"/>
      <c r="C4559" s="27"/>
      <c r="D4559" s="27"/>
      <c r="E4559" s="27"/>
      <c r="F4559" s="27"/>
      <c r="G4559" s="27"/>
      <c r="H4559" s="27"/>
      <c r="I4559" s="27"/>
    </row>
    <row r="4560" spans="1:9" x14ac:dyDescent="0.35">
      <c r="A4560" s="27"/>
      <c r="B4560" s="27"/>
      <c r="C4560" s="27"/>
      <c r="D4560" s="27"/>
      <c r="E4560" s="27"/>
      <c r="F4560" s="27"/>
      <c r="G4560" s="27"/>
      <c r="H4560" s="27"/>
      <c r="I4560" s="27"/>
    </row>
    <row r="4561" spans="1:9" x14ac:dyDescent="0.35">
      <c r="A4561" s="27"/>
      <c r="B4561" s="27"/>
      <c r="C4561" s="27"/>
      <c r="D4561" s="27"/>
      <c r="E4561" s="27"/>
      <c r="F4561" s="27"/>
      <c r="G4561" s="27"/>
      <c r="H4561" s="27"/>
      <c r="I4561" s="27"/>
    </row>
    <row r="4562" spans="1:9" x14ac:dyDescent="0.35">
      <c r="A4562" s="27"/>
      <c r="B4562" s="27"/>
      <c r="C4562" s="27"/>
      <c r="D4562" s="27"/>
      <c r="E4562" s="27"/>
      <c r="F4562" s="27"/>
      <c r="G4562" s="27"/>
      <c r="H4562" s="27"/>
      <c r="I4562" s="27"/>
    </row>
    <row r="4563" spans="1:9" x14ac:dyDescent="0.35">
      <c r="A4563" s="27"/>
      <c r="B4563" s="27"/>
      <c r="C4563" s="27"/>
      <c r="D4563" s="27"/>
      <c r="E4563" s="27"/>
      <c r="F4563" s="27"/>
      <c r="G4563" s="27"/>
      <c r="H4563" s="27"/>
      <c r="I4563" s="27"/>
    </row>
    <row r="4564" spans="1:9" x14ac:dyDescent="0.35">
      <c r="A4564" s="27"/>
      <c r="B4564" s="27"/>
      <c r="C4564" s="27"/>
      <c r="D4564" s="27"/>
      <c r="E4564" s="27"/>
      <c r="F4564" s="27"/>
      <c r="G4564" s="27"/>
      <c r="H4564" s="27"/>
      <c r="I4564" s="27"/>
    </row>
    <row r="4565" spans="1:9" x14ac:dyDescent="0.35">
      <c r="A4565" s="27"/>
      <c r="B4565" s="27"/>
      <c r="C4565" s="27"/>
      <c r="D4565" s="27"/>
      <c r="E4565" s="27"/>
      <c r="F4565" s="27"/>
      <c r="G4565" s="27"/>
      <c r="H4565" s="27"/>
      <c r="I4565" s="27"/>
    </row>
    <row r="4566" spans="1:9" x14ac:dyDescent="0.35">
      <c r="A4566" s="27"/>
      <c r="B4566" s="27"/>
      <c r="C4566" s="27"/>
      <c r="D4566" s="27"/>
      <c r="E4566" s="27"/>
      <c r="F4566" s="27"/>
      <c r="G4566" s="27"/>
      <c r="H4566" s="27"/>
      <c r="I4566" s="27"/>
    </row>
    <row r="4567" spans="1:9" x14ac:dyDescent="0.35">
      <c r="A4567" s="27"/>
      <c r="B4567" s="27"/>
      <c r="C4567" s="27"/>
      <c r="D4567" s="27"/>
      <c r="E4567" s="27"/>
      <c r="F4567" s="27"/>
      <c r="G4567" s="27"/>
      <c r="H4567" s="27"/>
      <c r="I4567" s="27"/>
    </row>
    <row r="4568" spans="1:9" x14ac:dyDescent="0.35">
      <c r="A4568" s="27"/>
      <c r="B4568" s="27"/>
      <c r="C4568" s="27"/>
      <c r="D4568" s="27"/>
      <c r="E4568" s="27"/>
      <c r="F4568" s="27"/>
      <c r="G4568" s="27"/>
      <c r="H4568" s="27"/>
      <c r="I4568" s="27"/>
    </row>
    <row r="4569" spans="1:9" x14ac:dyDescent="0.35">
      <c r="A4569" s="27"/>
      <c r="B4569" s="27"/>
      <c r="C4569" s="27"/>
      <c r="D4569" s="27"/>
      <c r="E4569" s="27"/>
      <c r="F4569" s="27"/>
      <c r="G4569" s="27"/>
      <c r="H4569" s="27"/>
      <c r="I4569" s="27"/>
    </row>
    <row r="4570" spans="1:9" x14ac:dyDescent="0.35">
      <c r="A4570" s="27"/>
      <c r="B4570" s="27"/>
      <c r="C4570" s="27"/>
      <c r="D4570" s="27"/>
      <c r="E4570" s="27"/>
      <c r="F4570" s="27"/>
      <c r="G4570" s="27"/>
      <c r="H4570" s="27"/>
      <c r="I4570" s="27"/>
    </row>
    <row r="4571" spans="1:9" x14ac:dyDescent="0.35">
      <c r="A4571" s="27"/>
      <c r="B4571" s="27"/>
      <c r="C4571" s="27"/>
      <c r="D4571" s="27"/>
      <c r="E4571" s="27"/>
      <c r="F4571" s="27"/>
      <c r="G4571" s="27"/>
      <c r="H4571" s="27"/>
      <c r="I4571" s="27"/>
    </row>
    <row r="4572" spans="1:9" x14ac:dyDescent="0.35">
      <c r="A4572" s="27"/>
      <c r="B4572" s="27"/>
      <c r="C4572" s="27"/>
      <c r="D4572" s="27"/>
      <c r="E4572" s="27"/>
      <c r="F4572" s="27"/>
      <c r="G4572" s="27"/>
      <c r="H4572" s="27"/>
      <c r="I4572" s="27"/>
    </row>
    <row r="4573" spans="1:9" x14ac:dyDescent="0.35">
      <c r="A4573" s="27"/>
      <c r="B4573" s="27"/>
      <c r="C4573" s="27"/>
      <c r="D4573" s="27"/>
      <c r="E4573" s="27"/>
      <c r="F4573" s="27"/>
      <c r="G4573" s="27"/>
      <c r="H4573" s="27"/>
      <c r="I4573" s="27"/>
    </row>
    <row r="4574" spans="1:9" x14ac:dyDescent="0.35">
      <c r="A4574" s="27"/>
      <c r="B4574" s="27"/>
      <c r="C4574" s="27"/>
      <c r="D4574" s="27"/>
      <c r="E4574" s="27"/>
      <c r="F4574" s="27"/>
      <c r="G4574" s="27"/>
      <c r="H4574" s="27"/>
      <c r="I4574" s="27"/>
    </row>
    <row r="4575" spans="1:9" x14ac:dyDescent="0.35">
      <c r="A4575" s="27"/>
      <c r="B4575" s="27"/>
      <c r="C4575" s="27"/>
      <c r="D4575" s="27"/>
      <c r="E4575" s="27"/>
      <c r="F4575" s="27"/>
      <c r="G4575" s="27"/>
      <c r="H4575" s="27"/>
      <c r="I4575" s="27"/>
    </row>
    <row r="4576" spans="1:9" x14ac:dyDescent="0.35">
      <c r="A4576" s="27"/>
      <c r="B4576" s="27"/>
      <c r="C4576" s="27"/>
      <c r="D4576" s="27"/>
      <c r="E4576" s="27"/>
      <c r="F4576" s="27"/>
      <c r="G4576" s="27"/>
      <c r="H4576" s="27"/>
      <c r="I4576" s="27"/>
    </row>
    <row r="4577" spans="1:9" x14ac:dyDescent="0.35">
      <c r="A4577" s="27"/>
      <c r="B4577" s="27"/>
      <c r="C4577" s="27"/>
      <c r="D4577" s="27"/>
      <c r="E4577" s="27"/>
      <c r="F4577" s="27"/>
      <c r="G4577" s="27"/>
      <c r="H4577" s="27"/>
      <c r="I4577" s="27"/>
    </row>
    <row r="4578" spans="1:9" x14ac:dyDescent="0.35">
      <c r="A4578" s="27"/>
      <c r="B4578" s="27"/>
      <c r="C4578" s="27"/>
      <c r="D4578" s="27"/>
      <c r="E4578" s="27"/>
      <c r="F4578" s="27"/>
      <c r="G4578" s="27"/>
      <c r="H4578" s="27"/>
      <c r="I4578" s="27"/>
    </row>
    <row r="4579" spans="1:9" x14ac:dyDescent="0.35">
      <c r="A4579" s="27"/>
      <c r="B4579" s="27"/>
      <c r="C4579" s="27"/>
      <c r="D4579" s="27"/>
      <c r="E4579" s="27"/>
      <c r="F4579" s="27"/>
      <c r="G4579" s="27"/>
      <c r="H4579" s="27"/>
      <c r="I4579" s="27"/>
    </row>
    <row r="4580" spans="1:9" x14ac:dyDescent="0.35">
      <c r="A4580" s="27"/>
      <c r="B4580" s="27"/>
      <c r="C4580" s="27"/>
      <c r="D4580" s="27"/>
      <c r="E4580" s="27"/>
      <c r="F4580" s="27"/>
      <c r="G4580" s="27"/>
      <c r="H4580" s="27"/>
      <c r="I4580" s="27"/>
    </row>
    <row r="4581" spans="1:9" x14ac:dyDescent="0.35">
      <c r="A4581" s="27"/>
      <c r="B4581" s="27"/>
      <c r="C4581" s="27"/>
      <c r="D4581" s="27"/>
      <c r="E4581" s="27"/>
      <c r="F4581" s="27"/>
      <c r="G4581" s="27"/>
      <c r="H4581" s="27"/>
      <c r="I4581" s="27"/>
    </row>
    <row r="4582" spans="1:9" x14ac:dyDescent="0.35">
      <c r="A4582" s="27"/>
      <c r="B4582" s="27"/>
      <c r="C4582" s="27"/>
      <c r="D4582" s="27"/>
      <c r="E4582" s="27"/>
      <c r="F4582" s="27"/>
      <c r="G4582" s="27"/>
      <c r="H4582" s="27"/>
      <c r="I4582" s="27"/>
    </row>
    <row r="4583" spans="1:9" x14ac:dyDescent="0.35">
      <c r="A4583" s="27"/>
      <c r="B4583" s="27"/>
      <c r="C4583" s="27"/>
      <c r="D4583" s="27"/>
      <c r="E4583" s="27"/>
      <c r="F4583" s="27"/>
      <c r="G4583" s="27"/>
      <c r="H4583" s="27"/>
      <c r="I4583" s="27"/>
    </row>
    <row r="4584" spans="1:9" x14ac:dyDescent="0.35">
      <c r="A4584" s="27"/>
      <c r="B4584" s="27"/>
      <c r="C4584" s="27"/>
      <c r="D4584" s="27"/>
      <c r="E4584" s="27"/>
      <c r="F4584" s="27"/>
      <c r="G4584" s="27"/>
      <c r="H4584" s="27"/>
      <c r="I4584" s="27"/>
    </row>
    <row r="4585" spans="1:9" x14ac:dyDescent="0.35">
      <c r="A4585" s="27"/>
      <c r="B4585" s="27"/>
      <c r="C4585" s="27"/>
      <c r="D4585" s="27"/>
      <c r="E4585" s="27"/>
      <c r="F4585" s="27"/>
      <c r="G4585" s="27"/>
      <c r="H4585" s="27"/>
      <c r="I4585" s="27"/>
    </row>
    <row r="4586" spans="1:9" x14ac:dyDescent="0.35">
      <c r="A4586" s="27"/>
      <c r="B4586" s="27"/>
      <c r="C4586" s="27"/>
      <c r="D4586" s="27"/>
      <c r="E4586" s="27"/>
      <c r="F4586" s="27"/>
      <c r="G4586" s="27"/>
      <c r="H4586" s="27"/>
      <c r="I4586" s="27"/>
    </row>
    <row r="4587" spans="1:9" x14ac:dyDescent="0.35">
      <c r="A4587" s="27"/>
      <c r="B4587" s="27"/>
      <c r="C4587" s="27"/>
      <c r="D4587" s="27"/>
      <c r="E4587" s="27"/>
      <c r="F4587" s="27"/>
      <c r="G4587" s="27"/>
      <c r="H4587" s="27"/>
      <c r="I4587" s="27"/>
    </row>
    <row r="4588" spans="1:9" x14ac:dyDescent="0.35">
      <c r="A4588" s="27"/>
      <c r="B4588" s="27"/>
      <c r="C4588" s="27"/>
      <c r="D4588" s="27"/>
      <c r="E4588" s="27"/>
      <c r="F4588" s="27"/>
      <c r="G4588" s="27"/>
      <c r="H4588" s="27"/>
      <c r="I4588" s="27"/>
    </row>
    <row r="4589" spans="1:9" x14ac:dyDescent="0.35">
      <c r="A4589" s="27"/>
      <c r="B4589" s="27"/>
      <c r="C4589" s="27"/>
      <c r="D4589" s="27"/>
      <c r="E4589" s="27"/>
      <c r="F4589" s="27"/>
      <c r="G4589" s="27"/>
      <c r="H4589" s="27"/>
      <c r="I4589" s="27"/>
    </row>
    <row r="4590" spans="1:9" x14ac:dyDescent="0.35">
      <c r="A4590" s="27"/>
      <c r="B4590" s="27"/>
      <c r="C4590" s="27"/>
      <c r="D4590" s="27"/>
      <c r="E4590" s="27"/>
      <c r="F4590" s="27"/>
      <c r="G4590" s="27"/>
      <c r="H4590" s="27"/>
      <c r="I4590" s="27"/>
    </row>
    <row r="4591" spans="1:9" x14ac:dyDescent="0.35">
      <c r="A4591" s="27"/>
      <c r="B4591" s="27"/>
      <c r="C4591" s="27"/>
      <c r="D4591" s="27"/>
      <c r="E4591" s="27"/>
      <c r="F4591" s="27"/>
      <c r="G4591" s="27"/>
      <c r="H4591" s="27"/>
      <c r="I4591" s="27"/>
    </row>
    <row r="4592" spans="1:9" x14ac:dyDescent="0.35">
      <c r="A4592" s="27"/>
      <c r="B4592" s="27"/>
      <c r="C4592" s="27"/>
      <c r="D4592" s="27"/>
      <c r="E4592" s="27"/>
      <c r="F4592" s="27"/>
      <c r="G4592" s="27"/>
      <c r="H4592" s="27"/>
      <c r="I4592" s="27"/>
    </row>
    <row r="4593" spans="1:9" x14ac:dyDescent="0.35">
      <c r="A4593" s="27"/>
      <c r="B4593" s="27"/>
      <c r="C4593" s="27"/>
      <c r="D4593" s="27"/>
      <c r="E4593" s="27"/>
      <c r="F4593" s="27"/>
      <c r="G4593" s="27"/>
      <c r="H4593" s="27"/>
      <c r="I4593" s="27"/>
    </row>
    <row r="4594" spans="1:9" x14ac:dyDescent="0.35">
      <c r="A4594" s="27"/>
      <c r="B4594" s="27"/>
      <c r="C4594" s="27"/>
      <c r="D4594" s="27"/>
      <c r="E4594" s="27"/>
      <c r="F4594" s="27"/>
      <c r="G4594" s="27"/>
      <c r="H4594" s="27"/>
      <c r="I4594" s="27"/>
    </row>
    <row r="4595" spans="1:9" x14ac:dyDescent="0.35">
      <c r="A4595" s="27"/>
      <c r="B4595" s="27"/>
      <c r="C4595" s="27"/>
      <c r="D4595" s="27"/>
      <c r="E4595" s="27"/>
      <c r="F4595" s="27"/>
      <c r="G4595" s="27"/>
      <c r="H4595" s="27"/>
      <c r="I4595" s="27"/>
    </row>
    <row r="4596" spans="1:9" x14ac:dyDescent="0.35">
      <c r="A4596" s="27"/>
      <c r="B4596" s="27"/>
      <c r="C4596" s="27"/>
      <c r="D4596" s="27"/>
      <c r="E4596" s="27"/>
      <c r="F4596" s="27"/>
      <c r="G4596" s="27"/>
      <c r="H4596" s="27"/>
      <c r="I4596" s="27"/>
    </row>
    <row r="4597" spans="1:9" x14ac:dyDescent="0.35">
      <c r="A4597" s="27"/>
      <c r="B4597" s="27"/>
      <c r="C4597" s="27"/>
      <c r="D4597" s="27"/>
      <c r="E4597" s="27"/>
      <c r="F4597" s="27"/>
      <c r="G4597" s="27"/>
      <c r="H4597" s="27"/>
      <c r="I4597" s="27"/>
    </row>
    <row r="4598" spans="1:9" x14ac:dyDescent="0.35">
      <c r="A4598" s="27"/>
      <c r="B4598" s="27"/>
      <c r="C4598" s="27"/>
      <c r="D4598" s="27"/>
      <c r="E4598" s="27"/>
      <c r="F4598" s="27"/>
      <c r="G4598" s="27"/>
      <c r="H4598" s="27"/>
      <c r="I4598" s="27"/>
    </row>
    <row r="4599" spans="1:9" x14ac:dyDescent="0.35">
      <c r="A4599" s="27"/>
      <c r="B4599" s="27"/>
      <c r="C4599" s="27"/>
      <c r="D4599" s="27"/>
      <c r="E4599" s="27"/>
      <c r="F4599" s="27"/>
      <c r="G4599" s="27"/>
      <c r="H4599" s="27"/>
      <c r="I4599" s="27"/>
    </row>
    <row r="4600" spans="1:9" x14ac:dyDescent="0.35">
      <c r="A4600" s="27"/>
      <c r="B4600" s="27"/>
      <c r="C4600" s="27"/>
      <c r="D4600" s="27"/>
      <c r="E4600" s="27"/>
      <c r="F4600" s="27"/>
      <c r="G4600" s="27"/>
      <c r="H4600" s="27"/>
      <c r="I4600" s="27"/>
    </row>
    <row r="4601" spans="1:9" x14ac:dyDescent="0.35">
      <c r="A4601" s="27"/>
      <c r="B4601" s="27"/>
      <c r="C4601" s="27"/>
      <c r="D4601" s="27"/>
      <c r="E4601" s="27"/>
      <c r="F4601" s="27"/>
      <c r="G4601" s="27"/>
      <c r="H4601" s="27"/>
      <c r="I4601" s="27"/>
    </row>
    <row r="4602" spans="1:9" x14ac:dyDescent="0.35">
      <c r="A4602" s="27"/>
      <c r="B4602" s="27"/>
      <c r="C4602" s="27"/>
      <c r="D4602" s="27"/>
      <c r="E4602" s="27"/>
      <c r="F4602" s="27"/>
      <c r="G4602" s="27"/>
      <c r="H4602" s="27"/>
      <c r="I4602" s="27"/>
    </row>
    <row r="4603" spans="1:9" x14ac:dyDescent="0.35">
      <c r="A4603" s="27"/>
      <c r="B4603" s="27"/>
      <c r="C4603" s="27"/>
      <c r="D4603" s="27"/>
      <c r="E4603" s="27"/>
      <c r="F4603" s="27"/>
      <c r="G4603" s="27"/>
      <c r="H4603" s="27"/>
      <c r="I4603" s="27"/>
    </row>
    <row r="4604" spans="1:9" x14ac:dyDescent="0.35">
      <c r="A4604" s="27"/>
      <c r="B4604" s="27"/>
      <c r="C4604" s="27"/>
      <c r="D4604" s="27"/>
      <c r="E4604" s="27"/>
      <c r="F4604" s="27"/>
      <c r="G4604" s="27"/>
      <c r="H4604" s="27"/>
      <c r="I4604" s="27"/>
    </row>
    <row r="4605" spans="1:9" x14ac:dyDescent="0.35">
      <c r="A4605" s="27"/>
      <c r="B4605" s="27"/>
      <c r="C4605" s="27"/>
      <c r="D4605" s="27"/>
      <c r="E4605" s="27"/>
      <c r="F4605" s="27"/>
      <c r="G4605" s="27"/>
      <c r="H4605" s="27"/>
      <c r="I4605" s="27"/>
    </row>
    <row r="4606" spans="1:9" x14ac:dyDescent="0.35">
      <c r="A4606" s="27"/>
      <c r="B4606" s="27"/>
      <c r="C4606" s="27"/>
      <c r="D4606" s="27"/>
      <c r="E4606" s="27"/>
      <c r="F4606" s="27"/>
      <c r="G4606" s="27"/>
      <c r="H4606" s="27"/>
      <c r="I4606" s="27"/>
    </row>
    <row r="4607" spans="1:9" x14ac:dyDescent="0.35">
      <c r="A4607" s="27"/>
      <c r="B4607" s="27"/>
      <c r="C4607" s="27"/>
      <c r="D4607" s="27"/>
      <c r="E4607" s="27"/>
      <c r="F4607" s="27"/>
      <c r="G4607" s="27"/>
      <c r="H4607" s="27"/>
      <c r="I4607" s="27"/>
    </row>
    <row r="4608" spans="1:9" x14ac:dyDescent="0.35">
      <c r="A4608" s="27"/>
      <c r="B4608" s="27"/>
      <c r="C4608" s="27"/>
      <c r="D4608" s="27"/>
      <c r="E4608" s="27"/>
      <c r="F4608" s="27"/>
      <c r="G4608" s="27"/>
      <c r="H4608" s="27"/>
      <c r="I4608" s="27"/>
    </row>
    <row r="4609" spans="1:9" x14ac:dyDescent="0.35">
      <c r="A4609" s="27"/>
      <c r="B4609" s="27"/>
      <c r="C4609" s="27"/>
      <c r="D4609" s="27"/>
      <c r="E4609" s="27"/>
      <c r="F4609" s="27"/>
      <c r="G4609" s="27"/>
      <c r="H4609" s="27"/>
      <c r="I4609" s="27"/>
    </row>
    <row r="4610" spans="1:9" x14ac:dyDescent="0.35">
      <c r="A4610" s="27"/>
      <c r="B4610" s="27"/>
      <c r="C4610" s="27"/>
      <c r="D4610" s="27"/>
      <c r="E4610" s="27"/>
      <c r="F4610" s="27"/>
      <c r="G4610" s="27"/>
      <c r="H4610" s="27"/>
      <c r="I4610" s="27"/>
    </row>
    <row r="4611" spans="1:9" x14ac:dyDescent="0.35">
      <c r="A4611" s="27"/>
      <c r="B4611" s="27"/>
      <c r="C4611" s="27"/>
      <c r="D4611" s="27"/>
      <c r="E4611" s="27"/>
      <c r="F4611" s="27"/>
      <c r="G4611" s="27"/>
      <c r="H4611" s="27"/>
      <c r="I4611" s="27"/>
    </row>
    <row r="4612" spans="1:9" x14ac:dyDescent="0.35">
      <c r="A4612" s="27"/>
      <c r="B4612" s="27"/>
      <c r="C4612" s="27"/>
      <c r="D4612" s="27"/>
      <c r="E4612" s="27"/>
      <c r="F4612" s="27"/>
      <c r="G4612" s="27"/>
      <c r="H4612" s="27"/>
      <c r="I4612" s="27"/>
    </row>
    <row r="4613" spans="1:9" x14ac:dyDescent="0.35">
      <c r="A4613" s="27"/>
      <c r="B4613" s="27"/>
      <c r="C4613" s="27"/>
      <c r="D4613" s="27"/>
      <c r="E4613" s="27"/>
      <c r="F4613" s="27"/>
      <c r="G4613" s="27"/>
      <c r="H4613" s="27"/>
      <c r="I4613" s="27"/>
    </row>
    <row r="4614" spans="1:9" x14ac:dyDescent="0.35">
      <c r="A4614" s="27"/>
      <c r="B4614" s="27"/>
      <c r="C4614" s="27"/>
      <c r="D4614" s="27"/>
      <c r="E4614" s="27"/>
      <c r="F4614" s="27"/>
      <c r="G4614" s="27"/>
      <c r="H4614" s="27"/>
      <c r="I4614" s="27"/>
    </row>
    <row r="4615" spans="1:9" x14ac:dyDescent="0.35">
      <c r="A4615" s="27"/>
      <c r="B4615" s="27"/>
      <c r="C4615" s="27"/>
      <c r="D4615" s="27"/>
      <c r="E4615" s="27"/>
      <c r="F4615" s="27"/>
      <c r="G4615" s="27"/>
      <c r="H4615" s="27"/>
      <c r="I4615" s="27"/>
    </row>
    <row r="4616" spans="1:9" x14ac:dyDescent="0.35">
      <c r="A4616" s="27"/>
      <c r="B4616" s="27"/>
      <c r="C4616" s="27"/>
      <c r="D4616" s="27"/>
      <c r="E4616" s="27"/>
      <c r="F4616" s="27"/>
      <c r="G4616" s="27"/>
      <c r="H4616" s="27"/>
      <c r="I4616" s="27"/>
    </row>
    <row r="4617" spans="1:9" x14ac:dyDescent="0.35">
      <c r="A4617" s="27"/>
      <c r="B4617" s="27"/>
      <c r="C4617" s="27"/>
      <c r="D4617" s="27"/>
      <c r="E4617" s="27"/>
      <c r="F4617" s="27"/>
      <c r="G4617" s="27"/>
      <c r="H4617" s="27"/>
      <c r="I4617" s="27"/>
    </row>
    <row r="4618" spans="1:9" x14ac:dyDescent="0.35">
      <c r="A4618" s="27"/>
      <c r="B4618" s="27"/>
      <c r="C4618" s="27"/>
      <c r="D4618" s="27"/>
      <c r="E4618" s="27"/>
      <c r="F4618" s="27"/>
      <c r="G4618" s="27"/>
      <c r="H4618" s="27"/>
      <c r="I4618" s="27"/>
    </row>
    <row r="4619" spans="1:9" x14ac:dyDescent="0.35">
      <c r="A4619" s="27"/>
      <c r="B4619" s="27"/>
      <c r="C4619" s="27"/>
      <c r="D4619" s="27"/>
      <c r="E4619" s="27"/>
      <c r="F4619" s="27"/>
      <c r="G4619" s="27"/>
      <c r="H4619" s="27"/>
      <c r="I4619" s="27"/>
    </row>
    <row r="4620" spans="1:9" x14ac:dyDescent="0.35">
      <c r="A4620" s="27"/>
      <c r="B4620" s="27"/>
      <c r="C4620" s="27"/>
      <c r="D4620" s="27"/>
      <c r="E4620" s="27"/>
      <c r="F4620" s="27"/>
      <c r="G4620" s="27"/>
      <c r="H4620" s="27"/>
      <c r="I4620" s="27"/>
    </row>
    <row r="4621" spans="1:9" x14ac:dyDescent="0.35">
      <c r="A4621" s="27"/>
      <c r="B4621" s="27"/>
      <c r="C4621" s="27"/>
      <c r="D4621" s="27"/>
      <c r="E4621" s="27"/>
      <c r="F4621" s="27"/>
      <c r="G4621" s="27"/>
      <c r="H4621" s="27"/>
      <c r="I4621" s="27"/>
    </row>
    <row r="4622" spans="1:9" x14ac:dyDescent="0.35">
      <c r="A4622" s="27"/>
      <c r="B4622" s="27"/>
      <c r="C4622" s="27"/>
      <c r="D4622" s="27"/>
      <c r="E4622" s="27"/>
      <c r="F4622" s="27"/>
      <c r="G4622" s="27"/>
      <c r="H4622" s="27"/>
      <c r="I4622" s="27"/>
    </row>
    <row r="4623" spans="1:9" x14ac:dyDescent="0.35">
      <c r="A4623" s="27"/>
      <c r="B4623" s="27"/>
      <c r="C4623" s="27"/>
      <c r="D4623" s="27"/>
      <c r="E4623" s="27"/>
      <c r="F4623" s="27"/>
      <c r="G4623" s="27"/>
      <c r="H4623" s="27"/>
      <c r="I4623" s="27"/>
    </row>
    <row r="4624" spans="1:9" x14ac:dyDescent="0.35">
      <c r="A4624" s="27"/>
      <c r="B4624" s="27"/>
      <c r="C4624" s="27"/>
      <c r="D4624" s="27"/>
      <c r="E4624" s="27"/>
      <c r="F4624" s="27"/>
      <c r="G4624" s="27"/>
      <c r="H4624" s="27"/>
      <c r="I4624" s="27"/>
    </row>
    <row r="4625" spans="1:9" x14ac:dyDescent="0.35">
      <c r="A4625" s="27"/>
      <c r="B4625" s="27"/>
      <c r="C4625" s="27"/>
      <c r="D4625" s="27"/>
      <c r="E4625" s="27"/>
      <c r="F4625" s="27"/>
      <c r="G4625" s="27"/>
      <c r="H4625" s="27"/>
      <c r="I4625" s="27"/>
    </row>
    <row r="4626" spans="1:9" x14ac:dyDescent="0.35">
      <c r="A4626" s="27"/>
      <c r="B4626" s="27"/>
      <c r="C4626" s="27"/>
      <c r="D4626" s="27"/>
      <c r="E4626" s="27"/>
      <c r="F4626" s="27"/>
      <c r="G4626" s="27"/>
      <c r="H4626" s="27"/>
      <c r="I4626" s="27"/>
    </row>
    <row r="4627" spans="1:9" x14ac:dyDescent="0.35">
      <c r="A4627" s="27"/>
      <c r="B4627" s="27"/>
      <c r="C4627" s="27"/>
      <c r="D4627" s="27"/>
      <c r="E4627" s="27"/>
      <c r="F4627" s="27"/>
      <c r="G4627" s="27"/>
      <c r="H4627" s="27"/>
      <c r="I4627" s="27"/>
    </row>
    <row r="4628" spans="1:9" x14ac:dyDescent="0.35">
      <c r="A4628" s="27"/>
      <c r="B4628" s="27"/>
      <c r="C4628" s="27"/>
      <c r="D4628" s="27"/>
      <c r="E4628" s="27"/>
      <c r="F4628" s="27"/>
      <c r="G4628" s="27"/>
      <c r="H4628" s="27"/>
      <c r="I4628" s="27"/>
    </row>
    <row r="4629" spans="1:9" x14ac:dyDescent="0.35">
      <c r="A4629" s="27"/>
      <c r="B4629" s="27"/>
      <c r="C4629" s="27"/>
      <c r="D4629" s="27"/>
      <c r="E4629" s="27"/>
      <c r="F4629" s="27"/>
      <c r="G4629" s="27"/>
      <c r="H4629" s="27"/>
      <c r="I4629" s="27"/>
    </row>
    <row r="4630" spans="1:9" x14ac:dyDescent="0.35">
      <c r="A4630" s="27"/>
      <c r="B4630" s="27"/>
      <c r="C4630" s="27"/>
      <c r="D4630" s="27"/>
      <c r="E4630" s="27"/>
      <c r="F4630" s="27"/>
      <c r="G4630" s="27"/>
      <c r="H4630" s="27"/>
      <c r="I4630" s="27"/>
    </row>
    <row r="4631" spans="1:9" x14ac:dyDescent="0.35">
      <c r="A4631" s="27"/>
      <c r="B4631" s="27"/>
      <c r="C4631" s="27"/>
      <c r="D4631" s="27"/>
      <c r="E4631" s="27"/>
      <c r="F4631" s="27"/>
      <c r="G4631" s="27"/>
      <c r="H4631" s="27"/>
      <c r="I4631" s="27"/>
    </row>
    <row r="4632" spans="1:9" x14ac:dyDescent="0.35">
      <c r="A4632" s="27"/>
      <c r="B4632" s="27"/>
      <c r="C4632" s="27"/>
      <c r="D4632" s="27"/>
      <c r="E4632" s="27"/>
      <c r="F4632" s="27"/>
      <c r="G4632" s="27"/>
      <c r="H4632" s="27"/>
      <c r="I4632" s="27"/>
    </row>
    <row r="4633" spans="1:9" x14ac:dyDescent="0.35">
      <c r="A4633" s="27"/>
      <c r="B4633" s="27"/>
      <c r="C4633" s="27"/>
      <c r="D4633" s="27"/>
      <c r="E4633" s="27"/>
      <c r="F4633" s="27"/>
      <c r="G4633" s="27"/>
      <c r="H4633" s="27"/>
      <c r="I4633" s="27"/>
    </row>
    <row r="4634" spans="1:9" x14ac:dyDescent="0.35">
      <c r="A4634" s="27"/>
      <c r="B4634" s="27"/>
      <c r="C4634" s="27"/>
      <c r="D4634" s="27"/>
      <c r="E4634" s="27"/>
      <c r="F4634" s="27"/>
      <c r="G4634" s="27"/>
      <c r="H4634" s="27"/>
      <c r="I4634" s="27"/>
    </row>
    <row r="4635" spans="1:9" x14ac:dyDescent="0.35">
      <c r="A4635" s="27"/>
      <c r="B4635" s="27"/>
      <c r="C4635" s="27"/>
      <c r="D4635" s="27"/>
      <c r="E4635" s="27"/>
      <c r="F4635" s="27"/>
      <c r="G4635" s="27"/>
      <c r="H4635" s="27"/>
      <c r="I4635" s="27"/>
    </row>
    <row r="4636" spans="1:9" x14ac:dyDescent="0.35">
      <c r="A4636" s="27"/>
      <c r="B4636" s="27"/>
      <c r="C4636" s="27"/>
      <c r="D4636" s="27"/>
      <c r="E4636" s="27"/>
      <c r="F4636" s="27"/>
      <c r="G4636" s="27"/>
      <c r="H4636" s="27"/>
      <c r="I4636" s="27"/>
    </row>
    <row r="4637" spans="1:9" x14ac:dyDescent="0.35">
      <c r="A4637" s="27"/>
      <c r="B4637" s="27"/>
      <c r="C4637" s="27"/>
      <c r="D4637" s="27"/>
      <c r="E4637" s="27"/>
      <c r="F4637" s="27"/>
      <c r="G4637" s="27"/>
      <c r="H4637" s="27"/>
      <c r="I4637" s="27"/>
    </row>
    <row r="4638" spans="1:9" x14ac:dyDescent="0.35">
      <c r="A4638" s="27"/>
      <c r="B4638" s="27"/>
      <c r="C4638" s="27"/>
      <c r="D4638" s="27"/>
      <c r="E4638" s="27"/>
      <c r="F4638" s="27"/>
      <c r="G4638" s="27"/>
      <c r="H4638" s="27"/>
      <c r="I4638" s="27"/>
    </row>
    <row r="4639" spans="1:9" x14ac:dyDescent="0.35">
      <c r="A4639" s="27"/>
      <c r="B4639" s="27"/>
      <c r="C4639" s="27"/>
      <c r="D4639" s="27"/>
      <c r="E4639" s="27"/>
      <c r="F4639" s="27"/>
      <c r="G4639" s="27"/>
      <c r="H4639" s="27"/>
      <c r="I4639" s="27"/>
    </row>
    <row r="4640" spans="1:9" x14ac:dyDescent="0.35">
      <c r="A4640" s="27"/>
      <c r="B4640" s="27"/>
      <c r="C4640" s="27"/>
      <c r="D4640" s="27"/>
      <c r="E4640" s="27"/>
      <c r="F4640" s="27"/>
      <c r="G4640" s="27"/>
      <c r="H4640" s="27"/>
      <c r="I4640" s="27"/>
    </row>
    <row r="4641" spans="1:9" x14ac:dyDescent="0.35">
      <c r="A4641" s="27"/>
      <c r="B4641" s="27"/>
      <c r="C4641" s="27"/>
      <c r="D4641" s="27"/>
      <c r="E4641" s="27"/>
      <c r="F4641" s="27"/>
      <c r="G4641" s="27"/>
      <c r="H4641" s="27"/>
      <c r="I4641" s="27"/>
    </row>
    <row r="4642" spans="1:9" x14ac:dyDescent="0.35">
      <c r="A4642" s="27"/>
      <c r="B4642" s="27"/>
      <c r="C4642" s="27"/>
      <c r="D4642" s="27"/>
      <c r="E4642" s="27"/>
      <c r="F4642" s="27"/>
      <c r="G4642" s="27"/>
      <c r="H4642" s="27"/>
      <c r="I4642" s="27"/>
    </row>
    <row r="4643" spans="1:9" x14ac:dyDescent="0.35">
      <c r="A4643" s="27"/>
      <c r="B4643" s="27"/>
      <c r="C4643" s="27"/>
      <c r="D4643" s="27"/>
      <c r="E4643" s="27"/>
      <c r="F4643" s="27"/>
      <c r="G4643" s="27"/>
      <c r="H4643" s="27"/>
      <c r="I4643" s="27"/>
    </row>
    <row r="4644" spans="1:9" x14ac:dyDescent="0.35">
      <c r="A4644" s="27"/>
      <c r="B4644" s="27"/>
      <c r="C4644" s="27"/>
      <c r="D4644" s="27"/>
      <c r="E4644" s="27"/>
      <c r="F4644" s="27"/>
      <c r="G4644" s="27"/>
      <c r="H4644" s="27"/>
      <c r="I4644" s="27"/>
    </row>
    <row r="4645" spans="1:9" x14ac:dyDescent="0.35">
      <c r="A4645" s="27"/>
      <c r="B4645" s="27"/>
      <c r="C4645" s="27"/>
      <c r="D4645" s="27"/>
      <c r="E4645" s="27"/>
      <c r="F4645" s="27"/>
      <c r="G4645" s="27"/>
      <c r="H4645" s="27"/>
      <c r="I4645" s="27"/>
    </row>
    <row r="4646" spans="1:9" x14ac:dyDescent="0.35">
      <c r="A4646" s="27"/>
      <c r="B4646" s="27"/>
      <c r="C4646" s="27"/>
      <c r="D4646" s="27"/>
      <c r="E4646" s="27"/>
      <c r="F4646" s="27"/>
      <c r="G4646" s="27"/>
      <c r="H4646" s="27"/>
      <c r="I4646" s="27"/>
    </row>
    <row r="4647" spans="1:9" x14ac:dyDescent="0.35">
      <c r="A4647" s="27"/>
      <c r="B4647" s="27"/>
      <c r="C4647" s="27"/>
      <c r="D4647" s="27"/>
      <c r="E4647" s="27"/>
      <c r="F4647" s="27"/>
      <c r="G4647" s="27"/>
      <c r="H4647" s="27"/>
      <c r="I4647" s="27"/>
    </row>
    <row r="4648" spans="1:9" x14ac:dyDescent="0.35">
      <c r="A4648" s="27"/>
      <c r="B4648" s="27"/>
      <c r="C4648" s="27"/>
      <c r="D4648" s="27"/>
      <c r="E4648" s="27"/>
      <c r="F4648" s="27"/>
      <c r="G4648" s="27"/>
      <c r="H4648" s="27"/>
      <c r="I4648" s="27"/>
    </row>
    <row r="4649" spans="1:9" x14ac:dyDescent="0.35">
      <c r="A4649" s="27"/>
      <c r="B4649" s="27"/>
      <c r="C4649" s="27"/>
      <c r="D4649" s="27"/>
      <c r="E4649" s="27"/>
      <c r="F4649" s="27"/>
      <c r="G4649" s="27"/>
      <c r="H4649" s="27"/>
      <c r="I4649" s="27"/>
    </row>
    <row r="4650" spans="1:9" x14ac:dyDescent="0.35">
      <c r="A4650" s="27"/>
      <c r="B4650" s="27"/>
      <c r="C4650" s="27"/>
      <c r="D4650" s="27"/>
      <c r="E4650" s="27"/>
      <c r="F4650" s="27"/>
      <c r="G4650" s="27"/>
      <c r="H4650" s="27"/>
      <c r="I4650" s="27"/>
    </row>
    <row r="4651" spans="1:9" x14ac:dyDescent="0.35">
      <c r="A4651" s="27"/>
      <c r="B4651" s="27"/>
      <c r="C4651" s="27"/>
      <c r="D4651" s="27"/>
      <c r="E4651" s="27"/>
      <c r="F4651" s="27"/>
      <c r="G4651" s="27"/>
      <c r="H4651" s="27"/>
      <c r="I4651" s="27"/>
    </row>
    <row r="4652" spans="1:9" x14ac:dyDescent="0.35">
      <c r="A4652" s="27"/>
      <c r="B4652" s="27"/>
      <c r="C4652" s="27"/>
      <c r="D4652" s="27"/>
      <c r="E4652" s="27"/>
      <c r="F4652" s="27"/>
      <c r="G4652" s="27"/>
      <c r="H4652" s="27"/>
      <c r="I4652" s="27"/>
    </row>
    <row r="4653" spans="1:9" x14ac:dyDescent="0.35">
      <c r="A4653" s="27"/>
      <c r="B4653" s="27"/>
      <c r="C4653" s="27"/>
      <c r="D4653" s="27"/>
      <c r="E4653" s="27"/>
      <c r="F4653" s="27"/>
      <c r="G4653" s="27"/>
      <c r="H4653" s="27"/>
      <c r="I4653" s="27"/>
    </row>
    <row r="4654" spans="1:9" x14ac:dyDescent="0.35">
      <c r="A4654" s="27"/>
      <c r="B4654" s="27"/>
      <c r="C4654" s="27"/>
      <c r="D4654" s="27"/>
      <c r="E4654" s="27"/>
      <c r="F4654" s="27"/>
      <c r="G4654" s="27"/>
      <c r="H4654" s="27"/>
      <c r="I4654" s="27"/>
    </row>
    <row r="4655" spans="1:9" x14ac:dyDescent="0.35">
      <c r="A4655" s="27"/>
      <c r="B4655" s="27"/>
      <c r="C4655" s="27"/>
      <c r="D4655" s="27"/>
      <c r="E4655" s="27"/>
      <c r="F4655" s="27"/>
      <c r="G4655" s="27"/>
      <c r="H4655" s="27"/>
      <c r="I4655" s="27"/>
    </row>
    <row r="4656" spans="1:9" x14ac:dyDescent="0.35">
      <c r="A4656" s="27"/>
      <c r="B4656" s="27"/>
      <c r="C4656" s="27"/>
      <c r="D4656" s="27"/>
      <c r="E4656" s="27"/>
      <c r="F4656" s="27"/>
      <c r="G4656" s="27"/>
      <c r="H4656" s="27"/>
      <c r="I4656" s="27"/>
    </row>
    <row r="4657" spans="1:9" x14ac:dyDescent="0.35">
      <c r="A4657" s="27"/>
      <c r="B4657" s="27"/>
      <c r="C4657" s="27"/>
      <c r="D4657" s="27"/>
      <c r="E4657" s="27"/>
      <c r="F4657" s="27"/>
      <c r="G4657" s="27"/>
      <c r="H4657" s="27"/>
      <c r="I4657" s="27"/>
    </row>
    <row r="4658" spans="1:9" x14ac:dyDescent="0.35">
      <c r="A4658" s="27"/>
      <c r="B4658" s="27"/>
      <c r="C4658" s="27"/>
      <c r="D4658" s="27"/>
      <c r="E4658" s="27"/>
      <c r="F4658" s="27"/>
      <c r="G4658" s="27"/>
      <c r="H4658" s="27"/>
      <c r="I4658" s="27"/>
    </row>
    <row r="4659" spans="1:9" x14ac:dyDescent="0.35">
      <c r="A4659" s="27"/>
      <c r="B4659" s="27"/>
      <c r="C4659" s="27"/>
      <c r="D4659" s="27"/>
      <c r="E4659" s="27"/>
      <c r="F4659" s="27"/>
      <c r="G4659" s="27"/>
      <c r="H4659" s="27"/>
      <c r="I4659" s="27"/>
    </row>
    <row r="4660" spans="1:9" x14ac:dyDescent="0.35">
      <c r="A4660" s="27"/>
      <c r="B4660" s="27"/>
      <c r="C4660" s="27"/>
      <c r="D4660" s="27"/>
      <c r="E4660" s="27"/>
      <c r="F4660" s="27"/>
      <c r="G4660" s="27"/>
      <c r="H4660" s="27"/>
      <c r="I4660" s="27"/>
    </row>
    <row r="4661" spans="1:9" x14ac:dyDescent="0.35">
      <c r="A4661" s="27"/>
      <c r="B4661" s="27"/>
      <c r="C4661" s="27"/>
      <c r="D4661" s="27"/>
      <c r="E4661" s="27"/>
      <c r="F4661" s="27"/>
      <c r="G4661" s="27"/>
      <c r="H4661" s="27"/>
      <c r="I4661" s="27"/>
    </row>
    <row r="4662" spans="1:9" x14ac:dyDescent="0.35">
      <c r="A4662" s="27"/>
      <c r="B4662" s="27"/>
      <c r="C4662" s="27"/>
      <c r="D4662" s="27"/>
      <c r="E4662" s="27"/>
      <c r="F4662" s="27"/>
      <c r="G4662" s="27"/>
      <c r="H4662" s="27"/>
      <c r="I4662" s="27"/>
    </row>
    <row r="4663" spans="1:9" x14ac:dyDescent="0.35">
      <c r="A4663" s="27"/>
      <c r="B4663" s="27"/>
      <c r="C4663" s="27"/>
      <c r="D4663" s="27"/>
      <c r="E4663" s="27"/>
      <c r="F4663" s="27"/>
      <c r="G4663" s="27"/>
      <c r="H4663" s="27"/>
      <c r="I4663" s="27"/>
    </row>
    <row r="4664" spans="1:9" x14ac:dyDescent="0.35">
      <c r="A4664" s="27"/>
      <c r="B4664" s="27"/>
      <c r="C4664" s="27"/>
      <c r="D4664" s="27"/>
      <c r="E4664" s="27"/>
      <c r="F4664" s="27"/>
      <c r="G4664" s="27"/>
      <c r="H4664" s="27"/>
      <c r="I4664" s="27"/>
    </row>
    <row r="4665" spans="1:9" x14ac:dyDescent="0.35">
      <c r="A4665" s="27"/>
      <c r="B4665" s="27"/>
      <c r="C4665" s="27"/>
      <c r="D4665" s="27"/>
      <c r="E4665" s="27"/>
      <c r="F4665" s="27"/>
      <c r="G4665" s="27"/>
      <c r="H4665" s="27"/>
      <c r="I4665" s="27"/>
    </row>
    <row r="4666" spans="1:9" x14ac:dyDescent="0.35">
      <c r="A4666" s="27"/>
      <c r="B4666" s="27"/>
      <c r="C4666" s="27"/>
      <c r="D4666" s="27"/>
      <c r="E4666" s="27"/>
      <c r="F4666" s="27"/>
      <c r="G4666" s="27"/>
      <c r="H4666" s="27"/>
      <c r="I4666" s="27"/>
    </row>
    <row r="4667" spans="1:9" x14ac:dyDescent="0.35">
      <c r="A4667" s="27"/>
      <c r="B4667" s="27"/>
      <c r="C4667" s="27"/>
      <c r="D4667" s="27"/>
      <c r="E4667" s="27"/>
      <c r="F4667" s="27"/>
      <c r="G4667" s="27"/>
      <c r="H4667" s="27"/>
      <c r="I4667" s="27"/>
    </row>
    <row r="4668" spans="1:9" x14ac:dyDescent="0.35">
      <c r="A4668" s="27"/>
      <c r="B4668" s="27"/>
      <c r="C4668" s="27"/>
      <c r="D4668" s="27"/>
      <c r="E4668" s="27"/>
      <c r="F4668" s="27"/>
      <c r="G4668" s="27"/>
      <c r="H4668" s="27"/>
      <c r="I4668" s="27"/>
    </row>
    <row r="4669" spans="1:9" x14ac:dyDescent="0.35">
      <c r="A4669" s="27"/>
      <c r="B4669" s="27"/>
      <c r="C4669" s="27"/>
      <c r="D4669" s="27"/>
      <c r="E4669" s="27"/>
      <c r="F4669" s="27"/>
      <c r="G4669" s="27"/>
      <c r="H4669" s="27"/>
      <c r="I4669" s="27"/>
    </row>
    <row r="4670" spans="1:9" x14ac:dyDescent="0.35">
      <c r="A4670" s="27"/>
      <c r="B4670" s="27"/>
      <c r="C4670" s="27"/>
      <c r="D4670" s="27"/>
      <c r="E4670" s="27"/>
      <c r="F4670" s="27"/>
      <c r="G4670" s="27"/>
      <c r="H4670" s="27"/>
      <c r="I4670" s="27"/>
    </row>
    <row r="4671" spans="1:9" x14ac:dyDescent="0.35">
      <c r="A4671" s="27"/>
      <c r="B4671" s="27"/>
      <c r="C4671" s="27"/>
      <c r="D4671" s="27"/>
      <c r="E4671" s="27"/>
      <c r="F4671" s="27"/>
      <c r="G4671" s="27"/>
      <c r="H4671" s="27"/>
      <c r="I4671" s="27"/>
    </row>
    <row r="4672" spans="1:9" x14ac:dyDescent="0.35">
      <c r="A4672" s="27"/>
      <c r="B4672" s="27"/>
      <c r="C4672" s="27"/>
      <c r="D4672" s="27"/>
      <c r="E4672" s="27"/>
      <c r="F4672" s="27"/>
      <c r="G4672" s="27"/>
      <c r="H4672" s="27"/>
      <c r="I4672" s="27"/>
    </row>
    <row r="4673" spans="1:9" x14ac:dyDescent="0.35">
      <c r="A4673" s="27"/>
      <c r="B4673" s="27"/>
      <c r="C4673" s="27"/>
      <c r="D4673" s="27"/>
      <c r="E4673" s="27"/>
      <c r="F4673" s="27"/>
      <c r="G4673" s="27"/>
      <c r="H4673" s="27"/>
      <c r="I4673" s="27"/>
    </row>
    <row r="4674" spans="1:9" x14ac:dyDescent="0.35">
      <c r="A4674" s="27"/>
      <c r="B4674" s="27"/>
      <c r="C4674" s="27"/>
      <c r="D4674" s="27"/>
      <c r="E4674" s="27"/>
      <c r="F4674" s="27"/>
      <c r="G4674" s="27"/>
      <c r="H4674" s="27"/>
      <c r="I4674" s="27"/>
    </row>
    <row r="4675" spans="1:9" x14ac:dyDescent="0.35">
      <c r="A4675" s="27"/>
      <c r="B4675" s="27"/>
      <c r="C4675" s="27"/>
      <c r="D4675" s="27"/>
      <c r="E4675" s="27"/>
      <c r="F4675" s="27"/>
      <c r="G4675" s="27"/>
      <c r="H4675" s="27"/>
      <c r="I4675" s="27"/>
    </row>
    <row r="4676" spans="1:9" x14ac:dyDescent="0.35">
      <c r="A4676" s="27"/>
      <c r="B4676" s="27"/>
      <c r="C4676" s="27"/>
      <c r="D4676" s="27"/>
      <c r="E4676" s="27"/>
      <c r="F4676" s="27"/>
      <c r="G4676" s="27"/>
      <c r="H4676" s="27"/>
      <c r="I4676" s="27"/>
    </row>
    <row r="4677" spans="1:9" x14ac:dyDescent="0.35">
      <c r="A4677" s="27"/>
      <c r="B4677" s="27"/>
      <c r="C4677" s="27"/>
      <c r="D4677" s="27"/>
      <c r="E4677" s="27"/>
      <c r="F4677" s="27"/>
      <c r="G4677" s="27"/>
      <c r="H4677" s="27"/>
      <c r="I4677" s="27"/>
    </row>
    <row r="4678" spans="1:9" x14ac:dyDescent="0.35">
      <c r="A4678" s="27"/>
      <c r="B4678" s="27"/>
      <c r="C4678" s="27"/>
      <c r="D4678" s="27"/>
      <c r="E4678" s="27"/>
      <c r="F4678" s="27"/>
      <c r="G4678" s="27"/>
      <c r="H4678" s="27"/>
      <c r="I4678" s="27"/>
    </row>
    <row r="4679" spans="1:9" x14ac:dyDescent="0.35">
      <c r="A4679" s="27"/>
      <c r="B4679" s="27"/>
      <c r="C4679" s="27"/>
      <c r="D4679" s="27"/>
      <c r="E4679" s="27"/>
      <c r="F4679" s="27"/>
      <c r="G4679" s="27"/>
      <c r="H4679" s="27"/>
      <c r="I4679" s="27"/>
    </row>
    <row r="4680" spans="1:9" x14ac:dyDescent="0.35">
      <c r="A4680" s="27"/>
      <c r="B4680" s="27"/>
      <c r="C4680" s="27"/>
      <c r="D4680" s="27"/>
      <c r="E4680" s="27"/>
      <c r="F4680" s="27"/>
      <c r="G4680" s="27"/>
      <c r="H4680" s="27"/>
      <c r="I4680" s="27"/>
    </row>
    <row r="4681" spans="1:9" x14ac:dyDescent="0.35">
      <c r="A4681" s="27"/>
      <c r="B4681" s="27"/>
      <c r="C4681" s="27"/>
      <c r="D4681" s="27"/>
      <c r="E4681" s="27"/>
      <c r="F4681" s="27"/>
      <c r="G4681" s="27"/>
      <c r="H4681" s="27"/>
      <c r="I4681" s="27"/>
    </row>
    <row r="4682" spans="1:9" x14ac:dyDescent="0.35">
      <c r="A4682" s="27"/>
      <c r="B4682" s="27"/>
      <c r="C4682" s="27"/>
      <c r="D4682" s="27"/>
      <c r="E4682" s="27"/>
      <c r="F4682" s="27"/>
      <c r="G4682" s="27"/>
      <c r="H4682" s="27"/>
      <c r="I4682" s="27"/>
    </row>
    <row r="4683" spans="1:9" x14ac:dyDescent="0.35">
      <c r="A4683" s="27"/>
      <c r="B4683" s="27"/>
      <c r="C4683" s="27"/>
      <c r="D4683" s="27"/>
      <c r="E4683" s="27"/>
      <c r="F4683" s="27"/>
      <c r="G4683" s="27"/>
      <c r="H4683" s="27"/>
      <c r="I4683" s="27"/>
    </row>
    <row r="4684" spans="1:9" x14ac:dyDescent="0.35">
      <c r="A4684" s="27"/>
      <c r="B4684" s="27"/>
      <c r="C4684" s="27"/>
      <c r="D4684" s="27"/>
      <c r="E4684" s="27"/>
      <c r="F4684" s="27"/>
      <c r="G4684" s="27"/>
      <c r="H4684" s="27"/>
      <c r="I4684" s="27"/>
    </row>
    <row r="4685" spans="1:9" x14ac:dyDescent="0.35">
      <c r="A4685" s="27"/>
      <c r="B4685" s="27"/>
      <c r="C4685" s="27"/>
      <c r="D4685" s="27"/>
      <c r="E4685" s="27"/>
      <c r="F4685" s="27"/>
      <c r="G4685" s="27"/>
      <c r="H4685" s="27"/>
      <c r="I4685" s="27"/>
    </row>
    <row r="4686" spans="1:9" x14ac:dyDescent="0.35">
      <c r="A4686" s="27"/>
      <c r="B4686" s="27"/>
      <c r="C4686" s="27"/>
      <c r="D4686" s="27"/>
      <c r="E4686" s="27"/>
      <c r="F4686" s="27"/>
      <c r="G4686" s="27"/>
      <c r="H4686" s="27"/>
      <c r="I4686" s="27"/>
    </row>
    <row r="4687" spans="1:9" x14ac:dyDescent="0.35">
      <c r="A4687" s="27"/>
      <c r="B4687" s="27"/>
      <c r="C4687" s="27"/>
      <c r="D4687" s="27"/>
      <c r="E4687" s="27"/>
      <c r="F4687" s="27"/>
      <c r="G4687" s="27"/>
      <c r="H4687" s="27"/>
      <c r="I4687" s="27"/>
    </row>
    <row r="4688" spans="1:9" x14ac:dyDescent="0.35">
      <c r="A4688" s="27"/>
      <c r="B4688" s="27"/>
      <c r="C4688" s="27"/>
      <c r="D4688" s="27"/>
      <c r="E4688" s="27"/>
      <c r="F4688" s="27"/>
      <c r="G4688" s="27"/>
      <c r="H4688" s="27"/>
      <c r="I4688" s="27"/>
    </row>
    <row r="4689" spans="1:9" x14ac:dyDescent="0.35">
      <c r="A4689" s="27"/>
      <c r="B4689" s="27"/>
      <c r="C4689" s="27"/>
      <c r="D4689" s="27"/>
      <c r="E4689" s="27"/>
      <c r="F4689" s="27"/>
      <c r="G4689" s="27"/>
      <c r="H4689" s="27"/>
      <c r="I4689" s="27"/>
    </row>
    <row r="4690" spans="1:9" x14ac:dyDescent="0.35">
      <c r="A4690" s="27"/>
      <c r="B4690" s="27"/>
      <c r="C4690" s="27"/>
      <c r="D4690" s="27"/>
      <c r="E4690" s="27"/>
      <c r="F4690" s="27"/>
      <c r="G4690" s="27"/>
      <c r="H4690" s="27"/>
      <c r="I4690" s="27"/>
    </row>
    <row r="4691" spans="1:9" x14ac:dyDescent="0.35">
      <c r="A4691" s="27"/>
      <c r="B4691" s="27"/>
      <c r="C4691" s="27"/>
      <c r="D4691" s="27"/>
      <c r="E4691" s="27"/>
      <c r="F4691" s="27"/>
      <c r="G4691" s="27"/>
      <c r="H4691" s="27"/>
      <c r="I4691" s="27"/>
    </row>
    <row r="4692" spans="1:9" x14ac:dyDescent="0.35">
      <c r="A4692" s="27"/>
      <c r="B4692" s="27"/>
      <c r="C4692" s="27"/>
      <c r="D4692" s="27"/>
      <c r="E4692" s="27"/>
      <c r="F4692" s="27"/>
      <c r="G4692" s="27"/>
      <c r="H4692" s="27"/>
      <c r="I4692" s="27"/>
    </row>
    <row r="4693" spans="1:9" x14ac:dyDescent="0.35">
      <c r="A4693" s="27"/>
      <c r="B4693" s="27"/>
      <c r="C4693" s="27"/>
      <c r="D4693" s="27"/>
      <c r="E4693" s="27"/>
      <c r="F4693" s="27"/>
      <c r="G4693" s="27"/>
      <c r="H4693" s="27"/>
      <c r="I4693" s="27"/>
    </row>
    <row r="4694" spans="1:9" x14ac:dyDescent="0.35">
      <c r="A4694" s="27"/>
      <c r="B4694" s="27"/>
      <c r="C4694" s="27"/>
      <c r="D4694" s="27"/>
      <c r="E4694" s="27"/>
      <c r="F4694" s="27"/>
      <c r="G4694" s="27"/>
      <c r="H4694" s="27"/>
      <c r="I4694" s="27"/>
    </row>
    <row r="4695" spans="1:9" x14ac:dyDescent="0.35">
      <c r="A4695" s="27"/>
      <c r="B4695" s="27"/>
      <c r="C4695" s="27"/>
      <c r="D4695" s="27"/>
      <c r="E4695" s="27"/>
      <c r="F4695" s="27"/>
      <c r="G4695" s="27"/>
      <c r="H4695" s="27"/>
      <c r="I4695" s="27"/>
    </row>
    <row r="4696" spans="1:9" x14ac:dyDescent="0.35">
      <c r="A4696" s="27"/>
      <c r="B4696" s="27"/>
      <c r="C4696" s="27"/>
      <c r="D4696" s="27"/>
      <c r="E4696" s="27"/>
      <c r="F4696" s="27"/>
      <c r="G4696" s="27"/>
      <c r="H4696" s="27"/>
      <c r="I4696" s="27"/>
    </row>
    <row r="4697" spans="1:9" x14ac:dyDescent="0.35">
      <c r="A4697" s="27"/>
      <c r="B4697" s="27"/>
      <c r="C4697" s="27"/>
      <c r="D4697" s="27"/>
      <c r="E4697" s="27"/>
      <c r="F4697" s="27"/>
      <c r="G4697" s="27"/>
      <c r="H4697" s="27"/>
      <c r="I4697" s="27"/>
    </row>
    <row r="4698" spans="1:9" x14ac:dyDescent="0.35">
      <c r="A4698" s="27"/>
      <c r="B4698" s="27"/>
      <c r="C4698" s="27"/>
      <c r="D4698" s="27"/>
      <c r="E4698" s="27"/>
      <c r="F4698" s="27"/>
      <c r="G4698" s="27"/>
      <c r="H4698" s="27"/>
      <c r="I4698" s="27"/>
    </row>
    <row r="4699" spans="1:9" x14ac:dyDescent="0.35">
      <c r="A4699" s="27"/>
      <c r="B4699" s="27"/>
      <c r="C4699" s="27"/>
      <c r="D4699" s="27"/>
      <c r="E4699" s="27"/>
      <c r="F4699" s="27"/>
      <c r="G4699" s="27"/>
      <c r="H4699" s="27"/>
      <c r="I4699" s="27"/>
    </row>
    <row r="4700" spans="1:9" x14ac:dyDescent="0.35">
      <c r="A4700" s="27"/>
      <c r="B4700" s="27"/>
      <c r="C4700" s="27"/>
      <c r="D4700" s="27"/>
      <c r="E4700" s="27"/>
      <c r="F4700" s="27"/>
      <c r="G4700" s="27"/>
      <c r="H4700" s="27"/>
      <c r="I4700" s="27"/>
    </row>
    <row r="4701" spans="1:9" x14ac:dyDescent="0.35">
      <c r="A4701" s="27"/>
      <c r="B4701" s="27"/>
      <c r="C4701" s="27"/>
      <c r="D4701" s="27"/>
      <c r="E4701" s="27"/>
      <c r="F4701" s="27"/>
      <c r="G4701" s="27"/>
      <c r="H4701" s="27"/>
      <c r="I4701" s="27"/>
    </row>
    <row r="4702" spans="1:9" x14ac:dyDescent="0.35">
      <c r="A4702" s="27"/>
      <c r="B4702" s="27"/>
      <c r="C4702" s="27"/>
      <c r="D4702" s="27"/>
      <c r="E4702" s="27"/>
      <c r="F4702" s="27"/>
      <c r="G4702" s="27"/>
      <c r="H4702" s="27"/>
      <c r="I4702" s="27"/>
    </row>
    <row r="4703" spans="1:9" x14ac:dyDescent="0.35">
      <c r="A4703" s="27"/>
      <c r="B4703" s="27"/>
      <c r="C4703" s="27"/>
      <c r="D4703" s="27"/>
      <c r="E4703" s="27"/>
      <c r="F4703" s="27"/>
      <c r="G4703" s="27"/>
      <c r="H4703" s="27"/>
      <c r="I4703" s="27"/>
    </row>
    <row r="4704" spans="1:9" x14ac:dyDescent="0.35">
      <c r="A4704" s="27"/>
      <c r="B4704" s="27"/>
      <c r="C4704" s="27"/>
      <c r="D4704" s="27"/>
      <c r="E4704" s="27"/>
      <c r="F4704" s="27"/>
      <c r="G4704" s="27"/>
      <c r="H4704" s="27"/>
      <c r="I4704" s="27"/>
    </row>
    <row r="4705" spans="1:9" x14ac:dyDescent="0.35">
      <c r="A4705" s="27"/>
      <c r="B4705" s="27"/>
      <c r="C4705" s="27"/>
      <c r="D4705" s="27"/>
      <c r="E4705" s="27"/>
      <c r="F4705" s="27"/>
      <c r="G4705" s="27"/>
      <c r="H4705" s="27"/>
      <c r="I4705" s="27"/>
    </row>
    <row r="4706" spans="1:9" x14ac:dyDescent="0.35">
      <c r="A4706" s="27"/>
      <c r="B4706" s="27"/>
      <c r="C4706" s="27"/>
      <c r="D4706" s="27"/>
      <c r="E4706" s="27"/>
      <c r="F4706" s="27"/>
      <c r="G4706" s="27"/>
      <c r="H4706" s="27"/>
      <c r="I4706" s="27"/>
    </row>
    <row r="4707" spans="1:9" x14ac:dyDescent="0.35">
      <c r="A4707" s="27"/>
      <c r="B4707" s="27"/>
      <c r="C4707" s="27"/>
      <c r="D4707" s="27"/>
      <c r="E4707" s="27"/>
      <c r="F4707" s="27"/>
      <c r="G4707" s="27"/>
      <c r="H4707" s="27"/>
      <c r="I4707" s="27"/>
    </row>
    <row r="4708" spans="1:9" x14ac:dyDescent="0.35">
      <c r="A4708" s="27"/>
      <c r="B4708" s="27"/>
      <c r="C4708" s="27"/>
      <c r="D4708" s="27"/>
      <c r="E4708" s="27"/>
      <c r="F4708" s="27"/>
      <c r="G4708" s="27"/>
      <c r="H4708" s="27"/>
      <c r="I4708" s="27"/>
    </row>
    <row r="4709" spans="1:9" x14ac:dyDescent="0.35">
      <c r="A4709" s="27"/>
      <c r="B4709" s="27"/>
      <c r="C4709" s="27"/>
      <c r="D4709" s="27"/>
      <c r="E4709" s="27"/>
      <c r="F4709" s="27"/>
      <c r="G4709" s="27"/>
      <c r="H4709" s="27"/>
      <c r="I4709" s="27"/>
    </row>
    <row r="4710" spans="1:9" x14ac:dyDescent="0.35">
      <c r="A4710" s="27"/>
      <c r="B4710" s="27"/>
      <c r="C4710" s="27"/>
      <c r="D4710" s="27"/>
      <c r="E4710" s="27"/>
      <c r="F4710" s="27"/>
      <c r="G4710" s="27"/>
      <c r="H4710" s="27"/>
      <c r="I4710" s="27"/>
    </row>
    <row r="4711" spans="1:9" x14ac:dyDescent="0.35">
      <c r="A4711" s="27"/>
      <c r="B4711" s="27"/>
      <c r="C4711" s="27"/>
      <c r="D4711" s="27"/>
      <c r="E4711" s="27"/>
      <c r="F4711" s="27"/>
      <c r="G4711" s="27"/>
      <c r="H4711" s="27"/>
      <c r="I4711" s="27"/>
    </row>
    <row r="4712" spans="1:9" x14ac:dyDescent="0.35">
      <c r="A4712" s="27"/>
      <c r="B4712" s="27"/>
      <c r="C4712" s="27"/>
      <c r="D4712" s="27"/>
      <c r="E4712" s="27"/>
      <c r="F4712" s="27"/>
      <c r="G4712" s="27"/>
      <c r="H4712" s="27"/>
      <c r="I4712" s="27"/>
    </row>
    <row r="4713" spans="1:9" x14ac:dyDescent="0.35">
      <c r="A4713" s="27"/>
      <c r="B4713" s="27"/>
      <c r="C4713" s="27"/>
      <c r="D4713" s="27"/>
      <c r="E4713" s="27"/>
      <c r="F4713" s="27"/>
      <c r="G4713" s="27"/>
      <c r="H4713" s="27"/>
      <c r="I4713" s="27"/>
    </row>
    <row r="4714" spans="1:9" x14ac:dyDescent="0.35">
      <c r="A4714" s="27"/>
      <c r="B4714" s="27"/>
      <c r="C4714" s="27"/>
      <c r="D4714" s="27"/>
      <c r="E4714" s="27"/>
      <c r="F4714" s="27"/>
      <c r="G4714" s="27"/>
      <c r="H4714" s="27"/>
      <c r="I4714" s="27"/>
    </row>
    <row r="4715" spans="1:9" x14ac:dyDescent="0.35">
      <c r="A4715" s="27"/>
      <c r="B4715" s="27"/>
      <c r="C4715" s="27"/>
      <c r="D4715" s="27"/>
      <c r="E4715" s="27"/>
      <c r="F4715" s="27"/>
      <c r="G4715" s="27"/>
      <c r="H4715" s="27"/>
      <c r="I4715" s="27"/>
    </row>
    <row r="4716" spans="1:9" x14ac:dyDescent="0.35">
      <c r="A4716" s="27"/>
      <c r="B4716" s="27"/>
      <c r="C4716" s="27"/>
      <c r="D4716" s="27"/>
      <c r="E4716" s="27"/>
      <c r="F4716" s="27"/>
      <c r="G4716" s="27"/>
      <c r="H4716" s="27"/>
      <c r="I4716" s="27"/>
    </row>
    <row r="4717" spans="1:9" x14ac:dyDescent="0.35">
      <c r="A4717" s="27"/>
      <c r="B4717" s="27"/>
      <c r="C4717" s="27"/>
      <c r="D4717" s="27"/>
      <c r="E4717" s="27"/>
      <c r="F4717" s="27"/>
      <c r="G4717" s="27"/>
      <c r="H4717" s="27"/>
      <c r="I4717" s="27"/>
    </row>
    <row r="4718" spans="1:9" x14ac:dyDescent="0.35">
      <c r="A4718" s="27"/>
      <c r="B4718" s="27"/>
      <c r="C4718" s="27"/>
      <c r="D4718" s="27"/>
      <c r="E4718" s="27"/>
      <c r="F4718" s="27"/>
      <c r="G4718" s="27"/>
      <c r="H4718" s="27"/>
      <c r="I4718" s="27"/>
    </row>
    <row r="4719" spans="1:9" x14ac:dyDescent="0.35">
      <c r="A4719" s="27"/>
      <c r="B4719" s="27"/>
      <c r="C4719" s="27"/>
      <c r="D4719" s="27"/>
      <c r="E4719" s="27"/>
      <c r="F4719" s="27"/>
      <c r="G4719" s="27"/>
      <c r="H4719" s="27"/>
      <c r="I4719" s="27"/>
    </row>
    <row r="4720" spans="1:9" x14ac:dyDescent="0.35">
      <c r="A4720" s="27"/>
      <c r="B4720" s="27"/>
      <c r="C4720" s="27"/>
      <c r="D4720" s="27"/>
      <c r="E4720" s="27"/>
      <c r="F4720" s="27"/>
      <c r="G4720" s="27"/>
      <c r="H4720" s="27"/>
      <c r="I4720" s="27"/>
    </row>
    <row r="4721" spans="1:9" x14ac:dyDescent="0.35">
      <c r="A4721" s="27"/>
      <c r="B4721" s="27"/>
      <c r="C4721" s="27"/>
      <c r="D4721" s="27"/>
      <c r="E4721" s="27"/>
      <c r="F4721" s="27"/>
      <c r="G4721" s="27"/>
      <c r="H4721" s="27"/>
      <c r="I4721" s="27"/>
    </row>
    <row r="4722" spans="1:9" x14ac:dyDescent="0.35">
      <c r="A4722" s="27"/>
      <c r="B4722" s="27"/>
      <c r="C4722" s="27"/>
      <c r="D4722" s="27"/>
      <c r="E4722" s="27"/>
      <c r="F4722" s="27"/>
      <c r="G4722" s="27"/>
      <c r="H4722" s="27"/>
      <c r="I4722" s="27"/>
    </row>
    <row r="4723" spans="1:9" x14ac:dyDescent="0.35">
      <c r="A4723" s="27"/>
      <c r="B4723" s="27"/>
      <c r="C4723" s="27"/>
      <c r="D4723" s="27"/>
      <c r="E4723" s="27"/>
      <c r="F4723" s="27"/>
      <c r="G4723" s="27"/>
      <c r="H4723" s="27"/>
      <c r="I4723" s="27"/>
    </row>
    <row r="4724" spans="1:9" x14ac:dyDescent="0.35">
      <c r="A4724" s="27"/>
      <c r="B4724" s="27"/>
      <c r="C4724" s="27"/>
      <c r="D4724" s="27"/>
      <c r="E4724" s="27"/>
      <c r="F4724" s="27"/>
      <c r="G4724" s="27"/>
      <c r="H4724" s="27"/>
      <c r="I4724" s="27"/>
    </row>
    <row r="4725" spans="1:9" x14ac:dyDescent="0.35">
      <c r="A4725" s="27"/>
      <c r="B4725" s="27"/>
      <c r="C4725" s="27"/>
      <c r="D4725" s="27"/>
      <c r="E4725" s="27"/>
      <c r="F4725" s="27"/>
      <c r="G4725" s="27"/>
      <c r="H4725" s="27"/>
      <c r="I4725" s="27"/>
    </row>
    <row r="4726" spans="1:9" x14ac:dyDescent="0.35">
      <c r="A4726" s="27"/>
      <c r="B4726" s="27"/>
      <c r="C4726" s="27"/>
      <c r="D4726" s="27"/>
      <c r="E4726" s="27"/>
      <c r="F4726" s="27"/>
      <c r="G4726" s="27"/>
      <c r="H4726" s="27"/>
      <c r="I4726" s="27"/>
    </row>
    <row r="4727" spans="1:9" x14ac:dyDescent="0.35">
      <c r="A4727" s="27"/>
      <c r="B4727" s="27"/>
      <c r="C4727" s="27"/>
      <c r="D4727" s="27"/>
      <c r="E4727" s="27"/>
      <c r="F4727" s="27"/>
      <c r="G4727" s="27"/>
      <c r="H4727" s="27"/>
      <c r="I4727" s="27"/>
    </row>
    <row r="4728" spans="1:9" x14ac:dyDescent="0.35">
      <c r="A4728" s="27"/>
      <c r="B4728" s="27"/>
      <c r="C4728" s="27"/>
      <c r="D4728" s="27"/>
      <c r="E4728" s="27"/>
      <c r="F4728" s="27"/>
      <c r="G4728" s="27"/>
      <c r="H4728" s="27"/>
      <c r="I4728" s="27"/>
    </row>
    <row r="4729" spans="1:9" x14ac:dyDescent="0.35">
      <c r="A4729" s="27"/>
      <c r="B4729" s="27"/>
      <c r="C4729" s="27"/>
      <c r="D4729" s="27"/>
      <c r="E4729" s="27"/>
      <c r="F4729" s="27"/>
      <c r="G4729" s="27"/>
      <c r="H4729" s="27"/>
      <c r="I4729" s="27"/>
    </row>
    <row r="4730" spans="1:9" x14ac:dyDescent="0.35">
      <c r="A4730" s="27"/>
      <c r="B4730" s="27"/>
      <c r="C4730" s="27"/>
      <c r="D4730" s="27"/>
      <c r="E4730" s="27"/>
      <c r="F4730" s="27"/>
      <c r="G4730" s="27"/>
      <c r="H4730" s="27"/>
      <c r="I4730" s="27"/>
    </row>
    <row r="4731" spans="1:9" x14ac:dyDescent="0.35">
      <c r="A4731" s="27"/>
      <c r="B4731" s="27"/>
      <c r="C4731" s="27"/>
      <c r="D4731" s="27"/>
      <c r="E4731" s="27"/>
      <c r="F4731" s="27"/>
      <c r="G4731" s="27"/>
      <c r="H4731" s="27"/>
      <c r="I4731" s="27"/>
    </row>
    <row r="4732" spans="1:9" x14ac:dyDescent="0.35">
      <c r="A4732" s="27"/>
      <c r="B4732" s="27"/>
      <c r="C4732" s="27"/>
      <c r="D4732" s="27"/>
      <c r="E4732" s="27"/>
      <c r="F4732" s="27"/>
      <c r="G4732" s="27"/>
      <c r="H4732" s="27"/>
      <c r="I4732" s="27"/>
    </row>
    <row r="4733" spans="1:9" x14ac:dyDescent="0.35">
      <c r="A4733" s="27"/>
      <c r="B4733" s="27"/>
      <c r="C4733" s="27"/>
      <c r="D4733" s="27"/>
      <c r="E4733" s="27"/>
      <c r="F4733" s="27"/>
      <c r="G4733" s="27"/>
      <c r="H4733" s="27"/>
      <c r="I4733" s="27"/>
    </row>
    <row r="4734" spans="1:9" x14ac:dyDescent="0.35">
      <c r="A4734" s="27"/>
      <c r="B4734" s="27"/>
      <c r="C4734" s="27"/>
      <c r="D4734" s="27"/>
      <c r="E4734" s="27"/>
      <c r="F4734" s="27"/>
      <c r="G4734" s="27"/>
      <c r="H4734" s="27"/>
      <c r="I4734" s="27"/>
    </row>
    <row r="4735" spans="1:9" x14ac:dyDescent="0.35">
      <c r="A4735" s="27"/>
      <c r="B4735" s="27"/>
      <c r="C4735" s="27"/>
      <c r="D4735" s="27"/>
      <c r="E4735" s="27"/>
      <c r="F4735" s="27"/>
      <c r="G4735" s="27"/>
      <c r="H4735" s="27"/>
      <c r="I4735" s="27"/>
    </row>
    <row r="4736" spans="1:9" x14ac:dyDescent="0.35">
      <c r="A4736" s="27"/>
      <c r="B4736" s="27"/>
      <c r="C4736" s="27"/>
      <c r="D4736" s="27"/>
      <c r="E4736" s="27"/>
      <c r="F4736" s="27"/>
      <c r="G4736" s="27"/>
      <c r="H4736" s="27"/>
      <c r="I4736" s="27"/>
    </row>
    <row r="4737" spans="1:9" x14ac:dyDescent="0.35">
      <c r="A4737" s="27"/>
      <c r="B4737" s="27"/>
      <c r="C4737" s="27"/>
      <c r="D4737" s="27"/>
      <c r="E4737" s="27"/>
      <c r="F4737" s="27"/>
      <c r="G4737" s="27"/>
      <c r="H4737" s="27"/>
      <c r="I4737" s="27"/>
    </row>
    <row r="4738" spans="1:9" x14ac:dyDescent="0.35">
      <c r="A4738" s="27"/>
      <c r="B4738" s="27"/>
      <c r="C4738" s="27"/>
      <c r="D4738" s="27"/>
      <c r="E4738" s="27"/>
      <c r="F4738" s="27"/>
      <c r="G4738" s="27"/>
      <c r="H4738" s="27"/>
      <c r="I4738" s="27"/>
    </row>
    <row r="4739" spans="1:9" x14ac:dyDescent="0.35">
      <c r="A4739" s="27"/>
      <c r="B4739" s="27"/>
      <c r="C4739" s="27"/>
      <c r="D4739" s="27"/>
      <c r="E4739" s="27"/>
      <c r="F4739" s="27"/>
      <c r="G4739" s="27"/>
      <c r="H4739" s="27"/>
      <c r="I4739" s="27"/>
    </row>
    <row r="4740" spans="1:9" x14ac:dyDescent="0.35">
      <c r="A4740" s="27"/>
      <c r="B4740" s="27"/>
      <c r="C4740" s="27"/>
      <c r="D4740" s="27"/>
      <c r="E4740" s="27"/>
      <c r="F4740" s="27"/>
      <c r="G4740" s="27"/>
      <c r="H4740" s="27"/>
      <c r="I4740" s="27"/>
    </row>
    <row r="4741" spans="1:9" x14ac:dyDescent="0.35">
      <c r="A4741" s="27"/>
      <c r="B4741" s="27"/>
      <c r="C4741" s="27"/>
      <c r="D4741" s="27"/>
      <c r="E4741" s="27"/>
      <c r="F4741" s="27"/>
      <c r="G4741" s="27"/>
      <c r="H4741" s="27"/>
      <c r="I4741" s="27"/>
    </row>
    <row r="4742" spans="1:9" x14ac:dyDescent="0.35">
      <c r="A4742" s="27"/>
      <c r="B4742" s="27"/>
      <c r="C4742" s="27"/>
      <c r="D4742" s="27"/>
      <c r="E4742" s="27"/>
      <c r="F4742" s="27"/>
      <c r="G4742" s="27"/>
      <c r="H4742" s="27"/>
      <c r="I4742" s="27"/>
    </row>
    <row r="4743" spans="1:9" x14ac:dyDescent="0.35">
      <c r="A4743" s="27"/>
      <c r="B4743" s="27"/>
      <c r="C4743" s="27"/>
      <c r="D4743" s="27"/>
      <c r="E4743" s="27"/>
      <c r="F4743" s="27"/>
      <c r="G4743" s="27"/>
      <c r="H4743" s="27"/>
      <c r="I4743" s="27"/>
    </row>
    <row r="4744" spans="1:9" x14ac:dyDescent="0.35">
      <c r="A4744" s="27"/>
      <c r="B4744" s="27"/>
      <c r="C4744" s="27"/>
      <c r="D4744" s="27"/>
      <c r="E4744" s="27"/>
      <c r="F4744" s="27"/>
      <c r="G4744" s="27"/>
      <c r="H4744" s="27"/>
      <c r="I4744" s="27"/>
    </row>
    <row r="4745" spans="1:9" x14ac:dyDescent="0.35">
      <c r="A4745" s="27"/>
      <c r="B4745" s="27"/>
      <c r="C4745" s="27"/>
      <c r="D4745" s="27"/>
      <c r="E4745" s="27"/>
      <c r="F4745" s="27"/>
      <c r="G4745" s="27"/>
      <c r="H4745" s="27"/>
      <c r="I4745" s="27"/>
    </row>
    <row r="4746" spans="1:9" x14ac:dyDescent="0.35">
      <c r="A4746" s="27"/>
      <c r="B4746" s="27"/>
      <c r="C4746" s="27"/>
      <c r="D4746" s="27"/>
      <c r="E4746" s="27"/>
      <c r="F4746" s="27"/>
      <c r="G4746" s="27"/>
      <c r="H4746" s="27"/>
      <c r="I4746" s="27"/>
    </row>
    <row r="4747" spans="1:9" x14ac:dyDescent="0.35">
      <c r="A4747" s="27"/>
      <c r="B4747" s="27"/>
      <c r="C4747" s="27"/>
      <c r="D4747" s="27"/>
      <c r="E4747" s="27"/>
      <c r="F4747" s="27"/>
      <c r="G4747" s="27"/>
      <c r="H4747" s="27"/>
      <c r="I4747" s="27"/>
    </row>
    <row r="4748" spans="1:9" x14ac:dyDescent="0.35">
      <c r="A4748" s="27"/>
      <c r="B4748" s="27"/>
      <c r="C4748" s="27"/>
      <c r="D4748" s="27"/>
      <c r="E4748" s="27"/>
      <c r="F4748" s="27"/>
      <c r="G4748" s="27"/>
      <c r="H4748" s="27"/>
      <c r="I4748" s="27"/>
    </row>
    <row r="4749" spans="1:9" x14ac:dyDescent="0.35">
      <c r="A4749" s="27"/>
      <c r="B4749" s="27"/>
      <c r="C4749" s="27"/>
      <c r="D4749" s="27"/>
      <c r="E4749" s="27"/>
      <c r="F4749" s="27"/>
      <c r="G4749" s="27"/>
      <c r="H4749" s="27"/>
      <c r="I4749" s="27"/>
    </row>
    <row r="4750" spans="1:9" x14ac:dyDescent="0.35">
      <c r="A4750" s="27"/>
      <c r="B4750" s="27"/>
      <c r="C4750" s="27"/>
      <c r="D4750" s="27"/>
      <c r="E4750" s="27"/>
      <c r="F4750" s="27"/>
      <c r="G4750" s="27"/>
      <c r="H4750" s="27"/>
      <c r="I4750" s="27"/>
    </row>
    <row r="4751" spans="1:9" x14ac:dyDescent="0.35">
      <c r="A4751" s="27"/>
      <c r="B4751" s="27"/>
      <c r="C4751" s="27"/>
      <c r="D4751" s="27"/>
      <c r="E4751" s="27"/>
      <c r="F4751" s="27"/>
      <c r="G4751" s="27"/>
      <c r="H4751" s="27"/>
      <c r="I4751" s="27"/>
    </row>
    <row r="4752" spans="1:9" x14ac:dyDescent="0.35">
      <c r="A4752" s="27"/>
      <c r="B4752" s="27"/>
      <c r="C4752" s="27"/>
      <c r="D4752" s="27"/>
      <c r="E4752" s="27"/>
      <c r="F4752" s="27"/>
      <c r="G4752" s="27"/>
      <c r="H4752" s="27"/>
      <c r="I4752" s="27"/>
    </row>
    <row r="4753" spans="1:9" x14ac:dyDescent="0.35">
      <c r="A4753" s="27"/>
      <c r="B4753" s="27"/>
      <c r="C4753" s="27"/>
      <c r="D4753" s="27"/>
      <c r="E4753" s="27"/>
      <c r="F4753" s="27"/>
      <c r="G4753" s="27"/>
      <c r="H4753" s="27"/>
      <c r="I4753" s="27"/>
    </row>
    <row r="4754" spans="1:9" x14ac:dyDescent="0.35">
      <c r="A4754" s="27"/>
      <c r="B4754" s="27"/>
      <c r="C4754" s="27"/>
      <c r="D4754" s="27"/>
      <c r="E4754" s="27"/>
      <c r="F4754" s="27"/>
      <c r="G4754" s="27"/>
      <c r="H4754" s="27"/>
      <c r="I4754" s="27"/>
    </row>
    <row r="4755" spans="1:9" x14ac:dyDescent="0.35">
      <c r="A4755" s="27"/>
      <c r="B4755" s="27"/>
      <c r="C4755" s="27"/>
      <c r="D4755" s="27"/>
      <c r="E4755" s="27"/>
      <c r="F4755" s="27"/>
      <c r="G4755" s="27"/>
      <c r="H4755" s="27"/>
      <c r="I4755" s="27"/>
    </row>
    <row r="4756" spans="1:9" x14ac:dyDescent="0.35">
      <c r="A4756" s="27"/>
      <c r="B4756" s="27"/>
      <c r="C4756" s="27"/>
      <c r="D4756" s="27"/>
      <c r="E4756" s="27"/>
      <c r="F4756" s="27"/>
      <c r="G4756" s="27"/>
      <c r="H4756" s="27"/>
      <c r="I4756" s="27"/>
    </row>
    <row r="4757" spans="1:9" x14ac:dyDescent="0.35">
      <c r="A4757" s="27"/>
      <c r="B4757" s="27"/>
      <c r="C4757" s="27"/>
      <c r="D4757" s="27"/>
      <c r="E4757" s="27"/>
      <c r="F4757" s="27"/>
      <c r="G4757" s="27"/>
      <c r="H4757" s="27"/>
      <c r="I4757" s="27"/>
    </row>
    <row r="4758" spans="1:9" x14ac:dyDescent="0.35">
      <c r="A4758" s="27"/>
      <c r="B4758" s="27"/>
      <c r="C4758" s="27"/>
      <c r="D4758" s="27"/>
      <c r="E4758" s="27"/>
      <c r="F4758" s="27"/>
      <c r="G4758" s="27"/>
      <c r="H4758" s="27"/>
      <c r="I4758" s="27"/>
    </row>
    <row r="4759" spans="1:9" x14ac:dyDescent="0.35">
      <c r="A4759" s="27"/>
      <c r="B4759" s="27"/>
      <c r="C4759" s="27"/>
      <c r="D4759" s="27"/>
      <c r="E4759" s="27"/>
      <c r="F4759" s="27"/>
      <c r="G4759" s="27"/>
      <c r="H4759" s="27"/>
      <c r="I4759" s="27"/>
    </row>
    <row r="4760" spans="1:9" x14ac:dyDescent="0.35">
      <c r="A4760" s="27"/>
      <c r="B4760" s="27"/>
      <c r="C4760" s="27"/>
      <c r="D4760" s="27"/>
      <c r="E4760" s="27"/>
      <c r="F4760" s="27"/>
      <c r="G4760" s="27"/>
      <c r="H4760" s="27"/>
      <c r="I4760" s="27"/>
    </row>
    <row r="4761" spans="1:9" x14ac:dyDescent="0.35">
      <c r="A4761" s="27"/>
      <c r="B4761" s="27"/>
      <c r="C4761" s="27"/>
      <c r="D4761" s="27"/>
      <c r="E4761" s="27"/>
      <c r="F4761" s="27"/>
      <c r="G4761" s="27"/>
      <c r="H4761" s="27"/>
      <c r="I4761" s="27"/>
    </row>
    <row r="4762" spans="1:9" x14ac:dyDescent="0.35">
      <c r="A4762" s="27"/>
      <c r="B4762" s="27"/>
      <c r="C4762" s="27"/>
      <c r="D4762" s="27"/>
      <c r="E4762" s="27"/>
      <c r="F4762" s="27"/>
      <c r="G4762" s="27"/>
      <c r="H4762" s="27"/>
      <c r="I4762" s="27"/>
    </row>
    <row r="4763" spans="1:9" x14ac:dyDescent="0.35">
      <c r="A4763" s="27"/>
      <c r="B4763" s="27"/>
      <c r="C4763" s="27"/>
      <c r="D4763" s="27"/>
      <c r="E4763" s="27"/>
      <c r="F4763" s="27"/>
      <c r="G4763" s="27"/>
      <c r="H4763" s="27"/>
      <c r="I4763" s="27"/>
    </row>
    <row r="4764" spans="1:9" x14ac:dyDescent="0.35">
      <c r="A4764" s="27"/>
      <c r="B4764" s="27"/>
      <c r="C4764" s="27"/>
      <c r="D4764" s="27"/>
      <c r="E4764" s="27"/>
      <c r="F4764" s="27"/>
      <c r="G4764" s="27"/>
      <c r="H4764" s="27"/>
      <c r="I4764" s="27"/>
    </row>
    <row r="4765" spans="1:9" x14ac:dyDescent="0.35">
      <c r="A4765" s="27"/>
      <c r="B4765" s="27"/>
      <c r="C4765" s="27"/>
      <c r="D4765" s="27"/>
      <c r="E4765" s="27"/>
      <c r="F4765" s="27"/>
      <c r="G4765" s="27"/>
      <c r="H4765" s="27"/>
      <c r="I4765" s="27"/>
    </row>
    <row r="4766" spans="1:9" x14ac:dyDescent="0.35">
      <c r="A4766" s="27"/>
      <c r="B4766" s="27"/>
      <c r="C4766" s="27"/>
      <c r="D4766" s="27"/>
      <c r="E4766" s="27"/>
      <c r="F4766" s="27"/>
      <c r="G4766" s="27"/>
      <c r="H4766" s="27"/>
      <c r="I4766" s="27"/>
    </row>
    <row r="4767" spans="1:9" x14ac:dyDescent="0.35">
      <c r="A4767" s="27"/>
      <c r="B4767" s="27"/>
      <c r="C4767" s="27"/>
      <c r="D4767" s="27"/>
      <c r="E4767" s="27"/>
      <c r="F4767" s="27"/>
      <c r="G4767" s="27"/>
      <c r="H4767" s="27"/>
      <c r="I4767" s="27"/>
    </row>
    <row r="4768" spans="1:9" x14ac:dyDescent="0.35">
      <c r="A4768" s="27"/>
      <c r="B4768" s="27"/>
      <c r="C4768" s="27"/>
      <c r="D4768" s="27"/>
      <c r="E4768" s="27"/>
      <c r="F4768" s="27"/>
      <c r="G4768" s="27"/>
      <c r="H4768" s="27"/>
      <c r="I4768" s="27"/>
    </row>
    <row r="4769" spans="1:9" x14ac:dyDescent="0.35">
      <c r="A4769" s="27"/>
      <c r="B4769" s="27"/>
      <c r="C4769" s="27"/>
      <c r="D4769" s="27"/>
      <c r="E4769" s="27"/>
      <c r="F4769" s="27"/>
      <c r="G4769" s="27"/>
      <c r="H4769" s="27"/>
      <c r="I4769" s="27"/>
    </row>
    <row r="4770" spans="1:9" x14ac:dyDescent="0.35">
      <c r="A4770" s="27"/>
      <c r="B4770" s="27"/>
      <c r="C4770" s="27"/>
      <c r="D4770" s="27"/>
      <c r="E4770" s="27"/>
      <c r="F4770" s="27"/>
      <c r="G4770" s="27"/>
      <c r="H4770" s="27"/>
      <c r="I4770" s="27"/>
    </row>
    <row r="4771" spans="1:9" x14ac:dyDescent="0.35">
      <c r="A4771" s="27"/>
      <c r="B4771" s="27"/>
      <c r="C4771" s="27"/>
      <c r="D4771" s="27"/>
      <c r="E4771" s="27"/>
      <c r="F4771" s="27"/>
      <c r="G4771" s="27"/>
      <c r="H4771" s="27"/>
      <c r="I4771" s="27"/>
    </row>
    <row r="4772" spans="1:9" x14ac:dyDescent="0.35">
      <c r="A4772" s="27"/>
      <c r="B4772" s="27"/>
      <c r="C4772" s="27"/>
      <c r="D4772" s="27"/>
      <c r="E4772" s="27"/>
      <c r="F4772" s="27"/>
      <c r="G4772" s="27"/>
      <c r="H4772" s="27"/>
      <c r="I4772" s="27"/>
    </row>
    <row r="4773" spans="1:9" x14ac:dyDescent="0.35">
      <c r="A4773" s="27"/>
      <c r="B4773" s="27"/>
      <c r="C4773" s="27"/>
      <c r="D4773" s="27"/>
      <c r="E4773" s="27"/>
      <c r="F4773" s="27"/>
      <c r="G4773" s="27"/>
      <c r="H4773" s="27"/>
      <c r="I4773" s="27"/>
    </row>
    <row r="4774" spans="1:9" x14ac:dyDescent="0.35">
      <c r="A4774" s="27"/>
      <c r="B4774" s="27"/>
      <c r="C4774" s="27"/>
      <c r="D4774" s="27"/>
      <c r="E4774" s="27"/>
      <c r="F4774" s="27"/>
      <c r="G4774" s="27"/>
      <c r="H4774" s="27"/>
      <c r="I4774" s="27"/>
    </row>
    <row r="4775" spans="1:9" x14ac:dyDescent="0.35">
      <c r="A4775" s="27"/>
      <c r="B4775" s="27"/>
      <c r="C4775" s="27"/>
      <c r="D4775" s="27"/>
      <c r="E4775" s="27"/>
      <c r="F4775" s="27"/>
      <c r="G4775" s="27"/>
      <c r="H4775" s="27"/>
      <c r="I4775" s="27"/>
    </row>
    <row r="4776" spans="1:9" x14ac:dyDescent="0.35">
      <c r="A4776" s="27"/>
      <c r="B4776" s="27"/>
      <c r="C4776" s="27"/>
      <c r="D4776" s="27"/>
      <c r="E4776" s="27"/>
      <c r="F4776" s="27"/>
      <c r="G4776" s="27"/>
      <c r="H4776" s="27"/>
      <c r="I4776" s="27"/>
    </row>
    <row r="4777" spans="1:9" x14ac:dyDescent="0.35">
      <c r="A4777" s="27"/>
      <c r="B4777" s="27"/>
      <c r="C4777" s="27"/>
      <c r="D4777" s="27"/>
      <c r="E4777" s="27"/>
      <c r="F4777" s="27"/>
      <c r="G4777" s="27"/>
      <c r="H4777" s="27"/>
      <c r="I4777" s="27"/>
    </row>
    <row r="4778" spans="1:9" x14ac:dyDescent="0.35">
      <c r="A4778" s="27"/>
      <c r="B4778" s="27"/>
      <c r="C4778" s="27"/>
      <c r="D4778" s="27"/>
      <c r="E4778" s="27"/>
      <c r="F4778" s="27"/>
      <c r="G4778" s="27"/>
      <c r="H4778" s="27"/>
      <c r="I4778" s="27"/>
    </row>
    <row r="4779" spans="1:9" x14ac:dyDescent="0.35">
      <c r="A4779" s="27"/>
      <c r="B4779" s="27"/>
      <c r="C4779" s="27"/>
      <c r="D4779" s="27"/>
      <c r="E4779" s="27"/>
      <c r="F4779" s="27"/>
      <c r="G4779" s="27"/>
      <c r="H4779" s="27"/>
      <c r="I4779" s="27"/>
    </row>
    <row r="4780" spans="1:9" x14ac:dyDescent="0.35">
      <c r="A4780" s="27"/>
      <c r="B4780" s="27"/>
      <c r="C4780" s="27"/>
      <c r="D4780" s="27"/>
      <c r="E4780" s="27"/>
      <c r="F4780" s="27"/>
      <c r="G4780" s="27"/>
      <c r="H4780" s="27"/>
      <c r="I4780" s="27"/>
    </row>
    <row r="4781" spans="1:9" x14ac:dyDescent="0.35">
      <c r="A4781" s="27"/>
      <c r="B4781" s="27"/>
      <c r="C4781" s="27"/>
      <c r="D4781" s="27"/>
      <c r="E4781" s="27"/>
      <c r="F4781" s="27"/>
      <c r="G4781" s="27"/>
      <c r="H4781" s="27"/>
      <c r="I4781" s="27"/>
    </row>
    <row r="4782" spans="1:9" x14ac:dyDescent="0.35">
      <c r="A4782" s="27"/>
      <c r="B4782" s="27"/>
      <c r="C4782" s="27"/>
      <c r="D4782" s="27"/>
      <c r="E4782" s="27"/>
      <c r="F4782" s="27"/>
      <c r="G4782" s="27"/>
      <c r="H4782" s="27"/>
      <c r="I4782" s="27"/>
    </row>
    <row r="4783" spans="1:9" x14ac:dyDescent="0.35">
      <c r="A4783" s="27"/>
      <c r="B4783" s="27"/>
      <c r="C4783" s="27"/>
      <c r="D4783" s="27"/>
      <c r="E4783" s="27"/>
      <c r="F4783" s="27"/>
      <c r="G4783" s="27"/>
      <c r="H4783" s="27"/>
      <c r="I4783" s="27"/>
    </row>
    <row r="4784" spans="1:9" x14ac:dyDescent="0.35">
      <c r="A4784" s="27"/>
      <c r="B4784" s="27"/>
      <c r="C4784" s="27"/>
      <c r="D4784" s="27"/>
      <c r="E4784" s="27"/>
      <c r="F4784" s="27"/>
      <c r="G4784" s="27"/>
      <c r="H4784" s="27"/>
      <c r="I4784" s="27"/>
    </row>
    <row r="4785" spans="1:9" x14ac:dyDescent="0.35">
      <c r="A4785" s="27"/>
      <c r="B4785" s="27"/>
      <c r="C4785" s="27"/>
      <c r="D4785" s="27"/>
      <c r="E4785" s="27"/>
      <c r="F4785" s="27"/>
      <c r="G4785" s="27"/>
      <c r="H4785" s="27"/>
      <c r="I4785" s="27"/>
    </row>
    <row r="4786" spans="1:9" x14ac:dyDescent="0.35">
      <c r="A4786" s="27"/>
      <c r="B4786" s="27"/>
      <c r="C4786" s="27"/>
      <c r="D4786" s="27"/>
      <c r="E4786" s="27"/>
      <c r="F4786" s="27"/>
      <c r="G4786" s="27"/>
      <c r="H4786" s="27"/>
      <c r="I4786" s="27"/>
    </row>
    <row r="4787" spans="1:9" x14ac:dyDescent="0.35">
      <c r="A4787" s="27"/>
      <c r="B4787" s="27"/>
      <c r="C4787" s="27"/>
      <c r="D4787" s="27"/>
      <c r="E4787" s="27"/>
      <c r="F4787" s="27"/>
      <c r="G4787" s="27"/>
      <c r="H4787" s="27"/>
      <c r="I4787" s="27"/>
    </row>
    <row r="4788" spans="1:9" x14ac:dyDescent="0.35">
      <c r="A4788" s="27"/>
      <c r="B4788" s="27"/>
      <c r="C4788" s="27"/>
      <c r="D4788" s="27"/>
      <c r="E4788" s="27"/>
      <c r="F4788" s="27"/>
      <c r="G4788" s="27"/>
      <c r="H4788" s="27"/>
      <c r="I4788" s="27"/>
    </row>
    <row r="4789" spans="1:9" x14ac:dyDescent="0.35">
      <c r="A4789" s="27"/>
      <c r="B4789" s="27"/>
      <c r="C4789" s="27"/>
      <c r="D4789" s="27"/>
      <c r="E4789" s="27"/>
      <c r="F4789" s="27"/>
      <c r="G4789" s="27"/>
      <c r="H4789" s="27"/>
      <c r="I4789" s="27"/>
    </row>
    <row r="4790" spans="1:9" x14ac:dyDescent="0.35">
      <c r="A4790" s="27"/>
      <c r="B4790" s="27"/>
      <c r="C4790" s="27"/>
      <c r="D4790" s="27"/>
      <c r="E4790" s="27"/>
      <c r="F4790" s="27"/>
      <c r="G4790" s="27"/>
      <c r="H4790" s="27"/>
      <c r="I4790" s="27"/>
    </row>
    <row r="4791" spans="1:9" x14ac:dyDescent="0.35">
      <c r="A4791" s="27"/>
      <c r="B4791" s="27"/>
      <c r="C4791" s="27"/>
      <c r="D4791" s="27"/>
      <c r="E4791" s="27"/>
      <c r="F4791" s="27"/>
      <c r="G4791" s="27"/>
      <c r="H4791" s="27"/>
      <c r="I4791" s="27"/>
    </row>
    <row r="4792" spans="1:9" x14ac:dyDescent="0.35">
      <c r="A4792" s="27"/>
      <c r="B4792" s="27"/>
      <c r="C4792" s="27"/>
      <c r="D4792" s="27"/>
      <c r="E4792" s="27"/>
      <c r="F4792" s="27"/>
      <c r="G4792" s="27"/>
      <c r="H4792" s="27"/>
      <c r="I4792" s="27"/>
    </row>
    <row r="4793" spans="1:9" x14ac:dyDescent="0.35">
      <c r="A4793" s="27"/>
      <c r="B4793" s="27"/>
      <c r="C4793" s="27"/>
      <c r="D4793" s="27"/>
      <c r="E4793" s="27"/>
      <c r="F4793" s="27"/>
      <c r="G4793" s="27"/>
      <c r="H4793" s="27"/>
      <c r="I4793" s="27"/>
    </row>
    <row r="4794" spans="1:9" x14ac:dyDescent="0.35">
      <c r="A4794" s="27"/>
      <c r="B4794" s="27"/>
      <c r="C4794" s="27"/>
      <c r="D4794" s="27"/>
      <c r="E4794" s="27"/>
      <c r="F4794" s="27"/>
      <c r="G4794" s="27"/>
      <c r="H4794" s="27"/>
      <c r="I4794" s="27"/>
    </row>
    <row r="4795" spans="1:9" x14ac:dyDescent="0.35">
      <c r="A4795" s="27"/>
      <c r="B4795" s="27"/>
      <c r="C4795" s="27"/>
      <c r="D4795" s="27"/>
      <c r="E4795" s="27"/>
      <c r="F4795" s="27"/>
      <c r="G4795" s="27"/>
      <c r="H4795" s="27"/>
      <c r="I4795" s="27"/>
    </row>
    <row r="4796" spans="1:9" x14ac:dyDescent="0.35">
      <c r="A4796" s="27"/>
      <c r="B4796" s="27"/>
      <c r="C4796" s="27"/>
      <c r="D4796" s="27"/>
      <c r="E4796" s="27"/>
      <c r="F4796" s="27"/>
      <c r="G4796" s="27"/>
      <c r="H4796" s="27"/>
      <c r="I4796" s="27"/>
    </row>
    <row r="4797" spans="1:9" x14ac:dyDescent="0.35">
      <c r="A4797" s="27"/>
      <c r="B4797" s="27"/>
      <c r="C4797" s="27"/>
      <c r="D4797" s="27"/>
      <c r="E4797" s="27"/>
      <c r="F4797" s="27"/>
      <c r="G4797" s="27"/>
      <c r="H4797" s="27"/>
      <c r="I4797" s="27"/>
    </row>
    <row r="4798" spans="1:9" x14ac:dyDescent="0.35">
      <c r="A4798" s="27"/>
      <c r="B4798" s="27"/>
      <c r="C4798" s="27"/>
      <c r="D4798" s="27"/>
      <c r="E4798" s="27"/>
      <c r="F4798" s="27"/>
      <c r="G4798" s="27"/>
      <c r="H4798" s="27"/>
      <c r="I4798" s="27"/>
    </row>
    <row r="4799" spans="1:9" x14ac:dyDescent="0.35">
      <c r="A4799" s="27"/>
      <c r="B4799" s="27"/>
      <c r="C4799" s="27"/>
      <c r="D4799" s="27"/>
      <c r="E4799" s="27"/>
      <c r="F4799" s="27"/>
      <c r="G4799" s="27"/>
      <c r="H4799" s="27"/>
      <c r="I4799" s="27"/>
    </row>
    <row r="4800" spans="1:9" x14ac:dyDescent="0.35">
      <c r="A4800" s="27"/>
      <c r="B4800" s="27"/>
      <c r="C4800" s="27"/>
      <c r="D4800" s="27"/>
      <c r="E4800" s="27"/>
      <c r="F4800" s="27"/>
      <c r="G4800" s="27"/>
      <c r="H4800" s="27"/>
      <c r="I4800" s="27"/>
    </row>
    <row r="4801" spans="1:9" x14ac:dyDescent="0.35">
      <c r="A4801" s="27"/>
      <c r="B4801" s="27"/>
      <c r="C4801" s="27"/>
      <c r="D4801" s="27"/>
      <c r="E4801" s="27"/>
      <c r="F4801" s="27"/>
      <c r="G4801" s="27"/>
      <c r="H4801" s="27"/>
      <c r="I4801" s="27"/>
    </row>
    <row r="4802" spans="1:9" x14ac:dyDescent="0.35">
      <c r="A4802" s="27"/>
      <c r="B4802" s="27"/>
      <c r="C4802" s="27"/>
      <c r="D4802" s="27"/>
      <c r="E4802" s="27"/>
      <c r="F4802" s="27"/>
      <c r="G4802" s="27"/>
      <c r="H4802" s="27"/>
      <c r="I4802" s="27"/>
    </row>
    <row r="4803" spans="1:9" x14ac:dyDescent="0.35">
      <c r="A4803" s="27"/>
      <c r="B4803" s="27"/>
      <c r="C4803" s="27"/>
      <c r="D4803" s="27"/>
      <c r="E4803" s="27"/>
      <c r="F4803" s="27"/>
      <c r="G4803" s="27"/>
      <c r="H4803" s="27"/>
      <c r="I4803" s="27"/>
    </row>
    <row r="4804" spans="1:9" x14ac:dyDescent="0.35">
      <c r="A4804" s="27"/>
      <c r="B4804" s="27"/>
      <c r="C4804" s="27"/>
      <c r="D4804" s="27"/>
      <c r="E4804" s="27"/>
      <c r="F4804" s="27"/>
      <c r="G4804" s="27"/>
      <c r="H4804" s="27"/>
      <c r="I4804" s="27"/>
    </row>
    <row r="4805" spans="1:9" x14ac:dyDescent="0.35">
      <c r="A4805" s="27"/>
      <c r="B4805" s="27"/>
      <c r="C4805" s="27"/>
      <c r="D4805" s="27"/>
      <c r="E4805" s="27"/>
      <c r="F4805" s="27"/>
      <c r="G4805" s="27"/>
      <c r="H4805" s="27"/>
      <c r="I4805" s="27"/>
    </row>
    <row r="4806" spans="1:9" x14ac:dyDescent="0.35">
      <c r="A4806" s="27"/>
      <c r="B4806" s="27"/>
      <c r="C4806" s="27"/>
      <c r="D4806" s="27"/>
      <c r="E4806" s="27"/>
      <c r="F4806" s="27"/>
      <c r="G4806" s="27"/>
      <c r="H4806" s="27"/>
      <c r="I4806" s="27"/>
    </row>
    <row r="4807" spans="1:9" x14ac:dyDescent="0.35">
      <c r="A4807" s="27"/>
      <c r="B4807" s="27"/>
      <c r="C4807" s="27"/>
      <c r="D4807" s="27"/>
      <c r="E4807" s="27"/>
      <c r="F4807" s="27"/>
      <c r="G4807" s="27"/>
      <c r="H4807" s="27"/>
      <c r="I4807" s="27"/>
    </row>
    <row r="4808" spans="1:9" x14ac:dyDescent="0.35">
      <c r="A4808" s="27"/>
      <c r="B4808" s="27"/>
      <c r="C4808" s="27"/>
      <c r="D4808" s="27"/>
      <c r="E4808" s="27"/>
      <c r="F4808" s="27"/>
      <c r="G4808" s="27"/>
      <c r="H4808" s="27"/>
      <c r="I4808" s="27"/>
    </row>
    <row r="4809" spans="1:9" x14ac:dyDescent="0.35">
      <c r="A4809" s="27"/>
      <c r="B4809" s="27"/>
      <c r="C4809" s="27"/>
      <c r="D4809" s="27"/>
      <c r="E4809" s="27"/>
      <c r="F4809" s="27"/>
      <c r="G4809" s="27"/>
      <c r="H4809" s="27"/>
      <c r="I4809" s="27"/>
    </row>
    <row r="4810" spans="1:9" x14ac:dyDescent="0.35">
      <c r="A4810" s="27"/>
      <c r="B4810" s="27"/>
      <c r="C4810" s="27"/>
      <c r="D4810" s="27"/>
      <c r="E4810" s="27"/>
      <c r="F4810" s="27"/>
      <c r="G4810" s="27"/>
      <c r="H4810" s="27"/>
      <c r="I4810" s="27"/>
    </row>
    <row r="4811" spans="1:9" x14ac:dyDescent="0.35">
      <c r="A4811" s="27"/>
      <c r="B4811" s="27"/>
      <c r="C4811" s="27"/>
      <c r="D4811" s="27"/>
      <c r="E4811" s="27"/>
      <c r="F4811" s="27"/>
      <c r="G4811" s="27"/>
      <c r="H4811" s="27"/>
      <c r="I4811" s="27"/>
    </row>
    <row r="4812" spans="1:9" x14ac:dyDescent="0.35">
      <c r="A4812" s="27"/>
      <c r="B4812" s="27"/>
      <c r="C4812" s="27"/>
      <c r="D4812" s="27"/>
      <c r="E4812" s="27"/>
      <c r="F4812" s="27"/>
      <c r="G4812" s="27"/>
      <c r="H4812" s="27"/>
      <c r="I4812" s="27"/>
    </row>
    <row r="4813" spans="1:9" x14ac:dyDescent="0.35">
      <c r="A4813" s="27"/>
      <c r="B4813" s="27"/>
      <c r="C4813" s="27"/>
      <c r="D4813" s="27"/>
      <c r="E4813" s="27"/>
      <c r="F4813" s="27"/>
      <c r="G4813" s="27"/>
      <c r="H4813" s="27"/>
      <c r="I4813" s="27"/>
    </row>
    <row r="4814" spans="1:9" x14ac:dyDescent="0.35">
      <c r="A4814" s="27"/>
      <c r="B4814" s="27"/>
      <c r="C4814" s="27"/>
      <c r="D4814" s="27"/>
      <c r="E4814" s="27"/>
      <c r="F4814" s="27"/>
      <c r="G4814" s="27"/>
      <c r="H4814" s="27"/>
      <c r="I4814" s="27"/>
    </row>
    <row r="4815" spans="1:9" x14ac:dyDescent="0.35">
      <c r="A4815" s="27"/>
      <c r="B4815" s="27"/>
      <c r="C4815" s="27"/>
      <c r="D4815" s="27"/>
      <c r="E4815" s="27"/>
      <c r="F4815" s="27"/>
      <c r="G4815" s="27"/>
      <c r="H4815" s="27"/>
      <c r="I4815" s="27"/>
    </row>
    <row r="4816" spans="1:9" x14ac:dyDescent="0.35">
      <c r="A4816" s="27"/>
      <c r="B4816" s="27"/>
      <c r="C4816" s="27"/>
      <c r="D4816" s="27"/>
      <c r="E4816" s="27"/>
      <c r="F4816" s="27"/>
      <c r="G4816" s="27"/>
      <c r="H4816" s="27"/>
      <c r="I4816" s="27"/>
    </row>
    <row r="4817" spans="1:9" x14ac:dyDescent="0.35">
      <c r="A4817" s="27"/>
      <c r="B4817" s="27"/>
      <c r="C4817" s="27"/>
      <c r="D4817" s="27"/>
      <c r="E4817" s="27"/>
      <c r="F4817" s="27"/>
      <c r="G4817" s="27"/>
      <c r="H4817" s="27"/>
      <c r="I4817" s="27"/>
    </row>
    <row r="4818" spans="1:9" x14ac:dyDescent="0.35">
      <c r="A4818" s="27"/>
      <c r="B4818" s="27"/>
      <c r="C4818" s="27"/>
      <c r="D4818" s="27"/>
      <c r="E4818" s="27"/>
      <c r="F4818" s="27"/>
      <c r="G4818" s="27"/>
      <c r="H4818" s="27"/>
      <c r="I4818" s="27"/>
    </row>
    <row r="4819" spans="1:9" x14ac:dyDescent="0.35">
      <c r="A4819" s="27"/>
      <c r="B4819" s="27"/>
      <c r="C4819" s="27"/>
      <c r="D4819" s="27"/>
      <c r="E4819" s="27"/>
      <c r="F4819" s="27"/>
      <c r="G4819" s="27"/>
      <c r="H4819" s="27"/>
      <c r="I4819" s="27"/>
    </row>
    <row r="4820" spans="1:9" x14ac:dyDescent="0.35">
      <c r="A4820" s="27"/>
      <c r="B4820" s="27"/>
      <c r="C4820" s="27"/>
      <c r="D4820" s="27"/>
      <c r="E4820" s="27"/>
      <c r="F4820" s="27"/>
      <c r="G4820" s="27"/>
      <c r="H4820" s="27"/>
      <c r="I4820" s="27"/>
    </row>
    <row r="4821" spans="1:9" x14ac:dyDescent="0.35">
      <c r="A4821" s="27"/>
      <c r="B4821" s="27"/>
      <c r="C4821" s="27"/>
      <c r="D4821" s="27"/>
      <c r="E4821" s="27"/>
      <c r="F4821" s="27"/>
      <c r="G4821" s="27"/>
      <c r="H4821" s="27"/>
      <c r="I4821" s="27"/>
    </row>
    <row r="4822" spans="1:9" x14ac:dyDescent="0.35">
      <c r="A4822" s="27"/>
      <c r="B4822" s="27"/>
      <c r="C4822" s="27"/>
      <c r="D4822" s="27"/>
      <c r="E4822" s="27"/>
      <c r="F4822" s="27"/>
      <c r="G4822" s="27"/>
      <c r="H4822" s="27"/>
      <c r="I4822" s="27"/>
    </row>
    <row r="4823" spans="1:9" x14ac:dyDescent="0.35">
      <c r="A4823" s="27"/>
      <c r="B4823" s="27"/>
      <c r="C4823" s="27"/>
      <c r="D4823" s="27"/>
      <c r="E4823" s="27"/>
      <c r="F4823" s="27"/>
      <c r="G4823" s="27"/>
      <c r="H4823" s="27"/>
      <c r="I4823" s="27"/>
    </row>
    <row r="4824" spans="1:9" x14ac:dyDescent="0.35">
      <c r="A4824" s="27"/>
      <c r="B4824" s="27"/>
      <c r="C4824" s="27"/>
      <c r="D4824" s="27"/>
      <c r="E4824" s="27"/>
      <c r="F4824" s="27"/>
      <c r="G4824" s="27"/>
      <c r="H4824" s="27"/>
      <c r="I4824" s="27"/>
    </row>
    <row r="4825" spans="1:9" x14ac:dyDescent="0.35">
      <c r="A4825" s="27"/>
      <c r="B4825" s="27"/>
      <c r="C4825" s="27"/>
      <c r="D4825" s="27"/>
      <c r="E4825" s="27"/>
      <c r="F4825" s="27"/>
      <c r="G4825" s="27"/>
      <c r="H4825" s="27"/>
      <c r="I4825" s="27"/>
    </row>
    <row r="4826" spans="1:9" x14ac:dyDescent="0.35">
      <c r="A4826" s="27"/>
      <c r="B4826" s="27"/>
      <c r="C4826" s="27"/>
      <c r="D4826" s="27"/>
      <c r="E4826" s="27"/>
      <c r="F4826" s="27"/>
      <c r="G4826" s="27"/>
      <c r="H4826" s="27"/>
      <c r="I4826" s="27"/>
    </row>
    <row r="4827" spans="1:9" x14ac:dyDescent="0.35">
      <c r="A4827" s="27"/>
      <c r="B4827" s="27"/>
      <c r="C4827" s="27"/>
      <c r="D4827" s="27"/>
      <c r="E4827" s="27"/>
      <c r="F4827" s="27"/>
      <c r="G4827" s="27"/>
      <c r="H4827" s="27"/>
      <c r="I4827" s="27"/>
    </row>
    <row r="4828" spans="1:9" x14ac:dyDescent="0.35">
      <c r="A4828" s="27"/>
      <c r="B4828" s="27"/>
      <c r="C4828" s="27"/>
      <c r="D4828" s="27"/>
      <c r="E4828" s="27"/>
      <c r="F4828" s="27"/>
      <c r="G4828" s="27"/>
      <c r="H4828" s="27"/>
      <c r="I4828" s="27"/>
    </row>
    <row r="4829" spans="1:9" x14ac:dyDescent="0.35">
      <c r="A4829" s="27"/>
      <c r="B4829" s="27"/>
      <c r="C4829" s="27"/>
      <c r="D4829" s="27"/>
      <c r="E4829" s="27"/>
      <c r="F4829" s="27"/>
      <c r="G4829" s="27"/>
      <c r="H4829" s="27"/>
      <c r="I4829" s="27"/>
    </row>
    <row r="4830" spans="1:9" x14ac:dyDescent="0.35">
      <c r="A4830" s="27"/>
      <c r="B4830" s="27"/>
      <c r="C4830" s="27"/>
      <c r="D4830" s="27"/>
      <c r="E4830" s="27"/>
      <c r="F4830" s="27"/>
      <c r="G4830" s="27"/>
      <c r="H4830" s="27"/>
      <c r="I4830" s="27"/>
    </row>
    <row r="4831" spans="1:9" x14ac:dyDescent="0.35">
      <c r="A4831" s="27"/>
      <c r="B4831" s="27"/>
      <c r="C4831" s="27"/>
      <c r="D4831" s="27"/>
      <c r="E4831" s="27"/>
      <c r="F4831" s="27"/>
      <c r="G4831" s="27"/>
      <c r="H4831" s="27"/>
      <c r="I4831" s="27"/>
    </row>
    <row r="4832" spans="1:9" x14ac:dyDescent="0.35">
      <c r="A4832" s="27"/>
      <c r="B4832" s="27"/>
      <c r="C4832" s="27"/>
      <c r="D4832" s="27"/>
      <c r="E4832" s="27"/>
      <c r="F4832" s="27"/>
      <c r="G4832" s="27"/>
      <c r="H4832" s="27"/>
      <c r="I4832" s="27"/>
    </row>
    <row r="4833" spans="1:9" x14ac:dyDescent="0.35">
      <c r="A4833" s="27"/>
      <c r="B4833" s="27"/>
      <c r="C4833" s="27"/>
      <c r="D4833" s="27"/>
      <c r="E4833" s="27"/>
      <c r="F4833" s="27"/>
      <c r="G4833" s="27"/>
      <c r="H4833" s="27"/>
      <c r="I4833" s="27"/>
    </row>
    <row r="4834" spans="1:9" x14ac:dyDescent="0.35">
      <c r="A4834" s="27"/>
      <c r="B4834" s="27"/>
      <c r="C4834" s="27"/>
      <c r="D4834" s="27"/>
      <c r="E4834" s="27"/>
      <c r="F4834" s="27"/>
      <c r="G4834" s="27"/>
      <c r="H4834" s="27"/>
      <c r="I4834" s="27"/>
    </row>
    <row r="4835" spans="1:9" x14ac:dyDescent="0.35">
      <c r="A4835" s="27"/>
      <c r="B4835" s="27"/>
      <c r="C4835" s="27"/>
      <c r="D4835" s="27"/>
      <c r="E4835" s="27"/>
      <c r="F4835" s="27"/>
      <c r="G4835" s="27"/>
      <c r="H4835" s="27"/>
      <c r="I4835" s="27"/>
    </row>
    <row r="4836" spans="1:9" x14ac:dyDescent="0.35">
      <c r="A4836" s="27"/>
      <c r="B4836" s="27"/>
      <c r="C4836" s="27"/>
      <c r="D4836" s="27"/>
      <c r="E4836" s="27"/>
      <c r="F4836" s="27"/>
      <c r="G4836" s="27"/>
      <c r="H4836" s="27"/>
      <c r="I4836" s="27"/>
    </row>
    <row r="4837" spans="1:9" x14ac:dyDescent="0.35">
      <c r="A4837" s="27"/>
      <c r="B4837" s="27"/>
      <c r="C4837" s="27"/>
      <c r="D4837" s="27"/>
      <c r="E4837" s="27"/>
      <c r="F4837" s="27"/>
      <c r="G4837" s="27"/>
      <c r="H4837" s="27"/>
      <c r="I4837" s="27"/>
    </row>
    <row r="4838" spans="1:9" x14ac:dyDescent="0.35">
      <c r="A4838" s="27"/>
      <c r="B4838" s="27"/>
      <c r="C4838" s="27"/>
      <c r="D4838" s="27"/>
      <c r="E4838" s="27"/>
      <c r="F4838" s="27"/>
      <c r="G4838" s="27"/>
      <c r="H4838" s="27"/>
      <c r="I4838" s="27"/>
    </row>
    <row r="4839" spans="1:9" x14ac:dyDescent="0.35">
      <c r="A4839" s="27"/>
      <c r="B4839" s="27"/>
      <c r="C4839" s="27"/>
      <c r="D4839" s="27"/>
      <c r="E4839" s="27"/>
      <c r="F4839" s="27"/>
      <c r="G4839" s="27"/>
      <c r="H4839" s="27"/>
      <c r="I4839" s="27"/>
    </row>
    <row r="4840" spans="1:9" x14ac:dyDescent="0.35">
      <c r="A4840" s="27"/>
      <c r="B4840" s="27"/>
      <c r="C4840" s="27"/>
      <c r="D4840" s="27"/>
      <c r="E4840" s="27"/>
      <c r="F4840" s="27"/>
      <c r="G4840" s="27"/>
      <c r="H4840" s="27"/>
      <c r="I4840" s="27"/>
    </row>
    <row r="4841" spans="1:9" x14ac:dyDescent="0.35">
      <c r="A4841" s="27"/>
      <c r="B4841" s="27"/>
      <c r="C4841" s="27"/>
      <c r="D4841" s="27"/>
      <c r="E4841" s="27"/>
      <c r="F4841" s="27"/>
      <c r="G4841" s="27"/>
      <c r="H4841" s="27"/>
      <c r="I4841" s="27"/>
    </row>
    <row r="4842" spans="1:9" x14ac:dyDescent="0.35">
      <c r="A4842" s="27"/>
      <c r="B4842" s="27"/>
      <c r="C4842" s="27"/>
      <c r="D4842" s="27"/>
      <c r="E4842" s="27"/>
      <c r="F4842" s="27"/>
      <c r="G4842" s="27"/>
      <c r="H4842" s="27"/>
      <c r="I4842" s="27"/>
    </row>
    <row r="4843" spans="1:9" x14ac:dyDescent="0.35">
      <c r="A4843" s="27"/>
      <c r="B4843" s="27"/>
      <c r="C4843" s="27"/>
      <c r="D4843" s="27"/>
      <c r="E4843" s="27"/>
      <c r="F4843" s="27"/>
      <c r="G4843" s="27"/>
      <c r="H4843" s="27"/>
      <c r="I4843" s="27"/>
    </row>
    <row r="4844" spans="1:9" x14ac:dyDescent="0.35">
      <c r="A4844" s="27"/>
      <c r="B4844" s="27"/>
      <c r="C4844" s="27"/>
      <c r="D4844" s="27"/>
      <c r="E4844" s="27"/>
      <c r="F4844" s="27"/>
      <c r="G4844" s="27"/>
      <c r="H4844" s="27"/>
      <c r="I4844" s="27"/>
    </row>
    <row r="4845" spans="1:9" x14ac:dyDescent="0.35">
      <c r="A4845" s="27"/>
      <c r="B4845" s="27"/>
      <c r="C4845" s="27"/>
      <c r="D4845" s="27"/>
      <c r="E4845" s="27"/>
      <c r="F4845" s="27"/>
      <c r="G4845" s="27"/>
      <c r="H4845" s="27"/>
      <c r="I4845" s="27"/>
    </row>
    <row r="4846" spans="1:9" x14ac:dyDescent="0.35">
      <c r="A4846" s="27"/>
      <c r="B4846" s="27"/>
      <c r="C4846" s="27"/>
      <c r="D4846" s="27"/>
      <c r="E4846" s="27"/>
      <c r="F4846" s="27"/>
      <c r="G4846" s="27"/>
      <c r="H4846" s="27"/>
      <c r="I4846" s="27"/>
    </row>
    <row r="4847" spans="1:9" x14ac:dyDescent="0.35">
      <c r="A4847" s="27"/>
      <c r="B4847" s="27"/>
      <c r="C4847" s="27"/>
      <c r="D4847" s="27"/>
      <c r="E4847" s="27"/>
      <c r="F4847" s="27"/>
      <c r="G4847" s="27"/>
      <c r="H4847" s="27"/>
      <c r="I4847" s="27"/>
    </row>
    <row r="4848" spans="1:9" x14ac:dyDescent="0.35">
      <c r="A4848" s="27"/>
      <c r="B4848" s="27"/>
      <c r="C4848" s="27"/>
      <c r="D4848" s="27"/>
      <c r="E4848" s="27"/>
      <c r="F4848" s="27"/>
      <c r="G4848" s="27"/>
      <c r="H4848" s="27"/>
      <c r="I4848" s="27"/>
    </row>
    <row r="4849" spans="1:9" x14ac:dyDescent="0.35">
      <c r="A4849" s="27"/>
      <c r="B4849" s="27"/>
      <c r="C4849" s="27"/>
      <c r="D4849" s="27"/>
      <c r="E4849" s="27"/>
      <c r="F4849" s="27"/>
      <c r="G4849" s="27"/>
      <c r="H4849" s="27"/>
      <c r="I4849" s="27"/>
    </row>
    <row r="4850" spans="1:9" x14ac:dyDescent="0.35">
      <c r="A4850" s="27"/>
      <c r="B4850" s="27"/>
      <c r="C4850" s="27"/>
      <c r="D4850" s="27"/>
      <c r="E4850" s="27"/>
      <c r="F4850" s="27"/>
      <c r="G4850" s="27"/>
      <c r="H4850" s="27"/>
      <c r="I4850" s="27"/>
    </row>
    <row r="4851" spans="1:9" x14ac:dyDescent="0.35">
      <c r="A4851" s="27"/>
      <c r="B4851" s="27"/>
      <c r="C4851" s="27"/>
      <c r="D4851" s="27"/>
      <c r="E4851" s="27"/>
      <c r="F4851" s="27"/>
      <c r="G4851" s="27"/>
      <c r="H4851" s="27"/>
      <c r="I4851" s="27"/>
    </row>
    <row r="4852" spans="1:9" x14ac:dyDescent="0.35">
      <c r="A4852" s="27"/>
      <c r="B4852" s="27"/>
      <c r="C4852" s="27"/>
      <c r="D4852" s="27"/>
      <c r="E4852" s="27"/>
      <c r="F4852" s="27"/>
      <c r="G4852" s="27"/>
      <c r="H4852" s="27"/>
      <c r="I4852" s="27"/>
    </row>
    <row r="4853" spans="1:9" x14ac:dyDescent="0.35">
      <c r="A4853" s="27"/>
      <c r="B4853" s="27"/>
      <c r="C4853" s="27"/>
      <c r="D4853" s="27"/>
      <c r="E4853" s="27"/>
      <c r="F4853" s="27"/>
      <c r="G4853" s="27"/>
      <c r="H4853" s="27"/>
      <c r="I4853" s="27"/>
    </row>
    <row r="4854" spans="1:9" x14ac:dyDescent="0.35">
      <c r="A4854" s="27"/>
      <c r="B4854" s="27"/>
      <c r="C4854" s="27"/>
      <c r="D4854" s="27"/>
      <c r="E4854" s="27"/>
      <c r="F4854" s="27"/>
      <c r="G4854" s="27"/>
      <c r="H4854" s="27"/>
      <c r="I4854" s="27"/>
    </row>
    <row r="4855" spans="1:9" x14ac:dyDescent="0.35">
      <c r="A4855" s="27"/>
      <c r="B4855" s="27"/>
      <c r="C4855" s="27"/>
      <c r="D4855" s="27"/>
      <c r="E4855" s="27"/>
      <c r="F4855" s="27"/>
      <c r="G4855" s="27"/>
      <c r="H4855" s="27"/>
      <c r="I4855" s="27"/>
    </row>
    <row r="4856" spans="1:9" x14ac:dyDescent="0.35">
      <c r="A4856" s="27"/>
      <c r="B4856" s="27"/>
      <c r="C4856" s="27"/>
      <c r="D4856" s="27"/>
      <c r="E4856" s="27"/>
      <c r="F4856" s="27"/>
      <c r="G4856" s="27"/>
      <c r="H4856" s="27"/>
      <c r="I4856" s="27"/>
    </row>
    <row r="4857" spans="1:9" x14ac:dyDescent="0.35">
      <c r="A4857" s="27"/>
      <c r="B4857" s="27"/>
      <c r="C4857" s="27"/>
      <c r="D4857" s="27"/>
      <c r="E4857" s="27"/>
      <c r="F4857" s="27"/>
      <c r="G4857" s="27"/>
      <c r="H4857" s="27"/>
      <c r="I4857" s="27"/>
    </row>
    <row r="4858" spans="1:9" x14ac:dyDescent="0.35">
      <c r="A4858" s="27"/>
      <c r="B4858" s="27"/>
      <c r="C4858" s="27"/>
      <c r="D4858" s="27"/>
      <c r="E4858" s="27"/>
      <c r="F4858" s="27"/>
      <c r="G4858" s="27"/>
      <c r="H4858" s="27"/>
      <c r="I4858" s="27"/>
    </row>
    <row r="4859" spans="1:9" x14ac:dyDescent="0.35">
      <c r="A4859" s="27"/>
      <c r="B4859" s="27"/>
      <c r="C4859" s="27"/>
      <c r="D4859" s="27"/>
      <c r="E4859" s="27"/>
      <c r="F4859" s="27"/>
      <c r="G4859" s="27"/>
      <c r="H4859" s="27"/>
      <c r="I4859" s="27"/>
    </row>
    <row r="4860" spans="1:9" x14ac:dyDescent="0.35">
      <c r="A4860" s="27"/>
      <c r="B4860" s="27"/>
      <c r="C4860" s="27"/>
      <c r="D4860" s="27"/>
      <c r="E4860" s="27"/>
      <c r="F4860" s="27"/>
      <c r="G4860" s="27"/>
      <c r="H4860" s="27"/>
      <c r="I4860" s="27"/>
    </row>
    <row r="4861" spans="1:9" x14ac:dyDescent="0.35">
      <c r="A4861" s="27"/>
      <c r="B4861" s="27"/>
      <c r="C4861" s="27"/>
      <c r="D4861" s="27"/>
      <c r="E4861" s="27"/>
      <c r="F4861" s="27"/>
      <c r="G4861" s="27"/>
      <c r="H4861" s="27"/>
      <c r="I4861" s="27"/>
    </row>
    <row r="4862" spans="1:9" x14ac:dyDescent="0.35">
      <c r="A4862" s="27"/>
      <c r="B4862" s="27"/>
      <c r="C4862" s="27"/>
      <c r="D4862" s="27"/>
      <c r="E4862" s="27"/>
      <c r="F4862" s="27"/>
      <c r="G4862" s="27"/>
      <c r="H4862" s="27"/>
      <c r="I4862" s="27"/>
    </row>
    <row r="4863" spans="1:9" x14ac:dyDescent="0.35">
      <c r="A4863" s="27"/>
      <c r="B4863" s="27"/>
      <c r="C4863" s="27"/>
      <c r="D4863" s="27"/>
      <c r="E4863" s="27"/>
      <c r="F4863" s="27"/>
      <c r="G4863" s="27"/>
      <c r="H4863" s="27"/>
      <c r="I4863" s="27"/>
    </row>
    <row r="4864" spans="1:9" x14ac:dyDescent="0.35">
      <c r="A4864" s="27"/>
      <c r="B4864" s="27"/>
      <c r="C4864" s="27"/>
      <c r="D4864" s="27"/>
      <c r="E4864" s="27"/>
      <c r="F4864" s="27"/>
      <c r="G4864" s="27"/>
      <c r="H4864" s="27"/>
      <c r="I4864" s="27"/>
    </row>
    <row r="4865" spans="1:9" x14ac:dyDescent="0.35">
      <c r="A4865" s="27"/>
      <c r="B4865" s="27"/>
      <c r="C4865" s="27"/>
      <c r="D4865" s="27"/>
      <c r="E4865" s="27"/>
      <c r="F4865" s="27"/>
      <c r="G4865" s="27"/>
      <c r="H4865" s="27"/>
      <c r="I4865" s="27"/>
    </row>
    <row r="4866" spans="1:9" x14ac:dyDescent="0.35">
      <c r="A4866" s="27"/>
      <c r="B4866" s="27"/>
      <c r="C4866" s="27"/>
      <c r="D4866" s="27"/>
      <c r="E4866" s="27"/>
      <c r="F4866" s="27"/>
      <c r="G4866" s="27"/>
      <c r="H4866" s="27"/>
      <c r="I4866" s="27"/>
    </row>
    <row r="4867" spans="1:9" x14ac:dyDescent="0.35">
      <c r="A4867" s="27"/>
      <c r="B4867" s="27"/>
      <c r="C4867" s="27"/>
      <c r="D4867" s="27"/>
      <c r="E4867" s="27"/>
      <c r="F4867" s="27"/>
      <c r="G4867" s="27"/>
      <c r="H4867" s="27"/>
      <c r="I4867" s="27"/>
    </row>
    <row r="4868" spans="1:9" x14ac:dyDescent="0.35">
      <c r="A4868" s="27"/>
      <c r="B4868" s="27"/>
      <c r="C4868" s="27"/>
      <c r="D4868" s="27"/>
      <c r="E4868" s="27"/>
      <c r="F4868" s="27"/>
      <c r="G4868" s="27"/>
      <c r="H4868" s="27"/>
      <c r="I4868" s="27"/>
    </row>
    <row r="4869" spans="1:9" x14ac:dyDescent="0.35">
      <c r="A4869" s="27"/>
      <c r="B4869" s="27"/>
      <c r="C4869" s="27"/>
      <c r="D4869" s="27"/>
      <c r="E4869" s="27"/>
      <c r="F4869" s="27"/>
      <c r="G4869" s="27"/>
      <c r="H4869" s="27"/>
      <c r="I4869" s="27"/>
    </row>
    <row r="4870" spans="1:9" x14ac:dyDescent="0.35">
      <c r="A4870" s="27"/>
      <c r="B4870" s="27"/>
      <c r="C4870" s="27"/>
      <c r="D4870" s="27"/>
      <c r="E4870" s="27"/>
      <c r="F4870" s="27"/>
      <c r="G4870" s="27"/>
      <c r="H4870" s="27"/>
      <c r="I4870" s="27"/>
    </row>
    <row r="4871" spans="1:9" x14ac:dyDescent="0.35">
      <c r="A4871" s="27"/>
      <c r="B4871" s="27"/>
      <c r="C4871" s="27"/>
      <c r="D4871" s="27"/>
      <c r="E4871" s="27"/>
      <c r="F4871" s="27"/>
      <c r="G4871" s="27"/>
      <c r="H4871" s="27"/>
      <c r="I4871" s="27"/>
    </row>
    <row r="4872" spans="1:9" x14ac:dyDescent="0.35">
      <c r="A4872" s="27"/>
      <c r="B4872" s="27"/>
      <c r="C4872" s="27"/>
      <c r="D4872" s="27"/>
      <c r="E4872" s="27"/>
      <c r="F4872" s="27"/>
      <c r="G4872" s="27"/>
      <c r="H4872" s="27"/>
      <c r="I4872" s="27"/>
    </row>
    <row r="4873" spans="1:9" x14ac:dyDescent="0.35">
      <c r="A4873" s="27"/>
      <c r="B4873" s="27"/>
      <c r="C4873" s="27"/>
      <c r="D4873" s="27"/>
      <c r="E4873" s="27"/>
      <c r="F4873" s="27"/>
      <c r="G4873" s="27"/>
      <c r="H4873" s="27"/>
      <c r="I4873" s="27"/>
    </row>
    <row r="4874" spans="1:9" x14ac:dyDescent="0.35">
      <c r="A4874" s="27"/>
      <c r="B4874" s="27"/>
      <c r="C4874" s="27"/>
      <c r="D4874" s="27"/>
      <c r="E4874" s="27"/>
      <c r="F4874" s="27"/>
      <c r="G4874" s="27"/>
      <c r="H4874" s="27"/>
      <c r="I4874" s="27"/>
    </row>
    <row r="4875" spans="1:9" x14ac:dyDescent="0.35">
      <c r="A4875" s="27"/>
      <c r="B4875" s="27"/>
      <c r="C4875" s="27"/>
      <c r="D4875" s="27"/>
      <c r="E4875" s="27"/>
      <c r="F4875" s="27"/>
      <c r="G4875" s="27"/>
      <c r="H4875" s="27"/>
      <c r="I4875" s="27"/>
    </row>
    <row r="4876" spans="1:9" x14ac:dyDescent="0.35">
      <c r="A4876" s="27"/>
      <c r="B4876" s="27"/>
      <c r="C4876" s="27"/>
      <c r="D4876" s="27"/>
      <c r="E4876" s="27"/>
      <c r="F4876" s="27"/>
      <c r="G4876" s="27"/>
      <c r="H4876" s="27"/>
      <c r="I4876" s="27"/>
    </row>
    <row r="4877" spans="1:9" x14ac:dyDescent="0.35">
      <c r="A4877" s="27"/>
      <c r="B4877" s="27"/>
      <c r="C4877" s="27"/>
      <c r="D4877" s="27"/>
      <c r="E4877" s="27"/>
      <c r="F4877" s="27"/>
      <c r="G4877" s="27"/>
      <c r="H4877" s="27"/>
      <c r="I4877" s="27"/>
    </row>
    <row r="4878" spans="1:9" x14ac:dyDescent="0.35">
      <c r="A4878" s="27"/>
      <c r="B4878" s="27"/>
      <c r="C4878" s="27"/>
      <c r="D4878" s="27"/>
      <c r="E4878" s="27"/>
      <c r="F4878" s="27"/>
      <c r="G4878" s="27"/>
      <c r="H4878" s="27"/>
      <c r="I4878" s="27"/>
    </row>
    <row r="4879" spans="1:9" x14ac:dyDescent="0.35">
      <c r="A4879" s="27"/>
      <c r="B4879" s="27"/>
      <c r="C4879" s="27"/>
      <c r="D4879" s="27"/>
      <c r="E4879" s="27"/>
      <c r="F4879" s="27"/>
      <c r="G4879" s="27"/>
      <c r="H4879" s="27"/>
      <c r="I4879" s="27"/>
    </row>
    <row r="4880" spans="1:9" x14ac:dyDescent="0.35">
      <c r="A4880" s="27"/>
      <c r="B4880" s="27"/>
      <c r="C4880" s="27"/>
      <c r="D4880" s="27"/>
      <c r="E4880" s="27"/>
      <c r="F4880" s="27"/>
      <c r="G4880" s="27"/>
      <c r="H4880" s="27"/>
      <c r="I4880" s="27"/>
    </row>
    <row r="4881" spans="1:9" x14ac:dyDescent="0.35">
      <c r="A4881" s="27"/>
      <c r="B4881" s="27"/>
      <c r="C4881" s="27"/>
      <c r="D4881" s="27"/>
      <c r="E4881" s="27"/>
      <c r="F4881" s="27"/>
      <c r="G4881" s="27"/>
      <c r="H4881" s="27"/>
      <c r="I4881" s="27"/>
    </row>
    <row r="4882" spans="1:9" x14ac:dyDescent="0.35">
      <c r="A4882" s="27"/>
      <c r="B4882" s="27"/>
      <c r="C4882" s="27"/>
      <c r="D4882" s="27"/>
      <c r="E4882" s="27"/>
      <c r="F4882" s="27"/>
      <c r="G4882" s="27"/>
      <c r="H4882" s="27"/>
      <c r="I4882" s="27"/>
    </row>
    <row r="4883" spans="1:9" x14ac:dyDescent="0.35">
      <c r="A4883" s="27"/>
      <c r="B4883" s="27"/>
      <c r="C4883" s="27"/>
      <c r="D4883" s="27"/>
      <c r="E4883" s="27"/>
      <c r="F4883" s="27"/>
      <c r="G4883" s="27"/>
      <c r="H4883" s="27"/>
      <c r="I4883" s="27"/>
    </row>
    <row r="4884" spans="1:9" x14ac:dyDescent="0.35">
      <c r="A4884" s="27"/>
      <c r="B4884" s="27"/>
      <c r="C4884" s="27"/>
      <c r="D4884" s="27"/>
      <c r="E4884" s="27"/>
      <c r="F4884" s="27"/>
      <c r="G4884" s="27"/>
      <c r="H4884" s="27"/>
      <c r="I4884" s="27"/>
    </row>
    <row r="4885" spans="1:9" x14ac:dyDescent="0.35">
      <c r="A4885" s="27"/>
      <c r="B4885" s="27"/>
      <c r="C4885" s="27"/>
      <c r="D4885" s="27"/>
      <c r="E4885" s="27"/>
      <c r="F4885" s="27"/>
      <c r="G4885" s="27"/>
      <c r="H4885" s="27"/>
      <c r="I4885" s="27"/>
    </row>
    <row r="4886" spans="1:9" x14ac:dyDescent="0.35">
      <c r="A4886" s="27"/>
      <c r="B4886" s="27"/>
      <c r="C4886" s="27"/>
      <c r="D4886" s="27"/>
      <c r="E4886" s="27"/>
      <c r="F4886" s="27"/>
      <c r="G4886" s="27"/>
      <c r="H4886" s="27"/>
      <c r="I4886" s="27"/>
    </row>
    <row r="4887" spans="1:9" x14ac:dyDescent="0.35">
      <c r="A4887" s="27"/>
      <c r="B4887" s="27"/>
      <c r="C4887" s="27"/>
      <c r="D4887" s="27"/>
      <c r="E4887" s="27"/>
      <c r="F4887" s="27"/>
      <c r="G4887" s="27"/>
      <c r="H4887" s="27"/>
      <c r="I4887" s="27"/>
    </row>
    <row r="4888" spans="1:9" x14ac:dyDescent="0.35">
      <c r="A4888" s="27"/>
      <c r="B4888" s="27"/>
      <c r="C4888" s="27"/>
      <c r="D4888" s="27"/>
      <c r="E4888" s="27"/>
      <c r="F4888" s="27"/>
      <c r="G4888" s="27"/>
      <c r="H4888" s="27"/>
      <c r="I4888" s="27"/>
    </row>
    <row r="4889" spans="1:9" x14ac:dyDescent="0.35">
      <c r="A4889" s="27"/>
      <c r="B4889" s="27"/>
      <c r="C4889" s="27"/>
      <c r="D4889" s="27"/>
      <c r="E4889" s="27"/>
      <c r="F4889" s="27"/>
      <c r="G4889" s="27"/>
      <c r="H4889" s="27"/>
      <c r="I4889" s="27"/>
    </row>
    <row r="4890" spans="1:9" x14ac:dyDescent="0.35">
      <c r="A4890" s="27"/>
      <c r="B4890" s="27"/>
      <c r="C4890" s="27"/>
      <c r="D4890" s="27"/>
      <c r="E4890" s="27"/>
      <c r="F4890" s="27"/>
      <c r="G4890" s="27"/>
      <c r="H4890" s="27"/>
      <c r="I4890" s="27"/>
    </row>
    <row r="4891" spans="1:9" x14ac:dyDescent="0.35">
      <c r="A4891" s="27"/>
      <c r="B4891" s="27"/>
      <c r="C4891" s="27"/>
      <c r="D4891" s="27"/>
      <c r="E4891" s="27"/>
      <c r="F4891" s="27"/>
      <c r="G4891" s="27"/>
      <c r="H4891" s="27"/>
      <c r="I4891" s="27"/>
    </row>
    <row r="4892" spans="1:9" x14ac:dyDescent="0.35">
      <c r="A4892" s="27"/>
      <c r="B4892" s="27"/>
      <c r="C4892" s="27"/>
      <c r="D4892" s="27"/>
      <c r="E4892" s="27"/>
      <c r="F4892" s="27"/>
      <c r="G4892" s="27"/>
      <c r="H4892" s="27"/>
      <c r="I4892" s="27"/>
    </row>
    <row r="4893" spans="1:9" x14ac:dyDescent="0.35">
      <c r="A4893" s="27"/>
      <c r="B4893" s="27"/>
      <c r="C4893" s="27"/>
      <c r="D4893" s="27"/>
      <c r="E4893" s="27"/>
      <c r="F4893" s="27"/>
      <c r="G4893" s="27"/>
      <c r="H4893" s="27"/>
      <c r="I4893" s="27"/>
    </row>
    <row r="4894" spans="1:9" x14ac:dyDescent="0.35">
      <c r="A4894" s="27"/>
      <c r="B4894" s="27"/>
      <c r="C4894" s="27"/>
      <c r="D4894" s="27"/>
      <c r="E4894" s="27"/>
      <c r="F4894" s="27"/>
      <c r="G4894" s="27"/>
      <c r="H4894" s="27"/>
      <c r="I4894" s="27"/>
    </row>
    <row r="4895" spans="1:9" x14ac:dyDescent="0.35">
      <c r="A4895" s="27"/>
      <c r="B4895" s="27"/>
      <c r="C4895" s="27"/>
      <c r="D4895" s="27"/>
      <c r="E4895" s="27"/>
      <c r="F4895" s="27"/>
      <c r="G4895" s="27"/>
      <c r="H4895" s="27"/>
      <c r="I4895" s="27"/>
    </row>
    <row r="4896" spans="1:9" x14ac:dyDescent="0.35">
      <c r="A4896" s="27"/>
      <c r="B4896" s="27"/>
      <c r="C4896" s="27"/>
      <c r="D4896" s="27"/>
      <c r="E4896" s="27"/>
      <c r="F4896" s="27"/>
      <c r="G4896" s="27"/>
      <c r="H4896" s="27"/>
      <c r="I4896" s="27"/>
    </row>
    <row r="4897" spans="1:9" x14ac:dyDescent="0.35">
      <c r="A4897" s="27"/>
      <c r="B4897" s="27"/>
      <c r="C4897" s="27"/>
      <c r="D4897" s="27"/>
      <c r="E4897" s="27"/>
      <c r="F4897" s="27"/>
      <c r="G4897" s="27"/>
      <c r="H4897" s="27"/>
      <c r="I4897" s="27"/>
    </row>
    <row r="4898" spans="1:9" x14ac:dyDescent="0.35">
      <c r="A4898" s="27"/>
      <c r="B4898" s="27"/>
      <c r="C4898" s="27"/>
      <c r="D4898" s="27"/>
      <c r="E4898" s="27"/>
      <c r="F4898" s="27"/>
      <c r="G4898" s="27"/>
      <c r="H4898" s="27"/>
      <c r="I4898" s="27"/>
    </row>
    <row r="4899" spans="1:9" x14ac:dyDescent="0.35">
      <c r="A4899" s="27"/>
      <c r="B4899" s="27"/>
      <c r="C4899" s="27"/>
      <c r="D4899" s="27"/>
      <c r="E4899" s="27"/>
      <c r="F4899" s="27"/>
      <c r="G4899" s="27"/>
      <c r="H4899" s="27"/>
      <c r="I4899" s="27"/>
    </row>
    <row r="4900" spans="1:9" x14ac:dyDescent="0.35">
      <c r="A4900" s="27"/>
      <c r="B4900" s="27"/>
      <c r="C4900" s="27"/>
      <c r="D4900" s="27"/>
      <c r="E4900" s="27"/>
      <c r="F4900" s="27"/>
      <c r="G4900" s="27"/>
      <c r="H4900" s="27"/>
      <c r="I4900" s="27"/>
    </row>
    <row r="4901" spans="1:9" x14ac:dyDescent="0.35">
      <c r="A4901" s="27"/>
      <c r="B4901" s="27"/>
      <c r="C4901" s="27"/>
      <c r="D4901" s="27"/>
      <c r="E4901" s="27"/>
      <c r="F4901" s="27"/>
      <c r="G4901" s="27"/>
      <c r="H4901" s="27"/>
      <c r="I4901" s="27"/>
    </row>
    <row r="4902" spans="1:9" x14ac:dyDescent="0.35">
      <c r="A4902" s="27"/>
      <c r="B4902" s="27"/>
      <c r="C4902" s="27"/>
      <c r="D4902" s="27"/>
      <c r="E4902" s="27"/>
      <c r="F4902" s="27"/>
      <c r="G4902" s="27"/>
      <c r="H4902" s="27"/>
      <c r="I4902" s="27"/>
    </row>
    <row r="4903" spans="1:9" x14ac:dyDescent="0.35">
      <c r="A4903" s="27"/>
      <c r="B4903" s="27"/>
      <c r="C4903" s="27"/>
      <c r="D4903" s="27"/>
      <c r="E4903" s="27"/>
      <c r="F4903" s="27"/>
      <c r="G4903" s="27"/>
      <c r="H4903" s="27"/>
      <c r="I4903" s="27"/>
    </row>
    <row r="4904" spans="1:9" x14ac:dyDescent="0.35">
      <c r="A4904" s="27"/>
      <c r="B4904" s="27"/>
      <c r="C4904" s="27"/>
      <c r="D4904" s="27"/>
      <c r="E4904" s="27"/>
      <c r="F4904" s="27"/>
      <c r="G4904" s="27"/>
      <c r="H4904" s="27"/>
      <c r="I4904" s="27"/>
    </row>
    <row r="4905" spans="1:9" x14ac:dyDescent="0.35">
      <c r="A4905" s="27"/>
      <c r="B4905" s="27"/>
      <c r="C4905" s="27"/>
      <c r="D4905" s="27"/>
      <c r="E4905" s="27"/>
      <c r="F4905" s="27"/>
      <c r="G4905" s="27"/>
      <c r="H4905" s="27"/>
      <c r="I4905" s="27"/>
    </row>
    <row r="4906" spans="1:9" x14ac:dyDescent="0.35">
      <c r="A4906" s="27"/>
      <c r="B4906" s="27"/>
      <c r="C4906" s="27"/>
      <c r="D4906" s="27"/>
      <c r="E4906" s="27"/>
      <c r="F4906" s="27"/>
      <c r="G4906" s="27"/>
      <c r="H4906" s="27"/>
      <c r="I4906" s="27"/>
    </row>
    <row r="4907" spans="1:9" x14ac:dyDescent="0.35">
      <c r="A4907" s="27"/>
      <c r="B4907" s="27"/>
      <c r="C4907" s="27"/>
      <c r="D4907" s="27"/>
      <c r="E4907" s="27"/>
      <c r="F4907" s="27"/>
      <c r="G4907" s="27"/>
      <c r="H4907" s="27"/>
      <c r="I4907" s="27"/>
    </row>
    <row r="4908" spans="1:9" x14ac:dyDescent="0.35">
      <c r="A4908" s="27"/>
      <c r="B4908" s="27"/>
      <c r="C4908" s="27"/>
      <c r="D4908" s="27"/>
      <c r="E4908" s="27"/>
      <c r="F4908" s="27"/>
      <c r="G4908" s="27"/>
      <c r="H4908" s="27"/>
      <c r="I4908" s="27"/>
    </row>
    <row r="4909" spans="1:9" x14ac:dyDescent="0.35">
      <c r="A4909" s="27"/>
      <c r="B4909" s="27"/>
      <c r="C4909" s="27"/>
      <c r="D4909" s="27"/>
      <c r="E4909" s="27"/>
      <c r="F4909" s="27"/>
      <c r="G4909" s="27"/>
      <c r="H4909" s="27"/>
      <c r="I4909" s="27"/>
    </row>
    <row r="4910" spans="1:9" x14ac:dyDescent="0.35">
      <c r="A4910" s="27"/>
      <c r="B4910" s="27"/>
      <c r="C4910" s="27"/>
      <c r="D4910" s="27"/>
      <c r="E4910" s="27"/>
      <c r="F4910" s="27"/>
      <c r="G4910" s="27"/>
      <c r="H4910" s="27"/>
      <c r="I4910" s="27"/>
    </row>
    <row r="4911" spans="1:9" x14ac:dyDescent="0.35">
      <c r="A4911" s="27"/>
      <c r="B4911" s="27"/>
      <c r="C4911" s="27"/>
      <c r="D4911" s="27"/>
      <c r="E4911" s="27"/>
      <c r="F4911" s="27"/>
      <c r="G4911" s="27"/>
      <c r="H4911" s="27"/>
      <c r="I4911" s="27"/>
    </row>
    <row r="4912" spans="1:9" x14ac:dyDescent="0.35">
      <c r="A4912" s="27"/>
      <c r="B4912" s="27"/>
      <c r="C4912" s="27"/>
      <c r="D4912" s="27"/>
      <c r="E4912" s="27"/>
      <c r="F4912" s="27"/>
      <c r="G4912" s="27"/>
      <c r="H4912" s="27"/>
      <c r="I4912" s="27"/>
    </row>
    <row r="4913" spans="1:9" x14ac:dyDescent="0.35">
      <c r="A4913" s="27"/>
      <c r="B4913" s="27"/>
      <c r="C4913" s="27"/>
      <c r="D4913" s="27"/>
      <c r="E4913" s="27"/>
      <c r="F4913" s="27"/>
      <c r="G4913" s="27"/>
      <c r="H4913" s="27"/>
      <c r="I4913" s="27"/>
    </row>
    <row r="4914" spans="1:9" x14ac:dyDescent="0.35">
      <c r="A4914" s="27"/>
      <c r="B4914" s="27"/>
      <c r="C4914" s="27"/>
      <c r="D4914" s="27"/>
      <c r="E4914" s="27"/>
      <c r="F4914" s="27"/>
      <c r="G4914" s="27"/>
      <c r="H4914" s="27"/>
      <c r="I4914" s="27"/>
    </row>
    <row r="4915" spans="1:9" x14ac:dyDescent="0.35">
      <c r="A4915" s="27"/>
      <c r="B4915" s="27"/>
      <c r="C4915" s="27"/>
      <c r="D4915" s="27"/>
      <c r="E4915" s="27"/>
      <c r="F4915" s="27"/>
      <c r="G4915" s="27"/>
      <c r="H4915" s="27"/>
      <c r="I4915" s="27"/>
    </row>
    <row r="4916" spans="1:9" x14ac:dyDescent="0.35">
      <c r="A4916" s="27"/>
      <c r="B4916" s="27"/>
      <c r="C4916" s="27"/>
      <c r="D4916" s="27"/>
      <c r="E4916" s="27"/>
      <c r="F4916" s="27"/>
      <c r="G4916" s="27"/>
      <c r="H4916" s="27"/>
      <c r="I4916" s="27"/>
    </row>
    <row r="4917" spans="1:9" x14ac:dyDescent="0.35">
      <c r="A4917" s="27"/>
      <c r="B4917" s="27"/>
      <c r="C4917" s="27"/>
      <c r="D4917" s="27"/>
      <c r="E4917" s="27"/>
      <c r="F4917" s="27"/>
      <c r="G4917" s="27"/>
      <c r="H4917" s="27"/>
      <c r="I4917" s="27"/>
    </row>
    <row r="4918" spans="1:9" x14ac:dyDescent="0.35">
      <c r="A4918" s="27"/>
      <c r="B4918" s="27"/>
      <c r="C4918" s="27"/>
      <c r="D4918" s="27"/>
      <c r="E4918" s="27"/>
      <c r="F4918" s="27"/>
      <c r="G4918" s="27"/>
      <c r="H4918" s="27"/>
      <c r="I4918" s="27"/>
    </row>
    <row r="4919" spans="1:9" x14ac:dyDescent="0.35">
      <c r="A4919" s="27"/>
      <c r="B4919" s="27"/>
      <c r="C4919" s="27"/>
      <c r="D4919" s="27"/>
      <c r="E4919" s="27"/>
      <c r="F4919" s="27"/>
      <c r="G4919" s="27"/>
      <c r="H4919" s="27"/>
      <c r="I4919" s="27"/>
    </row>
    <row r="4920" spans="1:9" x14ac:dyDescent="0.35">
      <c r="A4920" s="27"/>
      <c r="B4920" s="27"/>
      <c r="C4920" s="27"/>
      <c r="D4920" s="27"/>
      <c r="E4920" s="27"/>
      <c r="F4920" s="27"/>
      <c r="G4920" s="27"/>
      <c r="H4920" s="27"/>
      <c r="I4920" s="27"/>
    </row>
    <row r="4921" spans="1:9" x14ac:dyDescent="0.35">
      <c r="A4921" s="27"/>
      <c r="B4921" s="27"/>
      <c r="C4921" s="27"/>
      <c r="D4921" s="27"/>
      <c r="E4921" s="27"/>
      <c r="F4921" s="27"/>
      <c r="G4921" s="27"/>
      <c r="H4921" s="27"/>
      <c r="I4921" s="27"/>
    </row>
    <row r="4922" spans="1:9" x14ac:dyDescent="0.35">
      <c r="A4922" s="27"/>
      <c r="B4922" s="27"/>
      <c r="C4922" s="27"/>
      <c r="D4922" s="27"/>
      <c r="E4922" s="27"/>
      <c r="F4922" s="27"/>
      <c r="G4922" s="27"/>
      <c r="H4922" s="27"/>
      <c r="I4922" s="27"/>
    </row>
    <row r="4923" spans="1:9" x14ac:dyDescent="0.35">
      <c r="A4923" s="27"/>
      <c r="B4923" s="27"/>
      <c r="C4923" s="27"/>
      <c r="D4923" s="27"/>
      <c r="E4923" s="27"/>
      <c r="F4923" s="27"/>
      <c r="G4923" s="27"/>
      <c r="H4923" s="27"/>
      <c r="I4923" s="27"/>
    </row>
    <row r="4924" spans="1:9" x14ac:dyDescent="0.35">
      <c r="A4924" s="27"/>
      <c r="B4924" s="27"/>
      <c r="C4924" s="27"/>
      <c r="D4924" s="27"/>
      <c r="E4924" s="27"/>
      <c r="F4924" s="27"/>
      <c r="G4924" s="27"/>
      <c r="H4924" s="27"/>
      <c r="I4924" s="27"/>
    </row>
    <row r="4925" spans="1:9" x14ac:dyDescent="0.35">
      <c r="A4925" s="27"/>
      <c r="B4925" s="27"/>
      <c r="C4925" s="27"/>
      <c r="D4925" s="27"/>
      <c r="E4925" s="27"/>
      <c r="F4925" s="27"/>
      <c r="G4925" s="27"/>
      <c r="H4925" s="27"/>
      <c r="I4925" s="27"/>
    </row>
    <row r="4926" spans="1:9" x14ac:dyDescent="0.35">
      <c r="A4926" s="27"/>
      <c r="B4926" s="27"/>
      <c r="C4926" s="27"/>
      <c r="D4926" s="27"/>
      <c r="E4926" s="27"/>
      <c r="F4926" s="27"/>
      <c r="G4926" s="27"/>
      <c r="H4926" s="27"/>
      <c r="I4926" s="27"/>
    </row>
    <row r="4927" spans="1:9" x14ac:dyDescent="0.35">
      <c r="A4927" s="27"/>
      <c r="B4927" s="27"/>
      <c r="C4927" s="27"/>
      <c r="D4927" s="27"/>
      <c r="E4927" s="27"/>
      <c r="F4927" s="27"/>
      <c r="G4927" s="27"/>
      <c r="H4927" s="27"/>
      <c r="I4927" s="27"/>
    </row>
    <row r="4928" spans="1:9" x14ac:dyDescent="0.35">
      <c r="A4928" s="27"/>
      <c r="B4928" s="27"/>
      <c r="C4928" s="27"/>
      <c r="D4928" s="27"/>
      <c r="E4928" s="27"/>
      <c r="F4928" s="27"/>
      <c r="G4928" s="27"/>
      <c r="H4928" s="27"/>
      <c r="I4928" s="27"/>
    </row>
    <row r="4929" spans="1:9" x14ac:dyDescent="0.35">
      <c r="A4929" s="27"/>
      <c r="B4929" s="27"/>
      <c r="C4929" s="27"/>
      <c r="D4929" s="27"/>
      <c r="E4929" s="27"/>
      <c r="F4929" s="27"/>
      <c r="G4929" s="27"/>
      <c r="H4929" s="27"/>
      <c r="I4929" s="27"/>
    </row>
    <row r="4930" spans="1:9" x14ac:dyDescent="0.35">
      <c r="A4930" s="27"/>
      <c r="B4930" s="27"/>
      <c r="C4930" s="27"/>
      <c r="D4930" s="27"/>
      <c r="E4930" s="27"/>
      <c r="F4930" s="27"/>
      <c r="G4930" s="27"/>
      <c r="H4930" s="27"/>
      <c r="I4930" s="27"/>
    </row>
    <row r="4931" spans="1:9" x14ac:dyDescent="0.35">
      <c r="A4931" s="27"/>
      <c r="B4931" s="27"/>
      <c r="C4931" s="27"/>
      <c r="D4931" s="27"/>
      <c r="E4931" s="27"/>
      <c r="F4931" s="27"/>
      <c r="G4931" s="27"/>
      <c r="H4931" s="27"/>
      <c r="I4931" s="27"/>
    </row>
    <row r="4932" spans="1:9" x14ac:dyDescent="0.35">
      <c r="A4932" s="27"/>
      <c r="B4932" s="27"/>
      <c r="C4932" s="27"/>
      <c r="D4932" s="27"/>
      <c r="E4932" s="27"/>
      <c r="F4932" s="27"/>
      <c r="G4932" s="27"/>
      <c r="H4932" s="27"/>
      <c r="I4932" s="27"/>
    </row>
    <row r="4933" spans="1:9" x14ac:dyDescent="0.35">
      <c r="A4933" s="27"/>
      <c r="B4933" s="27"/>
      <c r="C4933" s="27"/>
      <c r="D4933" s="27"/>
      <c r="E4933" s="27"/>
      <c r="F4933" s="27"/>
      <c r="G4933" s="27"/>
      <c r="H4933" s="27"/>
      <c r="I4933" s="27"/>
    </row>
    <row r="4934" spans="1:9" x14ac:dyDescent="0.35">
      <c r="A4934" s="27"/>
      <c r="B4934" s="27"/>
      <c r="C4934" s="27"/>
      <c r="D4934" s="27"/>
      <c r="E4934" s="27"/>
      <c r="F4934" s="27"/>
      <c r="G4934" s="27"/>
      <c r="H4934" s="27"/>
      <c r="I4934" s="27"/>
    </row>
    <row r="4935" spans="1:9" x14ac:dyDescent="0.35">
      <c r="A4935" s="27"/>
      <c r="B4935" s="27"/>
      <c r="C4935" s="27"/>
      <c r="D4935" s="27"/>
      <c r="E4935" s="27"/>
      <c r="F4935" s="27"/>
      <c r="G4935" s="27"/>
      <c r="H4935" s="27"/>
      <c r="I4935" s="27"/>
    </row>
    <row r="4936" spans="1:9" x14ac:dyDescent="0.35">
      <c r="A4936" s="27"/>
      <c r="B4936" s="27"/>
      <c r="C4936" s="27"/>
      <c r="D4936" s="27"/>
      <c r="E4936" s="27"/>
      <c r="F4936" s="27"/>
      <c r="G4936" s="27"/>
      <c r="H4936" s="27"/>
      <c r="I4936" s="27"/>
    </row>
    <row r="4937" spans="1:9" x14ac:dyDescent="0.35">
      <c r="A4937" s="27"/>
      <c r="B4937" s="27"/>
      <c r="C4937" s="27"/>
      <c r="D4937" s="27"/>
      <c r="E4937" s="27"/>
      <c r="F4937" s="27"/>
      <c r="G4937" s="27"/>
      <c r="H4937" s="27"/>
      <c r="I4937" s="27"/>
    </row>
    <row r="4938" spans="1:9" x14ac:dyDescent="0.35">
      <c r="A4938" s="27"/>
      <c r="B4938" s="27"/>
      <c r="C4938" s="27"/>
      <c r="D4938" s="27"/>
      <c r="E4938" s="27"/>
      <c r="F4938" s="27"/>
      <c r="G4938" s="27"/>
      <c r="H4938" s="27"/>
      <c r="I4938" s="27"/>
    </row>
    <row r="4939" spans="1:9" x14ac:dyDescent="0.35">
      <c r="A4939" s="27"/>
      <c r="B4939" s="27"/>
      <c r="C4939" s="27"/>
      <c r="D4939" s="27"/>
      <c r="E4939" s="27"/>
      <c r="F4939" s="27"/>
      <c r="G4939" s="27"/>
      <c r="H4939" s="27"/>
      <c r="I4939" s="27"/>
    </row>
    <row r="4940" spans="1:9" x14ac:dyDescent="0.35">
      <c r="A4940" s="27"/>
      <c r="B4940" s="27"/>
      <c r="C4940" s="27"/>
      <c r="D4940" s="27"/>
      <c r="E4940" s="27"/>
      <c r="F4940" s="27"/>
      <c r="G4940" s="27"/>
      <c r="H4940" s="27"/>
      <c r="I4940" s="27"/>
    </row>
    <row r="4941" spans="1:9" x14ac:dyDescent="0.35">
      <c r="A4941" s="27"/>
      <c r="B4941" s="27"/>
      <c r="C4941" s="27"/>
      <c r="D4941" s="27"/>
      <c r="E4941" s="27"/>
      <c r="F4941" s="27"/>
      <c r="G4941" s="27"/>
      <c r="H4941" s="27"/>
      <c r="I4941" s="27"/>
    </row>
    <row r="4942" spans="1:9" x14ac:dyDescent="0.35">
      <c r="A4942" s="27"/>
      <c r="B4942" s="27"/>
      <c r="C4942" s="27"/>
      <c r="D4942" s="27"/>
      <c r="E4942" s="27"/>
      <c r="F4942" s="27"/>
      <c r="G4942" s="27"/>
      <c r="H4942" s="27"/>
      <c r="I4942" s="27"/>
    </row>
    <row r="4943" spans="1:9" x14ac:dyDescent="0.35">
      <c r="A4943" s="27"/>
      <c r="B4943" s="27"/>
      <c r="C4943" s="27"/>
      <c r="D4943" s="27"/>
      <c r="E4943" s="27"/>
      <c r="F4943" s="27"/>
      <c r="G4943" s="27"/>
      <c r="H4943" s="27"/>
      <c r="I4943" s="27"/>
    </row>
    <row r="4944" spans="1:9" x14ac:dyDescent="0.35">
      <c r="A4944" s="27"/>
      <c r="B4944" s="27"/>
      <c r="C4944" s="27"/>
      <c r="D4944" s="27"/>
      <c r="E4944" s="27"/>
      <c r="F4944" s="27"/>
      <c r="G4944" s="27"/>
      <c r="H4944" s="27"/>
      <c r="I4944" s="27"/>
    </row>
    <row r="4945" spans="1:9" x14ac:dyDescent="0.35">
      <c r="A4945" s="27"/>
      <c r="B4945" s="27"/>
      <c r="C4945" s="27"/>
      <c r="D4945" s="27"/>
      <c r="E4945" s="27"/>
      <c r="F4945" s="27"/>
      <c r="G4945" s="27"/>
      <c r="H4945" s="27"/>
      <c r="I4945" s="27"/>
    </row>
    <row r="4946" spans="1:9" x14ac:dyDescent="0.35">
      <c r="A4946" s="27"/>
      <c r="B4946" s="27"/>
      <c r="C4946" s="27"/>
      <c r="D4946" s="27"/>
      <c r="E4946" s="27"/>
      <c r="F4946" s="27"/>
      <c r="G4946" s="27"/>
      <c r="H4946" s="27"/>
      <c r="I4946" s="27"/>
    </row>
    <row r="4947" spans="1:9" x14ac:dyDescent="0.35">
      <c r="A4947" s="27"/>
      <c r="B4947" s="27"/>
      <c r="C4947" s="27"/>
      <c r="D4947" s="27"/>
      <c r="E4947" s="27"/>
      <c r="F4947" s="27"/>
      <c r="G4947" s="27"/>
      <c r="H4947" s="27"/>
      <c r="I4947" s="27"/>
    </row>
    <row r="4948" spans="1:9" x14ac:dyDescent="0.35">
      <c r="A4948" s="27"/>
      <c r="B4948" s="27"/>
      <c r="C4948" s="27"/>
      <c r="D4948" s="27"/>
      <c r="E4948" s="27"/>
      <c r="F4948" s="27"/>
      <c r="G4948" s="27"/>
      <c r="H4948" s="27"/>
      <c r="I4948" s="27"/>
    </row>
    <row r="4949" spans="1:9" x14ac:dyDescent="0.35">
      <c r="A4949" s="27"/>
      <c r="B4949" s="27"/>
      <c r="C4949" s="27"/>
      <c r="D4949" s="27"/>
      <c r="E4949" s="27"/>
      <c r="F4949" s="27"/>
      <c r="G4949" s="27"/>
      <c r="H4949" s="27"/>
      <c r="I4949" s="27"/>
    </row>
    <row r="4950" spans="1:9" x14ac:dyDescent="0.35">
      <c r="A4950" s="27"/>
      <c r="B4950" s="27"/>
      <c r="C4950" s="27"/>
      <c r="D4950" s="27"/>
      <c r="E4950" s="27"/>
      <c r="F4950" s="27"/>
      <c r="G4950" s="27"/>
      <c r="H4950" s="27"/>
      <c r="I4950" s="27"/>
    </row>
    <row r="4951" spans="1:9" x14ac:dyDescent="0.35">
      <c r="A4951" s="27"/>
      <c r="B4951" s="27"/>
      <c r="C4951" s="27"/>
      <c r="D4951" s="27"/>
      <c r="E4951" s="27"/>
      <c r="F4951" s="27"/>
      <c r="G4951" s="27"/>
      <c r="H4951" s="27"/>
      <c r="I4951" s="27"/>
    </row>
    <row r="4952" spans="1:9" x14ac:dyDescent="0.35">
      <c r="A4952" s="27"/>
      <c r="B4952" s="27"/>
      <c r="C4952" s="27"/>
      <c r="D4952" s="27"/>
      <c r="E4952" s="27"/>
      <c r="F4952" s="27"/>
      <c r="G4952" s="27"/>
      <c r="H4952" s="27"/>
      <c r="I4952" s="27"/>
    </row>
    <row r="4953" spans="1:9" x14ac:dyDescent="0.35">
      <c r="A4953" s="27"/>
      <c r="B4953" s="27"/>
      <c r="C4953" s="27"/>
      <c r="D4953" s="27"/>
      <c r="E4953" s="27"/>
      <c r="F4953" s="27"/>
      <c r="G4953" s="27"/>
      <c r="H4953" s="27"/>
      <c r="I4953" s="27"/>
    </row>
    <row r="4954" spans="1:9" x14ac:dyDescent="0.35">
      <c r="A4954" s="27"/>
      <c r="B4954" s="27"/>
      <c r="C4954" s="27"/>
      <c r="D4954" s="27"/>
      <c r="E4954" s="27"/>
      <c r="F4954" s="27"/>
      <c r="G4954" s="27"/>
      <c r="H4954" s="27"/>
      <c r="I4954" s="27"/>
    </row>
    <row r="4955" spans="1:9" x14ac:dyDescent="0.35">
      <c r="A4955" s="27"/>
      <c r="B4955" s="27"/>
      <c r="C4955" s="27"/>
      <c r="D4955" s="27"/>
      <c r="E4955" s="27"/>
      <c r="F4955" s="27"/>
      <c r="G4955" s="27"/>
      <c r="H4955" s="27"/>
      <c r="I4955" s="27"/>
    </row>
    <row r="4956" spans="1:9" x14ac:dyDescent="0.35">
      <c r="A4956" s="27"/>
      <c r="B4956" s="27"/>
      <c r="C4956" s="27"/>
      <c r="D4956" s="27"/>
      <c r="E4956" s="27"/>
      <c r="F4956" s="27"/>
      <c r="G4956" s="27"/>
      <c r="H4956" s="27"/>
      <c r="I4956" s="27"/>
    </row>
    <row r="4957" spans="1:9" x14ac:dyDescent="0.35">
      <c r="A4957" s="27"/>
      <c r="B4957" s="27"/>
      <c r="C4957" s="27"/>
      <c r="D4957" s="27"/>
      <c r="E4957" s="27"/>
      <c r="F4957" s="27"/>
      <c r="G4957" s="27"/>
      <c r="H4957" s="27"/>
      <c r="I4957" s="27"/>
    </row>
    <row r="4958" spans="1:9" x14ac:dyDescent="0.35">
      <c r="A4958" s="27"/>
      <c r="B4958" s="27"/>
      <c r="C4958" s="27"/>
      <c r="D4958" s="27"/>
      <c r="E4958" s="27"/>
      <c r="F4958" s="27"/>
      <c r="G4958" s="27"/>
      <c r="H4958" s="27"/>
      <c r="I4958" s="27"/>
    </row>
    <row r="4959" spans="1:9" x14ac:dyDescent="0.35">
      <c r="A4959" s="27"/>
      <c r="B4959" s="27"/>
      <c r="C4959" s="27"/>
      <c r="D4959" s="27"/>
      <c r="E4959" s="27"/>
      <c r="F4959" s="27"/>
      <c r="G4959" s="27"/>
      <c r="H4959" s="27"/>
      <c r="I4959" s="27"/>
    </row>
    <row r="4960" spans="1:9" x14ac:dyDescent="0.35">
      <c r="A4960" s="27"/>
      <c r="B4960" s="27"/>
      <c r="C4960" s="27"/>
      <c r="D4960" s="27"/>
      <c r="E4960" s="27"/>
      <c r="F4960" s="27"/>
      <c r="G4960" s="27"/>
      <c r="H4960" s="27"/>
      <c r="I4960" s="27"/>
    </row>
    <row r="4961" spans="1:9" x14ac:dyDescent="0.35">
      <c r="A4961" s="27"/>
      <c r="B4961" s="27"/>
      <c r="C4961" s="27"/>
      <c r="D4961" s="27"/>
      <c r="E4961" s="27"/>
      <c r="F4961" s="27"/>
      <c r="G4961" s="27"/>
      <c r="H4961" s="27"/>
      <c r="I4961" s="27"/>
    </row>
    <row r="4962" spans="1:9" x14ac:dyDescent="0.35">
      <c r="A4962" s="27"/>
      <c r="B4962" s="27"/>
      <c r="C4962" s="27"/>
      <c r="D4962" s="27"/>
      <c r="E4962" s="27"/>
      <c r="F4962" s="27"/>
      <c r="G4962" s="27"/>
      <c r="H4962" s="27"/>
      <c r="I4962" s="27"/>
    </row>
    <row r="4963" spans="1:9" x14ac:dyDescent="0.35">
      <c r="A4963" s="27"/>
      <c r="B4963" s="27"/>
      <c r="C4963" s="27"/>
      <c r="D4963" s="27"/>
      <c r="E4963" s="27"/>
      <c r="F4963" s="27"/>
      <c r="G4963" s="27"/>
      <c r="H4963" s="27"/>
      <c r="I4963" s="27"/>
    </row>
    <row r="4964" spans="1:9" x14ac:dyDescent="0.35">
      <c r="A4964" s="27"/>
      <c r="B4964" s="27"/>
      <c r="C4964" s="27"/>
      <c r="D4964" s="27"/>
      <c r="E4964" s="27"/>
      <c r="F4964" s="27"/>
      <c r="G4964" s="27"/>
      <c r="H4964" s="27"/>
      <c r="I4964" s="27"/>
    </row>
    <row r="4965" spans="1:9" x14ac:dyDescent="0.35">
      <c r="A4965" s="27"/>
      <c r="B4965" s="27"/>
      <c r="C4965" s="27"/>
      <c r="D4965" s="27"/>
      <c r="E4965" s="27"/>
      <c r="F4965" s="27"/>
      <c r="G4965" s="27"/>
      <c r="H4965" s="27"/>
      <c r="I4965" s="27"/>
    </row>
    <row r="4966" spans="1:9" x14ac:dyDescent="0.35">
      <c r="A4966" s="27"/>
      <c r="B4966" s="27"/>
      <c r="C4966" s="27"/>
      <c r="D4966" s="27"/>
      <c r="E4966" s="27"/>
      <c r="F4966" s="27"/>
      <c r="G4966" s="27"/>
      <c r="H4966" s="27"/>
      <c r="I4966" s="27"/>
    </row>
    <row r="4967" spans="1:9" x14ac:dyDescent="0.35">
      <c r="A4967" s="27"/>
      <c r="B4967" s="27"/>
      <c r="C4967" s="27"/>
      <c r="D4967" s="27"/>
      <c r="E4967" s="27"/>
      <c r="F4967" s="27"/>
      <c r="G4967" s="27"/>
      <c r="H4967" s="27"/>
      <c r="I4967" s="27"/>
    </row>
    <row r="4968" spans="1:9" x14ac:dyDescent="0.35">
      <c r="A4968" s="27"/>
      <c r="B4968" s="27"/>
      <c r="C4968" s="27"/>
      <c r="D4968" s="27"/>
      <c r="E4968" s="27"/>
      <c r="F4968" s="27"/>
      <c r="G4968" s="27"/>
      <c r="H4968" s="27"/>
      <c r="I4968" s="27"/>
    </row>
    <row r="4969" spans="1:9" x14ac:dyDescent="0.35">
      <c r="A4969" s="27"/>
      <c r="B4969" s="27"/>
      <c r="C4969" s="27"/>
      <c r="D4969" s="27"/>
      <c r="E4969" s="27"/>
      <c r="F4969" s="27"/>
      <c r="G4969" s="27"/>
      <c r="H4969" s="27"/>
      <c r="I4969" s="27"/>
    </row>
    <row r="4970" spans="1:9" x14ac:dyDescent="0.35">
      <c r="A4970" s="27"/>
      <c r="B4970" s="27"/>
      <c r="C4970" s="27"/>
      <c r="D4970" s="27"/>
      <c r="E4970" s="27"/>
      <c r="F4970" s="27"/>
      <c r="G4970" s="27"/>
      <c r="H4970" s="27"/>
      <c r="I4970" s="27"/>
    </row>
    <row r="4971" spans="1:9" x14ac:dyDescent="0.35">
      <c r="A4971" s="27"/>
      <c r="B4971" s="27"/>
      <c r="C4971" s="27"/>
      <c r="D4971" s="27"/>
      <c r="E4971" s="27"/>
      <c r="F4971" s="27"/>
      <c r="G4971" s="27"/>
      <c r="H4971" s="27"/>
      <c r="I4971" s="27"/>
    </row>
    <row r="4972" spans="1:9" x14ac:dyDescent="0.35">
      <c r="A4972" s="27"/>
      <c r="B4972" s="27"/>
      <c r="C4972" s="27"/>
      <c r="D4972" s="27"/>
      <c r="E4972" s="27"/>
      <c r="F4972" s="27"/>
      <c r="G4972" s="27"/>
      <c r="H4972" s="27"/>
      <c r="I4972" s="27"/>
    </row>
    <row r="4973" spans="1:9" x14ac:dyDescent="0.35">
      <c r="A4973" s="27"/>
      <c r="B4973" s="27"/>
      <c r="C4973" s="27"/>
      <c r="D4973" s="27"/>
      <c r="E4973" s="27"/>
      <c r="F4973" s="27"/>
      <c r="G4973" s="27"/>
      <c r="H4973" s="27"/>
      <c r="I4973" s="27"/>
    </row>
    <row r="4974" spans="1:9" x14ac:dyDescent="0.35">
      <c r="A4974" s="27"/>
      <c r="B4974" s="27"/>
      <c r="C4974" s="27"/>
      <c r="D4974" s="27"/>
      <c r="E4974" s="27"/>
      <c r="F4974" s="27"/>
      <c r="G4974" s="27"/>
      <c r="H4974" s="27"/>
      <c r="I4974" s="27"/>
    </row>
    <row r="4975" spans="1:9" x14ac:dyDescent="0.35">
      <c r="A4975" s="27"/>
      <c r="B4975" s="27"/>
      <c r="C4975" s="27"/>
      <c r="D4975" s="27"/>
      <c r="E4975" s="27"/>
      <c r="F4975" s="27"/>
      <c r="G4975" s="27"/>
      <c r="H4975" s="27"/>
      <c r="I4975" s="27"/>
    </row>
    <row r="4976" spans="1:9" x14ac:dyDescent="0.35">
      <c r="A4976" s="27"/>
      <c r="B4976" s="27"/>
      <c r="C4976" s="27"/>
      <c r="D4976" s="27"/>
      <c r="E4976" s="27"/>
      <c r="F4976" s="27"/>
      <c r="G4976" s="27"/>
      <c r="H4976" s="27"/>
      <c r="I4976" s="27"/>
    </row>
    <row r="4977" spans="1:9" x14ac:dyDescent="0.35">
      <c r="A4977" s="27"/>
      <c r="B4977" s="27"/>
      <c r="C4977" s="27"/>
      <c r="D4977" s="27"/>
      <c r="E4977" s="27"/>
      <c r="F4977" s="27"/>
      <c r="G4977" s="27"/>
      <c r="H4977" s="27"/>
      <c r="I4977" s="27"/>
    </row>
    <row r="4978" spans="1:9" x14ac:dyDescent="0.35">
      <c r="A4978" s="27"/>
      <c r="B4978" s="27"/>
      <c r="C4978" s="27"/>
      <c r="D4978" s="27"/>
      <c r="E4978" s="27"/>
      <c r="F4978" s="27"/>
      <c r="G4978" s="27"/>
      <c r="H4978" s="27"/>
      <c r="I4978" s="27"/>
    </row>
    <row r="4979" spans="1:9" x14ac:dyDescent="0.35">
      <c r="A4979" s="27"/>
      <c r="B4979" s="27"/>
      <c r="C4979" s="27"/>
      <c r="D4979" s="27"/>
      <c r="E4979" s="27"/>
      <c r="F4979" s="27"/>
      <c r="G4979" s="27"/>
      <c r="H4979" s="27"/>
      <c r="I4979" s="27"/>
    </row>
    <row r="4980" spans="1:9" x14ac:dyDescent="0.35">
      <c r="A4980" s="27"/>
      <c r="B4980" s="27"/>
      <c r="C4980" s="27"/>
      <c r="D4980" s="27"/>
      <c r="E4980" s="27"/>
      <c r="F4980" s="27"/>
      <c r="G4980" s="27"/>
      <c r="H4980" s="27"/>
      <c r="I4980" s="27"/>
    </row>
    <row r="4981" spans="1:9" x14ac:dyDescent="0.35">
      <c r="A4981" s="27"/>
      <c r="B4981" s="27"/>
      <c r="C4981" s="27"/>
      <c r="D4981" s="27"/>
      <c r="E4981" s="27"/>
      <c r="F4981" s="27"/>
      <c r="G4981" s="27"/>
      <c r="H4981" s="27"/>
      <c r="I4981" s="27"/>
    </row>
    <row r="4982" spans="1:9" x14ac:dyDescent="0.35">
      <c r="A4982" s="27"/>
      <c r="B4982" s="27"/>
      <c r="C4982" s="27"/>
      <c r="D4982" s="27"/>
      <c r="E4982" s="27"/>
      <c r="F4982" s="27"/>
      <c r="G4982" s="27"/>
      <c r="H4982" s="27"/>
      <c r="I4982" s="27"/>
    </row>
    <row r="4983" spans="1:9" x14ac:dyDescent="0.35">
      <c r="A4983" s="27"/>
      <c r="B4983" s="27"/>
      <c r="C4983" s="27"/>
      <c r="D4983" s="27"/>
      <c r="E4983" s="27"/>
      <c r="F4983" s="27"/>
      <c r="G4983" s="27"/>
      <c r="H4983" s="27"/>
      <c r="I4983" s="27"/>
    </row>
    <row r="4984" spans="1:9" x14ac:dyDescent="0.35">
      <c r="A4984" s="27"/>
      <c r="B4984" s="27"/>
      <c r="C4984" s="27"/>
      <c r="D4984" s="27"/>
      <c r="E4984" s="27"/>
      <c r="F4984" s="27"/>
      <c r="G4984" s="27"/>
      <c r="H4984" s="27"/>
      <c r="I4984" s="27"/>
    </row>
    <row r="4985" spans="1:9" x14ac:dyDescent="0.35">
      <c r="A4985" s="27"/>
      <c r="B4985" s="27"/>
      <c r="C4985" s="27"/>
      <c r="D4985" s="27"/>
      <c r="E4985" s="27"/>
      <c r="F4985" s="27"/>
      <c r="G4985" s="27"/>
      <c r="H4985" s="27"/>
      <c r="I4985" s="27"/>
    </row>
    <row r="4986" spans="1:9" x14ac:dyDescent="0.35">
      <c r="A4986" s="27"/>
      <c r="B4986" s="27"/>
      <c r="C4986" s="27"/>
      <c r="D4986" s="27"/>
      <c r="E4986" s="27"/>
      <c r="F4986" s="27"/>
      <c r="G4986" s="27"/>
      <c r="H4986" s="27"/>
      <c r="I4986" s="27"/>
    </row>
    <row r="4987" spans="1:9" x14ac:dyDescent="0.35">
      <c r="A4987" s="27"/>
      <c r="B4987" s="27"/>
      <c r="C4987" s="27"/>
      <c r="D4987" s="27"/>
      <c r="E4987" s="27"/>
      <c r="F4987" s="27"/>
      <c r="G4987" s="27"/>
      <c r="H4987" s="27"/>
      <c r="I4987" s="27"/>
    </row>
    <row r="4988" spans="1:9" x14ac:dyDescent="0.35">
      <c r="A4988" s="27"/>
      <c r="B4988" s="27"/>
      <c r="C4988" s="27"/>
      <c r="D4988" s="27"/>
      <c r="E4988" s="27"/>
      <c r="F4988" s="27"/>
      <c r="G4988" s="27"/>
      <c r="H4988" s="27"/>
      <c r="I4988" s="27"/>
    </row>
    <row r="4989" spans="1:9" x14ac:dyDescent="0.35">
      <c r="A4989" s="27"/>
      <c r="B4989" s="27"/>
      <c r="C4989" s="27"/>
      <c r="D4989" s="27"/>
      <c r="E4989" s="27"/>
      <c r="F4989" s="27"/>
      <c r="G4989" s="27"/>
      <c r="H4989" s="27"/>
      <c r="I4989" s="27"/>
    </row>
    <row r="4990" spans="1:9" x14ac:dyDescent="0.35">
      <c r="A4990" s="27"/>
      <c r="B4990" s="27"/>
      <c r="C4990" s="27"/>
      <c r="D4990" s="27"/>
      <c r="E4990" s="27"/>
      <c r="F4990" s="27"/>
      <c r="G4990" s="27"/>
      <c r="H4990" s="27"/>
      <c r="I4990" s="27"/>
    </row>
    <row r="4991" spans="1:9" x14ac:dyDescent="0.35">
      <c r="A4991" s="27"/>
      <c r="B4991" s="27"/>
      <c r="C4991" s="27"/>
      <c r="D4991" s="27"/>
      <c r="E4991" s="27"/>
      <c r="F4991" s="27"/>
      <c r="G4991" s="27"/>
      <c r="H4991" s="27"/>
      <c r="I4991" s="27"/>
    </row>
    <row r="4992" spans="1:9" x14ac:dyDescent="0.35">
      <c r="A4992" s="27"/>
      <c r="B4992" s="27"/>
      <c r="C4992" s="27"/>
      <c r="D4992" s="27"/>
      <c r="E4992" s="27"/>
      <c r="F4992" s="27"/>
      <c r="G4992" s="27"/>
      <c r="H4992" s="27"/>
      <c r="I4992" s="27"/>
    </row>
    <row r="4993" spans="1:9" x14ac:dyDescent="0.35">
      <c r="A4993" s="27"/>
      <c r="B4993" s="27"/>
      <c r="C4993" s="27"/>
      <c r="D4993" s="27"/>
      <c r="E4993" s="27"/>
      <c r="F4993" s="27"/>
      <c r="G4993" s="27"/>
      <c r="H4993" s="27"/>
      <c r="I4993" s="27"/>
    </row>
    <row r="4994" spans="1:9" x14ac:dyDescent="0.35">
      <c r="A4994" s="27"/>
      <c r="B4994" s="27"/>
      <c r="C4994" s="27"/>
      <c r="D4994" s="27"/>
      <c r="E4994" s="27"/>
      <c r="F4994" s="27"/>
      <c r="G4994" s="27"/>
      <c r="H4994" s="27"/>
      <c r="I4994" s="27"/>
    </row>
    <row r="4995" spans="1:9" x14ac:dyDescent="0.35">
      <c r="A4995" s="27"/>
      <c r="B4995" s="27"/>
      <c r="C4995" s="27"/>
      <c r="D4995" s="27"/>
      <c r="E4995" s="27"/>
      <c r="F4995" s="27"/>
      <c r="G4995" s="27"/>
      <c r="H4995" s="27"/>
      <c r="I4995" s="27"/>
    </row>
    <row r="4996" spans="1:9" x14ac:dyDescent="0.35">
      <c r="A4996" s="27"/>
      <c r="B4996" s="27"/>
      <c r="C4996" s="27"/>
      <c r="D4996" s="27"/>
      <c r="E4996" s="27"/>
      <c r="F4996" s="27"/>
      <c r="G4996" s="27"/>
      <c r="H4996" s="27"/>
      <c r="I4996" s="27"/>
    </row>
    <row r="4997" spans="1:9" x14ac:dyDescent="0.35">
      <c r="A4997" s="27"/>
      <c r="B4997" s="27"/>
      <c r="C4997" s="27"/>
      <c r="D4997" s="27"/>
      <c r="E4997" s="27"/>
      <c r="F4997" s="27"/>
      <c r="G4997" s="27"/>
      <c r="H4997" s="27"/>
      <c r="I4997" s="27"/>
    </row>
    <row r="4998" spans="1:9" x14ac:dyDescent="0.35">
      <c r="A4998" s="27"/>
      <c r="B4998" s="27"/>
      <c r="C4998" s="27"/>
      <c r="D4998" s="27"/>
      <c r="E4998" s="27"/>
      <c r="F4998" s="27"/>
      <c r="G4998" s="27"/>
      <c r="H4998" s="27"/>
      <c r="I4998" s="27"/>
    </row>
    <row r="4999" spans="1:9" x14ac:dyDescent="0.35">
      <c r="A4999" s="27"/>
      <c r="B4999" s="27"/>
      <c r="C4999" s="27"/>
      <c r="D4999" s="27"/>
      <c r="E4999" s="27"/>
      <c r="F4999" s="27"/>
      <c r="G4999" s="27"/>
      <c r="H4999" s="27"/>
      <c r="I4999" s="27"/>
    </row>
    <row r="5000" spans="1:9" x14ac:dyDescent="0.35">
      <c r="A5000" s="27"/>
      <c r="B5000" s="27"/>
      <c r="C5000" s="27"/>
      <c r="D5000" s="27"/>
      <c r="E5000" s="27"/>
      <c r="F5000" s="27"/>
      <c r="G5000" s="27"/>
      <c r="H5000" s="27"/>
      <c r="I5000" s="27"/>
    </row>
    <row r="5001" spans="1:9" x14ac:dyDescent="0.35">
      <c r="A5001" s="27"/>
      <c r="B5001" s="27"/>
      <c r="C5001" s="27"/>
      <c r="D5001" s="27"/>
      <c r="E5001" s="27"/>
      <c r="F5001" s="27"/>
      <c r="G5001" s="27"/>
      <c r="H5001" s="27"/>
      <c r="I5001" s="27"/>
    </row>
    <row r="5002" spans="1:9" x14ac:dyDescent="0.35">
      <c r="A5002" s="27"/>
      <c r="B5002" s="27"/>
      <c r="C5002" s="27"/>
      <c r="D5002" s="27"/>
      <c r="E5002" s="27"/>
      <c r="F5002" s="27"/>
      <c r="G5002" s="27"/>
      <c r="H5002" s="27"/>
      <c r="I5002" s="27"/>
    </row>
    <row r="5003" spans="1:9" x14ac:dyDescent="0.35">
      <c r="A5003" s="27"/>
      <c r="B5003" s="27"/>
      <c r="C5003" s="27"/>
      <c r="D5003" s="27"/>
      <c r="E5003" s="27"/>
      <c r="F5003" s="27"/>
      <c r="G5003" s="27"/>
      <c r="H5003" s="27"/>
      <c r="I5003" s="27"/>
    </row>
    <row r="5004" spans="1:9" x14ac:dyDescent="0.35">
      <c r="A5004" s="27"/>
      <c r="B5004" s="27"/>
      <c r="C5004" s="27"/>
      <c r="D5004" s="27"/>
      <c r="E5004" s="27"/>
      <c r="F5004" s="27"/>
      <c r="G5004" s="27"/>
      <c r="H5004" s="27"/>
      <c r="I5004" s="27"/>
    </row>
    <row r="5005" spans="1:9" x14ac:dyDescent="0.35">
      <c r="A5005" s="27"/>
      <c r="B5005" s="27"/>
      <c r="C5005" s="27"/>
      <c r="D5005" s="27"/>
      <c r="E5005" s="27"/>
      <c r="F5005" s="27"/>
      <c r="G5005" s="27"/>
      <c r="H5005" s="27"/>
      <c r="I5005" s="27"/>
    </row>
    <row r="5006" spans="1:9" x14ac:dyDescent="0.35">
      <c r="A5006" s="27"/>
      <c r="B5006" s="27"/>
      <c r="C5006" s="27"/>
      <c r="D5006" s="27"/>
      <c r="E5006" s="27"/>
      <c r="F5006" s="27"/>
      <c r="G5006" s="27"/>
      <c r="H5006" s="27"/>
      <c r="I5006" s="27"/>
    </row>
    <row r="5007" spans="1:9" x14ac:dyDescent="0.35">
      <c r="A5007" s="27"/>
      <c r="B5007" s="27"/>
      <c r="C5007" s="27"/>
      <c r="D5007" s="27"/>
      <c r="E5007" s="27"/>
      <c r="F5007" s="27"/>
      <c r="G5007" s="27"/>
      <c r="H5007" s="27"/>
      <c r="I5007" s="27"/>
    </row>
    <row r="5008" spans="1:9" x14ac:dyDescent="0.35">
      <c r="A5008" s="27"/>
      <c r="B5008" s="27"/>
      <c r="C5008" s="27"/>
      <c r="D5008" s="27"/>
      <c r="E5008" s="27"/>
      <c r="F5008" s="27"/>
      <c r="G5008" s="27"/>
      <c r="H5008" s="27"/>
      <c r="I5008" s="27"/>
    </row>
    <row r="5009" spans="1:9" x14ac:dyDescent="0.35">
      <c r="A5009" s="27"/>
      <c r="B5009" s="27"/>
      <c r="C5009" s="27"/>
      <c r="D5009" s="27"/>
      <c r="E5009" s="27"/>
      <c r="F5009" s="27"/>
      <c r="G5009" s="27"/>
      <c r="H5009" s="27"/>
      <c r="I5009" s="27"/>
    </row>
    <row r="5010" spans="1:9" x14ac:dyDescent="0.35">
      <c r="A5010" s="27"/>
      <c r="B5010" s="27"/>
      <c r="C5010" s="27"/>
      <c r="D5010" s="27"/>
      <c r="E5010" s="27"/>
      <c r="F5010" s="27"/>
      <c r="G5010" s="27"/>
      <c r="H5010" s="27"/>
      <c r="I5010" s="27"/>
    </row>
    <row r="5011" spans="1:9" x14ac:dyDescent="0.35">
      <c r="A5011" s="27"/>
      <c r="B5011" s="27"/>
      <c r="C5011" s="27"/>
      <c r="D5011" s="27"/>
      <c r="E5011" s="27"/>
      <c r="F5011" s="27"/>
      <c r="G5011" s="27"/>
      <c r="H5011" s="27"/>
      <c r="I5011" s="27"/>
    </row>
    <row r="5012" spans="1:9" x14ac:dyDescent="0.35">
      <c r="A5012" s="27"/>
      <c r="B5012" s="27"/>
      <c r="C5012" s="27"/>
      <c r="D5012" s="27"/>
      <c r="E5012" s="27"/>
      <c r="F5012" s="27"/>
      <c r="G5012" s="27"/>
      <c r="H5012" s="27"/>
      <c r="I5012" s="27"/>
    </row>
    <row r="5013" spans="1:9" x14ac:dyDescent="0.35">
      <c r="A5013" s="27"/>
      <c r="B5013" s="27"/>
      <c r="C5013" s="27"/>
      <c r="D5013" s="27"/>
      <c r="E5013" s="27"/>
      <c r="F5013" s="27"/>
      <c r="G5013" s="27"/>
      <c r="H5013" s="27"/>
      <c r="I5013" s="27"/>
    </row>
    <row r="5014" spans="1:9" x14ac:dyDescent="0.35">
      <c r="A5014" s="27"/>
      <c r="B5014" s="27"/>
      <c r="C5014" s="27"/>
      <c r="D5014" s="27"/>
      <c r="E5014" s="27"/>
      <c r="F5014" s="27"/>
      <c r="G5014" s="27"/>
      <c r="H5014" s="27"/>
      <c r="I5014" s="27"/>
    </row>
    <row r="5015" spans="1:9" x14ac:dyDescent="0.35">
      <c r="A5015" s="27"/>
      <c r="B5015" s="27"/>
      <c r="C5015" s="27"/>
      <c r="D5015" s="27"/>
      <c r="E5015" s="27"/>
      <c r="F5015" s="27"/>
      <c r="G5015" s="27"/>
      <c r="H5015" s="27"/>
      <c r="I5015" s="27"/>
    </row>
    <row r="5016" spans="1:9" x14ac:dyDescent="0.35">
      <c r="A5016" s="27"/>
      <c r="B5016" s="27"/>
      <c r="C5016" s="27"/>
      <c r="D5016" s="27"/>
      <c r="E5016" s="27"/>
      <c r="F5016" s="27"/>
      <c r="G5016" s="27"/>
      <c r="H5016" s="27"/>
      <c r="I5016" s="27"/>
    </row>
    <row r="5017" spans="1:9" x14ac:dyDescent="0.35">
      <c r="A5017" s="27"/>
      <c r="B5017" s="27"/>
      <c r="C5017" s="27"/>
      <c r="D5017" s="27"/>
      <c r="E5017" s="27"/>
      <c r="F5017" s="27"/>
      <c r="G5017" s="27"/>
      <c r="H5017" s="27"/>
      <c r="I5017" s="27"/>
    </row>
    <row r="5018" spans="1:9" x14ac:dyDescent="0.35">
      <c r="A5018" s="27"/>
      <c r="B5018" s="27"/>
      <c r="C5018" s="27"/>
      <c r="D5018" s="27"/>
      <c r="E5018" s="27"/>
      <c r="F5018" s="27"/>
      <c r="G5018" s="27"/>
      <c r="H5018" s="27"/>
      <c r="I5018" s="27"/>
    </row>
    <row r="5019" spans="1:9" x14ac:dyDescent="0.35">
      <c r="A5019" s="27"/>
      <c r="B5019" s="27"/>
      <c r="C5019" s="27"/>
      <c r="D5019" s="27"/>
      <c r="E5019" s="27"/>
      <c r="F5019" s="27"/>
      <c r="G5019" s="27"/>
      <c r="H5019" s="27"/>
      <c r="I5019" s="27"/>
    </row>
    <row r="5020" spans="1:9" x14ac:dyDescent="0.35">
      <c r="A5020" s="27"/>
      <c r="B5020" s="27"/>
      <c r="C5020" s="27"/>
      <c r="D5020" s="27"/>
      <c r="E5020" s="27"/>
      <c r="F5020" s="27"/>
      <c r="G5020" s="27"/>
      <c r="H5020" s="27"/>
      <c r="I5020" s="27"/>
    </row>
    <row r="5021" spans="1:9" x14ac:dyDescent="0.35">
      <c r="A5021" s="27"/>
      <c r="B5021" s="27"/>
      <c r="C5021" s="27"/>
      <c r="D5021" s="27"/>
      <c r="E5021" s="27"/>
      <c r="F5021" s="27"/>
      <c r="G5021" s="27"/>
      <c r="H5021" s="27"/>
      <c r="I5021" s="27"/>
    </row>
    <row r="5022" spans="1:9" x14ac:dyDescent="0.35">
      <c r="A5022" s="27"/>
      <c r="B5022" s="27"/>
      <c r="C5022" s="27"/>
      <c r="D5022" s="27"/>
      <c r="E5022" s="27"/>
      <c r="F5022" s="27"/>
      <c r="G5022" s="27"/>
      <c r="H5022" s="27"/>
      <c r="I5022" s="27"/>
    </row>
    <row r="5023" spans="1:9" x14ac:dyDescent="0.35">
      <c r="A5023" s="27"/>
      <c r="B5023" s="27"/>
      <c r="C5023" s="27"/>
      <c r="D5023" s="27"/>
      <c r="E5023" s="27"/>
      <c r="F5023" s="27"/>
      <c r="G5023" s="27"/>
      <c r="H5023" s="27"/>
      <c r="I5023" s="27"/>
    </row>
    <row r="5024" spans="1:9" x14ac:dyDescent="0.35">
      <c r="A5024" s="27"/>
      <c r="B5024" s="27"/>
      <c r="C5024" s="27"/>
      <c r="D5024" s="27"/>
      <c r="E5024" s="27"/>
      <c r="F5024" s="27"/>
      <c r="G5024" s="27"/>
      <c r="H5024" s="27"/>
      <c r="I5024" s="27"/>
    </row>
    <row r="5025" spans="1:9" x14ac:dyDescent="0.35">
      <c r="A5025" s="27"/>
      <c r="B5025" s="27"/>
      <c r="C5025" s="27"/>
      <c r="D5025" s="27"/>
      <c r="E5025" s="27"/>
      <c r="F5025" s="27"/>
      <c r="G5025" s="27"/>
      <c r="H5025" s="27"/>
      <c r="I5025" s="27"/>
    </row>
    <row r="5026" spans="1:9" x14ac:dyDescent="0.35">
      <c r="A5026" s="27"/>
      <c r="B5026" s="27"/>
      <c r="C5026" s="27"/>
      <c r="D5026" s="27"/>
      <c r="E5026" s="27"/>
      <c r="F5026" s="27"/>
      <c r="G5026" s="27"/>
      <c r="H5026" s="27"/>
      <c r="I5026" s="27"/>
    </row>
    <row r="5027" spans="1:9" x14ac:dyDescent="0.35">
      <c r="A5027" s="27"/>
      <c r="B5027" s="27"/>
      <c r="C5027" s="27"/>
      <c r="D5027" s="27"/>
      <c r="E5027" s="27"/>
      <c r="F5027" s="27"/>
      <c r="G5027" s="27"/>
      <c r="H5027" s="27"/>
      <c r="I5027" s="27"/>
    </row>
    <row r="5028" spans="1:9" x14ac:dyDescent="0.35">
      <c r="A5028" s="27"/>
      <c r="B5028" s="27"/>
      <c r="C5028" s="27"/>
      <c r="D5028" s="27"/>
      <c r="E5028" s="27"/>
      <c r="F5028" s="27"/>
      <c r="G5028" s="27"/>
      <c r="H5028" s="27"/>
      <c r="I5028" s="27"/>
    </row>
    <row r="5029" spans="1:9" x14ac:dyDescent="0.35">
      <c r="A5029" s="27"/>
      <c r="B5029" s="27"/>
      <c r="C5029" s="27"/>
      <c r="D5029" s="27"/>
      <c r="E5029" s="27"/>
      <c r="F5029" s="27"/>
      <c r="G5029" s="27"/>
      <c r="H5029" s="27"/>
      <c r="I5029" s="27"/>
    </row>
    <row r="5030" spans="1:9" x14ac:dyDescent="0.35">
      <c r="A5030" s="27"/>
      <c r="B5030" s="27"/>
      <c r="C5030" s="27"/>
      <c r="D5030" s="27"/>
      <c r="E5030" s="27"/>
      <c r="F5030" s="27"/>
      <c r="G5030" s="27"/>
      <c r="H5030" s="27"/>
      <c r="I5030" s="27"/>
    </row>
    <row r="5031" spans="1:9" x14ac:dyDescent="0.35">
      <c r="A5031" s="27"/>
      <c r="B5031" s="27"/>
      <c r="C5031" s="27"/>
      <c r="D5031" s="27"/>
      <c r="E5031" s="27"/>
      <c r="F5031" s="27"/>
      <c r="G5031" s="27"/>
      <c r="H5031" s="27"/>
      <c r="I5031" s="27"/>
    </row>
    <row r="5032" spans="1:9" x14ac:dyDescent="0.35">
      <c r="A5032" s="27"/>
      <c r="B5032" s="27"/>
      <c r="C5032" s="27"/>
      <c r="D5032" s="27"/>
      <c r="E5032" s="27"/>
      <c r="F5032" s="27"/>
      <c r="G5032" s="27"/>
      <c r="H5032" s="27"/>
      <c r="I5032" s="27"/>
    </row>
    <row r="5033" spans="1:9" x14ac:dyDescent="0.35">
      <c r="A5033" s="27"/>
      <c r="B5033" s="27"/>
      <c r="C5033" s="27"/>
      <c r="D5033" s="27"/>
      <c r="E5033" s="27"/>
      <c r="F5033" s="27"/>
      <c r="G5033" s="27"/>
      <c r="H5033" s="27"/>
      <c r="I5033" s="27"/>
    </row>
    <row r="5034" spans="1:9" x14ac:dyDescent="0.35">
      <c r="A5034" s="27"/>
      <c r="B5034" s="27"/>
      <c r="C5034" s="27"/>
      <c r="D5034" s="27"/>
      <c r="E5034" s="27"/>
      <c r="F5034" s="27"/>
      <c r="G5034" s="27"/>
      <c r="H5034" s="27"/>
      <c r="I5034" s="27"/>
    </row>
    <row r="5035" spans="1:9" x14ac:dyDescent="0.35">
      <c r="A5035" s="27"/>
      <c r="B5035" s="27"/>
      <c r="C5035" s="27"/>
      <c r="D5035" s="27"/>
      <c r="E5035" s="27"/>
      <c r="F5035" s="27"/>
      <c r="G5035" s="27"/>
      <c r="H5035" s="27"/>
      <c r="I5035" s="27"/>
    </row>
    <row r="5036" spans="1:9" x14ac:dyDescent="0.35">
      <c r="A5036" s="27"/>
      <c r="B5036" s="27"/>
      <c r="C5036" s="27"/>
      <c r="D5036" s="27"/>
      <c r="E5036" s="27"/>
      <c r="F5036" s="27"/>
      <c r="G5036" s="27"/>
      <c r="H5036" s="27"/>
      <c r="I5036" s="27"/>
    </row>
    <row r="5037" spans="1:9" x14ac:dyDescent="0.35">
      <c r="A5037" s="27"/>
      <c r="B5037" s="27"/>
      <c r="C5037" s="27"/>
      <c r="D5037" s="27"/>
      <c r="E5037" s="27"/>
      <c r="F5037" s="27"/>
      <c r="G5037" s="27"/>
      <c r="H5037" s="27"/>
      <c r="I5037" s="27"/>
    </row>
    <row r="5038" spans="1:9" x14ac:dyDescent="0.35">
      <c r="A5038" s="27"/>
      <c r="B5038" s="27"/>
      <c r="C5038" s="27"/>
      <c r="D5038" s="27"/>
      <c r="E5038" s="27"/>
      <c r="F5038" s="27"/>
      <c r="G5038" s="27"/>
      <c r="H5038" s="27"/>
      <c r="I5038" s="27"/>
    </row>
    <row r="5039" spans="1:9" x14ac:dyDescent="0.35">
      <c r="A5039" s="27"/>
      <c r="B5039" s="27"/>
      <c r="C5039" s="27"/>
      <c r="D5039" s="27"/>
      <c r="E5039" s="27"/>
      <c r="F5039" s="27"/>
      <c r="G5039" s="27"/>
      <c r="H5039" s="27"/>
      <c r="I5039" s="27"/>
    </row>
    <row r="5040" spans="1:9" x14ac:dyDescent="0.35">
      <c r="A5040" s="27"/>
      <c r="B5040" s="27"/>
      <c r="C5040" s="27"/>
      <c r="D5040" s="27"/>
      <c r="E5040" s="27"/>
      <c r="F5040" s="27"/>
      <c r="G5040" s="27"/>
      <c r="H5040" s="27"/>
      <c r="I5040" s="27"/>
    </row>
    <row r="5041" spans="1:9" x14ac:dyDescent="0.35">
      <c r="A5041" s="27"/>
      <c r="B5041" s="27"/>
      <c r="C5041" s="27"/>
      <c r="D5041" s="27"/>
      <c r="E5041" s="27"/>
      <c r="F5041" s="27"/>
      <c r="G5041" s="27"/>
      <c r="H5041" s="27"/>
      <c r="I5041" s="27"/>
    </row>
    <row r="5042" spans="1:9" x14ac:dyDescent="0.35">
      <c r="A5042" s="27"/>
      <c r="B5042" s="27"/>
      <c r="C5042" s="27"/>
      <c r="D5042" s="27"/>
      <c r="E5042" s="27"/>
      <c r="F5042" s="27"/>
      <c r="G5042" s="27"/>
      <c r="H5042" s="27"/>
      <c r="I5042" s="27"/>
    </row>
    <row r="5043" spans="1:9" x14ac:dyDescent="0.35">
      <c r="A5043" s="27"/>
      <c r="B5043" s="27"/>
      <c r="C5043" s="27"/>
      <c r="D5043" s="27"/>
      <c r="E5043" s="27"/>
      <c r="F5043" s="27"/>
      <c r="G5043" s="27"/>
      <c r="H5043" s="27"/>
      <c r="I5043" s="27"/>
    </row>
    <row r="5044" spans="1:9" x14ac:dyDescent="0.35">
      <c r="A5044" s="27"/>
      <c r="B5044" s="27"/>
      <c r="C5044" s="27"/>
      <c r="D5044" s="27"/>
      <c r="E5044" s="27"/>
      <c r="F5044" s="27"/>
      <c r="G5044" s="27"/>
      <c r="H5044" s="27"/>
      <c r="I5044" s="27"/>
    </row>
    <row r="5045" spans="1:9" x14ac:dyDescent="0.35">
      <c r="A5045" s="27"/>
      <c r="B5045" s="27"/>
      <c r="C5045" s="27"/>
      <c r="D5045" s="27"/>
      <c r="E5045" s="27"/>
      <c r="F5045" s="27"/>
      <c r="G5045" s="27"/>
      <c r="H5045" s="27"/>
      <c r="I5045" s="27"/>
    </row>
    <row r="5046" spans="1:9" x14ac:dyDescent="0.35">
      <c r="A5046" s="27"/>
      <c r="B5046" s="27"/>
      <c r="C5046" s="27"/>
      <c r="D5046" s="27"/>
      <c r="E5046" s="27"/>
      <c r="F5046" s="27"/>
      <c r="G5046" s="27"/>
      <c r="H5046" s="27"/>
      <c r="I5046" s="27"/>
    </row>
    <row r="5047" spans="1:9" x14ac:dyDescent="0.35">
      <c r="A5047" s="27"/>
      <c r="B5047" s="27"/>
      <c r="C5047" s="27"/>
      <c r="D5047" s="27"/>
      <c r="E5047" s="27"/>
      <c r="F5047" s="27"/>
      <c r="G5047" s="27"/>
      <c r="H5047" s="27"/>
      <c r="I5047" s="27"/>
    </row>
    <row r="5048" spans="1:9" x14ac:dyDescent="0.35">
      <c r="A5048" s="27"/>
      <c r="B5048" s="27"/>
      <c r="C5048" s="27"/>
      <c r="D5048" s="27"/>
      <c r="E5048" s="27"/>
      <c r="F5048" s="27"/>
      <c r="G5048" s="27"/>
      <c r="H5048" s="27"/>
      <c r="I5048" s="27"/>
    </row>
    <row r="5049" spans="1:9" x14ac:dyDescent="0.35">
      <c r="A5049" s="27"/>
      <c r="B5049" s="27"/>
      <c r="C5049" s="27"/>
      <c r="D5049" s="27"/>
      <c r="E5049" s="27"/>
      <c r="F5049" s="27"/>
      <c r="G5049" s="27"/>
      <c r="H5049" s="27"/>
      <c r="I5049" s="27"/>
    </row>
    <row r="5050" spans="1:9" x14ac:dyDescent="0.35">
      <c r="A5050" s="27"/>
      <c r="B5050" s="27"/>
      <c r="C5050" s="27"/>
      <c r="D5050" s="27"/>
      <c r="E5050" s="27"/>
      <c r="F5050" s="27"/>
      <c r="G5050" s="27"/>
      <c r="H5050" s="27"/>
      <c r="I5050" s="27"/>
    </row>
    <row r="5051" spans="1:9" x14ac:dyDescent="0.35">
      <c r="A5051" s="27"/>
      <c r="B5051" s="27"/>
      <c r="C5051" s="27"/>
      <c r="D5051" s="27"/>
      <c r="E5051" s="27"/>
      <c r="F5051" s="27"/>
      <c r="G5051" s="27"/>
      <c r="H5051" s="27"/>
      <c r="I5051" s="27"/>
    </row>
    <row r="5052" spans="1:9" x14ac:dyDescent="0.35">
      <c r="A5052" s="27"/>
      <c r="B5052" s="27"/>
      <c r="C5052" s="27"/>
      <c r="D5052" s="27"/>
      <c r="E5052" s="27"/>
      <c r="F5052" s="27"/>
      <c r="G5052" s="27"/>
      <c r="H5052" s="27"/>
      <c r="I5052" s="27"/>
    </row>
    <row r="5053" spans="1:9" x14ac:dyDescent="0.35">
      <c r="A5053" s="27"/>
      <c r="B5053" s="27"/>
      <c r="C5053" s="27"/>
      <c r="D5053" s="27"/>
      <c r="E5053" s="27"/>
      <c r="F5053" s="27"/>
      <c r="G5053" s="27"/>
      <c r="H5053" s="27"/>
      <c r="I5053" s="27"/>
    </row>
    <row r="5054" spans="1:9" x14ac:dyDescent="0.35">
      <c r="A5054" s="27"/>
      <c r="B5054" s="27"/>
      <c r="C5054" s="27"/>
      <c r="D5054" s="27"/>
      <c r="E5054" s="27"/>
      <c r="F5054" s="27"/>
      <c r="G5054" s="27"/>
      <c r="H5054" s="27"/>
      <c r="I5054" s="27"/>
    </row>
    <row r="5055" spans="1:9" x14ac:dyDescent="0.35">
      <c r="A5055" s="27"/>
      <c r="B5055" s="27"/>
      <c r="C5055" s="27"/>
      <c r="D5055" s="27"/>
      <c r="E5055" s="27"/>
      <c r="F5055" s="27"/>
      <c r="G5055" s="27"/>
      <c r="H5055" s="27"/>
      <c r="I5055" s="27"/>
    </row>
    <row r="5056" spans="1:9" x14ac:dyDescent="0.35">
      <c r="A5056" s="27"/>
      <c r="B5056" s="27"/>
      <c r="C5056" s="27"/>
      <c r="D5056" s="27"/>
      <c r="E5056" s="27"/>
      <c r="F5056" s="27"/>
      <c r="G5056" s="27"/>
      <c r="H5056" s="27"/>
      <c r="I5056" s="27"/>
    </row>
    <row r="5057" spans="1:9" x14ac:dyDescent="0.35">
      <c r="A5057" s="27"/>
      <c r="B5057" s="27"/>
      <c r="C5057" s="27"/>
      <c r="D5057" s="27"/>
      <c r="E5057" s="27"/>
      <c r="F5057" s="27"/>
      <c r="G5057" s="27"/>
      <c r="H5057" s="27"/>
      <c r="I5057" s="27"/>
    </row>
    <row r="5058" spans="1:9" x14ac:dyDescent="0.35">
      <c r="A5058" s="27"/>
      <c r="B5058" s="27"/>
      <c r="C5058" s="27"/>
      <c r="D5058" s="27"/>
      <c r="E5058" s="27"/>
      <c r="F5058" s="27"/>
      <c r="G5058" s="27"/>
      <c r="H5058" s="27"/>
      <c r="I5058" s="27"/>
    </row>
    <row r="5059" spans="1:9" x14ac:dyDescent="0.35">
      <c r="A5059" s="27"/>
      <c r="B5059" s="27"/>
      <c r="C5059" s="27"/>
      <c r="D5059" s="27"/>
      <c r="E5059" s="27"/>
      <c r="F5059" s="27"/>
      <c r="G5059" s="27"/>
      <c r="H5059" s="27"/>
      <c r="I5059" s="27"/>
    </row>
    <row r="5060" spans="1:9" x14ac:dyDescent="0.35">
      <c r="A5060" s="27"/>
      <c r="B5060" s="27"/>
      <c r="C5060" s="27"/>
      <c r="D5060" s="27"/>
      <c r="E5060" s="27"/>
      <c r="F5060" s="27"/>
      <c r="G5060" s="27"/>
      <c r="H5060" s="27"/>
      <c r="I5060" s="27"/>
    </row>
    <row r="5061" spans="1:9" x14ac:dyDescent="0.35">
      <c r="A5061" s="27"/>
      <c r="B5061" s="27"/>
      <c r="C5061" s="27"/>
      <c r="D5061" s="27"/>
      <c r="E5061" s="27"/>
      <c r="F5061" s="27"/>
      <c r="G5061" s="27"/>
      <c r="H5061" s="27"/>
      <c r="I5061" s="27"/>
    </row>
    <row r="5062" spans="1:9" x14ac:dyDescent="0.35">
      <c r="A5062" s="27"/>
      <c r="B5062" s="27"/>
      <c r="C5062" s="27"/>
      <c r="D5062" s="27"/>
      <c r="E5062" s="27"/>
      <c r="F5062" s="27"/>
      <c r="G5062" s="27"/>
      <c r="H5062" s="27"/>
      <c r="I5062" s="27"/>
    </row>
    <row r="5063" spans="1:9" x14ac:dyDescent="0.35">
      <c r="A5063" s="27"/>
      <c r="B5063" s="27"/>
      <c r="C5063" s="27"/>
      <c r="D5063" s="27"/>
      <c r="E5063" s="27"/>
      <c r="F5063" s="27"/>
      <c r="G5063" s="27"/>
      <c r="H5063" s="27"/>
      <c r="I5063" s="27"/>
    </row>
    <row r="5064" spans="1:9" x14ac:dyDescent="0.35">
      <c r="A5064" s="27"/>
      <c r="B5064" s="27"/>
      <c r="C5064" s="27"/>
      <c r="D5064" s="27"/>
      <c r="E5064" s="27"/>
      <c r="F5064" s="27"/>
      <c r="G5064" s="27"/>
      <c r="H5064" s="27"/>
      <c r="I5064" s="27"/>
    </row>
    <row r="5065" spans="1:9" x14ac:dyDescent="0.35">
      <c r="A5065" s="27"/>
      <c r="B5065" s="27"/>
      <c r="C5065" s="27"/>
      <c r="D5065" s="27"/>
      <c r="E5065" s="27"/>
      <c r="F5065" s="27"/>
      <c r="G5065" s="27"/>
      <c r="H5065" s="27"/>
      <c r="I5065" s="27"/>
    </row>
    <row r="5066" spans="1:9" x14ac:dyDescent="0.35">
      <c r="A5066" s="27"/>
      <c r="B5066" s="27"/>
      <c r="C5066" s="27"/>
      <c r="D5066" s="27"/>
      <c r="E5066" s="27"/>
      <c r="F5066" s="27"/>
      <c r="G5066" s="27"/>
      <c r="H5066" s="27"/>
      <c r="I5066" s="27"/>
    </row>
    <row r="5067" spans="1:9" x14ac:dyDescent="0.35">
      <c r="A5067" s="27"/>
      <c r="B5067" s="27"/>
      <c r="C5067" s="27"/>
      <c r="D5067" s="27"/>
      <c r="E5067" s="27"/>
      <c r="F5067" s="27"/>
      <c r="G5067" s="27"/>
      <c r="H5067" s="27"/>
      <c r="I5067" s="27"/>
    </row>
    <row r="5068" spans="1:9" x14ac:dyDescent="0.35">
      <c r="A5068" s="27"/>
      <c r="B5068" s="27"/>
      <c r="C5068" s="27"/>
      <c r="D5068" s="27"/>
      <c r="E5068" s="27"/>
      <c r="F5068" s="27"/>
      <c r="G5068" s="27"/>
      <c r="H5068" s="27"/>
      <c r="I5068" s="27"/>
    </row>
    <row r="5069" spans="1:9" x14ac:dyDescent="0.35">
      <c r="A5069" s="27"/>
      <c r="B5069" s="27"/>
      <c r="C5069" s="27"/>
      <c r="D5069" s="27"/>
      <c r="E5069" s="27"/>
      <c r="F5069" s="27"/>
      <c r="G5069" s="27"/>
      <c r="H5069" s="27"/>
      <c r="I5069" s="27"/>
    </row>
    <row r="5070" spans="1:9" x14ac:dyDescent="0.35">
      <c r="A5070" s="27"/>
      <c r="B5070" s="27"/>
      <c r="C5070" s="27"/>
      <c r="D5070" s="27"/>
      <c r="E5070" s="27"/>
      <c r="F5070" s="27"/>
      <c r="G5070" s="27"/>
      <c r="H5070" s="27"/>
      <c r="I5070" s="27"/>
    </row>
    <row r="5071" spans="1:9" x14ac:dyDescent="0.35">
      <c r="A5071" s="27"/>
      <c r="B5071" s="27"/>
      <c r="C5071" s="27"/>
      <c r="D5071" s="27"/>
      <c r="E5071" s="27"/>
      <c r="F5071" s="27"/>
      <c r="G5071" s="27"/>
      <c r="H5071" s="27"/>
      <c r="I5071" s="27"/>
    </row>
    <row r="5072" spans="1:9" x14ac:dyDescent="0.35">
      <c r="A5072" s="27"/>
      <c r="B5072" s="27"/>
      <c r="C5072" s="27"/>
      <c r="D5072" s="27"/>
      <c r="E5072" s="27"/>
      <c r="F5072" s="27"/>
      <c r="G5072" s="27"/>
      <c r="H5072" s="27"/>
      <c r="I5072" s="27"/>
    </row>
    <row r="5073" spans="1:9" x14ac:dyDescent="0.35">
      <c r="A5073" s="27"/>
      <c r="B5073" s="27"/>
      <c r="C5073" s="27"/>
      <c r="D5073" s="27"/>
      <c r="E5073" s="27"/>
      <c r="F5073" s="27"/>
      <c r="G5073" s="27"/>
      <c r="H5073" s="27"/>
      <c r="I5073" s="27"/>
    </row>
    <row r="5074" spans="1:9" x14ac:dyDescent="0.35">
      <c r="A5074" s="27"/>
      <c r="B5074" s="27"/>
      <c r="C5074" s="27"/>
      <c r="D5074" s="27"/>
      <c r="E5074" s="27"/>
      <c r="F5074" s="27"/>
      <c r="G5074" s="27"/>
      <c r="H5074" s="27"/>
      <c r="I5074" s="27"/>
    </row>
    <row r="5075" spans="1:9" x14ac:dyDescent="0.35">
      <c r="A5075" s="27"/>
      <c r="B5075" s="27"/>
      <c r="C5075" s="27"/>
      <c r="D5075" s="27"/>
      <c r="E5075" s="27"/>
      <c r="F5075" s="27"/>
      <c r="G5075" s="27"/>
      <c r="H5075" s="27"/>
      <c r="I5075" s="27"/>
    </row>
    <row r="5076" spans="1:9" x14ac:dyDescent="0.35">
      <c r="A5076" s="27"/>
      <c r="B5076" s="27"/>
      <c r="C5076" s="27"/>
      <c r="D5076" s="27"/>
      <c r="E5076" s="27"/>
      <c r="F5076" s="27"/>
      <c r="G5076" s="27"/>
      <c r="H5076" s="27"/>
      <c r="I5076" s="27"/>
    </row>
    <row r="5077" spans="1:9" x14ac:dyDescent="0.35">
      <c r="A5077" s="27"/>
      <c r="B5077" s="27"/>
      <c r="C5077" s="27"/>
      <c r="D5077" s="27"/>
      <c r="E5077" s="27"/>
      <c r="F5077" s="27"/>
      <c r="G5077" s="27"/>
      <c r="H5077" s="27"/>
      <c r="I5077" s="27"/>
    </row>
    <row r="5078" spans="1:9" x14ac:dyDescent="0.35">
      <c r="A5078" s="27"/>
      <c r="B5078" s="27"/>
      <c r="C5078" s="27"/>
      <c r="D5078" s="27"/>
      <c r="E5078" s="27"/>
      <c r="F5078" s="27"/>
      <c r="G5078" s="27"/>
      <c r="H5078" s="27"/>
      <c r="I5078" s="27"/>
    </row>
    <row r="5079" spans="1:9" x14ac:dyDescent="0.35">
      <c r="A5079" s="27"/>
      <c r="B5079" s="27"/>
      <c r="C5079" s="27"/>
      <c r="D5079" s="27"/>
      <c r="E5079" s="27"/>
      <c r="F5079" s="27"/>
      <c r="G5079" s="27"/>
      <c r="H5079" s="27"/>
      <c r="I5079" s="27"/>
    </row>
    <row r="5080" spans="1:9" x14ac:dyDescent="0.35">
      <c r="A5080" s="27"/>
      <c r="B5080" s="27"/>
      <c r="C5080" s="27"/>
      <c r="D5080" s="27"/>
      <c r="E5080" s="27"/>
      <c r="F5080" s="27"/>
      <c r="G5080" s="27"/>
      <c r="H5080" s="27"/>
      <c r="I5080" s="27"/>
    </row>
    <row r="5081" spans="1:9" x14ac:dyDescent="0.35">
      <c r="A5081" s="27"/>
      <c r="B5081" s="27"/>
      <c r="C5081" s="27"/>
      <c r="D5081" s="27"/>
      <c r="E5081" s="27"/>
      <c r="F5081" s="27"/>
      <c r="G5081" s="27"/>
      <c r="H5081" s="27"/>
      <c r="I5081" s="27"/>
    </row>
    <row r="5082" spans="1:9" x14ac:dyDescent="0.35">
      <c r="A5082" s="27"/>
      <c r="B5082" s="27"/>
      <c r="C5082" s="27"/>
      <c r="D5082" s="27"/>
      <c r="E5082" s="27"/>
      <c r="F5082" s="27"/>
      <c r="G5082" s="27"/>
      <c r="H5082" s="27"/>
      <c r="I5082" s="27"/>
    </row>
    <row r="5083" spans="1:9" x14ac:dyDescent="0.35">
      <c r="A5083" s="27"/>
      <c r="B5083" s="27"/>
      <c r="C5083" s="27"/>
      <c r="D5083" s="27"/>
      <c r="E5083" s="27"/>
      <c r="F5083" s="27"/>
      <c r="G5083" s="27"/>
      <c r="H5083" s="27"/>
      <c r="I5083" s="27"/>
    </row>
    <row r="5084" spans="1:9" x14ac:dyDescent="0.35">
      <c r="A5084" s="27"/>
      <c r="B5084" s="27"/>
      <c r="C5084" s="27"/>
      <c r="D5084" s="27"/>
      <c r="E5084" s="27"/>
      <c r="F5084" s="27"/>
      <c r="G5084" s="27"/>
      <c r="H5084" s="27"/>
      <c r="I5084" s="27"/>
    </row>
    <row r="5085" spans="1:9" x14ac:dyDescent="0.35">
      <c r="A5085" s="27"/>
      <c r="B5085" s="27"/>
      <c r="C5085" s="27"/>
      <c r="D5085" s="27"/>
      <c r="E5085" s="27"/>
      <c r="F5085" s="27"/>
      <c r="G5085" s="27"/>
      <c r="H5085" s="27"/>
      <c r="I5085" s="27"/>
    </row>
    <row r="5086" spans="1:9" x14ac:dyDescent="0.35">
      <c r="A5086" s="27"/>
      <c r="B5086" s="27"/>
      <c r="C5086" s="27"/>
      <c r="D5086" s="27"/>
      <c r="E5086" s="27"/>
      <c r="F5086" s="27"/>
      <c r="G5086" s="27"/>
      <c r="H5086" s="27"/>
      <c r="I5086" s="27"/>
    </row>
    <row r="5087" spans="1:9" x14ac:dyDescent="0.35">
      <c r="A5087" s="27"/>
      <c r="B5087" s="27"/>
      <c r="C5087" s="27"/>
      <c r="D5087" s="27"/>
      <c r="E5087" s="27"/>
      <c r="F5087" s="27"/>
      <c r="G5087" s="27"/>
      <c r="H5087" s="27"/>
      <c r="I5087" s="27"/>
    </row>
    <row r="5088" spans="1:9" x14ac:dyDescent="0.35">
      <c r="A5088" s="27"/>
      <c r="B5088" s="27"/>
      <c r="C5088" s="27"/>
      <c r="D5088" s="27"/>
      <c r="E5088" s="27"/>
      <c r="F5088" s="27"/>
      <c r="G5088" s="27"/>
      <c r="H5088" s="27"/>
      <c r="I5088" s="27"/>
    </row>
    <row r="5089" spans="1:9" x14ac:dyDescent="0.35">
      <c r="A5089" s="27"/>
      <c r="B5089" s="27"/>
      <c r="C5089" s="27"/>
      <c r="D5089" s="27"/>
      <c r="E5089" s="27"/>
      <c r="F5089" s="27"/>
      <c r="G5089" s="27"/>
      <c r="H5089" s="27"/>
      <c r="I5089" s="27"/>
    </row>
    <row r="5090" spans="1:9" x14ac:dyDescent="0.35">
      <c r="A5090" s="27"/>
      <c r="B5090" s="27"/>
      <c r="C5090" s="27"/>
      <c r="D5090" s="27"/>
      <c r="E5090" s="27"/>
      <c r="F5090" s="27"/>
      <c r="G5090" s="27"/>
      <c r="H5090" s="27"/>
      <c r="I5090" s="27"/>
    </row>
    <row r="5091" spans="1:9" x14ac:dyDescent="0.35">
      <c r="A5091" s="27"/>
      <c r="B5091" s="27"/>
      <c r="C5091" s="27"/>
      <c r="D5091" s="27"/>
      <c r="E5091" s="27"/>
      <c r="F5091" s="27"/>
      <c r="G5091" s="27"/>
      <c r="H5091" s="27"/>
      <c r="I5091" s="27"/>
    </row>
    <row r="5092" spans="1:9" x14ac:dyDescent="0.35">
      <c r="A5092" s="27"/>
      <c r="B5092" s="27"/>
      <c r="C5092" s="27"/>
      <c r="D5092" s="27"/>
      <c r="E5092" s="27"/>
      <c r="F5092" s="27"/>
      <c r="G5092" s="27"/>
      <c r="H5092" s="27"/>
      <c r="I5092" s="27"/>
    </row>
    <row r="5093" spans="1:9" x14ac:dyDescent="0.35">
      <c r="A5093" s="27"/>
      <c r="B5093" s="27"/>
      <c r="C5093" s="27"/>
      <c r="D5093" s="27"/>
      <c r="E5093" s="27"/>
      <c r="F5093" s="27"/>
      <c r="G5093" s="27"/>
      <c r="H5093" s="27"/>
      <c r="I5093" s="27"/>
    </row>
    <row r="5094" spans="1:9" x14ac:dyDescent="0.35">
      <c r="A5094" s="27"/>
      <c r="B5094" s="27"/>
      <c r="C5094" s="27"/>
      <c r="D5094" s="27"/>
      <c r="E5094" s="27"/>
      <c r="F5094" s="27"/>
      <c r="G5094" s="27"/>
      <c r="H5094" s="27"/>
      <c r="I5094" s="27"/>
    </row>
    <row r="5095" spans="1:9" x14ac:dyDescent="0.35">
      <c r="A5095" s="27"/>
      <c r="B5095" s="27"/>
      <c r="C5095" s="27"/>
      <c r="D5095" s="27"/>
      <c r="E5095" s="27"/>
      <c r="F5095" s="27"/>
      <c r="G5095" s="27"/>
      <c r="H5095" s="27"/>
      <c r="I5095" s="27"/>
    </row>
    <row r="5096" spans="1:9" x14ac:dyDescent="0.35">
      <c r="A5096" s="27"/>
      <c r="B5096" s="27"/>
      <c r="C5096" s="27"/>
      <c r="D5096" s="27"/>
      <c r="E5096" s="27"/>
      <c r="F5096" s="27"/>
      <c r="G5096" s="27"/>
      <c r="H5096" s="27"/>
      <c r="I5096" s="27"/>
    </row>
    <row r="5097" spans="1:9" x14ac:dyDescent="0.35">
      <c r="A5097" s="27"/>
      <c r="B5097" s="27"/>
      <c r="C5097" s="27"/>
      <c r="D5097" s="27"/>
      <c r="E5097" s="27"/>
      <c r="F5097" s="27"/>
      <c r="G5097" s="27"/>
      <c r="H5097" s="27"/>
      <c r="I5097" s="27"/>
    </row>
    <row r="5098" spans="1:9" x14ac:dyDescent="0.35">
      <c r="A5098" s="27"/>
      <c r="B5098" s="27"/>
      <c r="C5098" s="27"/>
      <c r="D5098" s="27"/>
      <c r="E5098" s="27"/>
      <c r="F5098" s="27"/>
      <c r="G5098" s="27"/>
      <c r="H5098" s="27"/>
      <c r="I5098" s="27"/>
    </row>
    <row r="5099" spans="1:9" x14ac:dyDescent="0.35">
      <c r="A5099" s="27"/>
      <c r="B5099" s="27"/>
      <c r="C5099" s="27"/>
      <c r="D5099" s="27"/>
      <c r="E5099" s="27"/>
      <c r="F5099" s="27"/>
      <c r="G5099" s="27"/>
      <c r="H5099" s="27"/>
      <c r="I5099" s="27"/>
    </row>
    <row r="5100" spans="1:9" x14ac:dyDescent="0.35">
      <c r="A5100" s="27"/>
      <c r="B5100" s="27"/>
      <c r="C5100" s="27"/>
      <c r="D5100" s="27"/>
      <c r="E5100" s="27"/>
      <c r="F5100" s="27"/>
      <c r="G5100" s="27"/>
      <c r="H5100" s="27"/>
      <c r="I5100" s="27"/>
    </row>
    <row r="5101" spans="1:9" x14ac:dyDescent="0.35">
      <c r="A5101" s="27"/>
      <c r="B5101" s="27"/>
      <c r="C5101" s="27"/>
      <c r="D5101" s="27"/>
      <c r="E5101" s="27"/>
      <c r="F5101" s="27"/>
      <c r="G5101" s="27"/>
      <c r="H5101" s="27"/>
      <c r="I5101" s="27"/>
    </row>
    <row r="5102" spans="1:9" x14ac:dyDescent="0.35">
      <c r="A5102" s="27"/>
      <c r="B5102" s="27"/>
      <c r="C5102" s="27"/>
      <c r="D5102" s="27"/>
      <c r="E5102" s="27"/>
      <c r="F5102" s="27"/>
      <c r="G5102" s="27"/>
      <c r="H5102" s="27"/>
      <c r="I5102" s="27"/>
    </row>
    <row r="5103" spans="1:9" x14ac:dyDescent="0.35">
      <c r="A5103" s="27"/>
      <c r="B5103" s="27"/>
      <c r="C5103" s="27"/>
      <c r="D5103" s="27"/>
      <c r="E5103" s="27"/>
      <c r="F5103" s="27"/>
      <c r="G5103" s="27"/>
      <c r="H5103" s="27"/>
      <c r="I5103" s="27"/>
    </row>
    <row r="5104" spans="1:9" x14ac:dyDescent="0.35">
      <c r="A5104" s="27"/>
      <c r="B5104" s="27"/>
      <c r="C5104" s="27"/>
      <c r="D5104" s="27"/>
      <c r="E5104" s="27"/>
      <c r="F5104" s="27"/>
      <c r="G5104" s="27"/>
      <c r="H5104" s="27"/>
      <c r="I5104" s="27"/>
    </row>
    <row r="5105" spans="1:9" x14ac:dyDescent="0.35">
      <c r="A5105" s="27"/>
      <c r="B5105" s="27"/>
      <c r="C5105" s="27"/>
      <c r="D5105" s="27"/>
      <c r="E5105" s="27"/>
      <c r="F5105" s="27"/>
      <c r="G5105" s="27"/>
      <c r="H5105" s="27"/>
      <c r="I5105" s="27"/>
    </row>
    <row r="5106" spans="1:9" x14ac:dyDescent="0.35">
      <c r="A5106" s="27"/>
      <c r="B5106" s="27"/>
      <c r="C5106" s="27"/>
      <c r="D5106" s="27"/>
      <c r="E5106" s="27"/>
      <c r="F5106" s="27"/>
      <c r="G5106" s="27"/>
      <c r="H5106" s="27"/>
      <c r="I5106" s="27"/>
    </row>
    <row r="5107" spans="1:9" x14ac:dyDescent="0.35">
      <c r="A5107" s="27"/>
      <c r="B5107" s="27"/>
      <c r="C5107" s="27"/>
      <c r="D5107" s="27"/>
      <c r="E5107" s="27"/>
      <c r="F5107" s="27"/>
      <c r="G5107" s="27"/>
      <c r="H5107" s="27"/>
      <c r="I5107" s="27"/>
    </row>
    <row r="5108" spans="1:9" x14ac:dyDescent="0.35">
      <c r="A5108" s="27"/>
      <c r="B5108" s="27"/>
      <c r="C5108" s="27"/>
      <c r="D5108" s="27"/>
      <c r="E5108" s="27"/>
      <c r="F5108" s="27"/>
      <c r="G5108" s="27"/>
      <c r="H5108" s="27"/>
      <c r="I5108" s="27"/>
    </row>
    <row r="5109" spans="1:9" x14ac:dyDescent="0.35">
      <c r="A5109" s="27"/>
      <c r="B5109" s="27"/>
      <c r="C5109" s="27"/>
      <c r="D5109" s="27"/>
      <c r="E5109" s="27"/>
      <c r="F5109" s="27"/>
      <c r="G5109" s="27"/>
      <c r="H5109" s="27"/>
      <c r="I5109" s="27"/>
    </row>
    <row r="5110" spans="1:9" x14ac:dyDescent="0.35">
      <c r="A5110" s="27"/>
      <c r="B5110" s="27"/>
      <c r="C5110" s="27"/>
      <c r="D5110" s="27"/>
      <c r="E5110" s="27"/>
      <c r="F5110" s="27"/>
      <c r="G5110" s="27"/>
      <c r="H5110" s="27"/>
      <c r="I5110" s="27"/>
    </row>
    <row r="5111" spans="1:9" x14ac:dyDescent="0.35">
      <c r="A5111" s="27"/>
      <c r="B5111" s="27"/>
      <c r="C5111" s="27"/>
      <c r="D5111" s="27"/>
      <c r="E5111" s="27"/>
      <c r="F5111" s="27"/>
      <c r="G5111" s="27"/>
      <c r="H5111" s="27"/>
      <c r="I5111" s="27"/>
    </row>
    <row r="5112" spans="1:9" x14ac:dyDescent="0.35">
      <c r="A5112" s="27"/>
      <c r="B5112" s="27"/>
      <c r="C5112" s="27"/>
      <c r="D5112" s="27"/>
      <c r="E5112" s="27"/>
      <c r="F5112" s="27"/>
      <c r="G5112" s="27"/>
      <c r="H5112" s="27"/>
      <c r="I5112" s="27"/>
    </row>
    <row r="5113" spans="1:9" x14ac:dyDescent="0.35">
      <c r="A5113" s="27"/>
      <c r="B5113" s="27"/>
      <c r="C5113" s="27"/>
      <c r="D5113" s="27"/>
      <c r="E5113" s="27"/>
      <c r="F5113" s="27"/>
      <c r="G5113" s="27"/>
      <c r="H5113" s="27"/>
      <c r="I5113" s="27"/>
    </row>
    <row r="5114" spans="1:9" x14ac:dyDescent="0.35">
      <c r="A5114" s="27"/>
      <c r="B5114" s="27"/>
      <c r="C5114" s="27"/>
      <c r="D5114" s="27"/>
      <c r="E5114" s="27"/>
      <c r="F5114" s="27"/>
      <c r="G5114" s="27"/>
      <c r="H5114" s="27"/>
      <c r="I5114" s="27"/>
    </row>
    <row r="5115" spans="1:9" x14ac:dyDescent="0.35">
      <c r="A5115" s="27"/>
      <c r="B5115" s="27"/>
      <c r="C5115" s="27"/>
      <c r="D5115" s="27"/>
      <c r="E5115" s="27"/>
      <c r="F5115" s="27"/>
      <c r="G5115" s="27"/>
      <c r="H5115" s="27"/>
      <c r="I5115" s="27"/>
    </row>
    <row r="5116" spans="1:9" x14ac:dyDescent="0.35">
      <c r="A5116" s="27"/>
      <c r="B5116" s="27"/>
      <c r="C5116" s="27"/>
      <c r="D5116" s="27"/>
      <c r="E5116" s="27"/>
      <c r="F5116" s="27"/>
      <c r="G5116" s="27"/>
      <c r="H5116" s="27"/>
      <c r="I5116" s="27"/>
    </row>
    <row r="5117" spans="1:9" x14ac:dyDescent="0.35">
      <c r="A5117" s="27"/>
      <c r="B5117" s="27"/>
      <c r="C5117" s="27"/>
      <c r="D5117" s="27"/>
      <c r="E5117" s="27"/>
      <c r="F5117" s="27"/>
      <c r="G5117" s="27"/>
      <c r="H5117" s="27"/>
      <c r="I5117" s="27"/>
    </row>
    <row r="5118" spans="1:9" x14ac:dyDescent="0.35">
      <c r="A5118" s="27"/>
      <c r="B5118" s="27"/>
      <c r="C5118" s="27"/>
      <c r="D5118" s="27"/>
      <c r="E5118" s="27"/>
      <c r="F5118" s="27"/>
      <c r="G5118" s="27"/>
      <c r="H5118" s="27"/>
      <c r="I5118" s="27"/>
    </row>
    <row r="5119" spans="1:9" x14ac:dyDescent="0.35">
      <c r="A5119" s="27"/>
      <c r="B5119" s="27"/>
      <c r="C5119" s="27"/>
      <c r="D5119" s="27"/>
      <c r="E5119" s="27"/>
      <c r="F5119" s="27"/>
      <c r="G5119" s="27"/>
      <c r="H5119" s="27"/>
      <c r="I5119" s="27"/>
    </row>
    <row r="5120" spans="1:9" x14ac:dyDescent="0.35">
      <c r="A5120" s="27"/>
      <c r="B5120" s="27"/>
      <c r="C5120" s="27"/>
      <c r="D5120" s="27"/>
      <c r="E5120" s="27"/>
      <c r="F5120" s="27"/>
      <c r="G5120" s="27"/>
      <c r="H5120" s="27"/>
      <c r="I5120" s="27"/>
    </row>
    <row r="5121" spans="1:9" x14ac:dyDescent="0.35">
      <c r="A5121" s="27"/>
      <c r="B5121" s="27"/>
      <c r="C5121" s="27"/>
      <c r="D5121" s="27"/>
      <c r="E5121" s="27"/>
      <c r="F5121" s="27"/>
      <c r="G5121" s="27"/>
      <c r="H5121" s="27"/>
      <c r="I5121" s="27"/>
    </row>
    <row r="5122" spans="1:9" x14ac:dyDescent="0.35">
      <c r="A5122" s="27"/>
      <c r="B5122" s="27"/>
      <c r="C5122" s="27"/>
      <c r="D5122" s="27"/>
      <c r="E5122" s="27"/>
      <c r="F5122" s="27"/>
      <c r="G5122" s="27"/>
      <c r="H5122" s="27"/>
      <c r="I5122" s="27"/>
    </row>
    <row r="5123" spans="1:9" x14ac:dyDescent="0.35">
      <c r="A5123" s="27"/>
      <c r="B5123" s="27"/>
      <c r="C5123" s="27"/>
      <c r="D5123" s="27"/>
      <c r="E5123" s="27"/>
      <c r="F5123" s="27"/>
      <c r="G5123" s="27"/>
      <c r="H5123" s="27"/>
      <c r="I5123" s="27"/>
    </row>
    <row r="5124" spans="1:9" x14ac:dyDescent="0.35">
      <c r="A5124" s="27"/>
      <c r="B5124" s="27"/>
      <c r="C5124" s="27"/>
      <c r="D5124" s="27"/>
      <c r="E5124" s="27"/>
      <c r="F5124" s="27"/>
      <c r="G5124" s="27"/>
      <c r="H5124" s="27"/>
      <c r="I5124" s="27"/>
    </row>
    <row r="5125" spans="1:9" x14ac:dyDescent="0.35">
      <c r="A5125" s="27"/>
      <c r="B5125" s="27"/>
      <c r="C5125" s="27"/>
      <c r="D5125" s="27"/>
      <c r="E5125" s="27"/>
      <c r="F5125" s="27"/>
      <c r="G5125" s="27"/>
      <c r="H5125" s="27"/>
      <c r="I5125" s="27"/>
    </row>
    <row r="5126" spans="1:9" x14ac:dyDescent="0.35">
      <c r="A5126" s="27"/>
      <c r="B5126" s="27"/>
      <c r="C5126" s="27"/>
      <c r="D5126" s="27"/>
      <c r="E5126" s="27"/>
      <c r="F5126" s="27"/>
      <c r="G5126" s="27"/>
      <c r="H5126" s="27"/>
      <c r="I5126" s="27"/>
    </row>
    <row r="5127" spans="1:9" x14ac:dyDescent="0.35">
      <c r="A5127" s="27"/>
      <c r="B5127" s="27"/>
      <c r="C5127" s="27"/>
      <c r="D5127" s="27"/>
      <c r="E5127" s="27"/>
      <c r="F5127" s="27"/>
      <c r="G5127" s="27"/>
      <c r="H5127" s="27"/>
      <c r="I5127" s="27"/>
    </row>
    <row r="5128" spans="1:9" x14ac:dyDescent="0.35">
      <c r="A5128" s="27"/>
      <c r="B5128" s="27"/>
      <c r="C5128" s="27"/>
      <c r="D5128" s="27"/>
      <c r="E5128" s="27"/>
      <c r="F5128" s="27"/>
      <c r="G5128" s="27"/>
      <c r="H5128" s="27"/>
      <c r="I5128" s="27"/>
    </row>
    <row r="5129" spans="1:9" x14ac:dyDescent="0.35">
      <c r="A5129" s="27"/>
      <c r="B5129" s="27"/>
      <c r="C5129" s="27"/>
      <c r="D5129" s="27"/>
      <c r="E5129" s="27"/>
      <c r="F5129" s="27"/>
      <c r="G5129" s="27"/>
      <c r="H5129" s="27"/>
      <c r="I5129" s="27"/>
    </row>
    <row r="5130" spans="1:9" x14ac:dyDescent="0.35">
      <c r="A5130" s="27"/>
      <c r="B5130" s="27"/>
      <c r="C5130" s="27"/>
      <c r="D5130" s="27"/>
      <c r="E5130" s="27"/>
      <c r="F5130" s="27"/>
      <c r="G5130" s="27"/>
      <c r="H5130" s="27"/>
      <c r="I5130" s="27"/>
    </row>
    <row r="5131" spans="1:9" x14ac:dyDescent="0.35">
      <c r="A5131" s="27"/>
      <c r="B5131" s="27"/>
      <c r="C5131" s="27"/>
      <c r="D5131" s="27"/>
      <c r="E5131" s="27"/>
      <c r="F5131" s="27"/>
      <c r="G5131" s="27"/>
      <c r="H5131" s="27"/>
      <c r="I5131" s="27"/>
    </row>
    <row r="5132" spans="1:9" x14ac:dyDescent="0.35">
      <c r="A5132" s="27"/>
      <c r="B5132" s="27"/>
      <c r="C5132" s="27"/>
      <c r="D5132" s="27"/>
      <c r="E5132" s="27"/>
      <c r="F5132" s="27"/>
      <c r="G5132" s="27"/>
      <c r="H5132" s="27"/>
      <c r="I5132" s="27"/>
    </row>
    <row r="5133" spans="1:9" x14ac:dyDescent="0.35">
      <c r="A5133" s="27"/>
      <c r="B5133" s="27"/>
      <c r="C5133" s="27"/>
      <c r="D5133" s="27"/>
      <c r="E5133" s="27"/>
      <c r="F5133" s="27"/>
      <c r="G5133" s="27"/>
      <c r="H5133" s="27"/>
      <c r="I5133" s="27"/>
    </row>
    <row r="5134" spans="1:9" x14ac:dyDescent="0.35">
      <c r="A5134" s="27"/>
      <c r="B5134" s="27"/>
      <c r="C5134" s="27"/>
      <c r="D5134" s="27"/>
      <c r="E5134" s="27"/>
      <c r="F5134" s="27"/>
      <c r="G5134" s="27"/>
      <c r="H5134" s="27"/>
      <c r="I5134" s="27"/>
    </row>
    <row r="5135" spans="1:9" x14ac:dyDescent="0.35">
      <c r="A5135" s="27"/>
      <c r="B5135" s="27"/>
      <c r="C5135" s="27"/>
      <c r="D5135" s="27"/>
      <c r="E5135" s="27"/>
      <c r="F5135" s="27"/>
      <c r="G5135" s="27"/>
      <c r="H5135" s="27"/>
      <c r="I5135" s="27"/>
    </row>
    <row r="5136" spans="1:9" x14ac:dyDescent="0.35">
      <c r="A5136" s="27"/>
      <c r="B5136" s="27"/>
      <c r="C5136" s="27"/>
      <c r="D5136" s="27"/>
      <c r="E5136" s="27"/>
      <c r="F5136" s="27"/>
      <c r="G5136" s="27"/>
      <c r="H5136" s="27"/>
      <c r="I5136" s="27"/>
    </row>
    <row r="5137" spans="1:9" x14ac:dyDescent="0.35">
      <c r="A5137" s="27"/>
      <c r="B5137" s="27"/>
      <c r="C5137" s="27"/>
      <c r="D5137" s="27"/>
      <c r="E5137" s="27"/>
      <c r="F5137" s="27"/>
      <c r="G5137" s="27"/>
      <c r="H5137" s="27"/>
      <c r="I5137" s="27"/>
    </row>
    <row r="5138" spans="1:9" x14ac:dyDescent="0.35">
      <c r="A5138" s="27"/>
      <c r="B5138" s="27"/>
      <c r="C5138" s="27"/>
      <c r="D5138" s="27"/>
      <c r="E5138" s="27"/>
      <c r="F5138" s="27"/>
      <c r="G5138" s="27"/>
      <c r="H5138" s="27"/>
      <c r="I5138" s="27"/>
    </row>
    <row r="5139" spans="1:9" x14ac:dyDescent="0.35">
      <c r="A5139" s="27"/>
      <c r="B5139" s="27"/>
      <c r="C5139" s="27"/>
      <c r="D5139" s="27"/>
      <c r="E5139" s="27"/>
      <c r="F5139" s="27"/>
      <c r="G5139" s="27"/>
      <c r="H5139" s="27"/>
      <c r="I5139" s="27"/>
    </row>
    <row r="5140" spans="1:9" x14ac:dyDescent="0.35">
      <c r="A5140" s="27"/>
      <c r="B5140" s="27"/>
      <c r="C5140" s="27"/>
      <c r="D5140" s="27"/>
      <c r="E5140" s="27"/>
      <c r="F5140" s="27"/>
      <c r="G5140" s="27"/>
      <c r="H5140" s="27"/>
      <c r="I5140" s="27"/>
    </row>
    <row r="5141" spans="1:9" x14ac:dyDescent="0.35">
      <c r="A5141" s="27"/>
      <c r="B5141" s="27"/>
      <c r="C5141" s="27"/>
      <c r="D5141" s="27"/>
      <c r="E5141" s="27"/>
      <c r="F5141" s="27"/>
      <c r="G5141" s="27"/>
      <c r="H5141" s="27"/>
      <c r="I5141" s="27"/>
    </row>
    <row r="5142" spans="1:9" x14ac:dyDescent="0.35">
      <c r="A5142" s="27"/>
      <c r="B5142" s="27"/>
      <c r="C5142" s="27"/>
      <c r="D5142" s="27"/>
      <c r="E5142" s="27"/>
      <c r="F5142" s="27"/>
      <c r="G5142" s="27"/>
      <c r="H5142" s="27"/>
      <c r="I5142" s="27"/>
    </row>
    <row r="5143" spans="1:9" x14ac:dyDescent="0.35">
      <c r="A5143" s="27"/>
      <c r="B5143" s="27"/>
      <c r="C5143" s="27"/>
      <c r="D5143" s="27"/>
      <c r="E5143" s="27"/>
      <c r="F5143" s="27"/>
      <c r="G5143" s="27"/>
      <c r="H5143" s="27"/>
      <c r="I5143" s="27"/>
    </row>
    <row r="5144" spans="1:9" x14ac:dyDescent="0.35">
      <c r="A5144" s="27"/>
      <c r="B5144" s="27"/>
      <c r="C5144" s="27"/>
      <c r="D5144" s="27"/>
      <c r="E5144" s="27"/>
      <c r="F5144" s="27"/>
      <c r="G5144" s="27"/>
      <c r="H5144" s="27"/>
      <c r="I5144" s="27"/>
    </row>
    <row r="5145" spans="1:9" x14ac:dyDescent="0.35">
      <c r="A5145" s="27"/>
      <c r="B5145" s="27"/>
      <c r="C5145" s="27"/>
      <c r="D5145" s="27"/>
      <c r="E5145" s="27"/>
      <c r="F5145" s="27"/>
      <c r="G5145" s="27"/>
      <c r="H5145" s="27"/>
      <c r="I5145" s="27"/>
    </row>
    <row r="5146" spans="1:9" x14ac:dyDescent="0.35">
      <c r="A5146" s="27"/>
      <c r="B5146" s="27"/>
      <c r="C5146" s="27"/>
      <c r="D5146" s="27"/>
      <c r="E5146" s="27"/>
      <c r="F5146" s="27"/>
      <c r="G5146" s="27"/>
      <c r="H5146" s="27"/>
      <c r="I5146" s="27"/>
    </row>
    <row r="5147" spans="1:9" x14ac:dyDescent="0.35">
      <c r="A5147" s="27"/>
      <c r="B5147" s="27"/>
      <c r="C5147" s="27"/>
      <c r="D5147" s="27"/>
      <c r="E5147" s="27"/>
      <c r="F5147" s="27"/>
      <c r="G5147" s="27"/>
      <c r="H5147" s="27"/>
      <c r="I5147" s="27"/>
    </row>
    <row r="5148" spans="1:9" x14ac:dyDescent="0.35">
      <c r="A5148" s="27"/>
      <c r="B5148" s="27"/>
      <c r="C5148" s="27"/>
      <c r="D5148" s="27"/>
      <c r="E5148" s="27"/>
      <c r="F5148" s="27"/>
      <c r="G5148" s="27"/>
      <c r="H5148" s="27"/>
      <c r="I5148" s="27"/>
    </row>
    <row r="5149" spans="1:9" x14ac:dyDescent="0.35">
      <c r="A5149" s="27"/>
      <c r="B5149" s="27"/>
      <c r="C5149" s="27"/>
      <c r="D5149" s="27"/>
      <c r="E5149" s="27"/>
      <c r="F5149" s="27"/>
      <c r="G5149" s="27"/>
      <c r="H5149" s="27"/>
      <c r="I5149" s="27"/>
    </row>
    <row r="5150" spans="1:9" x14ac:dyDescent="0.35">
      <c r="A5150" s="27"/>
      <c r="B5150" s="27"/>
      <c r="C5150" s="27"/>
      <c r="D5150" s="27"/>
      <c r="E5150" s="27"/>
      <c r="F5150" s="27"/>
      <c r="G5150" s="27"/>
      <c r="H5150" s="27"/>
      <c r="I5150" s="27"/>
    </row>
    <row r="5151" spans="1:9" x14ac:dyDescent="0.35">
      <c r="A5151" s="27"/>
      <c r="B5151" s="27"/>
      <c r="C5151" s="27"/>
      <c r="D5151" s="27"/>
      <c r="E5151" s="27"/>
      <c r="F5151" s="27"/>
      <c r="G5151" s="27"/>
      <c r="H5151" s="27"/>
      <c r="I5151" s="27"/>
    </row>
    <row r="5152" spans="1:9" x14ac:dyDescent="0.35">
      <c r="A5152" s="27"/>
      <c r="B5152" s="27"/>
      <c r="C5152" s="27"/>
      <c r="D5152" s="27"/>
      <c r="E5152" s="27"/>
      <c r="F5152" s="27"/>
      <c r="G5152" s="27"/>
      <c r="H5152" s="27"/>
      <c r="I5152" s="27"/>
    </row>
    <row r="5153" spans="1:9" x14ac:dyDescent="0.35">
      <c r="A5153" s="27"/>
      <c r="B5153" s="27"/>
      <c r="C5153" s="27"/>
      <c r="D5153" s="27"/>
      <c r="E5153" s="27"/>
      <c r="F5153" s="27"/>
      <c r="G5153" s="27"/>
      <c r="H5153" s="27"/>
      <c r="I5153" s="27"/>
    </row>
    <row r="5154" spans="1:9" x14ac:dyDescent="0.35">
      <c r="A5154" s="27"/>
      <c r="B5154" s="27"/>
      <c r="C5154" s="27"/>
      <c r="D5154" s="27"/>
      <c r="E5154" s="27"/>
      <c r="F5154" s="27"/>
      <c r="G5154" s="27"/>
      <c r="H5154" s="27"/>
      <c r="I5154" s="27"/>
    </row>
    <row r="5155" spans="1:9" x14ac:dyDescent="0.35">
      <c r="A5155" s="27"/>
      <c r="B5155" s="27"/>
      <c r="C5155" s="27"/>
      <c r="D5155" s="27"/>
      <c r="E5155" s="27"/>
      <c r="F5155" s="27"/>
      <c r="G5155" s="27"/>
      <c r="H5155" s="27"/>
      <c r="I5155" s="27"/>
    </row>
    <row r="5156" spans="1:9" x14ac:dyDescent="0.35">
      <c r="A5156" s="27"/>
      <c r="B5156" s="27"/>
      <c r="C5156" s="27"/>
      <c r="D5156" s="27"/>
      <c r="E5156" s="27"/>
      <c r="F5156" s="27"/>
      <c r="G5156" s="27"/>
      <c r="H5156" s="27"/>
      <c r="I5156" s="27"/>
    </row>
    <row r="5157" spans="1:9" x14ac:dyDescent="0.35">
      <c r="A5157" s="27"/>
      <c r="B5157" s="27"/>
      <c r="C5157" s="27"/>
      <c r="D5157" s="27"/>
      <c r="E5157" s="27"/>
      <c r="F5157" s="27"/>
      <c r="G5157" s="27"/>
      <c r="H5157" s="27"/>
      <c r="I5157" s="27"/>
    </row>
    <row r="5158" spans="1:9" x14ac:dyDescent="0.35">
      <c r="A5158" s="27"/>
      <c r="B5158" s="27"/>
      <c r="C5158" s="27"/>
      <c r="D5158" s="27"/>
      <c r="E5158" s="27"/>
      <c r="F5158" s="27"/>
      <c r="G5158" s="27"/>
      <c r="H5158" s="27"/>
      <c r="I5158" s="27"/>
    </row>
    <row r="5159" spans="1:9" x14ac:dyDescent="0.35">
      <c r="A5159" s="27"/>
      <c r="B5159" s="27"/>
      <c r="C5159" s="27"/>
      <c r="D5159" s="27"/>
      <c r="E5159" s="27"/>
      <c r="F5159" s="27"/>
      <c r="G5159" s="27"/>
      <c r="H5159" s="27"/>
      <c r="I5159" s="27"/>
    </row>
    <row r="5160" spans="1:9" x14ac:dyDescent="0.35">
      <c r="A5160" s="27"/>
      <c r="B5160" s="27"/>
      <c r="C5160" s="27"/>
      <c r="D5160" s="27"/>
      <c r="E5160" s="27"/>
      <c r="F5160" s="27"/>
      <c r="G5160" s="27"/>
      <c r="H5160" s="27"/>
      <c r="I5160" s="27"/>
    </row>
    <row r="5161" spans="1:9" x14ac:dyDescent="0.35">
      <c r="A5161" s="27"/>
      <c r="B5161" s="27"/>
      <c r="C5161" s="27"/>
      <c r="D5161" s="27"/>
      <c r="E5161" s="27"/>
      <c r="F5161" s="27"/>
      <c r="G5161" s="27"/>
      <c r="H5161" s="27"/>
      <c r="I5161" s="27"/>
    </row>
    <row r="5162" spans="1:9" x14ac:dyDescent="0.35">
      <c r="A5162" s="27"/>
      <c r="B5162" s="27"/>
      <c r="C5162" s="27"/>
      <c r="D5162" s="27"/>
      <c r="E5162" s="27"/>
      <c r="F5162" s="27"/>
      <c r="G5162" s="27"/>
      <c r="H5162" s="27"/>
      <c r="I5162" s="27"/>
    </row>
    <row r="5163" spans="1:9" x14ac:dyDescent="0.35">
      <c r="A5163" s="27"/>
      <c r="B5163" s="27"/>
      <c r="C5163" s="27"/>
      <c r="D5163" s="27"/>
      <c r="E5163" s="27"/>
      <c r="F5163" s="27"/>
      <c r="G5163" s="27"/>
      <c r="H5163" s="27"/>
      <c r="I5163" s="27"/>
    </row>
    <row r="5164" spans="1:9" x14ac:dyDescent="0.35">
      <c r="A5164" s="27"/>
      <c r="B5164" s="27"/>
      <c r="C5164" s="27"/>
      <c r="D5164" s="27"/>
      <c r="E5164" s="27"/>
      <c r="F5164" s="27"/>
      <c r="G5164" s="27"/>
      <c r="H5164" s="27"/>
      <c r="I5164" s="27"/>
    </row>
    <row r="5165" spans="1:9" x14ac:dyDescent="0.35">
      <c r="A5165" s="27"/>
      <c r="B5165" s="27"/>
      <c r="C5165" s="27"/>
      <c r="D5165" s="27"/>
      <c r="E5165" s="27"/>
      <c r="F5165" s="27"/>
      <c r="G5165" s="27"/>
      <c r="H5165" s="27"/>
      <c r="I5165" s="27"/>
    </row>
    <row r="5166" spans="1:9" x14ac:dyDescent="0.35">
      <c r="A5166" s="27"/>
      <c r="B5166" s="27"/>
      <c r="C5166" s="27"/>
      <c r="D5166" s="27"/>
      <c r="E5166" s="27"/>
      <c r="F5166" s="27"/>
      <c r="G5166" s="27"/>
      <c r="H5166" s="27"/>
      <c r="I5166" s="27"/>
    </row>
    <row r="5167" spans="1:9" x14ac:dyDescent="0.35">
      <c r="A5167" s="27"/>
      <c r="B5167" s="27"/>
      <c r="C5167" s="27"/>
      <c r="D5167" s="27"/>
      <c r="E5167" s="27"/>
      <c r="F5167" s="27"/>
      <c r="G5167" s="27"/>
      <c r="H5167" s="27"/>
      <c r="I5167" s="27"/>
    </row>
    <row r="5168" spans="1:9" x14ac:dyDescent="0.35">
      <c r="A5168" s="27"/>
      <c r="B5168" s="27"/>
      <c r="C5168" s="27"/>
      <c r="D5168" s="27"/>
      <c r="E5168" s="27"/>
      <c r="F5168" s="27"/>
      <c r="G5168" s="27"/>
      <c r="H5168" s="27"/>
      <c r="I5168" s="27"/>
    </row>
    <row r="5169" spans="1:9" x14ac:dyDescent="0.35">
      <c r="A5169" s="27"/>
      <c r="B5169" s="27"/>
      <c r="C5169" s="27"/>
      <c r="D5169" s="27"/>
      <c r="E5169" s="27"/>
      <c r="F5169" s="27"/>
      <c r="G5169" s="27"/>
      <c r="H5169" s="27"/>
      <c r="I5169" s="27"/>
    </row>
    <row r="5170" spans="1:9" x14ac:dyDescent="0.35">
      <c r="A5170" s="27"/>
      <c r="B5170" s="27"/>
      <c r="C5170" s="27"/>
      <c r="D5170" s="27"/>
      <c r="E5170" s="27"/>
      <c r="F5170" s="27"/>
      <c r="G5170" s="27"/>
      <c r="H5170" s="27"/>
      <c r="I5170" s="27"/>
    </row>
    <row r="5171" spans="1:9" x14ac:dyDescent="0.35">
      <c r="A5171" s="27"/>
      <c r="B5171" s="27"/>
      <c r="C5171" s="27"/>
      <c r="D5171" s="27"/>
      <c r="E5171" s="27"/>
      <c r="F5171" s="27"/>
      <c r="G5171" s="27"/>
      <c r="H5171" s="27"/>
      <c r="I5171" s="27"/>
    </row>
    <row r="5172" spans="1:9" x14ac:dyDescent="0.35">
      <c r="A5172" s="27"/>
      <c r="B5172" s="27"/>
      <c r="C5172" s="27"/>
      <c r="D5172" s="27"/>
      <c r="E5172" s="27"/>
      <c r="F5172" s="27"/>
      <c r="G5172" s="27"/>
      <c r="H5172" s="27"/>
      <c r="I5172" s="27"/>
    </row>
    <row r="5173" spans="1:9" x14ac:dyDescent="0.35">
      <c r="A5173" s="27"/>
      <c r="B5173" s="27"/>
      <c r="C5173" s="27"/>
      <c r="D5173" s="27"/>
      <c r="E5173" s="27"/>
      <c r="F5173" s="27"/>
      <c r="G5173" s="27"/>
      <c r="H5173" s="27"/>
      <c r="I5173" s="27"/>
    </row>
    <row r="5174" spans="1:9" x14ac:dyDescent="0.35">
      <c r="A5174" s="27"/>
      <c r="B5174" s="27"/>
      <c r="C5174" s="27"/>
      <c r="D5174" s="27"/>
      <c r="E5174" s="27"/>
      <c r="F5174" s="27"/>
      <c r="G5174" s="27"/>
      <c r="H5174" s="27"/>
      <c r="I5174" s="27"/>
    </row>
    <row r="5175" spans="1:9" x14ac:dyDescent="0.35">
      <c r="A5175" s="27"/>
      <c r="B5175" s="27"/>
      <c r="C5175" s="27"/>
      <c r="D5175" s="27"/>
      <c r="E5175" s="27"/>
      <c r="F5175" s="27"/>
      <c r="G5175" s="27"/>
      <c r="H5175" s="27"/>
      <c r="I5175" s="27"/>
    </row>
    <row r="5176" spans="1:9" x14ac:dyDescent="0.35">
      <c r="A5176" s="27"/>
      <c r="B5176" s="27"/>
      <c r="C5176" s="27"/>
      <c r="D5176" s="27"/>
      <c r="E5176" s="27"/>
      <c r="F5176" s="27"/>
      <c r="G5176" s="27"/>
      <c r="H5176" s="27"/>
      <c r="I5176" s="27"/>
    </row>
    <row r="5177" spans="1:9" x14ac:dyDescent="0.35">
      <c r="A5177" s="27"/>
      <c r="B5177" s="27"/>
      <c r="C5177" s="27"/>
      <c r="D5177" s="27"/>
      <c r="E5177" s="27"/>
      <c r="F5177" s="27"/>
      <c r="G5177" s="27"/>
      <c r="H5177" s="27"/>
      <c r="I5177" s="27"/>
    </row>
    <row r="5178" spans="1:9" x14ac:dyDescent="0.35">
      <c r="A5178" s="27"/>
      <c r="B5178" s="27"/>
      <c r="C5178" s="27"/>
      <c r="D5178" s="27"/>
      <c r="E5178" s="27"/>
      <c r="F5178" s="27"/>
      <c r="G5178" s="27"/>
      <c r="H5178" s="27"/>
      <c r="I5178" s="27"/>
    </row>
    <row r="5179" spans="1:9" x14ac:dyDescent="0.35">
      <c r="A5179" s="27"/>
      <c r="B5179" s="27"/>
      <c r="C5179" s="27"/>
      <c r="D5179" s="27"/>
      <c r="E5179" s="27"/>
      <c r="F5179" s="27"/>
      <c r="G5179" s="27"/>
      <c r="H5179" s="27"/>
      <c r="I5179" s="27"/>
    </row>
    <row r="5180" spans="1:9" x14ac:dyDescent="0.35">
      <c r="A5180" s="27"/>
      <c r="B5180" s="27"/>
      <c r="C5180" s="27"/>
      <c r="D5180" s="27"/>
      <c r="E5180" s="27"/>
      <c r="F5180" s="27"/>
      <c r="G5180" s="27"/>
      <c r="H5180" s="27"/>
      <c r="I5180" s="27"/>
    </row>
    <row r="5181" spans="1:9" x14ac:dyDescent="0.35">
      <c r="A5181" s="27"/>
      <c r="B5181" s="27"/>
      <c r="C5181" s="27"/>
      <c r="D5181" s="27"/>
      <c r="E5181" s="27"/>
      <c r="F5181" s="27"/>
      <c r="G5181" s="27"/>
      <c r="H5181" s="27"/>
      <c r="I5181" s="27"/>
    </row>
    <row r="5182" spans="1:9" x14ac:dyDescent="0.35">
      <c r="A5182" s="27"/>
      <c r="B5182" s="27"/>
      <c r="C5182" s="27"/>
      <c r="D5182" s="27"/>
      <c r="E5182" s="27"/>
      <c r="F5182" s="27"/>
      <c r="G5182" s="27"/>
      <c r="H5182" s="27"/>
      <c r="I5182" s="27"/>
    </row>
    <row r="5183" spans="1:9" x14ac:dyDescent="0.35">
      <c r="A5183" s="27"/>
      <c r="B5183" s="27"/>
      <c r="C5183" s="27"/>
      <c r="D5183" s="27"/>
      <c r="E5183" s="27"/>
      <c r="F5183" s="27"/>
      <c r="G5183" s="27"/>
      <c r="H5183" s="27"/>
      <c r="I5183" s="27"/>
    </row>
    <row r="5184" spans="1:9" x14ac:dyDescent="0.35">
      <c r="A5184" s="27"/>
      <c r="B5184" s="27"/>
      <c r="C5184" s="27"/>
      <c r="D5184" s="27"/>
      <c r="E5184" s="27"/>
      <c r="F5184" s="27"/>
      <c r="G5184" s="27"/>
      <c r="H5184" s="27"/>
      <c r="I5184" s="27"/>
    </row>
    <row r="5185" spans="1:9" x14ac:dyDescent="0.35">
      <c r="A5185" s="27"/>
      <c r="B5185" s="27"/>
      <c r="C5185" s="27"/>
      <c r="D5185" s="27"/>
      <c r="E5185" s="27"/>
      <c r="F5185" s="27"/>
      <c r="G5185" s="27"/>
      <c r="H5185" s="27"/>
      <c r="I5185" s="27"/>
    </row>
    <row r="5186" spans="1:9" x14ac:dyDescent="0.35">
      <c r="A5186" s="27"/>
      <c r="B5186" s="27"/>
      <c r="C5186" s="27"/>
      <c r="D5186" s="27"/>
      <c r="E5186" s="27"/>
      <c r="F5186" s="27"/>
      <c r="G5186" s="27"/>
      <c r="H5186" s="27"/>
      <c r="I5186" s="27"/>
    </row>
    <row r="5187" spans="1:9" x14ac:dyDescent="0.35">
      <c r="A5187" s="27"/>
      <c r="B5187" s="27"/>
      <c r="C5187" s="27"/>
      <c r="D5187" s="27"/>
      <c r="E5187" s="27"/>
      <c r="F5187" s="27"/>
      <c r="G5187" s="27"/>
      <c r="H5187" s="27"/>
      <c r="I5187" s="27"/>
    </row>
    <row r="5188" spans="1:9" x14ac:dyDescent="0.35">
      <c r="A5188" s="27"/>
      <c r="B5188" s="27"/>
      <c r="C5188" s="27"/>
      <c r="D5188" s="27"/>
      <c r="E5188" s="27"/>
      <c r="F5188" s="27"/>
      <c r="G5188" s="27"/>
      <c r="H5188" s="27"/>
      <c r="I5188" s="27"/>
    </row>
    <row r="5189" spans="1:9" x14ac:dyDescent="0.35">
      <c r="A5189" s="27"/>
      <c r="B5189" s="27"/>
      <c r="C5189" s="27"/>
      <c r="D5189" s="27"/>
      <c r="E5189" s="27"/>
      <c r="F5189" s="27"/>
      <c r="G5189" s="27"/>
      <c r="H5189" s="27"/>
      <c r="I5189" s="27"/>
    </row>
    <row r="5190" spans="1:9" x14ac:dyDescent="0.35">
      <c r="A5190" s="27"/>
      <c r="B5190" s="27"/>
      <c r="C5190" s="27"/>
      <c r="D5190" s="27"/>
      <c r="E5190" s="27"/>
      <c r="F5190" s="27"/>
      <c r="G5190" s="27"/>
      <c r="H5190" s="27"/>
      <c r="I5190" s="27"/>
    </row>
    <row r="5191" spans="1:9" x14ac:dyDescent="0.35">
      <c r="A5191" s="27"/>
      <c r="B5191" s="27"/>
      <c r="C5191" s="27"/>
      <c r="D5191" s="27"/>
      <c r="E5191" s="27"/>
      <c r="F5191" s="27"/>
      <c r="G5191" s="27"/>
      <c r="H5191" s="27"/>
      <c r="I5191" s="27"/>
    </row>
    <row r="5192" spans="1:9" x14ac:dyDescent="0.35">
      <c r="A5192" s="27"/>
      <c r="B5192" s="27"/>
      <c r="C5192" s="27"/>
      <c r="D5192" s="27"/>
      <c r="E5192" s="27"/>
      <c r="F5192" s="27"/>
      <c r="G5192" s="27"/>
      <c r="H5192" s="27"/>
      <c r="I5192" s="27"/>
    </row>
    <row r="5193" spans="1:9" x14ac:dyDescent="0.35">
      <c r="A5193" s="27"/>
      <c r="B5193" s="27"/>
      <c r="C5193" s="27"/>
      <c r="D5193" s="27"/>
      <c r="E5193" s="27"/>
      <c r="F5193" s="27"/>
      <c r="G5193" s="27"/>
      <c r="H5193" s="27"/>
      <c r="I5193" s="27"/>
    </row>
    <row r="5194" spans="1:9" x14ac:dyDescent="0.35">
      <c r="A5194" s="27"/>
      <c r="B5194" s="27"/>
      <c r="C5194" s="27"/>
      <c r="D5194" s="27"/>
      <c r="E5194" s="27"/>
      <c r="F5194" s="27"/>
      <c r="G5194" s="27"/>
      <c r="H5194" s="27"/>
      <c r="I5194" s="27"/>
    </row>
    <row r="5195" spans="1:9" x14ac:dyDescent="0.35">
      <c r="A5195" s="27"/>
      <c r="B5195" s="27"/>
      <c r="C5195" s="27"/>
      <c r="D5195" s="27"/>
      <c r="E5195" s="27"/>
      <c r="F5195" s="27"/>
      <c r="G5195" s="27"/>
      <c r="H5195" s="27"/>
      <c r="I5195" s="27"/>
    </row>
    <row r="5196" spans="1:9" x14ac:dyDescent="0.35">
      <c r="A5196" s="27"/>
      <c r="B5196" s="27"/>
      <c r="C5196" s="27"/>
      <c r="D5196" s="27"/>
      <c r="E5196" s="27"/>
      <c r="F5196" s="27"/>
      <c r="G5196" s="27"/>
      <c r="H5196" s="27"/>
      <c r="I5196" s="27"/>
    </row>
    <row r="5197" spans="1:9" x14ac:dyDescent="0.35">
      <c r="A5197" s="27"/>
      <c r="B5197" s="27"/>
      <c r="C5197" s="27"/>
      <c r="D5197" s="27"/>
      <c r="E5197" s="27"/>
      <c r="F5197" s="27"/>
      <c r="G5197" s="27"/>
      <c r="H5197" s="27"/>
      <c r="I5197" s="27"/>
    </row>
    <row r="5198" spans="1:9" x14ac:dyDescent="0.35">
      <c r="A5198" s="27"/>
      <c r="B5198" s="27"/>
      <c r="C5198" s="27"/>
      <c r="D5198" s="27"/>
      <c r="E5198" s="27"/>
      <c r="F5198" s="27"/>
      <c r="G5198" s="27"/>
      <c r="H5198" s="27"/>
      <c r="I5198" s="27"/>
    </row>
    <row r="5199" spans="1:9" x14ac:dyDescent="0.35">
      <c r="A5199" s="27"/>
      <c r="B5199" s="27"/>
      <c r="C5199" s="27"/>
      <c r="D5199" s="27"/>
      <c r="E5199" s="27"/>
      <c r="F5199" s="27"/>
      <c r="G5199" s="27"/>
      <c r="H5199" s="27"/>
      <c r="I5199" s="27"/>
    </row>
    <row r="5200" spans="1:9" x14ac:dyDescent="0.35">
      <c r="A5200" s="27"/>
      <c r="B5200" s="27"/>
      <c r="C5200" s="27"/>
      <c r="D5200" s="27"/>
      <c r="E5200" s="27"/>
      <c r="F5200" s="27"/>
      <c r="G5200" s="27"/>
      <c r="H5200" s="27"/>
      <c r="I5200" s="27"/>
    </row>
    <row r="5201" spans="1:9" x14ac:dyDescent="0.35">
      <c r="A5201" s="27"/>
      <c r="B5201" s="27"/>
      <c r="C5201" s="27"/>
      <c r="D5201" s="27"/>
      <c r="E5201" s="27"/>
      <c r="F5201" s="27"/>
      <c r="G5201" s="27"/>
      <c r="H5201" s="27"/>
      <c r="I5201" s="27"/>
    </row>
    <row r="5202" spans="1:9" x14ac:dyDescent="0.35">
      <c r="A5202" s="27"/>
      <c r="B5202" s="27"/>
      <c r="C5202" s="27"/>
      <c r="D5202" s="27"/>
      <c r="E5202" s="27"/>
      <c r="F5202" s="27"/>
      <c r="G5202" s="27"/>
      <c r="H5202" s="27"/>
      <c r="I5202" s="27"/>
    </row>
    <row r="5203" spans="1:9" x14ac:dyDescent="0.35">
      <c r="A5203" s="27"/>
      <c r="B5203" s="27"/>
      <c r="C5203" s="27"/>
      <c r="D5203" s="27"/>
      <c r="E5203" s="27"/>
      <c r="F5203" s="27"/>
      <c r="G5203" s="27"/>
      <c r="H5203" s="27"/>
      <c r="I5203" s="27"/>
    </row>
    <row r="5204" spans="1:9" x14ac:dyDescent="0.35">
      <c r="A5204" s="27"/>
      <c r="B5204" s="27"/>
      <c r="C5204" s="27"/>
      <c r="D5204" s="27"/>
      <c r="E5204" s="27"/>
      <c r="F5204" s="27"/>
      <c r="G5204" s="27"/>
      <c r="H5204" s="27"/>
      <c r="I5204" s="27"/>
    </row>
    <row r="5205" spans="1:9" x14ac:dyDescent="0.35">
      <c r="A5205" s="27"/>
      <c r="B5205" s="27"/>
      <c r="C5205" s="27"/>
      <c r="D5205" s="27"/>
      <c r="E5205" s="27"/>
      <c r="F5205" s="27"/>
      <c r="G5205" s="27"/>
      <c r="H5205" s="27"/>
      <c r="I5205" s="27"/>
    </row>
    <row r="5206" spans="1:9" x14ac:dyDescent="0.35">
      <c r="A5206" s="27"/>
      <c r="B5206" s="27"/>
      <c r="C5206" s="27"/>
      <c r="D5206" s="27"/>
      <c r="E5206" s="27"/>
      <c r="F5206" s="27"/>
      <c r="G5206" s="27"/>
      <c r="H5206" s="27"/>
      <c r="I5206" s="27"/>
    </row>
    <row r="5207" spans="1:9" x14ac:dyDescent="0.35">
      <c r="A5207" s="27"/>
      <c r="B5207" s="27"/>
      <c r="C5207" s="27"/>
      <c r="D5207" s="27"/>
      <c r="E5207" s="27"/>
      <c r="F5207" s="27"/>
      <c r="G5207" s="27"/>
      <c r="H5207" s="27"/>
      <c r="I5207" s="27"/>
    </row>
    <row r="5208" spans="1:9" x14ac:dyDescent="0.35">
      <c r="A5208" s="27"/>
      <c r="B5208" s="27"/>
      <c r="C5208" s="27"/>
      <c r="D5208" s="27"/>
      <c r="E5208" s="27"/>
      <c r="F5208" s="27"/>
      <c r="G5208" s="27"/>
      <c r="H5208" s="27"/>
      <c r="I5208" s="27"/>
    </row>
    <row r="5209" spans="1:9" x14ac:dyDescent="0.35">
      <c r="A5209" s="27"/>
      <c r="B5209" s="27"/>
      <c r="C5209" s="27"/>
      <c r="D5209" s="27"/>
      <c r="E5209" s="27"/>
      <c r="F5209" s="27"/>
      <c r="G5209" s="27"/>
      <c r="H5209" s="27"/>
      <c r="I5209" s="27"/>
    </row>
    <row r="5210" spans="1:9" x14ac:dyDescent="0.35">
      <c r="A5210" s="27"/>
      <c r="B5210" s="27"/>
      <c r="C5210" s="27"/>
      <c r="D5210" s="27"/>
      <c r="E5210" s="27"/>
      <c r="F5210" s="27"/>
      <c r="G5210" s="27"/>
      <c r="H5210" s="27"/>
      <c r="I5210" s="27"/>
    </row>
    <row r="5211" spans="1:9" x14ac:dyDescent="0.35">
      <c r="A5211" s="27"/>
      <c r="B5211" s="27"/>
      <c r="C5211" s="27"/>
      <c r="D5211" s="27"/>
      <c r="E5211" s="27"/>
      <c r="F5211" s="27"/>
      <c r="G5211" s="27"/>
      <c r="H5211" s="27"/>
      <c r="I5211" s="27"/>
    </row>
    <row r="5212" spans="1:9" x14ac:dyDescent="0.35">
      <c r="A5212" s="27"/>
      <c r="B5212" s="27"/>
      <c r="C5212" s="27"/>
      <c r="D5212" s="27"/>
      <c r="E5212" s="27"/>
      <c r="F5212" s="27"/>
      <c r="G5212" s="27"/>
      <c r="H5212" s="27"/>
      <c r="I5212" s="27"/>
    </row>
    <row r="5213" spans="1:9" x14ac:dyDescent="0.35">
      <c r="A5213" s="27"/>
      <c r="B5213" s="27"/>
      <c r="C5213" s="27"/>
      <c r="D5213" s="27"/>
      <c r="E5213" s="27"/>
      <c r="F5213" s="27"/>
      <c r="G5213" s="27"/>
      <c r="H5213" s="27"/>
      <c r="I5213" s="27"/>
    </row>
    <row r="5214" spans="1:9" x14ac:dyDescent="0.35">
      <c r="A5214" s="27"/>
      <c r="B5214" s="27"/>
      <c r="C5214" s="27"/>
      <c r="D5214" s="27"/>
      <c r="E5214" s="27"/>
      <c r="F5214" s="27"/>
      <c r="G5214" s="27"/>
      <c r="H5214" s="27"/>
      <c r="I5214" s="27"/>
    </row>
    <row r="5215" spans="1:9" x14ac:dyDescent="0.35">
      <c r="A5215" s="27"/>
      <c r="B5215" s="27"/>
      <c r="C5215" s="27"/>
      <c r="D5215" s="27"/>
      <c r="E5215" s="27"/>
      <c r="F5215" s="27"/>
      <c r="G5215" s="27"/>
      <c r="H5215" s="27"/>
      <c r="I5215" s="27"/>
    </row>
    <row r="5216" spans="1:9" x14ac:dyDescent="0.35">
      <c r="A5216" s="27"/>
      <c r="B5216" s="27"/>
      <c r="C5216" s="27"/>
      <c r="D5216" s="27"/>
      <c r="E5216" s="27"/>
      <c r="F5216" s="27"/>
      <c r="G5216" s="27"/>
      <c r="H5216" s="27"/>
      <c r="I5216" s="27"/>
    </row>
    <row r="5217" spans="1:9" x14ac:dyDescent="0.35">
      <c r="A5217" s="27"/>
      <c r="B5217" s="27"/>
      <c r="C5217" s="27"/>
      <c r="D5217" s="27"/>
      <c r="E5217" s="27"/>
      <c r="F5217" s="27"/>
      <c r="G5217" s="27"/>
      <c r="H5217" s="27"/>
      <c r="I5217" s="27"/>
    </row>
    <row r="5218" spans="1:9" x14ac:dyDescent="0.35">
      <c r="A5218" s="27"/>
      <c r="B5218" s="27"/>
      <c r="C5218" s="27"/>
      <c r="D5218" s="27"/>
      <c r="E5218" s="27"/>
      <c r="F5218" s="27"/>
      <c r="G5218" s="27"/>
      <c r="H5218" s="27"/>
      <c r="I5218" s="27"/>
    </row>
    <row r="5219" spans="1:9" x14ac:dyDescent="0.35">
      <c r="A5219" s="27"/>
      <c r="B5219" s="27"/>
      <c r="C5219" s="27"/>
      <c r="D5219" s="27"/>
      <c r="E5219" s="27"/>
      <c r="F5219" s="27"/>
      <c r="G5219" s="27"/>
      <c r="H5219" s="27"/>
      <c r="I5219" s="27"/>
    </row>
    <row r="5220" spans="1:9" x14ac:dyDescent="0.35">
      <c r="A5220" s="27"/>
      <c r="B5220" s="27"/>
      <c r="C5220" s="27"/>
      <c r="D5220" s="27"/>
      <c r="E5220" s="27"/>
      <c r="F5220" s="27"/>
      <c r="G5220" s="27"/>
      <c r="H5220" s="27"/>
      <c r="I5220" s="27"/>
    </row>
    <row r="5221" spans="1:9" x14ac:dyDescent="0.35">
      <c r="A5221" s="27"/>
      <c r="B5221" s="27"/>
      <c r="C5221" s="27"/>
      <c r="D5221" s="27"/>
      <c r="E5221" s="27"/>
      <c r="F5221" s="27"/>
      <c r="G5221" s="27"/>
      <c r="H5221" s="27"/>
      <c r="I5221" s="27"/>
    </row>
    <row r="5222" spans="1:9" x14ac:dyDescent="0.35">
      <c r="A5222" s="27"/>
      <c r="B5222" s="27"/>
      <c r="C5222" s="27"/>
      <c r="D5222" s="27"/>
      <c r="E5222" s="27"/>
      <c r="F5222" s="27"/>
      <c r="G5222" s="27"/>
      <c r="H5222" s="27"/>
      <c r="I5222" s="27"/>
    </row>
    <row r="5223" spans="1:9" x14ac:dyDescent="0.35">
      <c r="A5223" s="27"/>
      <c r="B5223" s="27"/>
      <c r="C5223" s="27"/>
      <c r="D5223" s="27"/>
      <c r="E5223" s="27"/>
      <c r="F5223" s="27"/>
      <c r="G5223" s="27"/>
      <c r="H5223" s="27"/>
      <c r="I5223" s="27"/>
    </row>
    <row r="5224" spans="1:9" x14ac:dyDescent="0.35">
      <c r="A5224" s="27"/>
      <c r="B5224" s="27"/>
      <c r="C5224" s="27"/>
      <c r="D5224" s="27"/>
      <c r="E5224" s="27"/>
      <c r="F5224" s="27"/>
      <c r="G5224" s="27"/>
      <c r="H5224" s="27"/>
      <c r="I5224" s="27"/>
    </row>
    <row r="5225" spans="1:9" x14ac:dyDescent="0.35">
      <c r="A5225" s="27"/>
      <c r="B5225" s="27"/>
      <c r="C5225" s="27"/>
      <c r="D5225" s="27"/>
      <c r="E5225" s="27"/>
      <c r="F5225" s="27"/>
      <c r="G5225" s="27"/>
      <c r="H5225" s="27"/>
      <c r="I5225" s="27"/>
    </row>
    <row r="5226" spans="1:9" x14ac:dyDescent="0.35">
      <c r="A5226" s="27"/>
      <c r="B5226" s="27"/>
      <c r="C5226" s="27"/>
      <c r="D5226" s="27"/>
      <c r="E5226" s="27"/>
      <c r="F5226" s="27"/>
      <c r="G5226" s="27"/>
      <c r="H5226" s="27"/>
      <c r="I5226" s="27"/>
    </row>
    <row r="5227" spans="1:9" x14ac:dyDescent="0.35">
      <c r="A5227" s="27"/>
      <c r="B5227" s="27"/>
      <c r="C5227" s="27"/>
      <c r="D5227" s="27"/>
      <c r="E5227" s="27"/>
      <c r="F5227" s="27"/>
      <c r="G5227" s="27"/>
      <c r="H5227" s="27"/>
      <c r="I5227" s="27"/>
    </row>
    <row r="5228" spans="1:9" x14ac:dyDescent="0.35">
      <c r="A5228" s="27"/>
      <c r="B5228" s="27"/>
      <c r="C5228" s="27"/>
      <c r="D5228" s="27"/>
      <c r="E5228" s="27"/>
      <c r="F5228" s="27"/>
      <c r="G5228" s="27"/>
      <c r="H5228" s="27"/>
      <c r="I5228" s="27"/>
    </row>
    <row r="5229" spans="1:9" x14ac:dyDescent="0.35">
      <c r="A5229" s="27"/>
      <c r="B5229" s="27"/>
      <c r="C5229" s="27"/>
      <c r="D5229" s="27"/>
      <c r="E5229" s="27"/>
      <c r="F5229" s="27"/>
      <c r="G5229" s="27"/>
      <c r="H5229" s="27"/>
      <c r="I5229" s="27"/>
    </row>
    <row r="5230" spans="1:9" x14ac:dyDescent="0.35">
      <c r="A5230" s="27"/>
      <c r="B5230" s="27"/>
      <c r="C5230" s="27"/>
      <c r="D5230" s="27"/>
      <c r="E5230" s="27"/>
      <c r="F5230" s="27"/>
      <c r="G5230" s="27"/>
      <c r="H5230" s="27"/>
      <c r="I5230" s="27"/>
    </row>
    <row r="5231" spans="1:9" x14ac:dyDescent="0.35">
      <c r="A5231" s="27"/>
      <c r="B5231" s="27"/>
      <c r="C5231" s="27"/>
      <c r="D5231" s="27"/>
      <c r="E5231" s="27"/>
      <c r="F5231" s="27"/>
      <c r="G5231" s="27"/>
      <c r="H5231" s="27"/>
      <c r="I5231" s="27"/>
    </row>
    <row r="5232" spans="1:9" x14ac:dyDescent="0.35">
      <c r="A5232" s="27"/>
      <c r="B5232" s="27"/>
      <c r="C5232" s="27"/>
      <c r="D5232" s="27"/>
      <c r="E5232" s="27"/>
      <c r="F5232" s="27"/>
      <c r="G5232" s="27"/>
      <c r="H5232" s="27"/>
      <c r="I5232" s="27"/>
    </row>
    <row r="5233" spans="1:9" x14ac:dyDescent="0.35">
      <c r="A5233" s="27"/>
      <c r="B5233" s="27"/>
      <c r="C5233" s="27"/>
      <c r="D5233" s="27"/>
      <c r="E5233" s="27"/>
      <c r="F5233" s="27"/>
      <c r="G5233" s="27"/>
      <c r="H5233" s="27"/>
      <c r="I5233" s="27"/>
    </row>
    <row r="5234" spans="1:9" x14ac:dyDescent="0.35">
      <c r="A5234" s="27"/>
      <c r="B5234" s="27"/>
      <c r="C5234" s="27"/>
      <c r="D5234" s="27"/>
      <c r="E5234" s="27"/>
      <c r="F5234" s="27"/>
      <c r="G5234" s="27"/>
      <c r="H5234" s="27"/>
      <c r="I5234" s="27"/>
    </row>
    <row r="5235" spans="1:9" x14ac:dyDescent="0.35">
      <c r="A5235" s="27"/>
      <c r="B5235" s="27"/>
      <c r="C5235" s="27"/>
      <c r="D5235" s="27"/>
      <c r="E5235" s="27"/>
      <c r="F5235" s="27"/>
      <c r="G5235" s="27"/>
      <c r="H5235" s="27"/>
      <c r="I5235" s="27"/>
    </row>
    <row r="5236" spans="1:9" x14ac:dyDescent="0.35">
      <c r="A5236" s="27"/>
      <c r="B5236" s="27"/>
      <c r="C5236" s="27"/>
      <c r="D5236" s="27"/>
      <c r="E5236" s="27"/>
      <c r="F5236" s="27"/>
      <c r="G5236" s="27"/>
      <c r="H5236" s="27"/>
      <c r="I5236" s="27"/>
    </row>
    <row r="5237" spans="1:9" x14ac:dyDescent="0.35">
      <c r="A5237" s="27"/>
      <c r="B5237" s="27"/>
      <c r="C5237" s="27"/>
      <c r="D5237" s="27"/>
      <c r="E5237" s="27"/>
      <c r="F5237" s="27"/>
      <c r="G5237" s="27"/>
      <c r="H5237" s="27"/>
      <c r="I5237" s="27"/>
    </row>
    <row r="5238" spans="1:9" x14ac:dyDescent="0.35">
      <c r="A5238" s="27"/>
      <c r="B5238" s="27"/>
      <c r="C5238" s="27"/>
      <c r="D5238" s="27"/>
      <c r="E5238" s="27"/>
      <c r="F5238" s="27"/>
      <c r="G5238" s="27"/>
      <c r="H5238" s="27"/>
      <c r="I5238" s="27"/>
    </row>
    <row r="5239" spans="1:9" x14ac:dyDescent="0.35">
      <c r="A5239" s="27"/>
      <c r="B5239" s="27"/>
      <c r="C5239" s="27"/>
      <c r="D5239" s="27"/>
      <c r="E5239" s="27"/>
      <c r="F5239" s="27"/>
      <c r="G5239" s="27"/>
      <c r="H5239" s="27"/>
      <c r="I5239" s="27"/>
    </row>
    <row r="5240" spans="1:9" x14ac:dyDescent="0.35">
      <c r="A5240" s="27"/>
      <c r="B5240" s="27"/>
      <c r="C5240" s="27"/>
      <c r="D5240" s="27"/>
      <c r="E5240" s="27"/>
      <c r="F5240" s="27"/>
      <c r="G5240" s="27"/>
      <c r="H5240" s="27"/>
      <c r="I5240" s="27"/>
    </row>
    <row r="5241" spans="1:9" x14ac:dyDescent="0.35">
      <c r="A5241" s="27"/>
      <c r="B5241" s="27"/>
      <c r="C5241" s="27"/>
      <c r="D5241" s="27"/>
      <c r="E5241" s="27"/>
      <c r="F5241" s="27"/>
      <c r="G5241" s="27"/>
      <c r="H5241" s="27"/>
      <c r="I5241" s="27"/>
    </row>
    <row r="5242" spans="1:9" x14ac:dyDescent="0.35">
      <c r="A5242" s="27"/>
      <c r="B5242" s="27"/>
      <c r="C5242" s="27"/>
      <c r="D5242" s="27"/>
      <c r="E5242" s="27"/>
      <c r="F5242" s="27"/>
      <c r="G5242" s="27"/>
      <c r="H5242" s="27"/>
      <c r="I5242" s="27"/>
    </row>
    <row r="5243" spans="1:9" x14ac:dyDescent="0.35">
      <c r="A5243" s="27"/>
      <c r="B5243" s="27"/>
      <c r="C5243" s="27"/>
      <c r="D5243" s="27"/>
      <c r="E5243" s="27"/>
      <c r="F5243" s="27"/>
      <c r="G5243" s="27"/>
      <c r="H5243" s="27"/>
      <c r="I5243" s="27"/>
    </row>
    <row r="5244" spans="1:9" x14ac:dyDescent="0.35">
      <c r="A5244" s="27"/>
      <c r="B5244" s="27"/>
      <c r="C5244" s="27"/>
      <c r="D5244" s="27"/>
      <c r="E5244" s="27"/>
      <c r="F5244" s="27"/>
      <c r="G5244" s="27"/>
      <c r="H5244" s="27"/>
      <c r="I5244" s="27"/>
    </row>
    <row r="5245" spans="1:9" x14ac:dyDescent="0.35">
      <c r="A5245" s="27"/>
      <c r="B5245" s="27"/>
      <c r="C5245" s="27"/>
      <c r="D5245" s="27"/>
      <c r="E5245" s="27"/>
      <c r="F5245" s="27"/>
      <c r="G5245" s="27"/>
      <c r="H5245" s="27"/>
      <c r="I5245" s="27"/>
    </row>
    <row r="5246" spans="1:9" x14ac:dyDescent="0.35">
      <c r="A5246" s="27"/>
      <c r="B5246" s="27"/>
      <c r="C5246" s="27"/>
      <c r="D5246" s="27"/>
      <c r="E5246" s="27"/>
      <c r="F5246" s="27"/>
      <c r="G5246" s="27"/>
      <c r="H5246" s="27"/>
      <c r="I5246" s="27"/>
    </row>
    <row r="5247" spans="1:9" x14ac:dyDescent="0.35">
      <c r="A5247" s="27"/>
      <c r="B5247" s="27"/>
      <c r="C5247" s="27"/>
      <c r="D5247" s="27"/>
      <c r="E5247" s="27"/>
      <c r="F5247" s="27"/>
      <c r="G5247" s="27"/>
      <c r="H5247" s="27"/>
      <c r="I5247" s="27"/>
    </row>
    <row r="5248" spans="1:9" x14ac:dyDescent="0.35">
      <c r="A5248" s="27"/>
      <c r="B5248" s="27"/>
      <c r="C5248" s="27"/>
      <c r="D5248" s="27"/>
      <c r="E5248" s="27"/>
      <c r="F5248" s="27"/>
      <c r="G5248" s="27"/>
      <c r="H5248" s="27"/>
      <c r="I5248" s="27"/>
    </row>
    <row r="5249" spans="1:9" x14ac:dyDescent="0.35">
      <c r="A5249" s="27"/>
      <c r="B5249" s="27"/>
      <c r="C5249" s="27"/>
      <c r="D5249" s="27"/>
      <c r="E5249" s="27"/>
      <c r="F5249" s="27"/>
      <c r="G5249" s="27"/>
      <c r="H5249" s="27"/>
      <c r="I5249" s="27"/>
    </row>
    <row r="5250" spans="1:9" x14ac:dyDescent="0.35">
      <c r="A5250" s="27"/>
      <c r="B5250" s="27"/>
      <c r="C5250" s="27"/>
      <c r="D5250" s="27"/>
      <c r="E5250" s="27"/>
      <c r="F5250" s="27"/>
      <c r="G5250" s="27"/>
      <c r="H5250" s="27"/>
      <c r="I5250" s="27"/>
    </row>
    <row r="5251" spans="1:9" x14ac:dyDescent="0.35">
      <c r="A5251" s="27"/>
      <c r="B5251" s="27"/>
      <c r="C5251" s="27"/>
      <c r="D5251" s="27"/>
      <c r="E5251" s="27"/>
      <c r="F5251" s="27"/>
      <c r="G5251" s="27"/>
      <c r="H5251" s="27"/>
      <c r="I5251" s="27"/>
    </row>
    <row r="5252" spans="1:9" x14ac:dyDescent="0.35">
      <c r="A5252" s="27"/>
      <c r="B5252" s="27"/>
      <c r="C5252" s="27"/>
      <c r="D5252" s="27"/>
      <c r="E5252" s="27"/>
      <c r="F5252" s="27"/>
      <c r="G5252" s="27"/>
      <c r="H5252" s="27"/>
      <c r="I5252" s="27"/>
    </row>
    <row r="5253" spans="1:9" x14ac:dyDescent="0.35">
      <c r="A5253" s="27"/>
      <c r="B5253" s="27"/>
      <c r="C5253" s="27"/>
      <c r="D5253" s="27"/>
      <c r="E5253" s="27"/>
      <c r="F5253" s="27"/>
      <c r="G5253" s="27"/>
      <c r="H5253" s="27"/>
      <c r="I5253" s="27"/>
    </row>
    <row r="5254" spans="1:9" x14ac:dyDescent="0.35">
      <c r="A5254" s="27"/>
      <c r="B5254" s="27"/>
      <c r="C5254" s="27"/>
      <c r="D5254" s="27"/>
      <c r="E5254" s="27"/>
      <c r="F5254" s="27"/>
      <c r="G5254" s="27"/>
      <c r="H5254" s="27"/>
      <c r="I5254" s="27"/>
    </row>
    <row r="5255" spans="1:9" x14ac:dyDescent="0.35">
      <c r="A5255" s="27"/>
      <c r="B5255" s="27"/>
      <c r="C5255" s="27"/>
      <c r="D5255" s="27"/>
      <c r="E5255" s="27"/>
      <c r="F5255" s="27"/>
      <c r="G5255" s="27"/>
      <c r="H5255" s="27"/>
      <c r="I5255" s="27"/>
    </row>
    <row r="5256" spans="1:9" x14ac:dyDescent="0.35">
      <c r="A5256" s="27"/>
      <c r="B5256" s="27"/>
      <c r="C5256" s="27"/>
      <c r="D5256" s="27"/>
      <c r="E5256" s="27"/>
      <c r="F5256" s="27"/>
      <c r="G5256" s="27"/>
      <c r="H5256" s="27"/>
      <c r="I5256" s="27"/>
    </row>
    <row r="5257" spans="1:9" x14ac:dyDescent="0.35">
      <c r="A5257" s="27"/>
      <c r="B5257" s="27"/>
      <c r="C5257" s="27"/>
      <c r="D5257" s="27"/>
      <c r="E5257" s="27"/>
      <c r="F5257" s="27"/>
      <c r="G5257" s="27"/>
      <c r="H5257" s="27"/>
      <c r="I5257" s="27"/>
    </row>
    <row r="5258" spans="1:9" x14ac:dyDescent="0.35">
      <c r="A5258" s="27"/>
      <c r="B5258" s="27"/>
      <c r="C5258" s="27"/>
      <c r="D5258" s="27"/>
      <c r="E5258" s="27"/>
      <c r="F5258" s="27"/>
      <c r="G5258" s="27"/>
      <c r="H5258" s="27"/>
      <c r="I5258" s="27"/>
    </row>
    <row r="5259" spans="1:9" x14ac:dyDescent="0.35">
      <c r="A5259" s="27"/>
      <c r="B5259" s="27"/>
      <c r="C5259" s="27"/>
      <c r="D5259" s="27"/>
      <c r="E5259" s="27"/>
      <c r="F5259" s="27"/>
      <c r="G5259" s="27"/>
      <c r="H5259" s="27"/>
      <c r="I5259" s="27"/>
    </row>
    <row r="5260" spans="1:9" x14ac:dyDescent="0.35">
      <c r="A5260" s="27"/>
      <c r="B5260" s="27"/>
      <c r="C5260" s="27"/>
      <c r="D5260" s="27"/>
      <c r="E5260" s="27"/>
      <c r="F5260" s="27"/>
      <c r="G5260" s="27"/>
      <c r="H5260" s="27"/>
      <c r="I5260" s="27"/>
    </row>
    <row r="5261" spans="1:9" x14ac:dyDescent="0.35">
      <c r="A5261" s="27"/>
      <c r="B5261" s="27"/>
      <c r="C5261" s="27"/>
      <c r="D5261" s="27"/>
      <c r="E5261" s="27"/>
      <c r="F5261" s="27"/>
      <c r="G5261" s="27"/>
      <c r="H5261" s="27"/>
      <c r="I5261" s="27"/>
    </row>
    <row r="5262" spans="1:9" x14ac:dyDescent="0.35">
      <c r="A5262" s="27"/>
      <c r="B5262" s="27"/>
      <c r="C5262" s="27"/>
      <c r="D5262" s="27"/>
      <c r="E5262" s="27"/>
      <c r="F5262" s="27"/>
      <c r="G5262" s="27"/>
      <c r="H5262" s="27"/>
      <c r="I5262" s="27"/>
    </row>
    <row r="5263" spans="1:9" x14ac:dyDescent="0.35">
      <c r="A5263" s="27"/>
      <c r="B5263" s="27"/>
      <c r="C5263" s="27"/>
      <c r="D5263" s="27"/>
      <c r="E5263" s="27"/>
      <c r="F5263" s="27"/>
      <c r="G5263" s="27"/>
      <c r="H5263" s="27"/>
      <c r="I5263" s="27"/>
    </row>
    <row r="5264" spans="1:9" x14ac:dyDescent="0.35">
      <c r="A5264" s="27"/>
      <c r="B5264" s="27"/>
      <c r="C5264" s="27"/>
      <c r="D5264" s="27"/>
      <c r="E5264" s="27"/>
      <c r="F5264" s="27"/>
      <c r="G5264" s="27"/>
      <c r="H5264" s="27"/>
      <c r="I5264" s="27"/>
    </row>
    <row r="5265" spans="1:9" x14ac:dyDescent="0.35">
      <c r="A5265" s="27"/>
      <c r="B5265" s="27"/>
      <c r="C5265" s="27"/>
      <c r="D5265" s="27"/>
      <c r="E5265" s="27"/>
      <c r="F5265" s="27"/>
      <c r="G5265" s="27"/>
      <c r="H5265" s="27"/>
      <c r="I5265" s="27"/>
    </row>
    <row r="5266" spans="1:9" x14ac:dyDescent="0.35">
      <c r="A5266" s="27"/>
      <c r="B5266" s="27"/>
      <c r="C5266" s="27"/>
      <c r="D5266" s="27"/>
      <c r="E5266" s="27"/>
      <c r="F5266" s="27"/>
      <c r="G5266" s="27"/>
      <c r="H5266" s="27"/>
      <c r="I5266" s="27"/>
    </row>
    <row r="5267" spans="1:9" x14ac:dyDescent="0.35">
      <c r="A5267" s="27"/>
      <c r="B5267" s="27"/>
      <c r="C5267" s="27"/>
      <c r="D5267" s="27"/>
      <c r="E5267" s="27"/>
      <c r="F5267" s="27"/>
      <c r="G5267" s="27"/>
      <c r="H5267" s="27"/>
      <c r="I5267" s="27"/>
    </row>
    <row r="5268" spans="1:9" x14ac:dyDescent="0.35">
      <c r="A5268" s="27"/>
      <c r="B5268" s="27"/>
      <c r="C5268" s="27"/>
      <c r="D5268" s="27"/>
      <c r="E5268" s="27"/>
      <c r="F5268" s="27"/>
      <c r="G5268" s="27"/>
      <c r="H5268" s="27"/>
      <c r="I5268" s="27"/>
    </row>
    <row r="5269" spans="1:9" x14ac:dyDescent="0.35">
      <c r="A5269" s="27"/>
      <c r="B5269" s="27"/>
      <c r="C5269" s="27"/>
      <c r="D5269" s="27"/>
      <c r="E5269" s="27"/>
      <c r="F5269" s="27"/>
      <c r="G5269" s="27"/>
      <c r="H5269" s="27"/>
      <c r="I5269" s="27"/>
    </row>
    <row r="5270" spans="1:9" x14ac:dyDescent="0.35">
      <c r="A5270" s="27"/>
      <c r="B5270" s="27"/>
      <c r="C5270" s="27"/>
      <c r="D5270" s="27"/>
      <c r="E5270" s="27"/>
      <c r="F5270" s="27"/>
      <c r="G5270" s="27"/>
      <c r="H5270" s="27"/>
      <c r="I5270" s="27"/>
    </row>
    <row r="5271" spans="1:9" x14ac:dyDescent="0.35">
      <c r="A5271" s="27"/>
      <c r="B5271" s="27"/>
      <c r="C5271" s="27"/>
      <c r="D5271" s="27"/>
      <c r="E5271" s="27"/>
      <c r="F5271" s="27"/>
      <c r="G5271" s="27"/>
      <c r="H5271" s="27"/>
      <c r="I5271" s="27"/>
    </row>
    <row r="5272" spans="1:9" x14ac:dyDescent="0.35">
      <c r="A5272" s="27"/>
      <c r="B5272" s="27"/>
      <c r="C5272" s="27"/>
      <c r="D5272" s="27"/>
      <c r="E5272" s="27"/>
      <c r="F5272" s="27"/>
      <c r="G5272" s="27"/>
      <c r="H5272" s="27"/>
      <c r="I5272" s="27"/>
    </row>
    <row r="5273" spans="1:9" x14ac:dyDescent="0.35">
      <c r="A5273" s="27"/>
      <c r="B5273" s="27"/>
      <c r="C5273" s="27"/>
      <c r="D5273" s="27"/>
      <c r="E5273" s="27"/>
      <c r="F5273" s="27"/>
      <c r="G5273" s="27"/>
      <c r="H5273" s="27"/>
      <c r="I5273" s="27"/>
    </row>
    <row r="5274" spans="1:9" x14ac:dyDescent="0.35">
      <c r="A5274" s="27"/>
      <c r="B5274" s="27"/>
      <c r="C5274" s="27"/>
      <c r="D5274" s="27"/>
      <c r="E5274" s="27"/>
      <c r="F5274" s="27"/>
      <c r="G5274" s="27"/>
      <c r="H5274" s="27"/>
      <c r="I5274" s="27"/>
    </row>
    <row r="5275" spans="1:9" x14ac:dyDescent="0.35">
      <c r="A5275" s="27"/>
      <c r="B5275" s="27"/>
      <c r="C5275" s="27"/>
      <c r="D5275" s="27"/>
      <c r="E5275" s="27"/>
      <c r="F5275" s="27"/>
      <c r="G5275" s="27"/>
      <c r="H5275" s="27"/>
      <c r="I5275" s="27"/>
    </row>
    <row r="5276" spans="1:9" x14ac:dyDescent="0.35">
      <c r="A5276" s="27"/>
      <c r="B5276" s="27"/>
      <c r="C5276" s="27"/>
      <c r="D5276" s="27"/>
      <c r="E5276" s="27"/>
      <c r="F5276" s="27"/>
      <c r="G5276" s="27"/>
      <c r="H5276" s="27"/>
      <c r="I5276" s="27"/>
    </row>
    <row r="5277" spans="1:9" x14ac:dyDescent="0.35">
      <c r="A5277" s="27"/>
      <c r="B5277" s="27"/>
      <c r="C5277" s="27"/>
      <c r="D5277" s="27"/>
      <c r="E5277" s="27"/>
      <c r="F5277" s="27"/>
      <c r="G5277" s="27"/>
      <c r="H5277" s="27"/>
      <c r="I5277" s="27"/>
    </row>
    <row r="5278" spans="1:9" x14ac:dyDescent="0.35">
      <c r="A5278" s="27"/>
      <c r="B5278" s="27"/>
      <c r="C5278" s="27"/>
      <c r="D5278" s="27"/>
      <c r="E5278" s="27"/>
      <c r="F5278" s="27"/>
      <c r="G5278" s="27"/>
      <c r="H5278" s="27"/>
      <c r="I5278" s="27"/>
    </row>
    <row r="5279" spans="1:9" x14ac:dyDescent="0.35">
      <c r="A5279" s="27"/>
      <c r="B5279" s="27"/>
      <c r="C5279" s="27"/>
      <c r="D5279" s="27"/>
      <c r="E5279" s="27"/>
      <c r="F5279" s="27"/>
      <c r="G5279" s="27"/>
      <c r="H5279" s="27"/>
      <c r="I5279" s="27"/>
    </row>
    <row r="5280" spans="1:9" x14ac:dyDescent="0.35">
      <c r="A5280" s="27"/>
      <c r="B5280" s="27"/>
      <c r="C5280" s="27"/>
      <c r="D5280" s="27"/>
      <c r="E5280" s="27"/>
      <c r="F5280" s="27"/>
      <c r="G5280" s="27"/>
      <c r="H5280" s="27"/>
      <c r="I5280" s="27"/>
    </row>
    <row r="5281" spans="1:9" x14ac:dyDescent="0.35">
      <c r="A5281" s="27"/>
      <c r="B5281" s="27"/>
      <c r="C5281" s="27"/>
      <c r="D5281" s="27"/>
      <c r="E5281" s="27"/>
      <c r="F5281" s="27"/>
      <c r="G5281" s="27"/>
      <c r="H5281" s="27"/>
      <c r="I5281" s="27"/>
    </row>
    <row r="5282" spans="1:9" x14ac:dyDescent="0.35">
      <c r="A5282" s="27"/>
      <c r="B5282" s="27"/>
      <c r="C5282" s="27"/>
      <c r="D5282" s="27"/>
      <c r="E5282" s="27"/>
      <c r="F5282" s="27"/>
      <c r="G5282" s="27"/>
      <c r="H5282" s="27"/>
      <c r="I5282" s="27"/>
    </row>
    <row r="5283" spans="1:9" x14ac:dyDescent="0.35">
      <c r="A5283" s="27"/>
      <c r="B5283" s="27"/>
      <c r="C5283" s="27"/>
      <c r="D5283" s="27"/>
      <c r="E5283" s="27"/>
      <c r="F5283" s="27"/>
      <c r="G5283" s="27"/>
      <c r="H5283" s="27"/>
      <c r="I5283" s="27"/>
    </row>
    <row r="5284" spans="1:9" x14ac:dyDescent="0.35">
      <c r="A5284" s="27"/>
      <c r="B5284" s="27"/>
      <c r="C5284" s="27"/>
      <c r="D5284" s="27"/>
      <c r="E5284" s="27"/>
      <c r="F5284" s="27"/>
      <c r="G5284" s="27"/>
      <c r="H5284" s="27"/>
      <c r="I5284" s="27"/>
    </row>
    <row r="5285" spans="1:9" x14ac:dyDescent="0.35">
      <c r="A5285" s="27"/>
      <c r="B5285" s="27"/>
      <c r="C5285" s="27"/>
      <c r="D5285" s="27"/>
      <c r="E5285" s="27"/>
      <c r="F5285" s="27"/>
      <c r="G5285" s="27"/>
      <c r="H5285" s="27"/>
      <c r="I5285" s="27"/>
    </row>
    <row r="5286" spans="1:9" x14ac:dyDescent="0.35">
      <c r="A5286" s="27"/>
      <c r="B5286" s="27"/>
      <c r="C5286" s="27"/>
      <c r="D5286" s="27"/>
      <c r="E5286" s="27"/>
      <c r="F5286" s="27"/>
      <c r="G5286" s="27"/>
      <c r="H5286" s="27"/>
      <c r="I5286" s="27"/>
    </row>
    <row r="5287" spans="1:9" x14ac:dyDescent="0.35">
      <c r="A5287" s="27"/>
      <c r="B5287" s="27"/>
      <c r="C5287" s="27"/>
      <c r="D5287" s="27"/>
      <c r="E5287" s="27"/>
      <c r="F5287" s="27"/>
      <c r="G5287" s="27"/>
      <c r="H5287" s="27"/>
      <c r="I5287" s="27"/>
    </row>
    <row r="5288" spans="1:9" x14ac:dyDescent="0.35">
      <c r="A5288" s="27"/>
      <c r="B5288" s="27"/>
      <c r="C5288" s="27"/>
      <c r="D5288" s="27"/>
      <c r="E5288" s="27"/>
      <c r="F5288" s="27"/>
      <c r="G5288" s="27"/>
      <c r="H5288" s="27"/>
      <c r="I5288" s="27"/>
    </row>
    <row r="5289" spans="1:9" x14ac:dyDescent="0.35">
      <c r="A5289" s="27"/>
      <c r="B5289" s="27"/>
      <c r="C5289" s="27"/>
      <c r="D5289" s="27"/>
      <c r="E5289" s="27"/>
      <c r="F5289" s="27"/>
      <c r="G5289" s="27"/>
      <c r="H5289" s="27"/>
      <c r="I5289" s="27"/>
    </row>
    <row r="5290" spans="1:9" x14ac:dyDescent="0.35">
      <c r="A5290" s="27"/>
      <c r="B5290" s="27"/>
      <c r="C5290" s="27"/>
      <c r="D5290" s="27"/>
      <c r="E5290" s="27"/>
      <c r="F5290" s="27"/>
      <c r="G5290" s="27"/>
      <c r="H5290" s="27"/>
      <c r="I5290" s="27"/>
    </row>
    <row r="5291" spans="1:9" x14ac:dyDescent="0.35">
      <c r="A5291" s="27"/>
      <c r="B5291" s="27"/>
      <c r="C5291" s="27"/>
      <c r="D5291" s="27"/>
      <c r="E5291" s="27"/>
      <c r="F5291" s="27"/>
      <c r="G5291" s="27"/>
      <c r="H5291" s="27"/>
      <c r="I5291" s="27"/>
    </row>
    <row r="5292" spans="1:9" x14ac:dyDescent="0.35">
      <c r="A5292" s="27"/>
      <c r="B5292" s="27"/>
      <c r="C5292" s="27"/>
      <c r="D5292" s="27"/>
      <c r="E5292" s="27"/>
      <c r="F5292" s="27"/>
      <c r="G5292" s="27"/>
      <c r="H5292" s="27"/>
      <c r="I5292" s="27"/>
    </row>
    <row r="5293" spans="1:9" x14ac:dyDescent="0.35">
      <c r="A5293" s="27"/>
      <c r="B5293" s="27"/>
      <c r="C5293" s="27"/>
      <c r="D5293" s="27"/>
      <c r="E5293" s="27"/>
      <c r="F5293" s="27"/>
      <c r="G5293" s="27"/>
      <c r="H5293" s="27"/>
      <c r="I5293" s="27"/>
    </row>
    <row r="5294" spans="1:9" x14ac:dyDescent="0.35">
      <c r="A5294" s="27"/>
      <c r="B5294" s="27"/>
      <c r="C5294" s="27"/>
      <c r="D5294" s="27"/>
      <c r="E5294" s="27"/>
      <c r="F5294" s="27"/>
      <c r="G5294" s="27"/>
      <c r="H5294" s="27"/>
      <c r="I5294" s="27"/>
    </row>
    <row r="5295" spans="1:9" x14ac:dyDescent="0.35">
      <c r="A5295" s="27"/>
      <c r="B5295" s="27"/>
      <c r="C5295" s="27"/>
      <c r="D5295" s="27"/>
      <c r="E5295" s="27"/>
      <c r="F5295" s="27"/>
      <c r="G5295" s="27"/>
      <c r="H5295" s="27"/>
      <c r="I5295" s="27"/>
    </row>
    <row r="5296" spans="1:9" x14ac:dyDescent="0.35">
      <c r="A5296" s="27"/>
      <c r="B5296" s="27"/>
      <c r="C5296" s="27"/>
      <c r="D5296" s="27"/>
      <c r="E5296" s="27"/>
      <c r="F5296" s="27"/>
      <c r="G5296" s="27"/>
      <c r="H5296" s="27"/>
      <c r="I5296" s="27"/>
    </row>
    <row r="5297" spans="1:9" x14ac:dyDescent="0.35">
      <c r="A5297" s="27"/>
      <c r="B5297" s="27"/>
      <c r="C5297" s="27"/>
      <c r="D5297" s="27"/>
      <c r="E5297" s="27"/>
      <c r="F5297" s="27"/>
      <c r="G5297" s="27"/>
      <c r="H5297" s="27"/>
      <c r="I5297" s="27"/>
    </row>
    <row r="5298" spans="1:9" x14ac:dyDescent="0.35">
      <c r="A5298" s="27"/>
      <c r="B5298" s="27"/>
      <c r="C5298" s="27"/>
      <c r="D5298" s="27"/>
      <c r="E5298" s="27"/>
      <c r="F5298" s="27"/>
      <c r="G5298" s="27"/>
      <c r="H5298" s="27"/>
      <c r="I5298" s="27"/>
    </row>
    <row r="5299" spans="1:9" x14ac:dyDescent="0.35">
      <c r="A5299" s="27"/>
      <c r="B5299" s="27"/>
      <c r="C5299" s="27"/>
      <c r="D5299" s="27"/>
      <c r="E5299" s="27"/>
      <c r="F5299" s="27"/>
      <c r="G5299" s="27"/>
      <c r="H5299" s="27"/>
      <c r="I5299" s="27"/>
    </row>
    <row r="5300" spans="1:9" x14ac:dyDescent="0.35">
      <c r="A5300" s="27"/>
      <c r="B5300" s="27"/>
      <c r="C5300" s="27"/>
      <c r="D5300" s="27"/>
      <c r="E5300" s="27"/>
      <c r="F5300" s="27"/>
      <c r="G5300" s="27"/>
      <c r="H5300" s="27"/>
      <c r="I5300" s="27"/>
    </row>
    <row r="5301" spans="1:9" x14ac:dyDescent="0.35">
      <c r="A5301" s="27"/>
      <c r="B5301" s="27"/>
      <c r="C5301" s="27"/>
      <c r="D5301" s="27"/>
      <c r="E5301" s="27"/>
      <c r="F5301" s="27"/>
      <c r="G5301" s="27"/>
      <c r="H5301" s="27"/>
      <c r="I5301" s="27"/>
    </row>
    <row r="5302" spans="1:9" x14ac:dyDescent="0.35">
      <c r="A5302" s="27"/>
      <c r="B5302" s="27"/>
      <c r="C5302" s="27"/>
      <c r="D5302" s="27"/>
      <c r="E5302" s="27"/>
      <c r="F5302" s="27"/>
      <c r="G5302" s="27"/>
      <c r="H5302" s="27"/>
      <c r="I5302" s="27"/>
    </row>
    <row r="5303" spans="1:9" x14ac:dyDescent="0.35">
      <c r="A5303" s="27"/>
      <c r="B5303" s="27"/>
      <c r="C5303" s="27"/>
      <c r="D5303" s="27"/>
      <c r="E5303" s="27"/>
      <c r="F5303" s="27"/>
      <c r="G5303" s="27"/>
      <c r="H5303" s="27"/>
      <c r="I5303" s="27"/>
    </row>
    <row r="5304" spans="1:9" x14ac:dyDescent="0.35">
      <c r="A5304" s="27"/>
      <c r="B5304" s="27"/>
      <c r="C5304" s="27"/>
      <c r="D5304" s="27"/>
      <c r="E5304" s="27"/>
      <c r="F5304" s="27"/>
      <c r="G5304" s="27"/>
      <c r="H5304" s="27"/>
      <c r="I5304" s="27"/>
    </row>
    <row r="5305" spans="1:9" x14ac:dyDescent="0.35">
      <c r="A5305" s="27"/>
      <c r="B5305" s="27"/>
      <c r="C5305" s="27"/>
      <c r="D5305" s="27"/>
      <c r="E5305" s="27"/>
      <c r="F5305" s="27"/>
      <c r="G5305" s="27"/>
      <c r="H5305" s="27"/>
      <c r="I5305" s="27"/>
    </row>
    <row r="5306" spans="1:9" x14ac:dyDescent="0.35">
      <c r="A5306" s="27"/>
      <c r="B5306" s="27"/>
      <c r="C5306" s="27"/>
      <c r="D5306" s="27"/>
      <c r="E5306" s="27"/>
      <c r="F5306" s="27"/>
      <c r="G5306" s="27"/>
      <c r="H5306" s="27"/>
      <c r="I5306" s="27"/>
    </row>
    <row r="5307" spans="1:9" x14ac:dyDescent="0.35">
      <c r="A5307" s="27"/>
      <c r="B5307" s="27"/>
      <c r="C5307" s="27"/>
      <c r="D5307" s="27"/>
      <c r="E5307" s="27"/>
      <c r="F5307" s="27"/>
      <c r="G5307" s="27"/>
      <c r="H5307" s="27"/>
      <c r="I5307" s="27"/>
    </row>
    <row r="5308" spans="1:9" x14ac:dyDescent="0.35">
      <c r="A5308" s="27"/>
      <c r="B5308" s="27"/>
      <c r="C5308" s="27"/>
      <c r="D5308" s="27"/>
      <c r="E5308" s="27"/>
      <c r="F5308" s="27"/>
      <c r="G5308" s="27"/>
      <c r="H5308" s="27"/>
      <c r="I5308" s="27"/>
    </row>
    <row r="5309" spans="1:9" x14ac:dyDescent="0.35">
      <c r="A5309" s="27"/>
      <c r="B5309" s="27"/>
      <c r="C5309" s="27"/>
      <c r="D5309" s="27"/>
      <c r="E5309" s="27"/>
      <c r="F5309" s="27"/>
      <c r="G5309" s="27"/>
      <c r="H5309" s="27"/>
      <c r="I5309" s="27"/>
    </row>
    <row r="5310" spans="1:9" x14ac:dyDescent="0.35">
      <c r="A5310" s="27"/>
      <c r="B5310" s="27"/>
      <c r="C5310" s="27"/>
      <c r="D5310" s="27"/>
      <c r="E5310" s="27"/>
      <c r="F5310" s="27"/>
      <c r="G5310" s="27"/>
      <c r="H5310" s="27"/>
      <c r="I5310" s="27"/>
    </row>
    <row r="5311" spans="1:9" x14ac:dyDescent="0.35">
      <c r="A5311" s="27"/>
      <c r="B5311" s="27"/>
      <c r="C5311" s="27"/>
      <c r="D5311" s="27"/>
      <c r="E5311" s="27"/>
      <c r="F5311" s="27"/>
      <c r="G5311" s="27"/>
      <c r="H5311" s="27"/>
      <c r="I5311" s="27"/>
    </row>
    <row r="5312" spans="1:9" x14ac:dyDescent="0.35">
      <c r="A5312" s="27"/>
      <c r="B5312" s="27"/>
      <c r="C5312" s="27"/>
      <c r="D5312" s="27"/>
      <c r="E5312" s="27"/>
      <c r="F5312" s="27"/>
      <c r="G5312" s="27"/>
      <c r="H5312" s="27"/>
      <c r="I5312" s="27"/>
    </row>
    <row r="5313" spans="1:9" x14ac:dyDescent="0.35">
      <c r="A5313" s="27"/>
      <c r="B5313" s="27"/>
      <c r="C5313" s="27"/>
      <c r="D5313" s="27"/>
      <c r="E5313" s="27"/>
      <c r="F5313" s="27"/>
      <c r="G5313" s="27"/>
      <c r="H5313" s="27"/>
      <c r="I5313" s="27"/>
    </row>
    <row r="5314" spans="1:9" x14ac:dyDescent="0.35">
      <c r="A5314" s="27"/>
      <c r="B5314" s="27"/>
      <c r="C5314" s="27"/>
      <c r="D5314" s="27"/>
      <c r="E5314" s="27"/>
      <c r="F5314" s="27"/>
      <c r="G5314" s="27"/>
      <c r="H5314" s="27"/>
      <c r="I5314" s="27"/>
    </row>
    <row r="5315" spans="1:9" x14ac:dyDescent="0.35">
      <c r="A5315" s="27"/>
      <c r="B5315" s="27"/>
      <c r="C5315" s="27"/>
      <c r="D5315" s="27"/>
      <c r="E5315" s="27"/>
      <c r="F5315" s="27"/>
      <c r="G5315" s="27"/>
      <c r="H5315" s="27"/>
      <c r="I5315" s="27"/>
    </row>
    <row r="5316" spans="1:9" x14ac:dyDescent="0.35">
      <c r="A5316" s="27"/>
      <c r="B5316" s="27"/>
      <c r="C5316" s="27"/>
      <c r="D5316" s="27"/>
      <c r="E5316" s="27"/>
      <c r="F5316" s="27"/>
      <c r="G5316" s="27"/>
      <c r="H5316" s="27"/>
      <c r="I5316" s="27"/>
    </row>
    <row r="5317" spans="1:9" x14ac:dyDescent="0.35">
      <c r="A5317" s="27"/>
      <c r="B5317" s="27"/>
      <c r="C5317" s="27"/>
      <c r="D5317" s="27"/>
      <c r="E5317" s="27"/>
      <c r="F5317" s="27"/>
      <c r="G5317" s="27"/>
      <c r="H5317" s="27"/>
      <c r="I5317" s="27"/>
    </row>
    <row r="5318" spans="1:9" x14ac:dyDescent="0.35">
      <c r="A5318" s="27"/>
      <c r="B5318" s="27"/>
      <c r="C5318" s="27"/>
      <c r="D5318" s="27"/>
      <c r="E5318" s="27"/>
      <c r="F5318" s="27"/>
      <c r="G5318" s="27"/>
      <c r="H5318" s="27"/>
      <c r="I5318" s="27"/>
    </row>
    <row r="5319" spans="1:9" x14ac:dyDescent="0.35">
      <c r="A5319" s="27"/>
      <c r="B5319" s="27"/>
      <c r="C5319" s="27"/>
      <c r="D5319" s="27"/>
      <c r="E5319" s="27"/>
      <c r="F5319" s="27"/>
      <c r="G5319" s="27"/>
      <c r="H5319" s="27"/>
      <c r="I5319" s="27"/>
    </row>
    <row r="5320" spans="1:9" x14ac:dyDescent="0.35">
      <c r="A5320" s="27"/>
      <c r="B5320" s="27"/>
      <c r="C5320" s="27"/>
      <c r="D5320" s="27"/>
      <c r="E5320" s="27"/>
      <c r="F5320" s="27"/>
      <c r="G5320" s="27"/>
      <c r="H5320" s="27"/>
      <c r="I5320" s="27"/>
    </row>
    <row r="5321" spans="1:9" x14ac:dyDescent="0.35">
      <c r="A5321" s="27"/>
      <c r="B5321" s="27"/>
      <c r="C5321" s="27"/>
      <c r="D5321" s="27"/>
      <c r="E5321" s="27"/>
      <c r="F5321" s="27"/>
      <c r="G5321" s="27"/>
      <c r="H5321" s="27"/>
      <c r="I5321" s="27"/>
    </row>
    <row r="5322" spans="1:9" x14ac:dyDescent="0.35">
      <c r="A5322" s="27"/>
      <c r="B5322" s="27"/>
      <c r="C5322" s="27"/>
      <c r="D5322" s="27"/>
      <c r="E5322" s="27"/>
      <c r="F5322" s="27"/>
      <c r="G5322" s="27"/>
      <c r="H5322" s="27"/>
      <c r="I5322" s="27"/>
    </row>
    <row r="5323" spans="1:9" x14ac:dyDescent="0.35">
      <c r="A5323" s="27"/>
      <c r="B5323" s="27"/>
      <c r="C5323" s="27"/>
      <c r="D5323" s="27"/>
      <c r="E5323" s="27"/>
      <c r="F5323" s="27"/>
      <c r="G5323" s="27"/>
      <c r="H5323" s="27"/>
      <c r="I5323" s="27"/>
    </row>
    <row r="5324" spans="1:9" x14ac:dyDescent="0.35">
      <c r="A5324" s="27"/>
      <c r="B5324" s="27"/>
      <c r="C5324" s="27"/>
      <c r="D5324" s="27"/>
      <c r="E5324" s="27"/>
      <c r="F5324" s="27"/>
      <c r="G5324" s="27"/>
      <c r="H5324" s="27"/>
      <c r="I5324" s="27"/>
    </row>
    <row r="5325" spans="1:9" x14ac:dyDescent="0.35">
      <c r="A5325" s="27"/>
      <c r="B5325" s="27"/>
      <c r="C5325" s="27"/>
      <c r="D5325" s="27"/>
      <c r="E5325" s="27"/>
      <c r="F5325" s="27"/>
      <c r="G5325" s="27"/>
      <c r="H5325" s="27"/>
      <c r="I5325" s="27"/>
    </row>
    <row r="5326" spans="1:9" x14ac:dyDescent="0.35">
      <c r="A5326" s="27"/>
      <c r="B5326" s="27"/>
      <c r="C5326" s="27"/>
      <c r="D5326" s="27"/>
      <c r="E5326" s="27"/>
      <c r="F5326" s="27"/>
      <c r="G5326" s="27"/>
      <c r="H5326" s="27"/>
      <c r="I5326" s="27"/>
    </row>
    <row r="5327" spans="1:9" x14ac:dyDescent="0.35">
      <c r="A5327" s="27"/>
      <c r="B5327" s="27"/>
      <c r="C5327" s="27"/>
      <c r="D5327" s="27"/>
      <c r="E5327" s="27"/>
      <c r="F5327" s="27"/>
      <c r="G5327" s="27"/>
      <c r="H5327" s="27"/>
      <c r="I5327" s="27"/>
    </row>
    <row r="5328" spans="1:9" x14ac:dyDescent="0.35">
      <c r="A5328" s="27"/>
      <c r="B5328" s="27"/>
      <c r="C5328" s="27"/>
      <c r="D5328" s="27"/>
      <c r="E5328" s="27"/>
      <c r="F5328" s="27"/>
      <c r="G5328" s="27"/>
      <c r="H5328" s="27"/>
      <c r="I5328" s="27"/>
    </row>
    <row r="5329" spans="1:9" x14ac:dyDescent="0.35">
      <c r="A5329" s="27"/>
      <c r="B5329" s="27"/>
      <c r="C5329" s="27"/>
      <c r="D5329" s="27"/>
      <c r="E5329" s="27"/>
      <c r="F5329" s="27"/>
      <c r="G5329" s="27"/>
      <c r="H5329" s="27"/>
      <c r="I5329" s="27"/>
    </row>
    <row r="5330" spans="1:9" x14ac:dyDescent="0.35">
      <c r="A5330" s="27"/>
      <c r="B5330" s="27"/>
      <c r="C5330" s="27"/>
      <c r="D5330" s="27"/>
      <c r="E5330" s="27"/>
      <c r="F5330" s="27"/>
      <c r="G5330" s="27"/>
      <c r="H5330" s="27"/>
      <c r="I5330" s="27"/>
    </row>
    <row r="5331" spans="1:9" x14ac:dyDescent="0.35">
      <c r="A5331" s="27"/>
      <c r="B5331" s="27"/>
      <c r="C5331" s="27"/>
      <c r="D5331" s="27"/>
      <c r="E5331" s="27"/>
      <c r="F5331" s="27"/>
      <c r="G5331" s="27"/>
      <c r="H5331" s="27"/>
      <c r="I5331" s="27"/>
    </row>
    <row r="5332" spans="1:9" x14ac:dyDescent="0.35">
      <c r="A5332" s="27"/>
      <c r="B5332" s="27"/>
      <c r="C5332" s="27"/>
      <c r="D5332" s="27"/>
      <c r="E5332" s="27"/>
      <c r="F5332" s="27"/>
      <c r="G5332" s="27"/>
      <c r="H5332" s="27"/>
      <c r="I5332" s="27"/>
    </row>
    <row r="5333" spans="1:9" x14ac:dyDescent="0.35">
      <c r="A5333" s="27"/>
      <c r="B5333" s="27"/>
      <c r="C5333" s="27"/>
      <c r="D5333" s="27"/>
      <c r="E5333" s="27"/>
      <c r="F5333" s="27"/>
      <c r="G5333" s="27"/>
      <c r="H5333" s="27"/>
      <c r="I5333" s="27"/>
    </row>
    <row r="5334" spans="1:9" x14ac:dyDescent="0.35">
      <c r="A5334" s="27"/>
      <c r="B5334" s="27"/>
      <c r="C5334" s="27"/>
      <c r="D5334" s="27"/>
      <c r="E5334" s="27"/>
      <c r="F5334" s="27"/>
      <c r="G5334" s="27"/>
      <c r="H5334" s="27"/>
      <c r="I5334" s="27"/>
    </row>
    <row r="5335" spans="1:9" x14ac:dyDescent="0.35">
      <c r="A5335" s="27"/>
      <c r="B5335" s="27"/>
      <c r="C5335" s="27"/>
      <c r="D5335" s="27"/>
      <c r="E5335" s="27"/>
      <c r="F5335" s="27"/>
      <c r="G5335" s="27"/>
      <c r="H5335" s="27"/>
      <c r="I5335" s="27"/>
    </row>
    <row r="5336" spans="1:9" x14ac:dyDescent="0.35">
      <c r="A5336" s="27"/>
      <c r="B5336" s="27"/>
      <c r="C5336" s="27"/>
      <c r="D5336" s="27"/>
      <c r="E5336" s="27"/>
      <c r="F5336" s="27"/>
      <c r="G5336" s="27"/>
      <c r="H5336" s="27"/>
      <c r="I5336" s="27"/>
    </row>
    <row r="5337" spans="1:9" x14ac:dyDescent="0.35">
      <c r="A5337" s="27"/>
      <c r="B5337" s="27"/>
      <c r="C5337" s="27"/>
      <c r="D5337" s="27"/>
      <c r="E5337" s="27"/>
      <c r="F5337" s="27"/>
      <c r="G5337" s="27"/>
      <c r="H5337" s="27"/>
      <c r="I5337" s="27"/>
    </row>
    <row r="5338" spans="1:9" x14ac:dyDescent="0.35">
      <c r="A5338" s="27"/>
      <c r="B5338" s="27"/>
      <c r="C5338" s="27"/>
      <c r="D5338" s="27"/>
      <c r="E5338" s="27"/>
      <c r="F5338" s="27"/>
      <c r="G5338" s="27"/>
      <c r="H5338" s="27"/>
      <c r="I5338" s="27"/>
    </row>
    <row r="5339" spans="1:9" x14ac:dyDescent="0.35">
      <c r="A5339" s="27"/>
      <c r="B5339" s="27"/>
      <c r="C5339" s="27"/>
      <c r="D5339" s="27"/>
      <c r="E5339" s="27"/>
      <c r="F5339" s="27"/>
      <c r="G5339" s="27"/>
      <c r="H5339" s="27"/>
      <c r="I5339" s="27"/>
    </row>
    <row r="5340" spans="1:9" x14ac:dyDescent="0.35">
      <c r="A5340" s="27"/>
      <c r="B5340" s="27"/>
      <c r="C5340" s="27"/>
      <c r="D5340" s="27"/>
      <c r="E5340" s="27"/>
      <c r="F5340" s="27"/>
      <c r="G5340" s="27"/>
      <c r="H5340" s="27"/>
      <c r="I5340" s="27"/>
    </row>
    <row r="5341" spans="1:9" x14ac:dyDescent="0.35">
      <c r="A5341" s="27"/>
      <c r="B5341" s="27"/>
      <c r="C5341" s="27"/>
      <c r="D5341" s="27"/>
      <c r="E5341" s="27"/>
      <c r="F5341" s="27"/>
      <c r="G5341" s="27"/>
      <c r="H5341" s="27"/>
      <c r="I5341" s="27"/>
    </row>
    <row r="5342" spans="1:9" x14ac:dyDescent="0.35">
      <c r="A5342" s="27"/>
      <c r="B5342" s="27"/>
      <c r="C5342" s="27"/>
      <c r="D5342" s="27"/>
      <c r="E5342" s="27"/>
      <c r="F5342" s="27"/>
      <c r="G5342" s="27"/>
      <c r="H5342" s="27"/>
      <c r="I5342" s="27"/>
    </row>
    <row r="5343" spans="1:9" x14ac:dyDescent="0.35">
      <c r="A5343" s="27"/>
      <c r="B5343" s="27"/>
      <c r="C5343" s="27"/>
      <c r="D5343" s="27"/>
      <c r="E5343" s="27"/>
      <c r="F5343" s="27"/>
      <c r="G5343" s="27"/>
      <c r="H5343" s="27"/>
      <c r="I5343" s="27"/>
    </row>
    <row r="5344" spans="1:9" x14ac:dyDescent="0.35">
      <c r="A5344" s="27"/>
      <c r="B5344" s="27"/>
      <c r="C5344" s="27"/>
      <c r="D5344" s="27"/>
      <c r="E5344" s="27"/>
      <c r="F5344" s="27"/>
      <c r="G5344" s="27"/>
      <c r="H5344" s="27"/>
      <c r="I5344" s="27"/>
    </row>
    <row r="5345" spans="1:9" x14ac:dyDescent="0.35">
      <c r="A5345" s="27"/>
      <c r="B5345" s="27"/>
      <c r="C5345" s="27"/>
      <c r="D5345" s="27"/>
      <c r="E5345" s="27"/>
      <c r="F5345" s="27"/>
      <c r="G5345" s="27"/>
      <c r="H5345" s="27"/>
      <c r="I5345" s="27"/>
    </row>
    <row r="5346" spans="1:9" x14ac:dyDescent="0.35">
      <c r="A5346" s="27"/>
      <c r="B5346" s="27"/>
      <c r="C5346" s="27"/>
      <c r="D5346" s="27"/>
      <c r="E5346" s="27"/>
      <c r="F5346" s="27"/>
      <c r="G5346" s="27"/>
      <c r="H5346" s="27"/>
      <c r="I5346" s="27"/>
    </row>
    <row r="5347" spans="1:9" x14ac:dyDescent="0.35">
      <c r="A5347" s="27"/>
      <c r="B5347" s="27"/>
      <c r="C5347" s="27"/>
      <c r="D5347" s="27"/>
      <c r="E5347" s="27"/>
      <c r="F5347" s="27"/>
      <c r="G5347" s="27"/>
      <c r="H5347" s="27"/>
      <c r="I5347" s="27"/>
    </row>
    <row r="5348" spans="1:9" x14ac:dyDescent="0.35">
      <c r="A5348" s="27"/>
      <c r="B5348" s="27"/>
      <c r="C5348" s="27"/>
      <c r="D5348" s="27"/>
      <c r="E5348" s="27"/>
      <c r="F5348" s="27"/>
      <c r="G5348" s="27"/>
      <c r="H5348" s="27"/>
      <c r="I5348" s="27"/>
    </row>
    <row r="5349" spans="1:9" x14ac:dyDescent="0.35">
      <c r="A5349" s="27"/>
      <c r="B5349" s="27"/>
      <c r="C5349" s="27"/>
      <c r="D5349" s="27"/>
      <c r="E5349" s="27"/>
      <c r="F5349" s="27"/>
      <c r="G5349" s="27"/>
      <c r="H5349" s="27"/>
      <c r="I5349" s="27"/>
    </row>
    <row r="5350" spans="1:9" x14ac:dyDescent="0.35">
      <c r="A5350" s="27"/>
      <c r="B5350" s="27"/>
      <c r="C5350" s="27"/>
      <c r="D5350" s="27"/>
      <c r="E5350" s="27"/>
      <c r="F5350" s="27"/>
      <c r="G5350" s="27"/>
      <c r="H5350" s="27"/>
      <c r="I5350" s="27"/>
    </row>
    <row r="5351" spans="1:9" x14ac:dyDescent="0.35">
      <c r="A5351" s="27"/>
      <c r="B5351" s="27"/>
      <c r="C5351" s="27"/>
      <c r="D5351" s="27"/>
      <c r="E5351" s="27"/>
      <c r="F5351" s="27"/>
      <c r="G5351" s="27"/>
      <c r="H5351" s="27"/>
      <c r="I5351" s="27"/>
    </row>
    <row r="5352" spans="1:9" x14ac:dyDescent="0.35">
      <c r="A5352" s="27"/>
      <c r="B5352" s="27"/>
      <c r="C5352" s="27"/>
      <c r="D5352" s="27"/>
      <c r="E5352" s="27"/>
      <c r="F5352" s="27"/>
      <c r="G5352" s="27"/>
      <c r="H5352" s="27"/>
      <c r="I5352" s="27"/>
    </row>
    <row r="5353" spans="1:9" x14ac:dyDescent="0.35">
      <c r="A5353" s="27"/>
      <c r="B5353" s="27"/>
      <c r="C5353" s="27"/>
      <c r="D5353" s="27"/>
      <c r="E5353" s="27"/>
      <c r="F5353" s="27"/>
      <c r="G5353" s="27"/>
      <c r="H5353" s="27"/>
      <c r="I5353" s="27"/>
    </row>
    <row r="5354" spans="1:9" x14ac:dyDescent="0.35">
      <c r="A5354" s="27"/>
      <c r="B5354" s="27"/>
      <c r="C5354" s="27"/>
      <c r="D5354" s="27"/>
      <c r="E5354" s="27"/>
      <c r="F5354" s="27"/>
      <c r="G5354" s="27"/>
      <c r="H5354" s="27"/>
      <c r="I5354" s="27"/>
    </row>
    <row r="5355" spans="1:9" x14ac:dyDescent="0.35">
      <c r="A5355" s="27"/>
      <c r="B5355" s="27"/>
      <c r="C5355" s="27"/>
      <c r="D5355" s="27"/>
      <c r="E5355" s="27"/>
      <c r="F5355" s="27"/>
      <c r="G5355" s="27"/>
      <c r="H5355" s="27"/>
      <c r="I5355" s="27"/>
    </row>
    <row r="5356" spans="1:9" x14ac:dyDescent="0.35">
      <c r="A5356" s="27"/>
      <c r="B5356" s="27"/>
      <c r="C5356" s="27"/>
      <c r="D5356" s="27"/>
      <c r="E5356" s="27"/>
      <c r="F5356" s="27"/>
      <c r="G5356" s="27"/>
      <c r="H5356" s="27"/>
      <c r="I5356" s="27"/>
    </row>
    <row r="5357" spans="1:9" x14ac:dyDescent="0.35">
      <c r="A5357" s="27"/>
      <c r="B5357" s="27"/>
      <c r="C5357" s="27"/>
      <c r="D5357" s="27"/>
      <c r="E5357" s="27"/>
      <c r="F5357" s="27"/>
      <c r="G5357" s="27"/>
      <c r="H5357" s="27"/>
      <c r="I5357" s="27"/>
    </row>
    <row r="5358" spans="1:9" x14ac:dyDescent="0.35">
      <c r="A5358" s="27"/>
      <c r="B5358" s="27"/>
      <c r="C5358" s="27"/>
      <c r="D5358" s="27"/>
      <c r="E5358" s="27"/>
      <c r="F5358" s="27"/>
      <c r="G5358" s="27"/>
      <c r="H5358" s="27"/>
      <c r="I5358" s="27"/>
    </row>
    <row r="5359" spans="1:9" x14ac:dyDescent="0.35">
      <c r="A5359" s="27"/>
      <c r="B5359" s="27"/>
      <c r="C5359" s="27"/>
      <c r="D5359" s="27"/>
      <c r="E5359" s="27"/>
      <c r="F5359" s="27"/>
      <c r="G5359" s="27"/>
      <c r="H5359" s="27"/>
      <c r="I5359" s="27"/>
    </row>
    <row r="5360" spans="1:9" x14ac:dyDescent="0.35">
      <c r="A5360" s="27"/>
      <c r="B5360" s="27"/>
      <c r="C5360" s="27"/>
      <c r="D5360" s="27"/>
      <c r="E5360" s="27"/>
      <c r="F5360" s="27"/>
      <c r="G5360" s="27"/>
      <c r="H5360" s="27"/>
      <c r="I5360" s="27"/>
    </row>
    <row r="5361" spans="1:9" x14ac:dyDescent="0.35">
      <c r="A5361" s="27"/>
      <c r="B5361" s="27"/>
      <c r="C5361" s="27"/>
      <c r="D5361" s="27"/>
      <c r="E5361" s="27"/>
      <c r="F5361" s="27"/>
      <c r="G5361" s="27"/>
      <c r="H5361" s="27"/>
      <c r="I5361" s="27"/>
    </row>
    <row r="5362" spans="1:9" x14ac:dyDescent="0.35">
      <c r="A5362" s="27"/>
      <c r="B5362" s="27"/>
      <c r="C5362" s="27"/>
      <c r="D5362" s="27"/>
      <c r="E5362" s="27"/>
      <c r="F5362" s="27"/>
      <c r="G5362" s="27"/>
      <c r="H5362" s="27"/>
      <c r="I5362" s="27"/>
    </row>
    <row r="5363" spans="1:9" x14ac:dyDescent="0.35">
      <c r="A5363" s="27"/>
      <c r="B5363" s="27"/>
      <c r="C5363" s="27"/>
      <c r="D5363" s="27"/>
      <c r="E5363" s="27"/>
      <c r="F5363" s="27"/>
      <c r="G5363" s="27"/>
      <c r="H5363" s="27"/>
      <c r="I5363" s="27"/>
    </row>
    <row r="5364" spans="1:9" x14ac:dyDescent="0.35">
      <c r="A5364" s="27"/>
      <c r="B5364" s="27"/>
      <c r="C5364" s="27"/>
      <c r="D5364" s="27"/>
      <c r="E5364" s="27"/>
      <c r="F5364" s="27"/>
      <c r="G5364" s="27"/>
      <c r="H5364" s="27"/>
      <c r="I5364" s="27"/>
    </row>
    <row r="5365" spans="1:9" x14ac:dyDescent="0.35">
      <c r="A5365" s="27"/>
      <c r="B5365" s="27"/>
      <c r="C5365" s="27"/>
      <c r="D5365" s="27"/>
      <c r="E5365" s="27"/>
      <c r="F5365" s="27"/>
      <c r="G5365" s="27"/>
      <c r="H5365" s="27"/>
      <c r="I5365" s="27"/>
    </row>
    <row r="5366" spans="1:9" x14ac:dyDescent="0.35">
      <c r="A5366" s="27"/>
      <c r="B5366" s="27"/>
      <c r="C5366" s="27"/>
      <c r="D5366" s="27"/>
      <c r="E5366" s="27"/>
      <c r="F5366" s="27"/>
      <c r="G5366" s="27"/>
      <c r="H5366" s="27"/>
      <c r="I5366" s="27"/>
    </row>
    <row r="5367" spans="1:9" x14ac:dyDescent="0.35">
      <c r="A5367" s="27"/>
      <c r="B5367" s="27"/>
      <c r="C5367" s="27"/>
      <c r="D5367" s="27"/>
      <c r="E5367" s="27"/>
      <c r="F5367" s="27"/>
      <c r="G5367" s="27"/>
      <c r="H5367" s="27"/>
      <c r="I5367" s="27"/>
    </row>
    <row r="5368" spans="1:9" x14ac:dyDescent="0.35">
      <c r="A5368" s="27"/>
      <c r="B5368" s="27"/>
      <c r="C5368" s="27"/>
      <c r="D5368" s="27"/>
      <c r="E5368" s="27"/>
      <c r="F5368" s="27"/>
      <c r="G5368" s="27"/>
      <c r="H5368" s="27"/>
      <c r="I5368" s="27"/>
    </row>
    <row r="5369" spans="1:9" x14ac:dyDescent="0.35">
      <c r="A5369" s="27"/>
      <c r="B5369" s="27"/>
      <c r="C5369" s="27"/>
      <c r="D5369" s="27"/>
      <c r="E5369" s="27"/>
      <c r="F5369" s="27"/>
      <c r="G5369" s="27"/>
      <c r="H5369" s="27"/>
      <c r="I5369" s="27"/>
    </row>
    <row r="5370" spans="1:9" x14ac:dyDescent="0.35">
      <c r="A5370" s="27"/>
      <c r="B5370" s="27"/>
      <c r="C5370" s="27"/>
      <c r="D5370" s="27"/>
      <c r="E5370" s="27"/>
      <c r="F5370" s="27"/>
      <c r="G5370" s="27"/>
      <c r="H5370" s="27"/>
      <c r="I5370" s="27"/>
    </row>
    <row r="5371" spans="1:9" x14ac:dyDescent="0.35">
      <c r="A5371" s="27"/>
      <c r="B5371" s="27"/>
      <c r="C5371" s="27"/>
      <c r="D5371" s="27"/>
      <c r="E5371" s="27"/>
      <c r="F5371" s="27"/>
      <c r="G5371" s="27"/>
      <c r="H5371" s="27"/>
      <c r="I5371" s="27"/>
    </row>
    <row r="5372" spans="1:9" x14ac:dyDescent="0.35">
      <c r="A5372" s="27"/>
      <c r="B5372" s="27"/>
      <c r="C5372" s="27"/>
      <c r="D5372" s="27"/>
      <c r="E5372" s="27"/>
      <c r="F5372" s="27"/>
      <c r="G5372" s="27"/>
      <c r="H5372" s="27"/>
      <c r="I5372" s="27"/>
    </row>
    <row r="5373" spans="1:9" x14ac:dyDescent="0.35">
      <c r="A5373" s="27"/>
      <c r="B5373" s="27"/>
      <c r="C5373" s="27"/>
      <c r="D5373" s="27"/>
      <c r="E5373" s="27"/>
      <c r="F5373" s="27"/>
      <c r="G5373" s="27"/>
      <c r="H5373" s="27"/>
      <c r="I5373" s="27"/>
    </row>
    <row r="5374" spans="1:9" x14ac:dyDescent="0.35">
      <c r="A5374" s="27"/>
      <c r="B5374" s="27"/>
      <c r="C5374" s="27"/>
      <c r="D5374" s="27"/>
      <c r="E5374" s="27"/>
      <c r="F5374" s="27"/>
      <c r="G5374" s="27"/>
      <c r="H5374" s="27"/>
      <c r="I5374" s="27"/>
    </row>
    <row r="5375" spans="1:9" x14ac:dyDescent="0.35">
      <c r="A5375" s="27"/>
      <c r="B5375" s="27"/>
      <c r="C5375" s="27"/>
      <c r="D5375" s="27"/>
      <c r="E5375" s="27"/>
      <c r="F5375" s="27"/>
      <c r="G5375" s="27"/>
      <c r="H5375" s="27"/>
      <c r="I5375" s="27"/>
    </row>
    <row r="5376" spans="1:9" x14ac:dyDescent="0.35">
      <c r="A5376" s="27"/>
      <c r="B5376" s="27"/>
      <c r="C5376" s="27"/>
      <c r="D5376" s="27"/>
      <c r="E5376" s="27"/>
      <c r="F5376" s="27"/>
      <c r="G5376" s="27"/>
      <c r="H5376" s="27"/>
      <c r="I5376" s="27"/>
    </row>
    <row r="5377" spans="1:9" x14ac:dyDescent="0.35">
      <c r="A5377" s="27"/>
      <c r="B5377" s="27"/>
      <c r="C5377" s="27"/>
      <c r="D5377" s="27"/>
      <c r="E5377" s="27"/>
      <c r="F5377" s="27"/>
      <c r="G5377" s="27"/>
      <c r="H5377" s="27"/>
      <c r="I5377" s="27"/>
    </row>
    <row r="5378" spans="1:9" x14ac:dyDescent="0.35">
      <c r="A5378" s="27"/>
      <c r="B5378" s="27"/>
      <c r="C5378" s="27"/>
      <c r="D5378" s="27"/>
      <c r="E5378" s="27"/>
      <c r="F5378" s="27"/>
      <c r="G5378" s="27"/>
      <c r="H5378" s="27"/>
      <c r="I5378" s="27"/>
    </row>
    <row r="5379" spans="1:9" x14ac:dyDescent="0.35">
      <c r="A5379" s="27"/>
      <c r="B5379" s="27"/>
      <c r="C5379" s="27"/>
      <c r="D5379" s="27"/>
      <c r="E5379" s="27"/>
      <c r="F5379" s="27"/>
      <c r="G5379" s="27"/>
      <c r="H5379" s="27"/>
      <c r="I5379" s="27"/>
    </row>
    <row r="5380" spans="1:9" x14ac:dyDescent="0.35">
      <c r="A5380" s="27"/>
      <c r="B5380" s="27"/>
      <c r="C5380" s="27"/>
      <c r="D5380" s="27"/>
      <c r="E5380" s="27"/>
      <c r="F5380" s="27"/>
      <c r="G5380" s="27"/>
      <c r="H5380" s="27"/>
      <c r="I5380" s="27"/>
    </row>
    <row r="5381" spans="1:9" x14ac:dyDescent="0.35">
      <c r="A5381" s="27"/>
      <c r="B5381" s="27"/>
      <c r="C5381" s="27"/>
      <c r="D5381" s="27"/>
      <c r="E5381" s="27"/>
      <c r="F5381" s="27"/>
      <c r="G5381" s="27"/>
      <c r="H5381" s="27"/>
      <c r="I5381" s="27"/>
    </row>
    <row r="5382" spans="1:9" x14ac:dyDescent="0.35">
      <c r="A5382" s="27"/>
      <c r="B5382" s="27"/>
      <c r="C5382" s="27"/>
      <c r="D5382" s="27"/>
      <c r="E5382" s="27"/>
      <c r="F5382" s="27"/>
      <c r="G5382" s="27"/>
      <c r="H5382" s="27"/>
      <c r="I5382" s="27"/>
    </row>
    <row r="5383" spans="1:9" x14ac:dyDescent="0.35">
      <c r="A5383" s="27"/>
      <c r="B5383" s="27"/>
      <c r="C5383" s="27"/>
      <c r="D5383" s="27"/>
      <c r="E5383" s="27"/>
      <c r="F5383" s="27"/>
      <c r="G5383" s="27"/>
      <c r="H5383" s="27"/>
      <c r="I5383" s="27"/>
    </row>
    <row r="5384" spans="1:9" x14ac:dyDescent="0.35">
      <c r="A5384" s="27"/>
      <c r="B5384" s="27"/>
      <c r="C5384" s="27"/>
      <c r="D5384" s="27"/>
      <c r="E5384" s="27"/>
      <c r="F5384" s="27"/>
      <c r="G5384" s="27"/>
      <c r="H5384" s="27"/>
      <c r="I5384" s="27"/>
    </row>
    <row r="5385" spans="1:9" x14ac:dyDescent="0.35">
      <c r="A5385" s="27"/>
      <c r="B5385" s="27"/>
      <c r="C5385" s="27"/>
      <c r="D5385" s="27"/>
      <c r="E5385" s="27"/>
      <c r="F5385" s="27"/>
      <c r="G5385" s="27"/>
      <c r="H5385" s="27"/>
      <c r="I5385" s="27"/>
    </row>
    <row r="5386" spans="1:9" x14ac:dyDescent="0.35">
      <c r="A5386" s="27"/>
      <c r="B5386" s="27"/>
      <c r="C5386" s="27"/>
      <c r="D5386" s="27"/>
      <c r="E5386" s="27"/>
      <c r="F5386" s="27"/>
      <c r="G5386" s="27"/>
      <c r="H5386" s="27"/>
      <c r="I5386" s="27"/>
    </row>
    <row r="5387" spans="1:9" x14ac:dyDescent="0.35">
      <c r="A5387" s="27"/>
      <c r="B5387" s="27"/>
      <c r="C5387" s="27"/>
      <c r="D5387" s="27"/>
      <c r="E5387" s="27"/>
      <c r="F5387" s="27"/>
      <c r="G5387" s="27"/>
      <c r="H5387" s="27"/>
      <c r="I5387" s="27"/>
    </row>
    <row r="5388" spans="1:9" x14ac:dyDescent="0.35">
      <c r="A5388" s="27"/>
      <c r="B5388" s="27"/>
      <c r="C5388" s="27"/>
      <c r="D5388" s="27"/>
      <c r="E5388" s="27"/>
      <c r="F5388" s="27"/>
      <c r="G5388" s="27"/>
      <c r="H5388" s="27"/>
      <c r="I5388" s="27"/>
    </row>
    <row r="5389" spans="1:9" x14ac:dyDescent="0.35">
      <c r="A5389" s="27"/>
      <c r="B5389" s="27"/>
      <c r="C5389" s="27"/>
      <c r="D5389" s="27"/>
      <c r="E5389" s="27"/>
      <c r="F5389" s="27"/>
      <c r="G5389" s="27"/>
      <c r="H5389" s="27"/>
      <c r="I5389" s="27"/>
    </row>
    <row r="5390" spans="1:9" x14ac:dyDescent="0.35">
      <c r="A5390" s="27"/>
      <c r="B5390" s="27"/>
      <c r="C5390" s="27"/>
      <c r="D5390" s="27"/>
      <c r="E5390" s="27"/>
      <c r="F5390" s="27"/>
      <c r="G5390" s="27"/>
      <c r="H5390" s="27"/>
      <c r="I5390" s="27"/>
    </row>
    <row r="5391" spans="1:9" x14ac:dyDescent="0.35">
      <c r="A5391" s="27"/>
      <c r="B5391" s="27"/>
      <c r="C5391" s="27"/>
      <c r="D5391" s="27"/>
      <c r="E5391" s="27"/>
      <c r="F5391" s="27"/>
      <c r="G5391" s="27"/>
      <c r="H5391" s="27"/>
      <c r="I5391" s="27"/>
    </row>
    <row r="5392" spans="1:9" x14ac:dyDescent="0.35">
      <c r="A5392" s="27"/>
      <c r="B5392" s="27"/>
      <c r="C5392" s="27"/>
      <c r="D5392" s="27"/>
      <c r="E5392" s="27"/>
      <c r="F5392" s="27"/>
      <c r="G5392" s="27"/>
      <c r="H5392" s="27"/>
      <c r="I5392" s="27"/>
    </row>
    <row r="5393" spans="1:9" x14ac:dyDescent="0.35">
      <c r="A5393" s="27"/>
      <c r="B5393" s="27"/>
      <c r="C5393" s="27"/>
      <c r="D5393" s="27"/>
      <c r="E5393" s="27"/>
      <c r="F5393" s="27"/>
      <c r="G5393" s="27"/>
      <c r="H5393" s="27"/>
      <c r="I5393" s="27"/>
    </row>
    <row r="5394" spans="1:9" x14ac:dyDescent="0.35">
      <c r="A5394" s="27"/>
      <c r="B5394" s="27"/>
      <c r="C5394" s="27"/>
      <c r="D5394" s="27"/>
      <c r="E5394" s="27"/>
      <c r="F5394" s="27"/>
      <c r="G5394" s="27"/>
      <c r="H5394" s="27"/>
      <c r="I5394" s="27"/>
    </row>
    <row r="5395" spans="1:9" x14ac:dyDescent="0.35">
      <c r="A5395" s="27"/>
      <c r="B5395" s="27"/>
      <c r="C5395" s="27"/>
      <c r="D5395" s="27"/>
      <c r="E5395" s="27"/>
      <c r="F5395" s="27"/>
      <c r="G5395" s="27"/>
      <c r="H5395" s="27"/>
      <c r="I5395" s="27"/>
    </row>
    <row r="5396" spans="1:9" x14ac:dyDescent="0.35">
      <c r="A5396" s="27"/>
      <c r="B5396" s="27"/>
      <c r="C5396" s="27"/>
      <c r="D5396" s="27"/>
      <c r="E5396" s="27"/>
      <c r="F5396" s="27"/>
      <c r="G5396" s="27"/>
      <c r="H5396" s="27"/>
      <c r="I5396" s="27"/>
    </row>
    <row r="5397" spans="1:9" x14ac:dyDescent="0.35">
      <c r="A5397" s="27"/>
      <c r="B5397" s="27"/>
      <c r="C5397" s="27"/>
      <c r="D5397" s="27"/>
      <c r="E5397" s="27"/>
      <c r="F5397" s="27"/>
      <c r="G5397" s="27"/>
      <c r="H5397" s="27"/>
      <c r="I5397" s="27"/>
    </row>
    <row r="5398" spans="1:9" x14ac:dyDescent="0.35">
      <c r="A5398" s="27"/>
      <c r="B5398" s="27"/>
      <c r="C5398" s="27"/>
      <c r="D5398" s="27"/>
      <c r="E5398" s="27"/>
      <c r="F5398" s="27"/>
      <c r="G5398" s="27"/>
      <c r="H5398" s="27"/>
      <c r="I5398" s="27"/>
    </row>
    <row r="5399" spans="1:9" x14ac:dyDescent="0.35">
      <c r="A5399" s="27"/>
      <c r="B5399" s="27"/>
      <c r="C5399" s="27"/>
      <c r="D5399" s="27"/>
      <c r="E5399" s="27"/>
      <c r="F5399" s="27"/>
      <c r="G5399" s="27"/>
      <c r="H5399" s="27"/>
      <c r="I5399" s="27"/>
    </row>
    <row r="5400" spans="1:9" x14ac:dyDescent="0.35">
      <c r="A5400" s="27"/>
      <c r="B5400" s="27"/>
      <c r="C5400" s="27"/>
      <c r="D5400" s="27"/>
      <c r="E5400" s="27"/>
      <c r="F5400" s="27"/>
      <c r="G5400" s="27"/>
      <c r="H5400" s="27"/>
      <c r="I5400" s="27"/>
    </row>
    <row r="5401" spans="1:9" x14ac:dyDescent="0.35">
      <c r="A5401" s="27"/>
      <c r="B5401" s="27"/>
      <c r="C5401" s="27"/>
      <c r="D5401" s="27"/>
      <c r="E5401" s="27"/>
      <c r="F5401" s="27"/>
      <c r="G5401" s="27"/>
      <c r="H5401" s="27"/>
      <c r="I5401" s="27"/>
    </row>
    <row r="5402" spans="1:9" x14ac:dyDescent="0.35">
      <c r="A5402" s="27"/>
      <c r="B5402" s="27"/>
      <c r="C5402" s="27"/>
      <c r="D5402" s="27"/>
      <c r="E5402" s="27"/>
      <c r="F5402" s="27"/>
      <c r="G5402" s="27"/>
      <c r="H5402" s="27"/>
      <c r="I5402" s="27"/>
    </row>
    <row r="5403" spans="1:9" x14ac:dyDescent="0.35">
      <c r="A5403" s="27"/>
      <c r="B5403" s="27"/>
      <c r="C5403" s="27"/>
      <c r="D5403" s="27"/>
      <c r="E5403" s="27"/>
      <c r="F5403" s="27"/>
      <c r="G5403" s="27"/>
      <c r="H5403" s="27"/>
      <c r="I5403" s="27"/>
    </row>
    <row r="5404" spans="1:9" x14ac:dyDescent="0.35">
      <c r="A5404" s="27"/>
      <c r="B5404" s="27"/>
      <c r="C5404" s="27"/>
      <c r="D5404" s="27"/>
      <c r="E5404" s="27"/>
      <c r="F5404" s="27"/>
      <c r="G5404" s="27"/>
      <c r="H5404" s="27"/>
      <c r="I5404" s="27"/>
    </row>
    <row r="5405" spans="1:9" x14ac:dyDescent="0.35">
      <c r="A5405" s="27"/>
      <c r="B5405" s="27"/>
      <c r="C5405" s="27"/>
      <c r="D5405" s="27"/>
      <c r="E5405" s="27"/>
      <c r="F5405" s="27"/>
      <c r="G5405" s="27"/>
      <c r="H5405" s="27"/>
      <c r="I5405" s="27"/>
    </row>
    <row r="5406" spans="1:9" x14ac:dyDescent="0.35">
      <c r="A5406" s="27"/>
      <c r="B5406" s="27"/>
      <c r="C5406" s="27"/>
      <c r="D5406" s="27"/>
      <c r="E5406" s="27"/>
      <c r="F5406" s="27"/>
      <c r="G5406" s="27"/>
      <c r="H5406" s="27"/>
      <c r="I5406" s="27"/>
    </row>
    <row r="5407" spans="1:9" x14ac:dyDescent="0.35">
      <c r="A5407" s="27"/>
      <c r="B5407" s="27"/>
      <c r="C5407" s="27"/>
      <c r="D5407" s="27"/>
      <c r="E5407" s="27"/>
      <c r="F5407" s="27"/>
      <c r="G5407" s="27"/>
      <c r="H5407" s="27"/>
      <c r="I5407" s="27"/>
    </row>
    <row r="5408" spans="1:9" x14ac:dyDescent="0.35">
      <c r="A5408" s="27"/>
      <c r="B5408" s="27"/>
      <c r="C5408" s="27"/>
      <c r="D5408" s="27"/>
      <c r="E5408" s="27"/>
      <c r="F5408" s="27"/>
      <c r="G5408" s="27"/>
      <c r="H5408" s="27"/>
      <c r="I5408" s="27"/>
    </row>
    <row r="5409" spans="1:9" x14ac:dyDescent="0.35">
      <c r="A5409" s="27"/>
      <c r="B5409" s="27"/>
      <c r="C5409" s="27"/>
      <c r="D5409" s="27"/>
      <c r="E5409" s="27"/>
      <c r="F5409" s="27"/>
      <c r="G5409" s="27"/>
      <c r="H5409" s="27"/>
      <c r="I5409" s="27"/>
    </row>
    <row r="5410" spans="1:9" x14ac:dyDescent="0.35">
      <c r="A5410" s="27"/>
      <c r="B5410" s="27"/>
      <c r="C5410" s="27"/>
      <c r="D5410" s="27"/>
      <c r="E5410" s="27"/>
      <c r="F5410" s="27"/>
      <c r="G5410" s="27"/>
      <c r="H5410" s="27"/>
      <c r="I5410" s="27"/>
    </row>
    <row r="5411" spans="1:9" x14ac:dyDescent="0.35">
      <c r="A5411" s="27"/>
      <c r="B5411" s="27"/>
      <c r="C5411" s="27"/>
      <c r="D5411" s="27"/>
      <c r="E5411" s="27"/>
      <c r="F5411" s="27"/>
      <c r="G5411" s="27"/>
      <c r="H5411" s="27"/>
      <c r="I5411" s="27"/>
    </row>
    <row r="5412" spans="1:9" x14ac:dyDescent="0.35">
      <c r="A5412" s="27"/>
      <c r="B5412" s="27"/>
      <c r="C5412" s="27"/>
      <c r="D5412" s="27"/>
      <c r="E5412" s="27"/>
      <c r="F5412" s="27"/>
      <c r="G5412" s="27"/>
      <c r="H5412" s="27"/>
      <c r="I5412" s="27"/>
    </row>
    <row r="5413" spans="1:9" x14ac:dyDescent="0.35">
      <c r="A5413" s="27"/>
      <c r="B5413" s="27"/>
      <c r="C5413" s="27"/>
      <c r="D5413" s="27"/>
      <c r="E5413" s="27"/>
      <c r="F5413" s="27"/>
      <c r="G5413" s="27"/>
      <c r="H5413" s="27"/>
      <c r="I5413" s="27"/>
    </row>
    <row r="5414" spans="1:9" x14ac:dyDescent="0.35">
      <c r="A5414" s="27"/>
      <c r="B5414" s="27"/>
      <c r="C5414" s="27"/>
      <c r="D5414" s="27"/>
      <c r="E5414" s="27"/>
      <c r="F5414" s="27"/>
      <c r="G5414" s="27"/>
      <c r="H5414" s="27"/>
      <c r="I5414" s="27"/>
    </row>
    <row r="5415" spans="1:9" x14ac:dyDescent="0.35">
      <c r="A5415" s="27"/>
      <c r="B5415" s="27"/>
      <c r="C5415" s="27"/>
      <c r="D5415" s="27"/>
      <c r="E5415" s="27"/>
      <c r="F5415" s="27"/>
      <c r="G5415" s="27"/>
      <c r="H5415" s="27"/>
      <c r="I5415" s="27"/>
    </row>
    <row r="5416" spans="1:9" x14ac:dyDescent="0.35">
      <c r="A5416" s="27"/>
      <c r="B5416" s="27"/>
      <c r="C5416" s="27"/>
      <c r="D5416" s="27"/>
      <c r="E5416" s="27"/>
      <c r="F5416" s="27"/>
      <c r="G5416" s="27"/>
      <c r="H5416" s="27"/>
      <c r="I5416" s="27"/>
    </row>
    <row r="5417" spans="1:9" x14ac:dyDescent="0.35">
      <c r="A5417" s="27"/>
      <c r="B5417" s="27"/>
      <c r="C5417" s="27"/>
      <c r="D5417" s="27"/>
      <c r="E5417" s="27"/>
      <c r="F5417" s="27"/>
      <c r="G5417" s="27"/>
      <c r="H5417" s="27"/>
      <c r="I5417" s="27"/>
    </row>
    <row r="5418" spans="1:9" x14ac:dyDescent="0.35">
      <c r="A5418" s="27"/>
      <c r="B5418" s="27"/>
      <c r="C5418" s="27"/>
      <c r="D5418" s="27"/>
      <c r="E5418" s="27"/>
      <c r="F5418" s="27"/>
      <c r="G5418" s="27"/>
      <c r="H5418" s="27"/>
      <c r="I5418" s="27"/>
    </row>
    <row r="5419" spans="1:9" x14ac:dyDescent="0.35">
      <c r="A5419" s="27"/>
      <c r="B5419" s="27"/>
      <c r="C5419" s="27"/>
      <c r="D5419" s="27"/>
      <c r="E5419" s="27"/>
      <c r="F5419" s="27"/>
      <c r="G5419" s="27"/>
      <c r="H5419" s="27"/>
      <c r="I5419" s="27"/>
    </row>
    <row r="5420" spans="1:9" x14ac:dyDescent="0.35">
      <c r="A5420" s="27"/>
      <c r="B5420" s="27"/>
      <c r="C5420" s="27"/>
      <c r="D5420" s="27"/>
      <c r="E5420" s="27"/>
      <c r="F5420" s="27"/>
      <c r="G5420" s="27"/>
      <c r="H5420" s="27"/>
      <c r="I5420" s="27"/>
    </row>
    <row r="5421" spans="1:9" x14ac:dyDescent="0.35">
      <c r="A5421" s="27"/>
      <c r="B5421" s="27"/>
      <c r="C5421" s="27"/>
      <c r="D5421" s="27"/>
      <c r="E5421" s="27"/>
      <c r="F5421" s="27"/>
      <c r="G5421" s="27"/>
      <c r="H5421" s="27"/>
      <c r="I5421" s="27"/>
    </row>
    <row r="5422" spans="1:9" x14ac:dyDescent="0.35">
      <c r="A5422" s="27"/>
      <c r="B5422" s="27"/>
      <c r="C5422" s="27"/>
      <c r="D5422" s="27"/>
      <c r="E5422" s="27"/>
      <c r="F5422" s="27"/>
      <c r="G5422" s="27"/>
      <c r="H5422" s="27"/>
      <c r="I5422" s="27"/>
    </row>
    <row r="5423" spans="1:9" x14ac:dyDescent="0.35">
      <c r="A5423" s="27"/>
      <c r="B5423" s="27"/>
      <c r="C5423" s="27"/>
      <c r="D5423" s="27"/>
      <c r="E5423" s="27"/>
      <c r="F5423" s="27"/>
      <c r="G5423" s="27"/>
      <c r="H5423" s="27"/>
      <c r="I5423" s="27"/>
    </row>
    <row r="5424" spans="1:9" x14ac:dyDescent="0.35">
      <c r="A5424" s="27"/>
      <c r="B5424" s="27"/>
      <c r="C5424" s="27"/>
      <c r="D5424" s="27"/>
      <c r="E5424" s="27"/>
      <c r="F5424" s="27"/>
      <c r="G5424" s="27"/>
      <c r="H5424" s="27"/>
      <c r="I5424" s="27"/>
    </row>
    <row r="5425" spans="1:9" x14ac:dyDescent="0.35">
      <c r="A5425" s="27"/>
      <c r="B5425" s="27"/>
      <c r="C5425" s="27"/>
      <c r="D5425" s="27"/>
      <c r="E5425" s="27"/>
      <c r="F5425" s="27"/>
      <c r="G5425" s="27"/>
      <c r="H5425" s="27"/>
      <c r="I5425" s="27"/>
    </row>
    <row r="5426" spans="1:9" x14ac:dyDescent="0.35">
      <c r="A5426" s="27"/>
      <c r="B5426" s="27"/>
      <c r="C5426" s="27"/>
      <c r="D5426" s="27"/>
      <c r="E5426" s="27"/>
      <c r="F5426" s="27"/>
      <c r="G5426" s="27"/>
      <c r="H5426" s="27"/>
      <c r="I5426" s="27"/>
    </row>
    <row r="5427" spans="1:9" x14ac:dyDescent="0.35">
      <c r="A5427" s="27"/>
      <c r="B5427" s="27"/>
      <c r="C5427" s="27"/>
      <c r="D5427" s="27"/>
      <c r="E5427" s="27"/>
      <c r="F5427" s="27"/>
      <c r="G5427" s="27"/>
      <c r="H5427" s="27"/>
      <c r="I5427" s="27"/>
    </row>
    <row r="5428" spans="1:9" x14ac:dyDescent="0.35">
      <c r="A5428" s="27"/>
      <c r="B5428" s="27"/>
      <c r="C5428" s="27"/>
      <c r="D5428" s="27"/>
      <c r="E5428" s="27"/>
      <c r="F5428" s="27"/>
      <c r="G5428" s="27"/>
      <c r="H5428" s="27"/>
      <c r="I5428" s="27"/>
    </row>
    <row r="5429" spans="1:9" x14ac:dyDescent="0.35">
      <c r="A5429" s="27"/>
      <c r="B5429" s="27"/>
      <c r="C5429" s="27"/>
      <c r="D5429" s="27"/>
      <c r="E5429" s="27"/>
      <c r="F5429" s="27"/>
      <c r="G5429" s="27"/>
      <c r="H5429" s="27"/>
      <c r="I5429" s="27"/>
    </row>
    <row r="5430" spans="1:9" x14ac:dyDescent="0.35">
      <c r="A5430" s="27"/>
      <c r="B5430" s="27"/>
      <c r="C5430" s="27"/>
      <c r="D5430" s="27"/>
      <c r="E5430" s="27"/>
      <c r="F5430" s="27"/>
      <c r="G5430" s="27"/>
      <c r="H5430" s="27"/>
      <c r="I5430" s="27"/>
    </row>
    <row r="5431" spans="1:9" x14ac:dyDescent="0.35">
      <c r="A5431" s="27"/>
      <c r="B5431" s="27"/>
      <c r="C5431" s="27"/>
      <c r="D5431" s="27"/>
      <c r="E5431" s="27"/>
      <c r="F5431" s="27"/>
      <c r="G5431" s="27"/>
      <c r="H5431" s="27"/>
      <c r="I5431" s="27"/>
    </row>
    <row r="5432" spans="1:9" x14ac:dyDescent="0.35">
      <c r="A5432" s="27"/>
      <c r="B5432" s="27"/>
      <c r="C5432" s="27"/>
      <c r="D5432" s="27"/>
      <c r="E5432" s="27"/>
      <c r="F5432" s="27"/>
      <c r="G5432" s="27"/>
      <c r="H5432" s="27"/>
      <c r="I5432" s="27"/>
    </row>
    <row r="5433" spans="1:9" x14ac:dyDescent="0.35">
      <c r="A5433" s="27"/>
      <c r="B5433" s="27"/>
      <c r="C5433" s="27"/>
      <c r="D5433" s="27"/>
      <c r="E5433" s="27"/>
      <c r="F5433" s="27"/>
      <c r="G5433" s="27"/>
      <c r="H5433" s="27"/>
      <c r="I5433" s="27"/>
    </row>
    <row r="5434" spans="1:9" x14ac:dyDescent="0.35">
      <c r="A5434" s="27"/>
      <c r="B5434" s="27"/>
      <c r="C5434" s="27"/>
      <c r="D5434" s="27"/>
      <c r="E5434" s="27"/>
      <c r="F5434" s="27"/>
      <c r="G5434" s="27"/>
      <c r="H5434" s="27"/>
      <c r="I5434" s="27"/>
    </row>
    <row r="5435" spans="1:9" x14ac:dyDescent="0.35">
      <c r="A5435" s="27"/>
      <c r="B5435" s="27"/>
      <c r="C5435" s="27"/>
      <c r="D5435" s="27"/>
      <c r="E5435" s="27"/>
      <c r="F5435" s="27"/>
      <c r="G5435" s="27"/>
      <c r="H5435" s="27"/>
      <c r="I5435" s="27"/>
    </row>
    <row r="5436" spans="1:9" x14ac:dyDescent="0.35">
      <c r="A5436" s="27"/>
      <c r="B5436" s="27"/>
      <c r="C5436" s="27"/>
      <c r="D5436" s="27"/>
      <c r="E5436" s="27"/>
      <c r="F5436" s="27"/>
      <c r="G5436" s="27"/>
      <c r="H5436" s="27"/>
      <c r="I5436" s="27"/>
    </row>
    <row r="5437" spans="1:9" x14ac:dyDescent="0.35">
      <c r="A5437" s="27"/>
      <c r="B5437" s="27"/>
      <c r="C5437" s="27"/>
      <c r="D5437" s="27"/>
      <c r="E5437" s="27"/>
      <c r="F5437" s="27"/>
      <c r="G5437" s="27"/>
      <c r="H5437" s="27"/>
      <c r="I5437" s="27"/>
    </row>
    <row r="5438" spans="1:9" x14ac:dyDescent="0.35">
      <c r="A5438" s="27"/>
      <c r="B5438" s="27"/>
      <c r="C5438" s="27"/>
      <c r="D5438" s="27"/>
      <c r="E5438" s="27"/>
      <c r="F5438" s="27"/>
      <c r="G5438" s="27"/>
      <c r="H5438" s="27"/>
      <c r="I5438" s="27"/>
    </row>
    <row r="5439" spans="1:9" x14ac:dyDescent="0.35">
      <c r="A5439" s="27"/>
      <c r="B5439" s="27"/>
      <c r="C5439" s="27"/>
      <c r="D5439" s="27"/>
      <c r="E5439" s="27"/>
      <c r="F5439" s="27"/>
      <c r="G5439" s="27"/>
      <c r="H5439" s="27"/>
      <c r="I5439" s="27"/>
    </row>
    <row r="5440" spans="1:9" x14ac:dyDescent="0.35">
      <c r="A5440" s="27"/>
      <c r="B5440" s="27"/>
      <c r="C5440" s="27"/>
      <c r="D5440" s="27"/>
      <c r="E5440" s="27"/>
      <c r="F5440" s="27"/>
      <c r="G5440" s="27"/>
      <c r="H5440" s="27"/>
      <c r="I5440" s="27"/>
    </row>
    <row r="5441" spans="1:9" x14ac:dyDescent="0.35">
      <c r="A5441" s="27"/>
      <c r="B5441" s="27"/>
      <c r="C5441" s="27"/>
      <c r="D5441" s="27"/>
      <c r="E5441" s="27"/>
      <c r="F5441" s="27"/>
      <c r="G5441" s="27"/>
      <c r="H5441" s="27"/>
      <c r="I5441" s="27"/>
    </row>
    <row r="5442" spans="1:9" x14ac:dyDescent="0.35">
      <c r="A5442" s="27"/>
      <c r="B5442" s="27"/>
      <c r="C5442" s="27"/>
      <c r="D5442" s="27"/>
      <c r="E5442" s="27"/>
      <c r="F5442" s="27"/>
      <c r="G5442" s="27"/>
      <c r="H5442" s="27"/>
      <c r="I5442" s="27"/>
    </row>
    <row r="5443" spans="1:9" x14ac:dyDescent="0.35">
      <c r="A5443" s="27"/>
      <c r="B5443" s="27"/>
      <c r="C5443" s="27"/>
      <c r="D5443" s="27"/>
      <c r="E5443" s="27"/>
      <c r="F5443" s="27"/>
      <c r="G5443" s="27"/>
      <c r="H5443" s="27"/>
      <c r="I5443" s="27"/>
    </row>
    <row r="5444" spans="1:9" x14ac:dyDescent="0.35">
      <c r="A5444" s="27"/>
      <c r="B5444" s="27"/>
      <c r="C5444" s="27"/>
      <c r="D5444" s="27"/>
      <c r="E5444" s="27"/>
      <c r="F5444" s="27"/>
      <c r="G5444" s="27"/>
      <c r="H5444" s="27"/>
      <c r="I5444" s="27"/>
    </row>
    <row r="5445" spans="1:9" x14ac:dyDescent="0.35">
      <c r="A5445" s="27"/>
      <c r="B5445" s="27"/>
      <c r="C5445" s="27"/>
      <c r="D5445" s="27"/>
      <c r="E5445" s="27"/>
      <c r="F5445" s="27"/>
      <c r="G5445" s="27"/>
      <c r="H5445" s="27"/>
      <c r="I5445" s="27"/>
    </row>
    <row r="5446" spans="1:9" x14ac:dyDescent="0.35">
      <c r="A5446" s="27"/>
      <c r="B5446" s="27"/>
      <c r="C5446" s="27"/>
      <c r="D5446" s="27"/>
      <c r="E5446" s="27"/>
      <c r="F5446" s="27"/>
      <c r="G5446" s="27"/>
      <c r="H5446" s="27"/>
      <c r="I5446" s="27"/>
    </row>
    <row r="5447" spans="1:9" x14ac:dyDescent="0.35">
      <c r="A5447" s="27"/>
      <c r="B5447" s="27"/>
      <c r="C5447" s="27"/>
      <c r="D5447" s="27"/>
      <c r="E5447" s="27"/>
      <c r="F5447" s="27"/>
      <c r="G5447" s="27"/>
      <c r="H5447" s="27"/>
      <c r="I5447" s="27"/>
    </row>
    <row r="5448" spans="1:9" x14ac:dyDescent="0.35">
      <c r="A5448" s="27"/>
      <c r="B5448" s="27"/>
      <c r="C5448" s="27"/>
      <c r="D5448" s="27"/>
      <c r="E5448" s="27"/>
      <c r="F5448" s="27"/>
      <c r="G5448" s="27"/>
      <c r="H5448" s="27"/>
      <c r="I5448" s="27"/>
    </row>
    <row r="5449" spans="1:9" x14ac:dyDescent="0.35">
      <c r="A5449" s="27"/>
      <c r="B5449" s="27"/>
      <c r="C5449" s="27"/>
      <c r="D5449" s="27"/>
      <c r="E5449" s="27"/>
      <c r="F5449" s="27"/>
      <c r="G5449" s="27"/>
      <c r="H5449" s="27"/>
      <c r="I5449" s="27"/>
    </row>
    <row r="5450" spans="1:9" x14ac:dyDescent="0.35">
      <c r="A5450" s="27"/>
      <c r="B5450" s="27"/>
      <c r="C5450" s="27"/>
      <c r="D5450" s="27"/>
      <c r="E5450" s="27"/>
      <c r="F5450" s="27"/>
      <c r="G5450" s="27"/>
      <c r="H5450" s="27"/>
      <c r="I5450" s="27"/>
    </row>
    <row r="5451" spans="1:9" x14ac:dyDescent="0.35">
      <c r="A5451" s="27"/>
      <c r="B5451" s="27"/>
      <c r="C5451" s="27"/>
      <c r="D5451" s="27"/>
      <c r="E5451" s="27"/>
      <c r="F5451" s="27"/>
      <c r="G5451" s="27"/>
      <c r="H5451" s="27"/>
      <c r="I5451" s="27"/>
    </row>
    <row r="5452" spans="1:9" x14ac:dyDescent="0.35">
      <c r="A5452" s="27"/>
      <c r="B5452" s="27"/>
      <c r="C5452" s="27"/>
      <c r="D5452" s="27"/>
      <c r="E5452" s="27"/>
      <c r="F5452" s="27"/>
      <c r="G5452" s="27"/>
      <c r="H5452" s="27"/>
      <c r="I5452" s="27"/>
    </row>
    <row r="5453" spans="1:9" x14ac:dyDescent="0.35">
      <c r="A5453" s="27"/>
      <c r="B5453" s="27"/>
      <c r="C5453" s="27"/>
      <c r="D5453" s="27"/>
      <c r="E5453" s="27"/>
      <c r="F5453" s="27"/>
      <c r="G5453" s="27"/>
      <c r="H5453" s="27"/>
      <c r="I5453" s="27"/>
    </row>
    <row r="5454" spans="1:9" x14ac:dyDescent="0.35">
      <c r="A5454" s="27"/>
      <c r="B5454" s="27"/>
      <c r="C5454" s="27"/>
      <c r="D5454" s="27"/>
      <c r="E5454" s="27"/>
      <c r="F5454" s="27"/>
      <c r="G5454" s="27"/>
      <c r="H5454" s="27"/>
      <c r="I5454" s="27"/>
    </row>
    <row r="5455" spans="1:9" x14ac:dyDescent="0.35">
      <c r="A5455" s="27"/>
      <c r="B5455" s="27"/>
      <c r="C5455" s="27"/>
      <c r="D5455" s="27"/>
      <c r="E5455" s="27"/>
      <c r="F5455" s="27"/>
      <c r="G5455" s="27"/>
      <c r="H5455" s="27"/>
      <c r="I5455" s="27"/>
    </row>
    <row r="5456" spans="1:9" x14ac:dyDescent="0.35">
      <c r="A5456" s="27"/>
      <c r="B5456" s="27"/>
      <c r="C5456" s="27"/>
      <c r="D5456" s="27"/>
      <c r="E5456" s="27"/>
      <c r="F5456" s="27"/>
      <c r="G5456" s="27"/>
      <c r="H5456" s="27"/>
      <c r="I5456" s="27"/>
    </row>
    <row r="5457" spans="1:9" x14ac:dyDescent="0.35">
      <c r="A5457" s="27"/>
      <c r="B5457" s="27"/>
      <c r="C5457" s="27"/>
      <c r="D5457" s="27"/>
      <c r="E5457" s="27"/>
      <c r="F5457" s="27"/>
      <c r="G5457" s="27"/>
      <c r="H5457" s="27"/>
      <c r="I5457" s="27"/>
    </row>
    <row r="5458" spans="1:9" x14ac:dyDescent="0.35">
      <c r="A5458" s="27"/>
      <c r="B5458" s="27"/>
      <c r="C5458" s="27"/>
      <c r="D5458" s="27"/>
      <c r="E5458" s="27"/>
      <c r="F5458" s="27"/>
      <c r="G5458" s="27"/>
      <c r="H5458" s="27"/>
      <c r="I5458" s="27"/>
    </row>
    <row r="5459" spans="1:9" x14ac:dyDescent="0.35">
      <c r="A5459" s="27"/>
      <c r="B5459" s="27"/>
      <c r="C5459" s="27"/>
      <c r="D5459" s="27"/>
      <c r="E5459" s="27"/>
      <c r="F5459" s="27"/>
      <c r="G5459" s="27"/>
      <c r="H5459" s="27"/>
      <c r="I5459" s="27"/>
    </row>
    <row r="5460" spans="1:9" x14ac:dyDescent="0.35">
      <c r="A5460" s="27"/>
      <c r="B5460" s="27"/>
      <c r="C5460" s="27"/>
      <c r="D5460" s="27"/>
      <c r="E5460" s="27"/>
      <c r="F5460" s="27"/>
      <c r="G5460" s="27"/>
      <c r="H5460" s="27"/>
      <c r="I5460" s="27"/>
    </row>
    <row r="5461" spans="1:9" x14ac:dyDescent="0.35">
      <c r="A5461" s="27"/>
      <c r="B5461" s="27"/>
      <c r="C5461" s="27"/>
      <c r="D5461" s="27"/>
      <c r="E5461" s="27"/>
      <c r="F5461" s="27"/>
      <c r="G5461" s="27"/>
      <c r="H5461" s="27"/>
      <c r="I5461" s="27"/>
    </row>
    <row r="5462" spans="1:9" x14ac:dyDescent="0.35">
      <c r="A5462" s="27"/>
      <c r="B5462" s="27"/>
      <c r="C5462" s="27"/>
      <c r="D5462" s="27"/>
      <c r="E5462" s="27"/>
      <c r="F5462" s="27"/>
      <c r="G5462" s="27"/>
      <c r="H5462" s="27"/>
      <c r="I5462" s="27"/>
    </row>
    <row r="5463" spans="1:9" x14ac:dyDescent="0.35">
      <c r="A5463" s="27"/>
      <c r="B5463" s="27"/>
      <c r="C5463" s="27"/>
      <c r="D5463" s="27"/>
      <c r="E5463" s="27"/>
      <c r="F5463" s="27"/>
      <c r="G5463" s="27"/>
      <c r="H5463" s="27"/>
      <c r="I5463" s="27"/>
    </row>
    <row r="5464" spans="1:9" x14ac:dyDescent="0.35">
      <c r="A5464" s="27"/>
      <c r="B5464" s="27"/>
      <c r="C5464" s="27"/>
      <c r="D5464" s="27"/>
      <c r="E5464" s="27"/>
      <c r="F5464" s="27"/>
      <c r="G5464" s="27"/>
      <c r="H5464" s="27"/>
      <c r="I5464" s="27"/>
    </row>
    <row r="5465" spans="1:9" x14ac:dyDescent="0.35">
      <c r="A5465" s="27"/>
      <c r="B5465" s="27"/>
      <c r="C5465" s="27"/>
      <c r="D5465" s="27"/>
      <c r="E5465" s="27"/>
      <c r="F5465" s="27"/>
      <c r="G5465" s="27"/>
      <c r="H5465" s="27"/>
      <c r="I5465" s="27"/>
    </row>
    <row r="5466" spans="1:9" x14ac:dyDescent="0.35">
      <c r="A5466" s="27"/>
      <c r="B5466" s="27"/>
      <c r="C5466" s="27"/>
      <c r="D5466" s="27"/>
      <c r="E5466" s="27"/>
      <c r="F5466" s="27"/>
      <c r="G5466" s="27"/>
      <c r="H5466" s="27"/>
      <c r="I5466" s="27"/>
    </row>
    <row r="5467" spans="1:9" x14ac:dyDescent="0.35">
      <c r="A5467" s="27"/>
      <c r="B5467" s="27"/>
      <c r="C5467" s="27"/>
      <c r="D5467" s="27"/>
      <c r="E5467" s="27"/>
      <c r="F5467" s="27"/>
      <c r="G5467" s="27"/>
      <c r="H5467" s="27"/>
      <c r="I5467" s="27"/>
    </row>
    <row r="5468" spans="1:9" x14ac:dyDescent="0.35">
      <c r="A5468" s="27"/>
      <c r="B5468" s="27"/>
      <c r="C5468" s="27"/>
      <c r="D5468" s="27"/>
      <c r="E5468" s="27"/>
      <c r="F5468" s="27"/>
      <c r="G5468" s="27"/>
      <c r="H5468" s="27"/>
      <c r="I5468" s="27"/>
    </row>
    <row r="5469" spans="1:9" x14ac:dyDescent="0.35">
      <c r="A5469" s="27"/>
      <c r="B5469" s="27"/>
      <c r="C5469" s="27"/>
      <c r="D5469" s="27"/>
      <c r="E5469" s="27"/>
      <c r="F5469" s="27"/>
      <c r="G5469" s="27"/>
      <c r="H5469" s="27"/>
      <c r="I5469" s="27"/>
    </row>
    <row r="5470" spans="1:9" x14ac:dyDescent="0.35">
      <c r="A5470" s="27"/>
      <c r="B5470" s="27"/>
      <c r="C5470" s="27"/>
      <c r="D5470" s="27"/>
      <c r="E5470" s="27"/>
      <c r="F5470" s="27"/>
      <c r="G5470" s="27"/>
      <c r="H5470" s="27"/>
      <c r="I5470" s="27"/>
    </row>
    <row r="5471" spans="1:9" x14ac:dyDescent="0.35">
      <c r="A5471" s="27"/>
      <c r="B5471" s="27"/>
      <c r="C5471" s="27"/>
      <c r="D5471" s="27"/>
      <c r="E5471" s="27"/>
      <c r="F5471" s="27"/>
      <c r="G5471" s="27"/>
      <c r="H5471" s="27"/>
      <c r="I5471" s="27"/>
    </row>
    <row r="5472" spans="1:9" x14ac:dyDescent="0.35">
      <c r="A5472" s="27"/>
      <c r="B5472" s="27"/>
      <c r="C5472" s="27"/>
      <c r="D5472" s="27"/>
      <c r="E5472" s="27"/>
      <c r="F5472" s="27"/>
      <c r="G5472" s="27"/>
      <c r="H5472" s="27"/>
      <c r="I5472" s="27"/>
    </row>
    <row r="5473" spans="1:9" x14ac:dyDescent="0.35">
      <c r="A5473" s="27"/>
      <c r="B5473" s="27"/>
      <c r="C5473" s="27"/>
      <c r="D5473" s="27"/>
      <c r="E5473" s="27"/>
      <c r="F5473" s="27"/>
      <c r="G5473" s="27"/>
      <c r="H5473" s="27"/>
      <c r="I5473" s="27"/>
    </row>
    <row r="5474" spans="1:9" x14ac:dyDescent="0.35">
      <c r="A5474" s="27"/>
      <c r="B5474" s="27"/>
      <c r="C5474" s="27"/>
      <c r="D5474" s="27"/>
      <c r="E5474" s="27"/>
      <c r="F5474" s="27"/>
      <c r="G5474" s="27"/>
      <c r="H5474" s="27"/>
      <c r="I5474" s="27"/>
    </row>
    <row r="5475" spans="1:9" x14ac:dyDescent="0.35">
      <c r="A5475" s="27"/>
      <c r="B5475" s="27"/>
      <c r="C5475" s="27"/>
      <c r="D5475" s="27"/>
      <c r="E5475" s="27"/>
      <c r="F5475" s="27"/>
      <c r="G5475" s="27"/>
      <c r="H5475" s="27"/>
      <c r="I5475" s="27"/>
    </row>
    <row r="5476" spans="1:9" x14ac:dyDescent="0.35">
      <c r="A5476" s="27"/>
      <c r="B5476" s="27"/>
      <c r="C5476" s="27"/>
      <c r="D5476" s="27"/>
      <c r="E5476" s="27"/>
      <c r="F5476" s="27"/>
      <c r="G5476" s="27"/>
      <c r="H5476" s="27"/>
      <c r="I5476" s="27"/>
    </row>
    <row r="5477" spans="1:9" x14ac:dyDescent="0.35">
      <c r="A5477" s="27"/>
      <c r="B5477" s="27"/>
      <c r="C5477" s="27"/>
      <c r="D5477" s="27"/>
      <c r="E5477" s="27"/>
      <c r="F5477" s="27"/>
      <c r="G5477" s="27"/>
      <c r="H5477" s="27"/>
      <c r="I5477" s="27"/>
    </row>
    <row r="5478" spans="1:9" x14ac:dyDescent="0.35">
      <c r="A5478" s="27"/>
      <c r="B5478" s="27"/>
      <c r="C5478" s="27"/>
      <c r="D5478" s="27"/>
      <c r="E5478" s="27"/>
      <c r="F5478" s="27"/>
      <c r="G5478" s="27"/>
      <c r="H5478" s="27"/>
      <c r="I5478" s="27"/>
    </row>
    <row r="5479" spans="1:9" x14ac:dyDescent="0.35">
      <c r="A5479" s="27"/>
      <c r="B5479" s="27"/>
      <c r="C5479" s="27"/>
      <c r="D5479" s="27"/>
      <c r="E5479" s="27"/>
      <c r="F5479" s="27"/>
      <c r="G5479" s="27"/>
      <c r="H5479" s="27"/>
      <c r="I5479" s="27"/>
    </row>
    <row r="5480" spans="1:9" x14ac:dyDescent="0.35">
      <c r="A5480" s="27"/>
      <c r="B5480" s="27"/>
      <c r="C5480" s="27"/>
      <c r="D5480" s="27"/>
      <c r="E5480" s="27"/>
      <c r="F5480" s="27"/>
      <c r="G5480" s="27"/>
      <c r="H5480" s="27"/>
      <c r="I5480" s="27"/>
    </row>
    <row r="5481" spans="1:9" x14ac:dyDescent="0.35">
      <c r="A5481" s="27"/>
      <c r="B5481" s="27"/>
      <c r="C5481" s="27"/>
      <c r="D5481" s="27"/>
      <c r="E5481" s="27"/>
      <c r="F5481" s="27"/>
      <c r="G5481" s="27"/>
      <c r="H5481" s="27"/>
      <c r="I5481" s="27"/>
    </row>
    <row r="5482" spans="1:9" x14ac:dyDescent="0.35">
      <c r="A5482" s="27"/>
      <c r="B5482" s="27"/>
      <c r="C5482" s="27"/>
      <c r="D5482" s="27"/>
      <c r="E5482" s="27"/>
      <c r="F5482" s="27"/>
      <c r="G5482" s="27"/>
      <c r="H5482" s="27"/>
      <c r="I5482" s="27"/>
    </row>
    <row r="5483" spans="1:9" x14ac:dyDescent="0.35">
      <c r="A5483" s="27"/>
      <c r="B5483" s="27"/>
      <c r="C5483" s="27"/>
      <c r="D5483" s="27"/>
      <c r="E5483" s="27"/>
      <c r="F5483" s="27"/>
      <c r="G5483" s="27"/>
      <c r="H5483" s="27"/>
      <c r="I5483" s="27"/>
    </row>
    <row r="5484" spans="1:9" x14ac:dyDescent="0.35">
      <c r="A5484" s="27"/>
      <c r="B5484" s="27"/>
      <c r="C5484" s="27"/>
      <c r="D5484" s="27"/>
      <c r="E5484" s="27"/>
      <c r="F5484" s="27"/>
      <c r="G5484" s="27"/>
      <c r="H5484" s="27"/>
      <c r="I5484" s="27"/>
    </row>
    <row r="5485" spans="1:9" x14ac:dyDescent="0.35">
      <c r="A5485" s="27"/>
      <c r="B5485" s="27"/>
      <c r="C5485" s="27"/>
      <c r="D5485" s="27"/>
      <c r="E5485" s="27"/>
      <c r="F5485" s="27"/>
      <c r="G5485" s="27"/>
      <c r="H5485" s="27"/>
      <c r="I5485" s="27"/>
    </row>
    <row r="5486" spans="1:9" x14ac:dyDescent="0.35">
      <c r="A5486" s="27"/>
      <c r="B5486" s="27"/>
      <c r="C5486" s="27"/>
      <c r="D5486" s="27"/>
      <c r="E5486" s="27"/>
      <c r="F5486" s="27"/>
      <c r="G5486" s="27"/>
      <c r="H5486" s="27"/>
      <c r="I5486" s="27"/>
    </row>
    <row r="5487" spans="1:9" x14ac:dyDescent="0.35">
      <c r="A5487" s="27"/>
      <c r="B5487" s="27"/>
      <c r="C5487" s="27"/>
      <c r="D5487" s="27"/>
      <c r="E5487" s="27"/>
      <c r="F5487" s="27"/>
      <c r="G5487" s="27"/>
      <c r="H5487" s="27"/>
      <c r="I5487" s="27"/>
    </row>
    <row r="5488" spans="1:9" x14ac:dyDescent="0.35">
      <c r="A5488" s="27"/>
      <c r="B5488" s="27"/>
      <c r="C5488" s="27"/>
      <c r="D5488" s="27"/>
      <c r="E5488" s="27"/>
      <c r="F5488" s="27"/>
      <c r="G5488" s="27"/>
      <c r="H5488" s="27"/>
      <c r="I5488" s="27"/>
    </row>
    <row r="5489" spans="1:9" x14ac:dyDescent="0.35">
      <c r="A5489" s="27"/>
      <c r="B5489" s="27"/>
      <c r="C5489" s="27"/>
      <c r="D5489" s="27"/>
      <c r="E5489" s="27"/>
      <c r="F5489" s="27"/>
      <c r="G5489" s="27"/>
      <c r="H5489" s="27"/>
      <c r="I5489" s="27"/>
    </row>
    <row r="5490" spans="1:9" x14ac:dyDescent="0.35">
      <c r="A5490" s="27"/>
      <c r="B5490" s="27"/>
      <c r="C5490" s="27"/>
      <c r="D5490" s="27"/>
      <c r="E5490" s="27"/>
      <c r="F5490" s="27"/>
      <c r="G5490" s="27"/>
      <c r="H5490" s="27"/>
      <c r="I5490" s="27"/>
    </row>
    <row r="5491" spans="1:9" x14ac:dyDescent="0.35">
      <c r="A5491" s="27"/>
      <c r="B5491" s="27"/>
      <c r="C5491" s="27"/>
      <c r="D5491" s="27"/>
      <c r="E5491" s="27"/>
      <c r="F5491" s="27"/>
      <c r="G5491" s="27"/>
      <c r="H5491" s="27"/>
      <c r="I5491" s="27"/>
    </row>
    <row r="5492" spans="1:9" x14ac:dyDescent="0.35">
      <c r="A5492" s="27"/>
      <c r="B5492" s="27"/>
      <c r="C5492" s="27"/>
      <c r="D5492" s="27"/>
      <c r="E5492" s="27"/>
      <c r="F5492" s="27"/>
      <c r="G5492" s="27"/>
      <c r="H5492" s="27"/>
      <c r="I5492" s="27"/>
    </row>
    <row r="5493" spans="1:9" x14ac:dyDescent="0.35">
      <c r="A5493" s="27"/>
      <c r="B5493" s="27"/>
      <c r="C5493" s="27"/>
      <c r="D5493" s="27"/>
      <c r="E5493" s="27"/>
      <c r="F5493" s="27"/>
      <c r="G5493" s="27"/>
      <c r="H5493" s="27"/>
      <c r="I5493" s="27"/>
    </row>
    <row r="5494" spans="1:9" x14ac:dyDescent="0.35">
      <c r="A5494" s="27"/>
      <c r="B5494" s="27"/>
      <c r="C5494" s="27"/>
      <c r="D5494" s="27"/>
      <c r="E5494" s="27"/>
      <c r="F5494" s="27"/>
      <c r="G5494" s="27"/>
      <c r="H5494" s="27"/>
      <c r="I5494" s="27"/>
    </row>
    <row r="5495" spans="1:9" x14ac:dyDescent="0.35">
      <c r="A5495" s="27"/>
      <c r="B5495" s="27"/>
      <c r="C5495" s="27"/>
      <c r="D5495" s="27"/>
      <c r="E5495" s="27"/>
      <c r="F5495" s="27"/>
      <c r="G5495" s="27"/>
      <c r="H5495" s="27"/>
      <c r="I5495" s="27"/>
    </row>
    <row r="5496" spans="1:9" x14ac:dyDescent="0.35">
      <c r="A5496" s="27"/>
      <c r="B5496" s="27"/>
      <c r="C5496" s="27"/>
      <c r="D5496" s="27"/>
      <c r="E5496" s="27"/>
      <c r="F5496" s="27"/>
      <c r="G5496" s="27"/>
      <c r="H5496" s="27"/>
      <c r="I5496" s="27"/>
    </row>
    <row r="5497" spans="1:9" x14ac:dyDescent="0.35">
      <c r="A5497" s="27"/>
      <c r="B5497" s="27"/>
      <c r="C5497" s="27"/>
      <c r="D5497" s="27"/>
      <c r="E5497" s="27"/>
      <c r="F5497" s="27"/>
      <c r="G5497" s="27"/>
      <c r="H5497" s="27"/>
      <c r="I5497" s="27"/>
    </row>
    <row r="5498" spans="1:9" x14ac:dyDescent="0.35">
      <c r="A5498" s="27"/>
      <c r="B5498" s="27"/>
      <c r="C5498" s="27"/>
      <c r="D5498" s="27"/>
      <c r="E5498" s="27"/>
      <c r="F5498" s="27"/>
      <c r="G5498" s="27"/>
      <c r="H5498" s="27"/>
      <c r="I5498" s="27"/>
    </row>
    <row r="5499" spans="1:9" x14ac:dyDescent="0.35">
      <c r="A5499" s="27"/>
      <c r="B5499" s="27"/>
      <c r="C5499" s="27"/>
      <c r="D5499" s="27"/>
      <c r="E5499" s="27"/>
      <c r="F5499" s="27"/>
      <c r="G5499" s="27"/>
      <c r="H5499" s="27"/>
      <c r="I5499" s="27"/>
    </row>
    <row r="5500" spans="1:9" x14ac:dyDescent="0.35">
      <c r="A5500" s="27"/>
      <c r="B5500" s="27"/>
      <c r="C5500" s="27"/>
      <c r="D5500" s="27"/>
      <c r="E5500" s="27"/>
      <c r="F5500" s="27"/>
      <c r="G5500" s="27"/>
      <c r="H5500" s="27"/>
      <c r="I5500" s="27"/>
    </row>
    <row r="5501" spans="1:9" x14ac:dyDescent="0.35">
      <c r="A5501" s="27"/>
      <c r="B5501" s="27"/>
      <c r="C5501" s="27"/>
      <c r="D5501" s="27"/>
      <c r="E5501" s="27"/>
      <c r="F5501" s="27"/>
      <c r="G5501" s="27"/>
      <c r="H5501" s="27"/>
      <c r="I5501" s="27"/>
    </row>
    <row r="5502" spans="1:9" x14ac:dyDescent="0.35">
      <c r="A5502" s="27"/>
      <c r="B5502" s="27"/>
      <c r="C5502" s="27"/>
      <c r="D5502" s="27"/>
      <c r="E5502" s="27"/>
      <c r="F5502" s="27"/>
      <c r="G5502" s="27"/>
      <c r="H5502" s="27"/>
      <c r="I5502" s="27"/>
    </row>
    <row r="5503" spans="1:9" x14ac:dyDescent="0.35">
      <c r="A5503" s="27"/>
      <c r="B5503" s="27"/>
      <c r="C5503" s="27"/>
      <c r="D5503" s="27"/>
      <c r="E5503" s="27"/>
      <c r="F5503" s="27"/>
      <c r="G5503" s="27"/>
      <c r="H5503" s="27"/>
      <c r="I5503" s="27"/>
    </row>
    <row r="5504" spans="1:9" x14ac:dyDescent="0.35">
      <c r="A5504" s="27"/>
      <c r="B5504" s="27"/>
      <c r="C5504" s="27"/>
      <c r="D5504" s="27"/>
      <c r="E5504" s="27"/>
      <c r="F5504" s="27"/>
      <c r="G5504" s="27"/>
      <c r="H5504" s="27"/>
      <c r="I5504" s="27"/>
    </row>
    <row r="5505" spans="1:9" x14ac:dyDescent="0.35">
      <c r="A5505" s="27"/>
      <c r="B5505" s="27"/>
      <c r="C5505" s="27"/>
      <c r="D5505" s="27"/>
      <c r="E5505" s="27"/>
      <c r="F5505" s="27"/>
      <c r="G5505" s="27"/>
      <c r="H5505" s="27"/>
      <c r="I5505" s="27"/>
    </row>
    <row r="5506" spans="1:9" x14ac:dyDescent="0.35">
      <c r="A5506" s="27"/>
      <c r="B5506" s="27"/>
      <c r="C5506" s="27"/>
      <c r="D5506" s="27"/>
      <c r="E5506" s="27"/>
      <c r="F5506" s="27"/>
      <c r="G5506" s="27"/>
      <c r="H5506" s="27"/>
      <c r="I5506" s="27"/>
    </row>
    <row r="5507" spans="1:9" x14ac:dyDescent="0.35">
      <c r="A5507" s="27"/>
      <c r="B5507" s="27"/>
      <c r="C5507" s="27"/>
      <c r="D5507" s="27"/>
      <c r="E5507" s="27"/>
      <c r="F5507" s="27"/>
      <c r="G5507" s="27"/>
      <c r="H5507" s="27"/>
      <c r="I5507" s="27"/>
    </row>
    <row r="5508" spans="1:9" x14ac:dyDescent="0.35">
      <c r="A5508" s="27"/>
      <c r="B5508" s="27"/>
      <c r="C5508" s="27"/>
      <c r="D5508" s="27"/>
      <c r="E5508" s="27"/>
      <c r="F5508" s="27"/>
      <c r="G5508" s="27"/>
      <c r="H5508" s="27"/>
      <c r="I5508" s="27"/>
    </row>
    <row r="5509" spans="1:9" x14ac:dyDescent="0.35">
      <c r="A5509" s="27"/>
      <c r="B5509" s="27"/>
      <c r="C5509" s="27"/>
      <c r="D5509" s="27"/>
      <c r="E5509" s="27"/>
      <c r="F5509" s="27"/>
      <c r="G5509" s="27"/>
      <c r="H5509" s="27"/>
      <c r="I5509" s="27"/>
    </row>
    <row r="5510" spans="1:9" x14ac:dyDescent="0.35">
      <c r="A5510" s="27"/>
      <c r="B5510" s="27"/>
      <c r="C5510" s="27"/>
      <c r="D5510" s="27"/>
      <c r="E5510" s="27"/>
      <c r="F5510" s="27"/>
      <c r="G5510" s="27"/>
      <c r="H5510" s="27"/>
      <c r="I5510" s="27"/>
    </row>
    <row r="5511" spans="1:9" x14ac:dyDescent="0.35">
      <c r="A5511" s="27"/>
      <c r="B5511" s="27"/>
      <c r="C5511" s="27"/>
      <c r="D5511" s="27"/>
      <c r="E5511" s="27"/>
      <c r="F5511" s="27"/>
      <c r="G5511" s="27"/>
      <c r="H5511" s="27"/>
      <c r="I5511" s="27"/>
    </row>
    <row r="5512" spans="1:9" x14ac:dyDescent="0.35">
      <c r="A5512" s="27"/>
      <c r="B5512" s="27"/>
      <c r="C5512" s="27"/>
      <c r="D5512" s="27"/>
      <c r="E5512" s="27"/>
      <c r="F5512" s="27"/>
      <c r="G5512" s="27"/>
      <c r="H5512" s="27"/>
      <c r="I5512" s="27"/>
    </row>
    <row r="5513" spans="1:9" x14ac:dyDescent="0.35">
      <c r="A5513" s="27"/>
      <c r="B5513" s="27"/>
      <c r="C5513" s="27"/>
      <c r="D5513" s="27"/>
      <c r="E5513" s="27"/>
      <c r="F5513" s="27"/>
      <c r="G5513" s="27"/>
      <c r="H5513" s="27"/>
      <c r="I5513" s="27"/>
    </row>
    <row r="5514" spans="1:9" x14ac:dyDescent="0.35">
      <c r="A5514" s="27"/>
      <c r="B5514" s="27"/>
      <c r="C5514" s="27"/>
      <c r="D5514" s="27"/>
      <c r="E5514" s="27"/>
      <c r="F5514" s="27"/>
      <c r="G5514" s="27"/>
      <c r="H5514" s="27"/>
      <c r="I5514" s="27"/>
    </row>
    <row r="5515" spans="1:9" x14ac:dyDescent="0.35">
      <c r="A5515" s="27"/>
      <c r="B5515" s="27"/>
      <c r="C5515" s="27"/>
      <c r="D5515" s="27"/>
      <c r="E5515" s="27"/>
      <c r="F5515" s="27"/>
      <c r="G5515" s="27"/>
      <c r="H5515" s="27"/>
      <c r="I5515" s="27"/>
    </row>
    <row r="5516" spans="1:9" x14ac:dyDescent="0.35">
      <c r="A5516" s="27"/>
      <c r="B5516" s="27"/>
      <c r="C5516" s="27"/>
      <c r="D5516" s="27"/>
      <c r="E5516" s="27"/>
      <c r="F5516" s="27"/>
      <c r="G5516" s="27"/>
      <c r="H5516" s="27"/>
      <c r="I5516" s="27"/>
    </row>
    <row r="5517" spans="1:9" x14ac:dyDescent="0.35">
      <c r="A5517" s="27"/>
      <c r="B5517" s="27"/>
      <c r="C5517" s="27"/>
      <c r="D5517" s="27"/>
      <c r="E5517" s="27"/>
      <c r="F5517" s="27"/>
      <c r="G5517" s="27"/>
      <c r="H5517" s="27"/>
      <c r="I5517" s="27"/>
    </row>
    <row r="5518" spans="1:9" x14ac:dyDescent="0.35">
      <c r="A5518" s="27"/>
      <c r="B5518" s="27"/>
      <c r="C5518" s="27"/>
      <c r="D5518" s="27"/>
      <c r="E5518" s="27"/>
      <c r="F5518" s="27"/>
      <c r="G5518" s="27"/>
      <c r="H5518" s="27"/>
      <c r="I5518" s="27"/>
    </row>
    <row r="5519" spans="1:9" x14ac:dyDescent="0.35">
      <c r="A5519" s="27"/>
      <c r="B5519" s="27"/>
      <c r="C5519" s="27"/>
      <c r="D5519" s="27"/>
      <c r="E5519" s="27"/>
      <c r="F5519" s="27"/>
      <c r="G5519" s="27"/>
      <c r="H5519" s="27"/>
      <c r="I5519" s="27"/>
    </row>
    <row r="5520" spans="1:9" x14ac:dyDescent="0.35">
      <c r="A5520" s="27"/>
      <c r="B5520" s="27"/>
      <c r="C5520" s="27"/>
      <c r="D5520" s="27"/>
      <c r="E5520" s="27"/>
      <c r="F5520" s="27"/>
      <c r="G5520" s="27"/>
      <c r="H5520" s="27"/>
      <c r="I5520" s="27"/>
    </row>
    <row r="5521" spans="1:9" x14ac:dyDescent="0.35">
      <c r="A5521" s="27"/>
      <c r="B5521" s="27"/>
      <c r="C5521" s="27"/>
      <c r="D5521" s="27"/>
      <c r="E5521" s="27"/>
      <c r="F5521" s="27"/>
      <c r="G5521" s="27"/>
      <c r="H5521" s="27"/>
      <c r="I5521" s="27"/>
    </row>
    <row r="5522" spans="1:9" x14ac:dyDescent="0.35">
      <c r="A5522" s="27"/>
      <c r="B5522" s="27"/>
      <c r="C5522" s="27"/>
      <c r="D5522" s="27"/>
      <c r="E5522" s="27"/>
      <c r="F5522" s="27"/>
      <c r="G5522" s="27"/>
      <c r="H5522" s="27"/>
      <c r="I5522" s="27"/>
    </row>
    <row r="5523" spans="1:9" x14ac:dyDescent="0.35">
      <c r="A5523" s="27"/>
      <c r="B5523" s="27"/>
      <c r="C5523" s="27"/>
      <c r="D5523" s="27"/>
      <c r="E5523" s="27"/>
      <c r="F5523" s="27"/>
      <c r="G5523" s="27"/>
      <c r="H5523" s="27"/>
      <c r="I5523" s="27"/>
    </row>
    <row r="5524" spans="1:9" x14ac:dyDescent="0.35">
      <c r="A5524" s="27"/>
      <c r="B5524" s="27"/>
      <c r="C5524" s="27"/>
      <c r="D5524" s="27"/>
      <c r="E5524" s="27"/>
      <c r="F5524" s="27"/>
      <c r="G5524" s="27"/>
      <c r="H5524" s="27"/>
      <c r="I5524" s="27"/>
    </row>
    <row r="5525" spans="1:9" x14ac:dyDescent="0.35">
      <c r="A5525" s="27"/>
      <c r="B5525" s="27"/>
      <c r="C5525" s="27"/>
      <c r="D5525" s="27"/>
      <c r="E5525" s="27"/>
      <c r="F5525" s="27"/>
      <c r="G5525" s="27"/>
      <c r="H5525" s="27"/>
      <c r="I5525" s="27"/>
    </row>
    <row r="5526" spans="1:9" x14ac:dyDescent="0.35">
      <c r="A5526" s="27"/>
      <c r="B5526" s="27"/>
      <c r="C5526" s="27"/>
      <c r="D5526" s="27"/>
      <c r="E5526" s="27"/>
      <c r="F5526" s="27"/>
      <c r="G5526" s="27"/>
      <c r="H5526" s="27"/>
      <c r="I5526" s="27"/>
    </row>
    <row r="5527" spans="1:9" x14ac:dyDescent="0.35">
      <c r="A5527" s="27"/>
      <c r="B5527" s="27"/>
      <c r="C5527" s="27"/>
      <c r="D5527" s="27"/>
      <c r="E5527" s="27"/>
      <c r="F5527" s="27"/>
      <c r="G5527" s="27"/>
      <c r="H5527" s="27"/>
      <c r="I5527" s="27"/>
    </row>
    <row r="5528" spans="1:9" x14ac:dyDescent="0.35">
      <c r="A5528" s="27"/>
      <c r="B5528" s="27"/>
      <c r="C5528" s="27"/>
      <c r="D5528" s="27"/>
      <c r="E5528" s="27"/>
      <c r="F5528" s="27"/>
      <c r="G5528" s="27"/>
      <c r="H5528" s="27"/>
      <c r="I5528" s="27"/>
    </row>
    <row r="5529" spans="1:9" x14ac:dyDescent="0.35">
      <c r="A5529" s="27"/>
      <c r="B5529" s="27"/>
      <c r="C5529" s="27"/>
      <c r="D5529" s="27"/>
      <c r="E5529" s="27"/>
      <c r="F5529" s="27"/>
      <c r="G5529" s="27"/>
      <c r="H5529" s="27"/>
      <c r="I5529" s="27"/>
    </row>
    <row r="5530" spans="1:9" x14ac:dyDescent="0.35">
      <c r="A5530" s="27"/>
      <c r="B5530" s="27"/>
      <c r="C5530" s="27"/>
      <c r="D5530" s="27"/>
      <c r="E5530" s="27"/>
      <c r="F5530" s="27"/>
      <c r="G5530" s="27"/>
      <c r="H5530" s="27"/>
      <c r="I5530" s="27"/>
    </row>
    <row r="5531" spans="1:9" x14ac:dyDescent="0.35">
      <c r="A5531" s="27"/>
      <c r="B5531" s="27"/>
      <c r="C5531" s="27"/>
      <c r="D5531" s="27"/>
      <c r="E5531" s="27"/>
      <c r="F5531" s="27"/>
      <c r="G5531" s="27"/>
      <c r="H5531" s="27"/>
      <c r="I5531" s="27"/>
    </row>
    <row r="5532" spans="1:9" x14ac:dyDescent="0.35">
      <c r="A5532" s="27"/>
      <c r="B5532" s="27"/>
      <c r="C5532" s="27"/>
      <c r="D5532" s="27"/>
      <c r="E5532" s="27"/>
      <c r="F5532" s="27"/>
      <c r="G5532" s="27"/>
      <c r="H5532" s="27"/>
      <c r="I5532" s="27"/>
    </row>
    <row r="5533" spans="1:9" x14ac:dyDescent="0.35">
      <c r="A5533" s="27"/>
      <c r="B5533" s="27"/>
      <c r="C5533" s="27"/>
      <c r="D5533" s="27"/>
      <c r="E5533" s="27"/>
      <c r="F5533" s="27"/>
      <c r="G5533" s="27"/>
      <c r="H5533" s="27"/>
      <c r="I5533" s="27"/>
    </row>
    <row r="5534" spans="1:9" x14ac:dyDescent="0.35">
      <c r="A5534" s="27"/>
      <c r="B5534" s="27"/>
      <c r="C5534" s="27"/>
      <c r="D5534" s="27"/>
      <c r="E5534" s="27"/>
      <c r="F5534" s="27"/>
      <c r="G5534" s="27"/>
      <c r="H5534" s="27"/>
      <c r="I5534" s="27"/>
    </row>
    <row r="5535" spans="1:9" x14ac:dyDescent="0.35">
      <c r="A5535" s="27"/>
      <c r="B5535" s="27"/>
      <c r="C5535" s="27"/>
      <c r="D5535" s="27"/>
      <c r="E5535" s="27"/>
      <c r="F5535" s="27"/>
      <c r="G5535" s="27"/>
      <c r="H5535" s="27"/>
      <c r="I5535" s="27"/>
    </row>
    <row r="5536" spans="1:9" x14ac:dyDescent="0.35">
      <c r="A5536" s="27"/>
      <c r="B5536" s="27"/>
      <c r="C5536" s="27"/>
      <c r="D5536" s="27"/>
      <c r="E5536" s="27"/>
      <c r="F5536" s="27"/>
      <c r="G5536" s="27"/>
      <c r="H5536" s="27"/>
      <c r="I5536" s="27"/>
    </row>
    <row r="5537" spans="1:9" x14ac:dyDescent="0.35">
      <c r="A5537" s="27"/>
      <c r="B5537" s="27"/>
      <c r="C5537" s="27"/>
      <c r="D5537" s="27"/>
      <c r="E5537" s="27"/>
      <c r="F5537" s="27"/>
      <c r="G5537" s="27"/>
      <c r="H5537" s="27"/>
      <c r="I5537" s="27"/>
    </row>
    <row r="5538" spans="1:9" x14ac:dyDescent="0.35">
      <c r="A5538" s="27"/>
      <c r="B5538" s="27"/>
      <c r="C5538" s="27"/>
      <c r="D5538" s="27"/>
      <c r="E5538" s="27"/>
      <c r="F5538" s="27"/>
      <c r="G5538" s="27"/>
      <c r="H5538" s="27"/>
      <c r="I5538" s="27"/>
    </row>
    <row r="5539" spans="1:9" x14ac:dyDescent="0.35">
      <c r="A5539" s="27"/>
      <c r="B5539" s="27"/>
      <c r="C5539" s="27"/>
      <c r="D5539" s="27"/>
      <c r="E5539" s="27"/>
      <c r="F5539" s="27"/>
      <c r="G5539" s="27"/>
      <c r="H5539" s="27"/>
      <c r="I5539" s="27"/>
    </row>
    <row r="5540" spans="1:9" x14ac:dyDescent="0.35">
      <c r="A5540" s="27"/>
      <c r="B5540" s="27"/>
      <c r="C5540" s="27"/>
      <c r="D5540" s="27"/>
      <c r="E5540" s="27"/>
      <c r="F5540" s="27"/>
      <c r="G5540" s="27"/>
      <c r="H5540" s="27"/>
      <c r="I5540" s="27"/>
    </row>
    <row r="5541" spans="1:9" x14ac:dyDescent="0.35">
      <c r="A5541" s="27"/>
      <c r="B5541" s="27"/>
      <c r="C5541" s="27"/>
      <c r="D5541" s="27"/>
      <c r="E5541" s="27"/>
      <c r="F5541" s="27"/>
      <c r="G5541" s="27"/>
      <c r="H5541" s="27"/>
      <c r="I5541" s="27"/>
    </row>
    <row r="5542" spans="1:9" x14ac:dyDescent="0.35">
      <c r="A5542" s="27"/>
      <c r="B5542" s="27"/>
      <c r="C5542" s="27"/>
      <c r="D5542" s="27"/>
      <c r="E5542" s="27"/>
      <c r="F5542" s="27"/>
      <c r="G5542" s="27"/>
      <c r="H5542" s="27"/>
      <c r="I5542" s="27"/>
    </row>
    <row r="5543" spans="1:9" x14ac:dyDescent="0.35">
      <c r="A5543" s="27"/>
      <c r="B5543" s="27"/>
      <c r="C5543" s="27"/>
      <c r="D5543" s="27"/>
      <c r="E5543" s="27"/>
      <c r="F5543" s="27"/>
      <c r="G5543" s="27"/>
      <c r="H5543" s="27"/>
      <c r="I5543" s="27"/>
    </row>
    <row r="5544" spans="1:9" x14ac:dyDescent="0.35">
      <c r="A5544" s="27"/>
      <c r="B5544" s="27"/>
      <c r="C5544" s="27"/>
      <c r="D5544" s="27"/>
      <c r="E5544" s="27"/>
      <c r="F5544" s="27"/>
      <c r="G5544" s="27"/>
      <c r="H5544" s="27"/>
      <c r="I5544" s="27"/>
    </row>
    <row r="5545" spans="1:9" x14ac:dyDescent="0.35">
      <c r="A5545" s="27"/>
      <c r="B5545" s="27"/>
      <c r="C5545" s="27"/>
      <c r="D5545" s="27"/>
      <c r="E5545" s="27"/>
      <c r="F5545" s="27"/>
      <c r="G5545" s="27"/>
      <c r="H5545" s="27"/>
      <c r="I5545" s="27"/>
    </row>
    <row r="5546" spans="1:9" x14ac:dyDescent="0.35">
      <c r="A5546" s="27"/>
      <c r="B5546" s="27"/>
      <c r="C5546" s="27"/>
      <c r="D5546" s="27"/>
      <c r="E5546" s="27"/>
      <c r="F5546" s="27"/>
      <c r="G5546" s="27"/>
      <c r="H5546" s="27"/>
      <c r="I5546" s="27"/>
    </row>
    <row r="5547" spans="1:9" x14ac:dyDescent="0.35">
      <c r="A5547" s="27"/>
      <c r="B5547" s="27"/>
      <c r="C5547" s="27"/>
      <c r="D5547" s="27"/>
      <c r="E5547" s="27"/>
      <c r="F5547" s="27"/>
      <c r="G5547" s="27"/>
      <c r="H5547" s="27"/>
      <c r="I5547" s="27"/>
    </row>
    <row r="5548" spans="1:9" x14ac:dyDescent="0.35">
      <c r="A5548" s="27"/>
      <c r="B5548" s="27"/>
      <c r="C5548" s="27"/>
      <c r="D5548" s="27"/>
      <c r="E5548" s="27"/>
      <c r="F5548" s="27"/>
      <c r="G5548" s="27"/>
      <c r="H5548" s="27"/>
      <c r="I5548" s="27"/>
    </row>
    <row r="5549" spans="1:9" x14ac:dyDescent="0.35">
      <c r="A5549" s="27"/>
      <c r="B5549" s="27"/>
      <c r="C5549" s="27"/>
      <c r="D5549" s="27"/>
      <c r="E5549" s="27"/>
      <c r="F5549" s="27"/>
      <c r="G5549" s="27"/>
      <c r="H5549" s="27"/>
      <c r="I5549" s="27"/>
    </row>
    <row r="5550" spans="1:9" x14ac:dyDescent="0.35">
      <c r="A5550" s="27"/>
      <c r="B5550" s="27"/>
      <c r="C5550" s="27"/>
      <c r="D5550" s="27"/>
      <c r="E5550" s="27"/>
      <c r="F5550" s="27"/>
      <c r="G5550" s="27"/>
      <c r="H5550" s="27"/>
      <c r="I5550" s="27"/>
    </row>
    <row r="5551" spans="1:9" x14ac:dyDescent="0.35">
      <c r="A5551" s="27"/>
      <c r="B5551" s="27"/>
      <c r="C5551" s="27"/>
      <c r="D5551" s="27"/>
      <c r="E5551" s="27"/>
      <c r="F5551" s="27"/>
      <c r="G5551" s="27"/>
      <c r="H5551" s="27"/>
      <c r="I5551" s="27"/>
    </row>
    <row r="5552" spans="1:9" x14ac:dyDescent="0.35">
      <c r="A5552" s="27"/>
      <c r="B5552" s="27"/>
      <c r="C5552" s="27"/>
      <c r="D5552" s="27"/>
      <c r="E5552" s="27"/>
      <c r="F5552" s="27"/>
      <c r="G5552" s="27"/>
      <c r="H5552" s="27"/>
      <c r="I5552" s="27"/>
    </row>
    <row r="5553" spans="1:9" x14ac:dyDescent="0.35">
      <c r="A5553" s="27"/>
      <c r="B5553" s="27"/>
      <c r="C5553" s="27"/>
      <c r="D5553" s="27"/>
      <c r="E5553" s="27"/>
      <c r="F5553" s="27"/>
      <c r="G5553" s="27"/>
      <c r="H5553" s="27"/>
      <c r="I5553" s="27"/>
    </row>
    <row r="5554" spans="1:9" x14ac:dyDescent="0.35">
      <c r="A5554" s="27"/>
      <c r="B5554" s="27"/>
      <c r="C5554" s="27"/>
      <c r="D5554" s="27"/>
      <c r="E5554" s="27"/>
      <c r="F5554" s="27"/>
      <c r="G5554" s="27"/>
      <c r="H5554" s="27"/>
      <c r="I5554" s="27"/>
    </row>
    <row r="5555" spans="1:9" x14ac:dyDescent="0.35">
      <c r="A5555" s="27"/>
      <c r="B5555" s="27"/>
      <c r="C5555" s="27"/>
      <c r="D5555" s="27"/>
      <c r="E5555" s="27"/>
      <c r="F5555" s="27"/>
      <c r="G5555" s="27"/>
      <c r="H5555" s="27"/>
      <c r="I5555" s="27"/>
    </row>
    <row r="5556" spans="1:9" x14ac:dyDescent="0.35">
      <c r="A5556" s="27"/>
      <c r="B5556" s="27"/>
      <c r="C5556" s="27"/>
      <c r="D5556" s="27"/>
      <c r="E5556" s="27"/>
      <c r="F5556" s="27"/>
      <c r="G5556" s="27"/>
      <c r="H5556" s="27"/>
      <c r="I5556" s="27"/>
    </row>
    <row r="5557" spans="1:9" x14ac:dyDescent="0.35">
      <c r="A5557" s="27"/>
      <c r="B5557" s="27"/>
      <c r="C5557" s="27"/>
      <c r="D5557" s="27"/>
      <c r="E5557" s="27"/>
      <c r="F5557" s="27"/>
      <c r="G5557" s="27"/>
      <c r="H5557" s="27"/>
      <c r="I5557" s="27"/>
    </row>
    <row r="5558" spans="1:9" x14ac:dyDescent="0.35">
      <c r="A5558" s="27"/>
      <c r="B5558" s="27"/>
      <c r="C5558" s="27"/>
      <c r="D5558" s="27"/>
      <c r="E5558" s="27"/>
      <c r="F5558" s="27"/>
      <c r="G5558" s="27"/>
      <c r="H5558" s="27"/>
      <c r="I5558" s="27"/>
    </row>
    <row r="5559" spans="1:9" x14ac:dyDescent="0.35">
      <c r="A5559" s="27"/>
      <c r="B5559" s="27"/>
      <c r="C5559" s="27"/>
      <c r="D5559" s="27"/>
      <c r="E5559" s="27"/>
      <c r="F5559" s="27"/>
      <c r="G5559" s="27"/>
      <c r="H5559" s="27"/>
      <c r="I5559" s="27"/>
    </row>
    <row r="5560" spans="1:9" x14ac:dyDescent="0.35">
      <c r="A5560" s="27"/>
      <c r="B5560" s="27"/>
      <c r="C5560" s="27"/>
      <c r="D5560" s="27"/>
      <c r="E5560" s="27"/>
      <c r="F5560" s="27"/>
      <c r="G5560" s="27"/>
      <c r="H5560" s="27"/>
      <c r="I5560" s="27"/>
    </row>
    <row r="5561" spans="1:9" x14ac:dyDescent="0.35">
      <c r="A5561" s="27"/>
      <c r="B5561" s="27"/>
      <c r="C5561" s="27"/>
      <c r="D5561" s="27"/>
      <c r="E5561" s="27"/>
      <c r="F5561" s="27"/>
      <c r="G5561" s="27"/>
      <c r="H5561" s="27"/>
      <c r="I5561" s="27"/>
    </row>
    <row r="5562" spans="1:9" x14ac:dyDescent="0.35">
      <c r="A5562" s="27"/>
      <c r="B5562" s="27"/>
      <c r="C5562" s="27"/>
      <c r="D5562" s="27"/>
      <c r="E5562" s="27"/>
      <c r="F5562" s="27"/>
      <c r="G5562" s="27"/>
      <c r="H5562" s="27"/>
      <c r="I5562" s="27"/>
    </row>
    <row r="5563" spans="1:9" x14ac:dyDescent="0.35">
      <c r="A5563" s="27"/>
      <c r="B5563" s="27"/>
      <c r="C5563" s="27"/>
      <c r="D5563" s="27"/>
      <c r="E5563" s="27"/>
      <c r="F5563" s="27"/>
      <c r="G5563" s="27"/>
      <c r="H5563" s="27"/>
      <c r="I5563" s="27"/>
    </row>
    <row r="5564" spans="1:9" x14ac:dyDescent="0.35">
      <c r="A5564" s="27"/>
      <c r="B5564" s="27"/>
      <c r="C5564" s="27"/>
      <c r="D5564" s="27"/>
      <c r="E5564" s="27"/>
      <c r="F5564" s="27"/>
      <c r="G5564" s="27"/>
      <c r="H5564" s="27"/>
      <c r="I5564" s="27"/>
    </row>
    <row r="5565" spans="1:9" x14ac:dyDescent="0.35">
      <c r="A5565" s="27"/>
      <c r="B5565" s="27"/>
      <c r="C5565" s="27"/>
      <c r="D5565" s="27"/>
      <c r="E5565" s="27"/>
      <c r="F5565" s="27"/>
      <c r="G5565" s="27"/>
      <c r="H5565" s="27"/>
      <c r="I5565" s="27"/>
    </row>
    <row r="5566" spans="1:9" x14ac:dyDescent="0.35">
      <c r="A5566" s="27"/>
      <c r="B5566" s="27"/>
      <c r="C5566" s="27"/>
      <c r="D5566" s="27"/>
      <c r="E5566" s="27"/>
      <c r="F5566" s="27"/>
      <c r="G5566" s="27"/>
      <c r="H5566" s="27"/>
      <c r="I5566" s="27"/>
    </row>
    <row r="5567" spans="1:9" x14ac:dyDescent="0.35">
      <c r="A5567" s="27"/>
      <c r="B5567" s="27"/>
      <c r="C5567" s="27"/>
      <c r="D5567" s="27"/>
      <c r="E5567" s="27"/>
      <c r="F5567" s="27"/>
      <c r="G5567" s="27"/>
      <c r="H5567" s="27"/>
      <c r="I5567" s="27"/>
    </row>
    <row r="5568" spans="1:9" x14ac:dyDescent="0.35">
      <c r="A5568" s="27"/>
      <c r="B5568" s="27"/>
      <c r="C5568" s="27"/>
      <c r="D5568" s="27"/>
      <c r="E5568" s="27"/>
      <c r="F5568" s="27"/>
      <c r="G5568" s="27"/>
      <c r="H5568" s="27"/>
      <c r="I5568" s="27"/>
    </row>
    <row r="5569" spans="1:9" x14ac:dyDescent="0.35">
      <c r="A5569" s="27"/>
      <c r="B5569" s="27"/>
      <c r="C5569" s="27"/>
      <c r="D5569" s="27"/>
      <c r="E5569" s="27"/>
      <c r="F5569" s="27"/>
      <c r="G5569" s="27"/>
      <c r="H5569" s="27"/>
      <c r="I5569" s="27"/>
    </row>
    <row r="5570" spans="1:9" x14ac:dyDescent="0.35">
      <c r="A5570" s="27"/>
      <c r="B5570" s="27"/>
      <c r="C5570" s="27"/>
      <c r="D5570" s="27"/>
      <c r="E5570" s="27"/>
      <c r="F5570" s="27"/>
      <c r="G5570" s="27"/>
      <c r="H5570" s="27"/>
      <c r="I5570" s="27"/>
    </row>
    <row r="5571" spans="1:9" x14ac:dyDescent="0.35">
      <c r="A5571" s="27"/>
      <c r="B5571" s="27"/>
      <c r="C5571" s="27"/>
      <c r="D5571" s="27"/>
      <c r="E5571" s="27"/>
      <c r="F5571" s="27"/>
      <c r="G5571" s="27"/>
      <c r="H5571" s="27"/>
      <c r="I5571" s="27"/>
    </row>
    <row r="5572" spans="1:9" x14ac:dyDescent="0.35">
      <c r="A5572" s="27"/>
      <c r="B5572" s="27"/>
      <c r="C5572" s="27"/>
      <c r="D5572" s="27"/>
      <c r="E5572" s="27"/>
      <c r="F5572" s="27"/>
      <c r="G5572" s="27"/>
      <c r="H5572" s="27"/>
      <c r="I5572" s="27"/>
    </row>
    <row r="5573" spans="1:9" x14ac:dyDescent="0.35">
      <c r="A5573" s="27"/>
      <c r="B5573" s="27"/>
      <c r="C5573" s="27"/>
      <c r="D5573" s="27"/>
      <c r="E5573" s="27"/>
      <c r="F5573" s="27"/>
      <c r="G5573" s="27"/>
      <c r="H5573" s="27"/>
      <c r="I5573" s="27"/>
    </row>
    <row r="5574" spans="1:9" x14ac:dyDescent="0.35">
      <c r="A5574" s="27"/>
      <c r="B5574" s="27"/>
      <c r="C5574" s="27"/>
      <c r="D5574" s="27"/>
      <c r="E5574" s="27"/>
      <c r="F5574" s="27"/>
      <c r="G5574" s="27"/>
      <c r="H5574" s="27"/>
      <c r="I5574" s="27"/>
    </row>
    <row r="5575" spans="1:9" x14ac:dyDescent="0.35">
      <c r="A5575" s="27"/>
      <c r="B5575" s="27"/>
      <c r="C5575" s="27"/>
      <c r="D5575" s="27"/>
      <c r="E5575" s="27"/>
      <c r="F5575" s="27"/>
      <c r="G5575" s="27"/>
      <c r="H5575" s="27"/>
      <c r="I5575" s="27"/>
    </row>
    <row r="5576" spans="1:9" x14ac:dyDescent="0.35">
      <c r="A5576" s="27"/>
      <c r="B5576" s="27"/>
      <c r="C5576" s="27"/>
      <c r="D5576" s="27"/>
      <c r="E5576" s="27"/>
      <c r="F5576" s="27"/>
      <c r="G5576" s="27"/>
      <c r="H5576" s="27"/>
      <c r="I5576" s="27"/>
    </row>
    <row r="5577" spans="1:9" x14ac:dyDescent="0.35">
      <c r="A5577" s="27"/>
      <c r="B5577" s="27"/>
      <c r="C5577" s="27"/>
      <c r="D5577" s="27"/>
      <c r="E5577" s="27"/>
      <c r="F5577" s="27"/>
      <c r="G5577" s="27"/>
      <c r="H5577" s="27"/>
      <c r="I5577" s="27"/>
    </row>
    <row r="5578" spans="1:9" x14ac:dyDescent="0.35">
      <c r="A5578" s="27"/>
      <c r="B5578" s="27"/>
      <c r="C5578" s="27"/>
      <c r="D5578" s="27"/>
      <c r="E5578" s="27"/>
      <c r="F5578" s="27"/>
      <c r="G5578" s="27"/>
      <c r="H5578" s="27"/>
      <c r="I5578" s="27"/>
    </row>
    <row r="5579" spans="1:9" x14ac:dyDescent="0.35">
      <c r="A5579" s="27"/>
      <c r="B5579" s="27"/>
      <c r="C5579" s="27"/>
      <c r="D5579" s="27"/>
      <c r="E5579" s="27"/>
      <c r="F5579" s="27"/>
      <c r="G5579" s="27"/>
      <c r="H5579" s="27"/>
      <c r="I5579" s="27"/>
    </row>
    <row r="5580" spans="1:9" x14ac:dyDescent="0.35">
      <c r="A5580" s="27"/>
      <c r="B5580" s="27"/>
      <c r="C5580" s="27"/>
      <c r="D5580" s="27"/>
      <c r="E5580" s="27"/>
      <c r="F5580" s="27"/>
      <c r="G5580" s="27"/>
      <c r="H5580" s="27"/>
      <c r="I5580" s="27"/>
    </row>
    <row r="5581" spans="1:9" x14ac:dyDescent="0.35">
      <c r="A5581" s="27"/>
      <c r="B5581" s="27"/>
      <c r="C5581" s="27"/>
      <c r="D5581" s="27"/>
      <c r="E5581" s="27"/>
      <c r="F5581" s="27"/>
      <c r="G5581" s="27"/>
      <c r="H5581" s="27"/>
      <c r="I5581" s="27"/>
    </row>
    <row r="5582" spans="1:9" x14ac:dyDescent="0.35">
      <c r="A5582" s="27"/>
      <c r="B5582" s="27"/>
      <c r="C5582" s="27"/>
      <c r="D5582" s="27"/>
      <c r="E5582" s="27"/>
      <c r="F5582" s="27"/>
      <c r="G5582" s="27"/>
      <c r="H5582" s="27"/>
      <c r="I5582" s="27"/>
    </row>
    <row r="5583" spans="1:9" x14ac:dyDescent="0.35">
      <c r="A5583" s="27"/>
      <c r="B5583" s="27"/>
      <c r="C5583" s="27"/>
      <c r="D5583" s="27"/>
      <c r="E5583" s="27"/>
      <c r="F5583" s="27"/>
      <c r="G5583" s="27"/>
      <c r="H5583" s="27"/>
      <c r="I5583" s="27"/>
    </row>
    <row r="5584" spans="1:9" x14ac:dyDescent="0.35">
      <c r="A5584" s="27"/>
      <c r="B5584" s="27"/>
      <c r="C5584" s="27"/>
      <c r="D5584" s="27"/>
      <c r="E5584" s="27"/>
      <c r="F5584" s="27"/>
      <c r="G5584" s="27"/>
      <c r="H5584" s="27"/>
      <c r="I5584" s="27"/>
    </row>
    <row r="5585" spans="1:9" x14ac:dyDescent="0.35">
      <c r="A5585" s="27"/>
      <c r="B5585" s="27"/>
      <c r="C5585" s="27"/>
      <c r="D5585" s="27"/>
      <c r="E5585" s="27"/>
      <c r="F5585" s="27"/>
      <c r="G5585" s="27"/>
      <c r="H5585" s="27"/>
      <c r="I5585" s="27"/>
    </row>
    <row r="5586" spans="1:9" x14ac:dyDescent="0.35">
      <c r="A5586" s="27"/>
      <c r="B5586" s="27"/>
      <c r="C5586" s="27"/>
      <c r="D5586" s="27"/>
      <c r="E5586" s="27"/>
      <c r="F5586" s="27"/>
      <c r="G5586" s="27"/>
      <c r="H5586" s="27"/>
      <c r="I5586" s="27"/>
    </row>
    <row r="5587" spans="1:9" x14ac:dyDescent="0.35">
      <c r="A5587" s="27"/>
      <c r="B5587" s="27"/>
      <c r="C5587" s="27"/>
      <c r="D5587" s="27"/>
      <c r="E5587" s="27"/>
      <c r="F5587" s="27"/>
      <c r="G5587" s="27"/>
      <c r="H5587" s="27"/>
      <c r="I5587" s="27"/>
    </row>
    <row r="5588" spans="1:9" x14ac:dyDescent="0.35">
      <c r="A5588" s="27"/>
      <c r="B5588" s="27"/>
      <c r="C5588" s="27"/>
      <c r="D5588" s="27"/>
      <c r="E5588" s="27"/>
      <c r="F5588" s="27"/>
      <c r="G5588" s="27"/>
      <c r="H5588" s="27"/>
      <c r="I5588" s="27"/>
    </row>
    <row r="5589" spans="1:9" x14ac:dyDescent="0.35">
      <c r="A5589" s="27"/>
      <c r="B5589" s="27"/>
      <c r="C5589" s="27"/>
      <c r="D5589" s="27"/>
      <c r="E5589" s="27"/>
      <c r="F5589" s="27"/>
      <c r="G5589" s="27"/>
      <c r="H5589" s="27"/>
      <c r="I5589" s="27"/>
    </row>
    <row r="5590" spans="1:9" x14ac:dyDescent="0.35">
      <c r="A5590" s="27"/>
      <c r="B5590" s="27"/>
      <c r="C5590" s="27"/>
      <c r="D5590" s="27"/>
      <c r="E5590" s="27"/>
      <c r="F5590" s="27"/>
      <c r="G5590" s="27"/>
      <c r="H5590" s="27"/>
      <c r="I5590" s="27"/>
    </row>
    <row r="5591" spans="1:9" x14ac:dyDescent="0.35">
      <c r="A5591" s="27"/>
      <c r="B5591" s="27"/>
      <c r="C5591" s="27"/>
      <c r="D5591" s="27"/>
      <c r="E5591" s="27"/>
      <c r="F5591" s="27"/>
      <c r="G5591" s="27"/>
      <c r="H5591" s="27"/>
      <c r="I5591" s="27"/>
    </row>
    <row r="5592" spans="1:9" x14ac:dyDescent="0.35">
      <c r="A5592" s="27"/>
      <c r="B5592" s="27"/>
      <c r="C5592" s="27"/>
      <c r="D5592" s="27"/>
      <c r="E5592" s="27"/>
      <c r="F5592" s="27"/>
      <c r="G5592" s="27"/>
      <c r="H5592" s="27"/>
      <c r="I5592" s="27"/>
    </row>
    <row r="5593" spans="1:9" x14ac:dyDescent="0.35">
      <c r="A5593" s="27"/>
      <c r="B5593" s="27"/>
      <c r="C5593" s="27"/>
      <c r="D5593" s="27"/>
      <c r="E5593" s="27"/>
      <c r="F5593" s="27"/>
      <c r="G5593" s="27"/>
      <c r="H5593" s="27"/>
      <c r="I5593" s="27"/>
    </row>
    <row r="5594" spans="1:9" x14ac:dyDescent="0.35">
      <c r="A5594" s="27"/>
      <c r="B5594" s="27"/>
      <c r="C5594" s="27"/>
      <c r="D5594" s="27"/>
      <c r="E5594" s="27"/>
      <c r="F5594" s="27"/>
      <c r="G5594" s="27"/>
      <c r="H5594" s="27"/>
      <c r="I5594" s="27"/>
    </row>
    <row r="5595" spans="1:9" x14ac:dyDescent="0.35">
      <c r="A5595" s="27"/>
      <c r="B5595" s="27"/>
      <c r="C5595" s="27"/>
      <c r="D5595" s="27"/>
      <c r="E5595" s="27"/>
      <c r="F5595" s="27"/>
      <c r="G5595" s="27"/>
      <c r="H5595" s="27"/>
      <c r="I5595" s="27"/>
    </row>
    <row r="5596" spans="1:9" x14ac:dyDescent="0.35">
      <c r="A5596" s="27"/>
      <c r="B5596" s="27"/>
      <c r="C5596" s="27"/>
      <c r="D5596" s="27"/>
      <c r="E5596" s="27"/>
      <c r="F5596" s="27"/>
      <c r="G5596" s="27"/>
      <c r="H5596" s="27"/>
      <c r="I5596" s="27"/>
    </row>
    <row r="5597" spans="1:9" x14ac:dyDescent="0.35">
      <c r="A5597" s="27"/>
      <c r="B5597" s="27"/>
      <c r="C5597" s="27"/>
      <c r="D5597" s="27"/>
      <c r="E5597" s="27"/>
      <c r="F5597" s="27"/>
      <c r="G5597" s="27"/>
      <c r="H5597" s="27"/>
      <c r="I5597" s="27"/>
    </row>
    <row r="5598" spans="1:9" x14ac:dyDescent="0.35">
      <c r="A5598" s="27"/>
      <c r="B5598" s="27"/>
      <c r="C5598" s="27"/>
      <c r="D5598" s="27"/>
      <c r="E5598" s="27"/>
      <c r="F5598" s="27"/>
      <c r="G5598" s="27"/>
      <c r="H5598" s="27"/>
      <c r="I5598" s="27"/>
    </row>
    <row r="5599" spans="1:9" x14ac:dyDescent="0.35">
      <c r="A5599" s="27"/>
      <c r="B5599" s="27"/>
      <c r="C5599" s="27"/>
      <c r="D5599" s="27"/>
      <c r="E5599" s="27"/>
      <c r="F5599" s="27"/>
      <c r="G5599" s="27"/>
      <c r="H5599" s="27"/>
      <c r="I5599" s="27"/>
    </row>
    <row r="5600" spans="1:9" x14ac:dyDescent="0.35">
      <c r="A5600" s="27"/>
      <c r="B5600" s="27"/>
      <c r="C5600" s="27"/>
      <c r="D5600" s="27"/>
      <c r="E5600" s="27"/>
      <c r="F5600" s="27"/>
      <c r="G5600" s="27"/>
      <c r="H5600" s="27"/>
      <c r="I5600" s="27"/>
    </row>
    <row r="5601" spans="1:9" x14ac:dyDescent="0.35">
      <c r="A5601" s="27"/>
      <c r="B5601" s="27"/>
      <c r="C5601" s="27"/>
      <c r="D5601" s="27"/>
      <c r="E5601" s="27"/>
      <c r="F5601" s="27"/>
      <c r="G5601" s="27"/>
      <c r="H5601" s="27"/>
      <c r="I5601" s="27"/>
    </row>
    <row r="5602" spans="1:9" x14ac:dyDescent="0.35">
      <c r="A5602" s="27"/>
      <c r="B5602" s="27"/>
      <c r="C5602" s="27"/>
      <c r="D5602" s="27"/>
      <c r="E5602" s="27"/>
      <c r="F5602" s="27"/>
      <c r="G5602" s="27"/>
      <c r="H5602" s="27"/>
      <c r="I5602" s="27"/>
    </row>
    <row r="5603" spans="1:9" x14ac:dyDescent="0.35">
      <c r="A5603" s="27"/>
      <c r="B5603" s="27"/>
      <c r="C5603" s="27"/>
      <c r="D5603" s="27"/>
      <c r="E5603" s="27"/>
      <c r="F5603" s="27"/>
      <c r="G5603" s="27"/>
      <c r="H5603" s="27"/>
      <c r="I5603" s="27"/>
    </row>
    <row r="5604" spans="1:9" x14ac:dyDescent="0.35">
      <c r="A5604" s="27"/>
      <c r="B5604" s="27"/>
      <c r="C5604" s="27"/>
      <c r="D5604" s="27"/>
      <c r="E5604" s="27"/>
      <c r="F5604" s="27"/>
      <c r="G5604" s="27"/>
      <c r="H5604" s="27"/>
      <c r="I5604" s="27"/>
    </row>
    <row r="5605" spans="1:9" x14ac:dyDescent="0.35">
      <c r="A5605" s="27"/>
      <c r="B5605" s="27"/>
      <c r="C5605" s="27"/>
      <c r="D5605" s="27"/>
      <c r="E5605" s="27"/>
      <c r="F5605" s="27"/>
      <c r="G5605" s="27"/>
      <c r="H5605" s="27"/>
      <c r="I5605" s="27"/>
    </row>
    <row r="5606" spans="1:9" x14ac:dyDescent="0.35">
      <c r="A5606" s="27"/>
      <c r="B5606" s="27"/>
      <c r="C5606" s="27"/>
      <c r="D5606" s="27"/>
      <c r="E5606" s="27"/>
      <c r="F5606" s="27"/>
      <c r="G5606" s="27"/>
      <c r="H5606" s="27"/>
      <c r="I5606" s="27"/>
    </row>
    <row r="5607" spans="1:9" x14ac:dyDescent="0.35">
      <c r="A5607" s="27"/>
      <c r="B5607" s="27"/>
      <c r="C5607" s="27"/>
      <c r="D5607" s="27"/>
      <c r="E5607" s="27"/>
      <c r="F5607" s="27"/>
      <c r="G5607" s="27"/>
      <c r="H5607" s="27"/>
      <c r="I5607" s="27"/>
    </row>
    <row r="5608" spans="1:9" x14ac:dyDescent="0.35">
      <c r="A5608" s="27"/>
      <c r="B5608" s="27"/>
      <c r="C5608" s="27"/>
      <c r="D5608" s="27"/>
      <c r="E5608" s="27"/>
      <c r="F5608" s="27"/>
      <c r="G5608" s="27"/>
      <c r="H5608" s="27"/>
      <c r="I5608" s="27"/>
    </row>
    <row r="5609" spans="1:9" x14ac:dyDescent="0.35">
      <c r="A5609" s="27"/>
      <c r="B5609" s="27"/>
      <c r="C5609" s="27"/>
      <c r="D5609" s="27"/>
      <c r="E5609" s="27"/>
      <c r="F5609" s="27"/>
      <c r="G5609" s="27"/>
      <c r="H5609" s="27"/>
      <c r="I5609" s="27"/>
    </row>
    <row r="5610" spans="1:9" x14ac:dyDescent="0.35">
      <c r="A5610" s="27"/>
      <c r="B5610" s="27"/>
      <c r="C5610" s="27"/>
      <c r="D5610" s="27"/>
      <c r="E5610" s="27"/>
      <c r="F5610" s="27"/>
      <c r="G5610" s="27"/>
      <c r="H5610" s="27"/>
      <c r="I5610" s="27"/>
    </row>
    <row r="5611" spans="1:9" x14ac:dyDescent="0.35">
      <c r="A5611" s="27"/>
      <c r="B5611" s="27"/>
      <c r="C5611" s="27"/>
      <c r="D5611" s="27"/>
      <c r="E5611" s="27"/>
      <c r="F5611" s="27"/>
      <c r="G5611" s="27"/>
      <c r="H5611" s="27"/>
      <c r="I5611" s="27"/>
    </row>
    <row r="5612" spans="1:9" x14ac:dyDescent="0.35">
      <c r="A5612" s="27"/>
      <c r="B5612" s="27"/>
      <c r="C5612" s="27"/>
      <c r="D5612" s="27"/>
      <c r="E5612" s="27"/>
      <c r="F5612" s="27"/>
      <c r="G5612" s="27"/>
      <c r="H5612" s="27"/>
      <c r="I5612" s="27"/>
    </row>
    <row r="5613" spans="1:9" x14ac:dyDescent="0.35">
      <c r="A5613" s="27"/>
      <c r="B5613" s="27"/>
      <c r="C5613" s="27"/>
      <c r="D5613" s="27"/>
      <c r="E5613" s="27"/>
      <c r="F5613" s="27"/>
      <c r="G5613" s="27"/>
      <c r="H5613" s="27"/>
      <c r="I5613" s="27"/>
    </row>
    <row r="5614" spans="1:9" x14ac:dyDescent="0.35">
      <c r="A5614" s="27"/>
      <c r="B5614" s="27"/>
      <c r="C5614" s="27"/>
      <c r="D5614" s="27"/>
      <c r="E5614" s="27"/>
      <c r="F5614" s="27"/>
      <c r="G5614" s="27"/>
      <c r="H5614" s="27"/>
      <c r="I5614" s="27"/>
    </row>
    <row r="5615" spans="1:9" x14ac:dyDescent="0.35">
      <c r="A5615" s="27"/>
      <c r="B5615" s="27"/>
      <c r="C5615" s="27"/>
      <c r="D5615" s="27"/>
      <c r="E5615" s="27"/>
      <c r="F5615" s="27"/>
      <c r="G5615" s="27"/>
      <c r="H5615" s="27"/>
      <c r="I5615" s="27"/>
    </row>
    <row r="5616" spans="1:9" x14ac:dyDescent="0.35">
      <c r="A5616" s="27"/>
      <c r="B5616" s="27"/>
      <c r="C5616" s="27"/>
      <c r="D5616" s="27"/>
      <c r="E5616" s="27"/>
      <c r="F5616" s="27"/>
      <c r="G5616" s="27"/>
      <c r="H5616" s="27"/>
      <c r="I5616" s="27"/>
    </row>
    <row r="5617" spans="1:9" x14ac:dyDescent="0.35">
      <c r="A5617" s="27"/>
      <c r="B5617" s="27"/>
      <c r="C5617" s="27"/>
      <c r="D5617" s="27"/>
      <c r="E5617" s="27"/>
      <c r="F5617" s="27"/>
      <c r="G5617" s="27"/>
      <c r="H5617" s="27"/>
      <c r="I5617" s="27"/>
    </row>
    <row r="5618" spans="1:9" x14ac:dyDescent="0.35">
      <c r="A5618" s="27"/>
      <c r="B5618" s="27"/>
      <c r="C5618" s="27"/>
      <c r="D5618" s="27"/>
      <c r="E5618" s="27"/>
      <c r="F5618" s="27"/>
      <c r="G5618" s="27"/>
      <c r="H5618" s="27"/>
      <c r="I5618" s="27"/>
    </row>
    <row r="5619" spans="1:9" x14ac:dyDescent="0.35">
      <c r="A5619" s="27"/>
      <c r="B5619" s="27"/>
      <c r="C5619" s="27"/>
      <c r="D5619" s="27"/>
      <c r="E5619" s="27"/>
      <c r="F5619" s="27"/>
      <c r="G5619" s="27"/>
      <c r="H5619" s="27"/>
      <c r="I5619" s="27"/>
    </row>
    <row r="5620" spans="1:9" x14ac:dyDescent="0.35">
      <c r="A5620" s="27"/>
      <c r="B5620" s="27"/>
      <c r="C5620" s="27"/>
      <c r="D5620" s="27"/>
      <c r="E5620" s="27"/>
      <c r="F5620" s="27"/>
      <c r="G5620" s="27"/>
      <c r="H5620" s="27"/>
      <c r="I5620" s="27"/>
    </row>
    <row r="5621" spans="1:9" x14ac:dyDescent="0.35">
      <c r="A5621" s="27"/>
      <c r="B5621" s="27"/>
      <c r="C5621" s="27"/>
      <c r="D5621" s="27"/>
      <c r="E5621" s="27"/>
      <c r="F5621" s="27"/>
      <c r="G5621" s="27"/>
      <c r="H5621" s="27"/>
      <c r="I5621" s="27"/>
    </row>
    <row r="5622" spans="1:9" x14ac:dyDescent="0.35">
      <c r="A5622" s="27"/>
      <c r="B5622" s="27"/>
      <c r="C5622" s="27"/>
      <c r="D5622" s="27"/>
      <c r="E5622" s="27"/>
      <c r="F5622" s="27"/>
      <c r="G5622" s="27"/>
      <c r="H5622" s="27"/>
      <c r="I5622" s="27"/>
    </row>
    <row r="5623" spans="1:9" x14ac:dyDescent="0.35">
      <c r="A5623" s="27"/>
      <c r="B5623" s="27"/>
      <c r="C5623" s="27"/>
      <c r="D5623" s="27"/>
      <c r="E5623" s="27"/>
      <c r="F5623" s="27"/>
      <c r="G5623" s="27"/>
      <c r="H5623" s="27"/>
      <c r="I5623" s="27"/>
    </row>
    <row r="5624" spans="1:9" x14ac:dyDescent="0.35">
      <c r="A5624" s="27"/>
      <c r="B5624" s="27"/>
      <c r="C5624" s="27"/>
      <c r="D5624" s="27"/>
      <c r="E5624" s="27"/>
      <c r="F5624" s="27"/>
      <c r="G5624" s="27"/>
      <c r="H5624" s="27"/>
      <c r="I5624" s="27"/>
    </row>
    <row r="5625" spans="1:9" x14ac:dyDescent="0.35">
      <c r="A5625" s="27"/>
      <c r="B5625" s="27"/>
      <c r="C5625" s="27"/>
      <c r="D5625" s="27"/>
      <c r="E5625" s="27"/>
      <c r="F5625" s="27"/>
      <c r="G5625" s="27"/>
      <c r="H5625" s="27"/>
      <c r="I5625" s="27"/>
    </row>
    <row r="5626" spans="1:9" x14ac:dyDescent="0.35">
      <c r="A5626" s="27"/>
      <c r="B5626" s="27"/>
      <c r="C5626" s="27"/>
      <c r="D5626" s="27"/>
      <c r="E5626" s="27"/>
      <c r="F5626" s="27"/>
      <c r="G5626" s="27"/>
      <c r="H5626" s="27"/>
      <c r="I5626" s="27"/>
    </row>
    <row r="5627" spans="1:9" x14ac:dyDescent="0.35">
      <c r="A5627" s="27"/>
      <c r="B5627" s="27"/>
      <c r="C5627" s="27"/>
      <c r="D5627" s="27"/>
      <c r="E5627" s="27"/>
      <c r="F5627" s="27"/>
      <c r="G5627" s="27"/>
      <c r="H5627" s="27"/>
      <c r="I5627" s="27"/>
    </row>
    <row r="5628" spans="1:9" x14ac:dyDescent="0.35">
      <c r="A5628" s="27"/>
      <c r="B5628" s="27"/>
      <c r="C5628" s="27"/>
      <c r="D5628" s="27"/>
      <c r="E5628" s="27"/>
      <c r="F5628" s="27"/>
      <c r="G5628" s="27"/>
      <c r="H5628" s="27"/>
      <c r="I5628" s="27"/>
    </row>
    <row r="5629" spans="1:9" x14ac:dyDescent="0.35">
      <c r="A5629" s="27"/>
      <c r="B5629" s="27"/>
      <c r="C5629" s="27"/>
      <c r="D5629" s="27"/>
      <c r="E5629" s="27"/>
      <c r="F5629" s="27"/>
      <c r="G5629" s="27"/>
      <c r="H5629" s="27"/>
      <c r="I5629" s="27"/>
    </row>
    <row r="5630" spans="1:9" x14ac:dyDescent="0.35">
      <c r="A5630" s="27"/>
      <c r="B5630" s="27"/>
      <c r="C5630" s="27"/>
      <c r="D5630" s="27"/>
      <c r="E5630" s="27"/>
      <c r="F5630" s="27"/>
      <c r="G5630" s="27"/>
      <c r="H5630" s="27"/>
      <c r="I5630" s="27"/>
    </row>
    <row r="5631" spans="1:9" x14ac:dyDescent="0.35">
      <c r="A5631" s="27"/>
      <c r="B5631" s="27"/>
      <c r="C5631" s="27"/>
      <c r="D5631" s="27"/>
      <c r="E5631" s="27"/>
      <c r="F5631" s="27"/>
      <c r="G5631" s="27"/>
      <c r="H5631" s="27"/>
      <c r="I5631" s="27"/>
    </row>
    <row r="5632" spans="1:9" x14ac:dyDescent="0.35">
      <c r="A5632" s="27"/>
      <c r="B5632" s="27"/>
      <c r="C5632" s="27"/>
      <c r="D5632" s="27"/>
      <c r="E5632" s="27"/>
      <c r="F5632" s="27"/>
      <c r="G5632" s="27"/>
      <c r="H5632" s="27"/>
      <c r="I5632" s="27"/>
    </row>
    <row r="5633" spans="1:9" x14ac:dyDescent="0.35">
      <c r="A5633" s="27"/>
      <c r="B5633" s="27"/>
      <c r="C5633" s="27"/>
      <c r="D5633" s="27"/>
      <c r="E5633" s="27"/>
      <c r="F5633" s="27"/>
      <c r="G5633" s="27"/>
      <c r="H5633" s="27"/>
      <c r="I5633" s="27"/>
    </row>
    <row r="5634" spans="1:9" x14ac:dyDescent="0.35">
      <c r="A5634" s="27"/>
      <c r="B5634" s="27"/>
      <c r="C5634" s="27"/>
      <c r="D5634" s="27"/>
      <c r="E5634" s="27"/>
      <c r="F5634" s="27"/>
      <c r="G5634" s="27"/>
      <c r="H5634" s="27"/>
      <c r="I5634" s="27"/>
    </row>
    <row r="5635" spans="1:9" x14ac:dyDescent="0.35">
      <c r="A5635" s="27"/>
      <c r="B5635" s="27"/>
      <c r="C5635" s="27"/>
      <c r="D5635" s="27"/>
      <c r="E5635" s="27"/>
      <c r="F5635" s="27"/>
      <c r="G5635" s="27"/>
      <c r="H5635" s="27"/>
      <c r="I5635" s="27"/>
    </row>
    <row r="5636" spans="1:9" x14ac:dyDescent="0.35">
      <c r="A5636" s="27"/>
      <c r="B5636" s="27"/>
      <c r="C5636" s="27"/>
      <c r="D5636" s="27"/>
      <c r="E5636" s="27"/>
      <c r="F5636" s="27"/>
      <c r="G5636" s="27"/>
      <c r="H5636" s="27"/>
      <c r="I5636" s="27"/>
    </row>
    <row r="5637" spans="1:9" x14ac:dyDescent="0.35">
      <c r="A5637" s="27"/>
      <c r="B5637" s="27"/>
      <c r="C5637" s="27"/>
      <c r="D5637" s="27"/>
      <c r="E5637" s="27"/>
      <c r="F5637" s="27"/>
      <c r="G5637" s="27"/>
      <c r="H5637" s="27"/>
      <c r="I5637" s="27"/>
    </row>
    <row r="5638" spans="1:9" x14ac:dyDescent="0.35">
      <c r="A5638" s="27"/>
      <c r="B5638" s="27"/>
      <c r="C5638" s="27"/>
      <c r="D5638" s="27"/>
      <c r="E5638" s="27"/>
      <c r="F5638" s="27"/>
      <c r="G5638" s="27"/>
      <c r="H5638" s="27"/>
      <c r="I5638" s="27"/>
    </row>
    <row r="5639" spans="1:9" x14ac:dyDescent="0.35">
      <c r="A5639" s="27"/>
      <c r="B5639" s="27"/>
      <c r="C5639" s="27"/>
      <c r="D5639" s="27"/>
      <c r="E5639" s="27"/>
      <c r="F5639" s="27"/>
      <c r="G5639" s="27"/>
      <c r="H5639" s="27"/>
      <c r="I5639" s="27"/>
    </row>
    <row r="5640" spans="1:9" x14ac:dyDescent="0.35">
      <c r="A5640" s="27"/>
      <c r="B5640" s="27"/>
      <c r="C5640" s="27"/>
      <c r="D5640" s="27"/>
      <c r="E5640" s="27"/>
      <c r="F5640" s="27"/>
      <c r="G5640" s="27"/>
      <c r="H5640" s="27"/>
      <c r="I5640" s="27"/>
    </row>
    <row r="5641" spans="1:9" x14ac:dyDescent="0.35">
      <c r="A5641" s="27"/>
      <c r="B5641" s="27"/>
      <c r="C5641" s="27"/>
      <c r="D5641" s="27"/>
      <c r="E5641" s="27"/>
      <c r="F5641" s="27"/>
      <c r="G5641" s="27"/>
      <c r="H5641" s="27"/>
      <c r="I5641" s="27"/>
    </row>
    <row r="5642" spans="1:9" x14ac:dyDescent="0.35">
      <c r="A5642" s="27"/>
      <c r="B5642" s="27"/>
      <c r="C5642" s="27"/>
      <c r="D5642" s="27"/>
      <c r="E5642" s="27"/>
      <c r="F5642" s="27"/>
      <c r="G5642" s="27"/>
      <c r="H5642" s="27"/>
      <c r="I5642" s="27"/>
    </row>
    <row r="5643" spans="1:9" x14ac:dyDescent="0.35">
      <c r="A5643" s="27"/>
      <c r="B5643" s="27"/>
      <c r="C5643" s="27"/>
      <c r="D5643" s="27"/>
      <c r="E5643" s="27"/>
      <c r="F5643" s="27"/>
      <c r="G5643" s="27"/>
      <c r="H5643" s="27"/>
      <c r="I5643" s="27"/>
    </row>
    <row r="5644" spans="1:9" x14ac:dyDescent="0.35">
      <c r="A5644" s="27"/>
      <c r="B5644" s="27"/>
      <c r="C5644" s="27"/>
      <c r="D5644" s="27"/>
      <c r="E5644" s="27"/>
      <c r="F5644" s="27"/>
      <c r="G5644" s="27"/>
      <c r="H5644" s="27"/>
      <c r="I5644" s="27"/>
    </row>
    <row r="5645" spans="1:9" x14ac:dyDescent="0.35">
      <c r="A5645" s="27"/>
      <c r="B5645" s="27"/>
      <c r="C5645" s="27"/>
      <c r="D5645" s="27"/>
      <c r="E5645" s="27"/>
      <c r="F5645" s="27"/>
      <c r="G5645" s="27"/>
      <c r="H5645" s="27"/>
      <c r="I5645" s="27"/>
    </row>
    <row r="5646" spans="1:9" x14ac:dyDescent="0.35">
      <c r="A5646" s="27"/>
      <c r="B5646" s="27"/>
      <c r="C5646" s="27"/>
      <c r="D5646" s="27"/>
      <c r="E5646" s="27"/>
      <c r="F5646" s="27"/>
      <c r="G5646" s="27"/>
      <c r="H5646" s="27"/>
      <c r="I5646" s="27"/>
    </row>
    <row r="5647" spans="1:9" x14ac:dyDescent="0.35">
      <c r="A5647" s="27"/>
      <c r="B5647" s="27"/>
      <c r="C5647" s="27"/>
      <c r="D5647" s="27"/>
      <c r="E5647" s="27"/>
      <c r="F5647" s="27"/>
      <c r="G5647" s="27"/>
      <c r="H5647" s="27"/>
      <c r="I5647" s="27"/>
    </row>
    <row r="5648" spans="1:9" x14ac:dyDescent="0.35">
      <c r="A5648" s="27"/>
      <c r="B5648" s="27"/>
      <c r="C5648" s="27"/>
      <c r="D5648" s="27"/>
      <c r="E5648" s="27"/>
      <c r="F5648" s="27"/>
      <c r="G5648" s="27"/>
      <c r="H5648" s="27"/>
      <c r="I5648" s="27"/>
    </row>
    <row r="5649" spans="1:9" x14ac:dyDescent="0.35">
      <c r="A5649" s="27"/>
      <c r="B5649" s="27"/>
      <c r="C5649" s="27"/>
      <c r="D5649" s="27"/>
      <c r="E5649" s="27"/>
      <c r="F5649" s="27"/>
      <c r="G5649" s="27"/>
      <c r="H5649" s="27"/>
      <c r="I5649" s="27"/>
    </row>
    <row r="5650" spans="1:9" x14ac:dyDescent="0.35">
      <c r="A5650" s="27"/>
      <c r="B5650" s="27"/>
      <c r="C5650" s="27"/>
      <c r="D5650" s="27"/>
      <c r="E5650" s="27"/>
      <c r="F5650" s="27"/>
      <c r="G5650" s="27"/>
      <c r="H5650" s="27"/>
      <c r="I5650" s="27"/>
    </row>
    <row r="5651" spans="1:9" x14ac:dyDescent="0.35">
      <c r="A5651" s="27"/>
      <c r="B5651" s="27"/>
      <c r="C5651" s="27"/>
      <c r="D5651" s="27"/>
      <c r="E5651" s="27"/>
      <c r="F5651" s="27"/>
      <c r="G5651" s="27"/>
      <c r="H5651" s="27"/>
      <c r="I5651" s="27"/>
    </row>
    <row r="5652" spans="1:9" x14ac:dyDescent="0.35">
      <c r="A5652" s="27"/>
      <c r="B5652" s="27"/>
      <c r="C5652" s="27"/>
      <c r="D5652" s="27"/>
      <c r="E5652" s="27"/>
      <c r="F5652" s="27"/>
      <c r="G5652" s="27"/>
      <c r="H5652" s="27"/>
      <c r="I5652" s="27"/>
    </row>
    <row r="5653" spans="1:9" x14ac:dyDescent="0.35">
      <c r="A5653" s="27"/>
      <c r="B5653" s="27"/>
      <c r="C5653" s="27"/>
      <c r="D5653" s="27"/>
      <c r="E5653" s="27"/>
      <c r="F5653" s="27"/>
      <c r="G5653" s="27"/>
      <c r="H5653" s="27"/>
      <c r="I5653" s="27"/>
    </row>
    <row r="5654" spans="1:9" x14ac:dyDescent="0.35">
      <c r="A5654" s="27"/>
      <c r="B5654" s="27"/>
      <c r="C5654" s="27"/>
      <c r="D5654" s="27"/>
      <c r="E5654" s="27"/>
      <c r="F5654" s="27"/>
      <c r="G5654" s="27"/>
      <c r="H5654" s="27"/>
      <c r="I5654" s="27"/>
    </row>
    <row r="5655" spans="1:9" x14ac:dyDescent="0.35">
      <c r="A5655" s="27"/>
      <c r="B5655" s="27"/>
      <c r="C5655" s="27"/>
      <c r="D5655" s="27"/>
      <c r="E5655" s="27"/>
      <c r="F5655" s="27"/>
      <c r="G5655" s="27"/>
      <c r="H5655" s="27"/>
      <c r="I5655" s="27"/>
    </row>
    <row r="5656" spans="1:9" x14ac:dyDescent="0.35">
      <c r="A5656" s="27"/>
      <c r="B5656" s="27"/>
      <c r="C5656" s="27"/>
      <c r="D5656" s="27"/>
      <c r="E5656" s="27"/>
      <c r="F5656" s="27"/>
      <c r="G5656" s="27"/>
      <c r="H5656" s="27"/>
      <c r="I5656" s="27"/>
    </row>
    <row r="5657" spans="1:9" x14ac:dyDescent="0.35">
      <c r="A5657" s="27"/>
      <c r="B5657" s="27"/>
      <c r="C5657" s="27"/>
      <c r="D5657" s="27"/>
      <c r="E5657" s="27"/>
      <c r="F5657" s="27"/>
      <c r="G5657" s="27"/>
      <c r="H5657" s="27"/>
      <c r="I5657" s="27"/>
    </row>
    <row r="5658" spans="1:9" x14ac:dyDescent="0.35">
      <c r="A5658" s="27"/>
      <c r="B5658" s="27"/>
      <c r="C5658" s="27"/>
      <c r="D5658" s="27"/>
      <c r="E5658" s="27"/>
      <c r="F5658" s="27"/>
      <c r="G5658" s="27"/>
      <c r="H5658" s="27"/>
      <c r="I5658" s="27"/>
    </row>
    <row r="5659" spans="1:9" x14ac:dyDescent="0.35">
      <c r="A5659" s="27"/>
      <c r="B5659" s="27"/>
      <c r="C5659" s="27"/>
      <c r="D5659" s="27"/>
      <c r="E5659" s="27"/>
      <c r="F5659" s="27"/>
      <c r="G5659" s="27"/>
      <c r="H5659" s="27"/>
      <c r="I5659" s="27"/>
    </row>
    <row r="5660" spans="1:9" x14ac:dyDescent="0.35">
      <c r="A5660" s="27"/>
      <c r="B5660" s="27"/>
      <c r="C5660" s="27"/>
      <c r="D5660" s="27"/>
      <c r="E5660" s="27"/>
      <c r="F5660" s="27"/>
      <c r="G5660" s="27"/>
      <c r="H5660" s="27"/>
      <c r="I5660" s="27"/>
    </row>
    <row r="5661" spans="1:9" x14ac:dyDescent="0.35">
      <c r="A5661" s="27"/>
      <c r="B5661" s="27"/>
      <c r="C5661" s="27"/>
      <c r="D5661" s="27"/>
      <c r="E5661" s="27"/>
      <c r="F5661" s="27"/>
      <c r="G5661" s="27"/>
      <c r="H5661" s="27"/>
      <c r="I5661" s="27"/>
    </row>
    <row r="5662" spans="1:9" x14ac:dyDescent="0.35">
      <c r="A5662" s="27"/>
      <c r="B5662" s="27"/>
      <c r="C5662" s="27"/>
      <c r="D5662" s="27"/>
      <c r="E5662" s="27"/>
      <c r="F5662" s="27"/>
      <c r="G5662" s="27"/>
      <c r="H5662" s="27"/>
      <c r="I5662" s="27"/>
    </row>
    <row r="5663" spans="1:9" x14ac:dyDescent="0.35">
      <c r="A5663" s="27"/>
      <c r="B5663" s="27"/>
      <c r="C5663" s="27"/>
      <c r="D5663" s="27"/>
      <c r="E5663" s="27"/>
      <c r="F5663" s="27"/>
      <c r="G5663" s="27"/>
      <c r="H5663" s="27"/>
      <c r="I5663" s="27"/>
    </row>
    <row r="5664" spans="1:9" x14ac:dyDescent="0.35">
      <c r="A5664" s="27"/>
      <c r="B5664" s="27"/>
      <c r="C5664" s="27"/>
      <c r="D5664" s="27"/>
      <c r="E5664" s="27"/>
      <c r="F5664" s="27"/>
      <c r="G5664" s="27"/>
      <c r="H5664" s="27"/>
      <c r="I5664" s="27"/>
    </row>
    <row r="5665" spans="1:9" x14ac:dyDescent="0.35">
      <c r="A5665" s="27"/>
      <c r="B5665" s="27"/>
      <c r="C5665" s="27"/>
      <c r="D5665" s="27"/>
      <c r="E5665" s="27"/>
      <c r="F5665" s="27"/>
      <c r="G5665" s="27"/>
      <c r="H5665" s="27"/>
      <c r="I5665" s="27"/>
    </row>
    <row r="5666" spans="1:9" x14ac:dyDescent="0.35">
      <c r="A5666" s="27"/>
      <c r="B5666" s="27"/>
      <c r="C5666" s="27"/>
      <c r="D5666" s="27"/>
      <c r="E5666" s="27"/>
      <c r="F5666" s="27"/>
      <c r="G5666" s="27"/>
      <c r="H5666" s="27"/>
      <c r="I5666" s="27"/>
    </row>
    <row r="5667" spans="1:9" x14ac:dyDescent="0.35">
      <c r="A5667" s="27"/>
      <c r="B5667" s="27"/>
      <c r="C5667" s="27"/>
      <c r="D5667" s="27"/>
      <c r="E5667" s="27"/>
      <c r="F5667" s="27"/>
      <c r="G5667" s="27"/>
      <c r="H5667" s="27"/>
      <c r="I5667" s="27"/>
    </row>
    <row r="5668" spans="1:9" x14ac:dyDescent="0.35">
      <c r="A5668" s="27"/>
      <c r="B5668" s="27"/>
      <c r="C5668" s="27"/>
      <c r="D5668" s="27"/>
      <c r="E5668" s="27"/>
      <c r="F5668" s="27"/>
      <c r="G5668" s="27"/>
      <c r="H5668" s="27"/>
      <c r="I5668" s="27"/>
    </row>
    <row r="5669" spans="1:9" x14ac:dyDescent="0.35">
      <c r="A5669" s="27"/>
      <c r="B5669" s="27"/>
      <c r="C5669" s="27"/>
      <c r="D5669" s="27"/>
      <c r="E5669" s="27"/>
      <c r="F5669" s="27"/>
      <c r="G5669" s="27"/>
      <c r="H5669" s="27"/>
      <c r="I5669" s="27"/>
    </row>
    <row r="5670" spans="1:9" x14ac:dyDescent="0.35">
      <c r="A5670" s="27"/>
      <c r="B5670" s="27"/>
      <c r="C5670" s="27"/>
      <c r="D5670" s="27"/>
      <c r="E5670" s="27"/>
      <c r="F5670" s="27"/>
      <c r="G5670" s="27"/>
      <c r="H5670" s="27"/>
      <c r="I5670" s="27"/>
    </row>
    <row r="5671" spans="1:9" x14ac:dyDescent="0.35">
      <c r="A5671" s="27"/>
      <c r="B5671" s="27"/>
      <c r="C5671" s="27"/>
      <c r="D5671" s="27"/>
      <c r="E5671" s="27"/>
      <c r="F5671" s="27"/>
      <c r="G5671" s="27"/>
      <c r="H5671" s="27"/>
      <c r="I5671" s="27"/>
    </row>
    <row r="5672" spans="1:9" x14ac:dyDescent="0.35">
      <c r="A5672" s="27"/>
      <c r="B5672" s="27"/>
      <c r="C5672" s="27"/>
      <c r="D5672" s="27"/>
      <c r="E5672" s="27"/>
      <c r="F5672" s="27"/>
      <c r="G5672" s="27"/>
      <c r="H5672" s="27"/>
      <c r="I5672" s="27"/>
    </row>
    <row r="5673" spans="1:9" x14ac:dyDescent="0.35">
      <c r="A5673" s="27"/>
      <c r="B5673" s="27"/>
      <c r="C5673" s="27"/>
      <c r="D5673" s="27"/>
      <c r="E5673" s="27"/>
      <c r="F5673" s="27"/>
      <c r="G5673" s="27"/>
      <c r="H5673" s="27"/>
      <c r="I5673" s="27"/>
    </row>
    <row r="5674" spans="1:9" x14ac:dyDescent="0.35">
      <c r="A5674" s="27"/>
      <c r="B5674" s="27"/>
      <c r="C5674" s="27"/>
      <c r="D5674" s="27"/>
      <c r="E5674" s="27"/>
      <c r="F5674" s="27"/>
      <c r="G5674" s="27"/>
      <c r="H5674" s="27"/>
      <c r="I5674" s="27"/>
    </row>
    <row r="5675" spans="1:9" x14ac:dyDescent="0.35">
      <c r="A5675" s="27"/>
      <c r="B5675" s="27"/>
      <c r="C5675" s="27"/>
      <c r="D5675" s="27"/>
      <c r="E5675" s="27"/>
      <c r="F5675" s="27"/>
      <c r="G5675" s="27"/>
      <c r="H5675" s="27"/>
      <c r="I5675" s="27"/>
    </row>
    <row r="5676" spans="1:9" x14ac:dyDescent="0.35">
      <c r="A5676" s="27"/>
      <c r="B5676" s="27"/>
      <c r="C5676" s="27"/>
      <c r="D5676" s="27"/>
      <c r="E5676" s="27"/>
      <c r="F5676" s="27"/>
      <c r="G5676" s="27"/>
      <c r="H5676" s="27"/>
      <c r="I5676" s="27"/>
    </row>
    <row r="5677" spans="1:9" x14ac:dyDescent="0.35">
      <c r="A5677" s="27"/>
      <c r="B5677" s="27"/>
      <c r="C5677" s="27"/>
      <c r="D5677" s="27"/>
      <c r="E5677" s="27"/>
      <c r="F5677" s="27"/>
      <c r="G5677" s="27"/>
      <c r="H5677" s="27"/>
      <c r="I5677" s="27"/>
    </row>
    <row r="5678" spans="1:9" x14ac:dyDescent="0.35">
      <c r="A5678" s="27"/>
      <c r="B5678" s="27"/>
      <c r="C5678" s="27"/>
      <c r="D5678" s="27"/>
      <c r="E5678" s="27"/>
      <c r="F5678" s="27"/>
      <c r="G5678" s="27"/>
      <c r="H5678" s="27"/>
      <c r="I5678" s="27"/>
    </row>
    <row r="5679" spans="1:9" x14ac:dyDescent="0.35">
      <c r="A5679" s="27"/>
      <c r="B5679" s="27"/>
      <c r="C5679" s="27"/>
      <c r="D5679" s="27"/>
      <c r="E5679" s="27"/>
      <c r="F5679" s="27"/>
      <c r="G5679" s="27"/>
      <c r="H5679" s="27"/>
      <c r="I5679" s="27"/>
    </row>
    <row r="5680" spans="1:9" x14ac:dyDescent="0.35">
      <c r="A5680" s="27"/>
      <c r="B5680" s="27"/>
      <c r="C5680" s="27"/>
      <c r="D5680" s="27"/>
      <c r="E5680" s="27"/>
      <c r="F5680" s="27"/>
      <c r="G5680" s="27"/>
      <c r="H5680" s="27"/>
      <c r="I5680" s="27"/>
    </row>
    <row r="5681" spans="1:9" x14ac:dyDescent="0.35">
      <c r="A5681" s="27"/>
      <c r="B5681" s="27"/>
      <c r="C5681" s="27"/>
      <c r="D5681" s="27"/>
      <c r="E5681" s="27"/>
      <c r="F5681" s="27"/>
      <c r="G5681" s="27"/>
      <c r="H5681" s="27"/>
      <c r="I5681" s="27"/>
    </row>
    <row r="5682" spans="1:9" x14ac:dyDescent="0.35">
      <c r="A5682" s="27"/>
      <c r="B5682" s="27"/>
      <c r="C5682" s="27"/>
      <c r="D5682" s="27"/>
      <c r="E5682" s="27"/>
      <c r="F5682" s="27"/>
      <c r="G5682" s="27"/>
      <c r="H5682" s="27"/>
      <c r="I5682" s="27"/>
    </row>
    <row r="5683" spans="1:9" x14ac:dyDescent="0.35">
      <c r="A5683" s="27"/>
      <c r="B5683" s="27"/>
      <c r="C5683" s="27"/>
      <c r="D5683" s="27"/>
      <c r="E5683" s="27"/>
      <c r="F5683" s="27"/>
      <c r="G5683" s="27"/>
      <c r="H5683" s="27"/>
      <c r="I5683" s="27"/>
    </row>
    <row r="5684" spans="1:9" x14ac:dyDescent="0.35">
      <c r="A5684" s="27"/>
      <c r="B5684" s="27"/>
      <c r="C5684" s="27"/>
      <c r="D5684" s="27"/>
      <c r="E5684" s="27"/>
      <c r="F5684" s="27"/>
      <c r="G5684" s="27"/>
      <c r="H5684" s="27"/>
      <c r="I5684" s="27"/>
    </row>
    <row r="5685" spans="1:9" x14ac:dyDescent="0.35">
      <c r="A5685" s="27"/>
      <c r="B5685" s="27"/>
      <c r="C5685" s="27"/>
      <c r="D5685" s="27"/>
      <c r="E5685" s="27"/>
      <c r="F5685" s="27"/>
      <c r="G5685" s="27"/>
      <c r="H5685" s="27"/>
      <c r="I5685" s="27"/>
    </row>
    <row r="5686" spans="1:9" x14ac:dyDescent="0.35">
      <c r="A5686" s="27"/>
      <c r="B5686" s="27"/>
      <c r="C5686" s="27"/>
      <c r="D5686" s="27"/>
      <c r="E5686" s="27"/>
      <c r="F5686" s="27"/>
      <c r="G5686" s="27"/>
      <c r="H5686" s="27"/>
      <c r="I5686" s="27"/>
    </row>
    <row r="5687" spans="1:9" x14ac:dyDescent="0.35">
      <c r="A5687" s="27"/>
      <c r="B5687" s="27"/>
      <c r="C5687" s="27"/>
      <c r="D5687" s="27"/>
      <c r="E5687" s="27"/>
      <c r="F5687" s="27"/>
      <c r="G5687" s="27"/>
      <c r="H5687" s="27"/>
      <c r="I5687" s="27"/>
    </row>
    <row r="5688" spans="1:9" x14ac:dyDescent="0.35">
      <c r="A5688" s="27"/>
      <c r="B5688" s="27"/>
      <c r="C5688" s="27"/>
      <c r="D5688" s="27"/>
      <c r="E5688" s="27"/>
      <c r="F5688" s="27"/>
      <c r="G5688" s="27"/>
      <c r="H5688" s="27"/>
      <c r="I5688" s="27"/>
    </row>
    <row r="5689" spans="1:9" x14ac:dyDescent="0.35">
      <c r="A5689" s="27"/>
      <c r="B5689" s="27"/>
      <c r="C5689" s="27"/>
      <c r="D5689" s="27"/>
      <c r="E5689" s="27"/>
      <c r="F5689" s="27"/>
      <c r="G5689" s="27"/>
      <c r="H5689" s="27"/>
      <c r="I5689" s="27"/>
    </row>
    <row r="5690" spans="1:9" x14ac:dyDescent="0.35">
      <c r="A5690" s="27"/>
      <c r="B5690" s="27"/>
      <c r="C5690" s="27"/>
      <c r="D5690" s="27"/>
      <c r="E5690" s="27"/>
      <c r="F5690" s="27"/>
      <c r="G5690" s="27"/>
      <c r="H5690" s="27"/>
      <c r="I5690" s="27"/>
    </row>
    <row r="5691" spans="1:9" x14ac:dyDescent="0.35">
      <c r="A5691" s="27"/>
      <c r="B5691" s="27"/>
      <c r="C5691" s="27"/>
      <c r="D5691" s="27"/>
      <c r="E5691" s="27"/>
      <c r="F5691" s="27"/>
      <c r="G5691" s="27"/>
      <c r="H5691" s="27"/>
      <c r="I5691" s="27"/>
    </row>
    <row r="5692" spans="1:9" x14ac:dyDescent="0.35">
      <c r="A5692" s="27"/>
      <c r="B5692" s="27"/>
      <c r="C5692" s="27"/>
      <c r="D5692" s="27"/>
      <c r="E5692" s="27"/>
      <c r="F5692" s="27"/>
      <c r="G5692" s="27"/>
      <c r="H5692" s="27"/>
      <c r="I5692" s="27"/>
    </row>
    <row r="5693" spans="1:9" x14ac:dyDescent="0.35">
      <c r="A5693" s="27"/>
      <c r="B5693" s="27"/>
      <c r="C5693" s="27"/>
      <c r="D5693" s="27"/>
      <c r="E5693" s="27"/>
      <c r="F5693" s="27"/>
      <c r="G5693" s="27"/>
      <c r="H5693" s="27"/>
      <c r="I5693" s="27"/>
    </row>
    <row r="5694" spans="1:9" x14ac:dyDescent="0.35">
      <c r="A5694" s="27"/>
      <c r="B5694" s="27"/>
      <c r="C5694" s="27"/>
      <c r="D5694" s="27"/>
      <c r="E5694" s="27"/>
      <c r="F5694" s="27"/>
      <c r="G5694" s="27"/>
      <c r="H5694" s="27"/>
      <c r="I5694" s="27"/>
    </row>
    <row r="5695" spans="1:9" x14ac:dyDescent="0.35">
      <c r="A5695" s="27"/>
      <c r="B5695" s="27"/>
      <c r="C5695" s="27"/>
      <c r="D5695" s="27"/>
      <c r="E5695" s="27"/>
      <c r="F5695" s="27"/>
      <c r="G5695" s="27"/>
      <c r="H5695" s="27"/>
      <c r="I5695" s="27"/>
    </row>
    <row r="5696" spans="1:9" x14ac:dyDescent="0.35">
      <c r="A5696" s="27"/>
      <c r="B5696" s="27"/>
      <c r="C5696" s="27"/>
      <c r="D5696" s="27"/>
      <c r="E5696" s="27"/>
      <c r="F5696" s="27"/>
      <c r="G5696" s="27"/>
      <c r="H5696" s="27"/>
      <c r="I5696" s="27"/>
    </row>
    <row r="5697" spans="1:9" x14ac:dyDescent="0.35">
      <c r="A5697" s="27"/>
      <c r="B5697" s="27"/>
      <c r="C5697" s="27"/>
      <c r="D5697" s="27"/>
      <c r="E5697" s="27"/>
      <c r="F5697" s="27"/>
      <c r="G5697" s="27"/>
      <c r="H5697" s="27"/>
      <c r="I5697" s="27"/>
    </row>
    <row r="5698" spans="1:9" x14ac:dyDescent="0.35">
      <c r="A5698" s="27"/>
      <c r="B5698" s="27"/>
      <c r="C5698" s="27"/>
      <c r="D5698" s="27"/>
      <c r="E5698" s="27"/>
      <c r="F5698" s="27"/>
      <c r="G5698" s="27"/>
      <c r="H5698" s="27"/>
      <c r="I5698" s="27"/>
    </row>
    <row r="5699" spans="1:9" x14ac:dyDescent="0.35">
      <c r="A5699" s="27"/>
      <c r="B5699" s="27"/>
      <c r="C5699" s="27"/>
      <c r="D5699" s="27"/>
      <c r="E5699" s="27"/>
      <c r="F5699" s="27"/>
      <c r="G5699" s="27"/>
      <c r="H5699" s="27"/>
      <c r="I5699" s="27"/>
    </row>
    <row r="5700" spans="1:9" x14ac:dyDescent="0.35">
      <c r="A5700" s="27"/>
      <c r="B5700" s="27"/>
      <c r="C5700" s="27"/>
      <c r="D5700" s="27"/>
      <c r="E5700" s="27"/>
      <c r="F5700" s="27"/>
      <c r="G5700" s="27"/>
      <c r="H5700" s="27"/>
      <c r="I5700" s="27"/>
    </row>
    <row r="5701" spans="1:9" x14ac:dyDescent="0.35">
      <c r="A5701" s="27"/>
      <c r="B5701" s="27"/>
      <c r="C5701" s="27"/>
      <c r="D5701" s="27"/>
      <c r="E5701" s="27"/>
      <c r="F5701" s="27"/>
      <c r="G5701" s="27"/>
      <c r="H5701" s="27"/>
      <c r="I5701" s="27"/>
    </row>
    <row r="5702" spans="1:9" x14ac:dyDescent="0.35">
      <c r="A5702" s="27"/>
      <c r="B5702" s="27"/>
      <c r="C5702" s="27"/>
      <c r="D5702" s="27"/>
      <c r="E5702" s="27"/>
      <c r="F5702" s="27"/>
      <c r="G5702" s="27"/>
      <c r="H5702" s="27"/>
      <c r="I5702" s="27"/>
    </row>
    <row r="5703" spans="1:9" x14ac:dyDescent="0.35">
      <c r="A5703" s="27"/>
      <c r="B5703" s="27"/>
      <c r="C5703" s="27"/>
      <c r="D5703" s="27"/>
      <c r="E5703" s="27"/>
      <c r="F5703" s="27"/>
      <c r="G5703" s="27"/>
      <c r="H5703" s="27"/>
      <c r="I5703" s="27"/>
    </row>
    <row r="5704" spans="1:9" x14ac:dyDescent="0.35">
      <c r="A5704" s="27"/>
      <c r="B5704" s="27"/>
      <c r="C5704" s="27"/>
      <c r="D5704" s="27"/>
      <c r="E5704" s="27"/>
      <c r="F5704" s="27"/>
      <c r="G5704" s="27"/>
      <c r="H5704" s="27"/>
      <c r="I5704" s="27"/>
    </row>
    <row r="5705" spans="1:9" x14ac:dyDescent="0.35">
      <c r="A5705" s="27"/>
      <c r="B5705" s="27"/>
      <c r="C5705" s="27"/>
      <c r="D5705" s="27"/>
      <c r="E5705" s="27"/>
      <c r="F5705" s="27"/>
      <c r="G5705" s="27"/>
      <c r="H5705" s="27"/>
      <c r="I5705" s="27"/>
    </row>
    <row r="5706" spans="1:9" x14ac:dyDescent="0.35">
      <c r="A5706" s="27"/>
      <c r="B5706" s="27"/>
      <c r="C5706" s="27"/>
      <c r="D5706" s="27"/>
      <c r="E5706" s="27"/>
      <c r="F5706" s="27"/>
      <c r="G5706" s="27"/>
      <c r="H5706" s="27"/>
      <c r="I5706" s="27"/>
    </row>
    <row r="5707" spans="1:9" x14ac:dyDescent="0.35">
      <c r="A5707" s="27"/>
      <c r="B5707" s="27"/>
      <c r="C5707" s="27"/>
      <c r="D5707" s="27"/>
      <c r="E5707" s="27"/>
      <c r="F5707" s="27"/>
      <c r="G5707" s="27"/>
      <c r="H5707" s="27"/>
      <c r="I5707" s="27"/>
    </row>
    <row r="5708" spans="1:9" x14ac:dyDescent="0.35">
      <c r="A5708" s="27"/>
      <c r="B5708" s="27"/>
      <c r="C5708" s="27"/>
      <c r="D5708" s="27"/>
      <c r="E5708" s="27"/>
      <c r="F5708" s="27"/>
      <c r="G5708" s="27"/>
      <c r="H5708" s="27"/>
      <c r="I5708" s="27"/>
    </row>
    <row r="5709" spans="1:9" x14ac:dyDescent="0.35">
      <c r="A5709" s="27"/>
      <c r="B5709" s="27"/>
      <c r="C5709" s="27"/>
      <c r="D5709" s="27"/>
      <c r="E5709" s="27"/>
      <c r="F5709" s="27"/>
      <c r="G5709" s="27"/>
      <c r="H5709" s="27"/>
      <c r="I5709" s="27"/>
    </row>
  </sheetData>
  <pageMargins left="0.23622047244094491" right="0.23622047244094491" top="0.74803149606299213" bottom="0.74803149606299213" header="0.31496062992125984" footer="0.31496062992125984"/>
  <pageSetup paperSize="9" scale="45" fitToHeight="0" orientation="portrait" horizontalDpi="4294967293" verticalDpi="4294967293" r:id="rId1"/>
  <rowBreaks count="48" manualBreakCount="48">
    <brk id="33" max="8" man="1"/>
    <brk id="80" max="8" man="1"/>
    <brk id="95" max="8" man="1"/>
    <brk id="206" max="8" man="1"/>
    <brk id="224" max="8" man="1"/>
    <brk id="297" max="8" man="1"/>
    <brk id="315" max="8" man="1"/>
    <brk id="331" max="8" man="1"/>
    <brk id="348" max="8" man="1"/>
    <brk id="890" max="8" man="1"/>
    <brk id="907" max="8" man="1"/>
    <brk id="928" max="8" man="1"/>
    <brk id="942" max="8" man="1"/>
    <brk id="961" max="8" man="1"/>
    <brk id="995" max="8" man="1"/>
    <brk id="1012" max="8" man="1"/>
    <brk id="1026" max="8" man="1"/>
    <brk id="1052" max="8" man="1"/>
    <brk id="1078" max="8" man="1"/>
    <brk id="1094" max="8" man="1"/>
    <brk id="1121" max="8" man="1"/>
    <brk id="1152" max="8" man="1"/>
    <brk id="1166" max="8" man="1"/>
    <brk id="1182" max="8" man="1"/>
    <brk id="1198" max="8" man="1"/>
    <brk id="1213" max="8" man="1"/>
    <brk id="1235" max="8" man="1"/>
    <brk id="1264" max="8" man="1"/>
    <brk id="1278" max="8" man="1"/>
    <brk id="1292" max="8" man="1"/>
    <brk id="1313" max="8" man="1"/>
    <brk id="1434" max="8" man="1"/>
    <brk id="1448" max="8" man="1"/>
    <brk id="1470" max="8" man="1"/>
    <brk id="1485" max="8" man="1"/>
    <brk id="1560" max="8" man="1"/>
    <brk id="1575" max="8" man="1"/>
    <brk id="1590" max="8" man="1"/>
    <brk id="1606" max="8" man="1"/>
    <brk id="1620" max="8" man="1"/>
    <brk id="1648" max="8" man="1"/>
    <brk id="1662" max="8" man="1"/>
    <brk id="1677" max="8" man="1"/>
    <brk id="1691" max="8" man="1"/>
    <brk id="1705" max="8" man="1"/>
    <brk id="1719" max="8" man="1"/>
    <brk id="1733" max="8" man="1"/>
    <brk id="1747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819"/>
  <sheetViews>
    <sheetView workbookViewId="0">
      <pane ySplit="1" topLeftCell="A157" activePane="bottomLeft" state="frozen"/>
      <selection pane="bottomLeft"/>
    </sheetView>
  </sheetViews>
  <sheetFormatPr defaultRowHeight="15" x14ac:dyDescent="0.25"/>
  <cols>
    <col min="1" max="1" width="68" bestFit="1" customWidth="1"/>
    <col min="2" max="2" width="11.140625" bestFit="1" customWidth="1"/>
    <col min="3" max="3" width="173.85546875" bestFit="1" customWidth="1"/>
    <col min="4" max="4" width="15.42578125" bestFit="1" customWidth="1"/>
    <col min="5" max="5" width="39" style="19" bestFit="1" customWidth="1"/>
    <col min="6" max="6" width="68" bestFit="1" customWidth="1"/>
    <col min="7" max="7" width="14.85546875" bestFit="1" customWidth="1"/>
    <col min="9" max="9" width="7.28515625" bestFit="1" customWidth="1"/>
    <col min="13" max="13" width="7.28515625" bestFit="1" customWidth="1"/>
    <col min="14" max="14" width="6.85546875" bestFit="1" customWidth="1"/>
    <col min="16" max="16" width="7.28515625" bestFit="1" customWidth="1"/>
    <col min="17" max="17" width="6.85546875" bestFit="1" customWidth="1"/>
    <col min="19" max="19" width="7.28515625" bestFit="1" customWidth="1"/>
    <col min="20" max="20" width="6.85546875" bestFit="1" customWidth="1"/>
  </cols>
  <sheetData>
    <row r="1" spans="1:20" ht="15" customHeight="1" x14ac:dyDescent="0.25">
      <c r="A1" t="s">
        <v>920</v>
      </c>
      <c r="B1" t="s">
        <v>13</v>
      </c>
      <c r="C1" t="s">
        <v>921</v>
      </c>
      <c r="D1" t="s">
        <v>223</v>
      </c>
      <c r="E1" s="19" t="s">
        <v>922</v>
      </c>
      <c r="G1" t="s">
        <v>923</v>
      </c>
      <c r="I1" t="s">
        <v>2472</v>
      </c>
      <c r="J1" t="s">
        <v>2473</v>
      </c>
      <c r="K1" t="s">
        <v>2474</v>
      </c>
      <c r="M1" t="s">
        <v>2521</v>
      </c>
      <c r="P1" t="s">
        <v>1345</v>
      </c>
      <c r="S1" t="s">
        <v>1346</v>
      </c>
    </row>
    <row r="2" spans="1:20" ht="15" customHeight="1" x14ac:dyDescent="0.25">
      <c r="A2" t="s">
        <v>328</v>
      </c>
      <c r="B2" t="s">
        <v>329</v>
      </c>
      <c r="C2" t="s">
        <v>1249</v>
      </c>
      <c r="D2" t="s">
        <v>786</v>
      </c>
      <c r="E2" s="19">
        <v>0</v>
      </c>
      <c r="F2" t="s">
        <v>328</v>
      </c>
      <c r="G2" t="s">
        <v>844</v>
      </c>
      <c r="I2" t="s">
        <v>27</v>
      </c>
      <c r="J2" t="s">
        <v>2148</v>
      </c>
      <c r="K2" t="s">
        <v>27</v>
      </c>
      <c r="M2" t="s">
        <v>27</v>
      </c>
      <c r="N2" t="s">
        <v>2522</v>
      </c>
      <c r="P2" t="s">
        <v>2148</v>
      </c>
      <c r="Q2" t="s">
        <v>1357</v>
      </c>
      <c r="S2" t="s">
        <v>27</v>
      </c>
      <c r="T2" t="s">
        <v>1347</v>
      </c>
    </row>
    <row r="3" spans="1:20" ht="15" customHeight="1" x14ac:dyDescent="0.25">
      <c r="A3" t="s">
        <v>325</v>
      </c>
      <c r="B3" t="s">
        <v>326</v>
      </c>
      <c r="C3" t="s">
        <v>327</v>
      </c>
      <c r="D3" t="s">
        <v>786</v>
      </c>
      <c r="E3" s="19">
        <v>966555222717</v>
      </c>
      <c r="F3" t="s">
        <v>325</v>
      </c>
      <c r="G3" t="s">
        <v>844</v>
      </c>
      <c r="I3" t="s">
        <v>2143</v>
      </c>
      <c r="J3" t="s">
        <v>2193</v>
      </c>
      <c r="K3" t="s">
        <v>2143</v>
      </c>
      <c r="M3" t="s">
        <v>2157</v>
      </c>
      <c r="N3" t="s">
        <v>2522</v>
      </c>
      <c r="P3" t="s">
        <v>2143</v>
      </c>
      <c r="Q3" t="s">
        <v>1347</v>
      </c>
      <c r="S3" t="s">
        <v>2157</v>
      </c>
      <c r="T3" t="s">
        <v>1347</v>
      </c>
    </row>
    <row r="4" spans="1:20" ht="15" customHeight="1" x14ac:dyDescent="0.25">
      <c r="A4" t="s">
        <v>322</v>
      </c>
      <c r="B4" t="s">
        <v>323</v>
      </c>
      <c r="C4" t="s">
        <v>324</v>
      </c>
      <c r="D4" t="s">
        <v>919</v>
      </c>
      <c r="E4" s="19">
        <v>966530088995</v>
      </c>
      <c r="F4" t="s">
        <v>322</v>
      </c>
      <c r="G4" t="s">
        <v>849</v>
      </c>
      <c r="I4" t="s">
        <v>2157</v>
      </c>
      <c r="J4" t="s">
        <v>2178</v>
      </c>
      <c r="K4" t="s">
        <v>2157</v>
      </c>
      <c r="M4" t="s">
        <v>2163</v>
      </c>
      <c r="N4" t="s">
        <v>2522</v>
      </c>
      <c r="P4" t="s">
        <v>2178</v>
      </c>
      <c r="Q4" t="s">
        <v>1347</v>
      </c>
      <c r="S4" t="s">
        <v>2163</v>
      </c>
      <c r="T4" t="s">
        <v>1347</v>
      </c>
    </row>
    <row r="5" spans="1:20" ht="15" customHeight="1" x14ac:dyDescent="0.25">
      <c r="A5" t="s">
        <v>319</v>
      </c>
      <c r="B5" t="s">
        <v>320</v>
      </c>
      <c r="C5" t="s">
        <v>321</v>
      </c>
      <c r="D5" t="s">
        <v>919</v>
      </c>
      <c r="E5" s="19">
        <v>966500797959</v>
      </c>
      <c r="F5" t="s">
        <v>319</v>
      </c>
      <c r="G5" t="s">
        <v>849</v>
      </c>
      <c r="I5" t="s">
        <v>2163</v>
      </c>
      <c r="J5" t="s">
        <v>2190</v>
      </c>
      <c r="K5" t="s">
        <v>2163</v>
      </c>
      <c r="M5" t="s">
        <v>2199</v>
      </c>
      <c r="N5" t="s">
        <v>2522</v>
      </c>
      <c r="P5" t="s">
        <v>2190</v>
      </c>
      <c r="Q5" t="s">
        <v>1347</v>
      </c>
      <c r="S5" t="s">
        <v>2199</v>
      </c>
      <c r="T5" t="s">
        <v>1347</v>
      </c>
    </row>
    <row r="6" spans="1:20" ht="15" customHeight="1" x14ac:dyDescent="0.25">
      <c r="A6" t="s">
        <v>316</v>
      </c>
      <c r="B6" t="s">
        <v>317</v>
      </c>
      <c r="C6" t="s">
        <v>318</v>
      </c>
      <c r="D6" t="s">
        <v>919</v>
      </c>
      <c r="E6" s="19">
        <v>966534420022</v>
      </c>
      <c r="F6" t="s">
        <v>316</v>
      </c>
      <c r="G6" t="s">
        <v>838</v>
      </c>
      <c r="I6" t="s">
        <v>2199</v>
      </c>
      <c r="J6" t="s">
        <v>2219</v>
      </c>
      <c r="K6" t="s">
        <v>2199</v>
      </c>
      <c r="M6" t="s">
        <v>2202</v>
      </c>
      <c r="N6" t="s">
        <v>2522</v>
      </c>
      <c r="P6" t="s">
        <v>2219</v>
      </c>
      <c r="Q6" t="s">
        <v>1347</v>
      </c>
      <c r="S6" t="s">
        <v>2202</v>
      </c>
      <c r="T6" t="s">
        <v>1347</v>
      </c>
    </row>
    <row r="7" spans="1:20" ht="15" customHeight="1" x14ac:dyDescent="0.25">
      <c r="A7" t="s">
        <v>314</v>
      </c>
      <c r="B7" t="s">
        <v>315</v>
      </c>
      <c r="C7" t="s">
        <v>1248</v>
      </c>
      <c r="D7" t="s">
        <v>919</v>
      </c>
      <c r="E7" s="19">
        <v>966569872004</v>
      </c>
      <c r="F7" t="s">
        <v>314</v>
      </c>
      <c r="G7" t="s">
        <v>849</v>
      </c>
      <c r="I7" t="s">
        <v>2202</v>
      </c>
      <c r="J7" t="s">
        <v>2160</v>
      </c>
      <c r="K7" t="s">
        <v>2202</v>
      </c>
      <c r="M7" t="s">
        <v>2166</v>
      </c>
      <c r="N7" t="s">
        <v>2522</v>
      </c>
      <c r="P7" t="s">
        <v>2160</v>
      </c>
      <c r="Q7" t="s">
        <v>1357</v>
      </c>
      <c r="S7" t="s">
        <v>2166</v>
      </c>
      <c r="T7" t="s">
        <v>1347</v>
      </c>
    </row>
    <row r="8" spans="1:20" ht="15" customHeight="1" x14ac:dyDescent="0.25">
      <c r="A8" t="s">
        <v>311</v>
      </c>
      <c r="B8" t="s">
        <v>312</v>
      </c>
      <c r="C8" t="s">
        <v>313</v>
      </c>
      <c r="D8" t="s">
        <v>919</v>
      </c>
      <c r="E8" s="19">
        <v>966558546482</v>
      </c>
      <c r="F8" t="s">
        <v>311</v>
      </c>
      <c r="G8" t="s">
        <v>838</v>
      </c>
      <c r="I8" t="s">
        <v>2166</v>
      </c>
      <c r="J8" t="s">
        <v>2211</v>
      </c>
      <c r="K8" t="s">
        <v>2166</v>
      </c>
      <c r="M8" t="s">
        <v>2187</v>
      </c>
      <c r="N8" t="s">
        <v>2522</v>
      </c>
      <c r="P8" t="s">
        <v>2211</v>
      </c>
      <c r="Q8" t="s">
        <v>1357</v>
      </c>
      <c r="S8" t="s">
        <v>2187</v>
      </c>
      <c r="T8" t="s">
        <v>1347</v>
      </c>
    </row>
    <row r="9" spans="1:20" ht="15" customHeight="1" x14ac:dyDescent="0.25">
      <c r="A9" t="s">
        <v>308</v>
      </c>
      <c r="B9" t="s">
        <v>309</v>
      </c>
      <c r="C9" t="s">
        <v>310</v>
      </c>
      <c r="D9" t="s">
        <v>786</v>
      </c>
      <c r="E9" s="19">
        <v>966508999754</v>
      </c>
      <c r="F9" t="s">
        <v>308</v>
      </c>
      <c r="G9" t="s">
        <v>844</v>
      </c>
      <c r="I9" t="s">
        <v>2187</v>
      </c>
      <c r="J9" t="s">
        <v>2145</v>
      </c>
      <c r="K9" t="s">
        <v>2187</v>
      </c>
      <c r="M9" t="s">
        <v>2227</v>
      </c>
      <c r="N9" t="s">
        <v>2522</v>
      </c>
      <c r="P9" t="s">
        <v>2145</v>
      </c>
      <c r="Q9" t="s">
        <v>1357</v>
      </c>
      <c r="S9" t="s">
        <v>2227</v>
      </c>
      <c r="T9" t="s">
        <v>1347</v>
      </c>
    </row>
    <row r="10" spans="1:20" ht="15" customHeight="1" x14ac:dyDescent="0.25">
      <c r="A10" t="s">
        <v>305</v>
      </c>
      <c r="B10" t="s">
        <v>306</v>
      </c>
      <c r="C10" t="s">
        <v>307</v>
      </c>
      <c r="D10" t="s">
        <v>786</v>
      </c>
      <c r="E10" s="19">
        <v>966590005070</v>
      </c>
      <c r="F10" t="s">
        <v>305</v>
      </c>
      <c r="G10" t="s">
        <v>844</v>
      </c>
      <c r="I10" t="s">
        <v>2227</v>
      </c>
      <c r="J10" t="s">
        <v>67</v>
      </c>
      <c r="K10" t="s">
        <v>2227</v>
      </c>
      <c r="M10" t="s">
        <v>2221</v>
      </c>
      <c r="N10" t="s">
        <v>2522</v>
      </c>
      <c r="P10" t="s">
        <v>67</v>
      </c>
      <c r="Q10" t="s">
        <v>1357</v>
      </c>
      <c r="S10" t="s">
        <v>2221</v>
      </c>
      <c r="T10" t="s">
        <v>1347</v>
      </c>
    </row>
    <row r="11" spans="1:20" ht="15" customHeight="1" x14ac:dyDescent="0.25">
      <c r="A11" t="s">
        <v>303</v>
      </c>
      <c r="B11" t="s">
        <v>304</v>
      </c>
      <c r="C11" t="s">
        <v>1247</v>
      </c>
      <c r="D11" t="s">
        <v>919</v>
      </c>
      <c r="E11" s="19">
        <v>966505268643</v>
      </c>
      <c r="F11" t="s">
        <v>303</v>
      </c>
      <c r="G11" t="s">
        <v>842</v>
      </c>
      <c r="I11" t="s">
        <v>2221</v>
      </c>
      <c r="J11" t="s">
        <v>120</v>
      </c>
      <c r="K11" t="s">
        <v>2221</v>
      </c>
      <c r="M11" t="s">
        <v>2205</v>
      </c>
      <c r="N11" t="s">
        <v>2522</v>
      </c>
      <c r="P11" t="s">
        <v>111</v>
      </c>
      <c r="Q11" t="s">
        <v>1347</v>
      </c>
      <c r="S11" t="s">
        <v>2205</v>
      </c>
      <c r="T11" t="s">
        <v>1347</v>
      </c>
    </row>
    <row r="12" spans="1:20" ht="15" customHeight="1" x14ac:dyDescent="0.25">
      <c r="A12" t="s">
        <v>300</v>
      </c>
      <c r="B12" t="s">
        <v>301</v>
      </c>
      <c r="C12" t="s">
        <v>302</v>
      </c>
      <c r="D12" t="s">
        <v>786</v>
      </c>
      <c r="E12" s="19">
        <v>966563558668</v>
      </c>
      <c r="F12" t="s">
        <v>300</v>
      </c>
      <c r="G12" t="s">
        <v>844</v>
      </c>
      <c r="I12" t="s">
        <v>2205</v>
      </c>
      <c r="J12" t="s">
        <v>77</v>
      </c>
      <c r="K12" t="s">
        <v>2205</v>
      </c>
      <c r="M12" t="s">
        <v>2184</v>
      </c>
      <c r="N12" t="s">
        <v>2522</v>
      </c>
      <c r="P12" t="s">
        <v>120</v>
      </c>
      <c r="Q12" t="s">
        <v>1347</v>
      </c>
      <c r="S12" t="s">
        <v>2184</v>
      </c>
      <c r="T12" t="s">
        <v>1347</v>
      </c>
    </row>
    <row r="13" spans="1:20" ht="15" customHeight="1" x14ac:dyDescent="0.25">
      <c r="A13" t="s">
        <v>298</v>
      </c>
      <c r="B13" t="s">
        <v>299</v>
      </c>
      <c r="C13" t="s">
        <v>1246</v>
      </c>
      <c r="D13" t="s">
        <v>919</v>
      </c>
      <c r="E13" s="19">
        <v>966503603073</v>
      </c>
      <c r="F13" t="s">
        <v>298</v>
      </c>
      <c r="G13" t="s">
        <v>841</v>
      </c>
      <c r="I13" t="s">
        <v>2238</v>
      </c>
      <c r="J13" t="s">
        <v>193</v>
      </c>
      <c r="K13" t="s">
        <v>2238</v>
      </c>
      <c r="M13" t="s">
        <v>2238</v>
      </c>
      <c r="N13" t="s">
        <v>2522</v>
      </c>
      <c r="P13" t="s">
        <v>77</v>
      </c>
      <c r="Q13" t="s">
        <v>1357</v>
      </c>
      <c r="S13" t="s">
        <v>2238</v>
      </c>
      <c r="T13" t="s">
        <v>1347</v>
      </c>
    </row>
    <row r="14" spans="1:20" ht="15" customHeight="1" x14ac:dyDescent="0.25">
      <c r="A14" t="s">
        <v>295</v>
      </c>
      <c r="B14" t="s">
        <v>296</v>
      </c>
      <c r="C14" t="s">
        <v>297</v>
      </c>
      <c r="D14" t="s">
        <v>919</v>
      </c>
      <c r="E14" s="19">
        <v>966114113762</v>
      </c>
      <c r="F14" t="s">
        <v>295</v>
      </c>
      <c r="G14" t="s">
        <v>841</v>
      </c>
      <c r="I14" t="s">
        <v>2196</v>
      </c>
      <c r="J14" t="s">
        <v>61</v>
      </c>
      <c r="K14" t="s">
        <v>2196</v>
      </c>
      <c r="M14" t="s">
        <v>2196</v>
      </c>
      <c r="N14" t="s">
        <v>2522</v>
      </c>
      <c r="P14" t="s">
        <v>193</v>
      </c>
      <c r="Q14" t="s">
        <v>1357</v>
      </c>
      <c r="S14" t="s">
        <v>2196</v>
      </c>
      <c r="T14" t="s">
        <v>1347</v>
      </c>
    </row>
    <row r="15" spans="1:20" ht="15" customHeight="1" x14ac:dyDescent="0.25">
      <c r="A15" t="s">
        <v>292</v>
      </c>
      <c r="B15" t="s">
        <v>293</v>
      </c>
      <c r="C15" t="s">
        <v>294</v>
      </c>
      <c r="D15" t="s">
        <v>919</v>
      </c>
      <c r="E15" s="19">
        <v>966550807129</v>
      </c>
      <c r="F15" t="s">
        <v>292</v>
      </c>
      <c r="G15" t="s">
        <v>849</v>
      </c>
      <c r="I15" t="s">
        <v>65</v>
      </c>
      <c r="J15" t="s">
        <v>85</v>
      </c>
      <c r="K15" t="s">
        <v>65</v>
      </c>
      <c r="M15" t="s">
        <v>65</v>
      </c>
      <c r="N15" t="s">
        <v>2522</v>
      </c>
      <c r="P15" t="s">
        <v>61</v>
      </c>
      <c r="Q15" t="s">
        <v>1357</v>
      </c>
      <c r="S15" t="s">
        <v>196</v>
      </c>
      <c r="T15" t="s">
        <v>1347</v>
      </c>
    </row>
    <row r="16" spans="1:20" ht="15" customHeight="1" x14ac:dyDescent="0.25">
      <c r="A16" t="s">
        <v>289</v>
      </c>
      <c r="B16" t="s">
        <v>290</v>
      </c>
      <c r="C16" t="s">
        <v>291</v>
      </c>
      <c r="D16" t="s">
        <v>786</v>
      </c>
      <c r="E16" s="19">
        <v>9710558880021</v>
      </c>
      <c r="F16" t="s">
        <v>289</v>
      </c>
      <c r="G16" t="s">
        <v>844</v>
      </c>
      <c r="I16" t="s">
        <v>196</v>
      </c>
      <c r="J16" t="s">
        <v>173</v>
      </c>
      <c r="K16" t="s">
        <v>196</v>
      </c>
      <c r="M16" t="s">
        <v>196</v>
      </c>
      <c r="N16" t="s">
        <v>2522</v>
      </c>
      <c r="P16" t="s">
        <v>85</v>
      </c>
      <c r="Q16" t="s">
        <v>1357</v>
      </c>
      <c r="S16" t="s">
        <v>180</v>
      </c>
      <c r="T16" t="s">
        <v>1347</v>
      </c>
    </row>
    <row r="17" spans="1:20" ht="15" customHeight="1" x14ac:dyDescent="0.25">
      <c r="A17" t="s">
        <v>287</v>
      </c>
      <c r="B17" t="s">
        <v>288</v>
      </c>
      <c r="C17" t="s">
        <v>1245</v>
      </c>
      <c r="D17" t="s">
        <v>786</v>
      </c>
      <c r="E17" s="19">
        <v>0</v>
      </c>
      <c r="F17" t="s">
        <v>287</v>
      </c>
      <c r="G17" t="s">
        <v>844</v>
      </c>
      <c r="I17" t="s">
        <v>180</v>
      </c>
      <c r="J17" t="s">
        <v>154</v>
      </c>
      <c r="K17" t="s">
        <v>180</v>
      </c>
      <c r="M17" t="s">
        <v>180</v>
      </c>
      <c r="N17" t="s">
        <v>2522</v>
      </c>
      <c r="P17" t="s">
        <v>173</v>
      </c>
      <c r="Q17" t="s">
        <v>1357</v>
      </c>
      <c r="S17" t="s">
        <v>53</v>
      </c>
      <c r="T17" t="s">
        <v>1347</v>
      </c>
    </row>
    <row r="18" spans="1:20" ht="15" customHeight="1" x14ac:dyDescent="0.25">
      <c r="A18" t="s">
        <v>285</v>
      </c>
      <c r="B18" t="s">
        <v>286</v>
      </c>
      <c r="C18" t="s">
        <v>1244</v>
      </c>
      <c r="D18" t="s">
        <v>919</v>
      </c>
      <c r="E18" s="19">
        <v>0</v>
      </c>
      <c r="F18" t="s">
        <v>285</v>
      </c>
      <c r="G18" t="s">
        <v>838</v>
      </c>
      <c r="I18" t="s">
        <v>53</v>
      </c>
      <c r="J18" t="s">
        <v>32</v>
      </c>
      <c r="K18" t="s">
        <v>53</v>
      </c>
      <c r="M18" t="s">
        <v>53</v>
      </c>
      <c r="N18" t="s">
        <v>2522</v>
      </c>
      <c r="P18" t="s">
        <v>154</v>
      </c>
      <c r="Q18" t="s">
        <v>1357</v>
      </c>
      <c r="S18" t="s">
        <v>113</v>
      </c>
      <c r="T18" t="s">
        <v>1347</v>
      </c>
    </row>
    <row r="19" spans="1:20" ht="15" customHeight="1" x14ac:dyDescent="0.25">
      <c r="A19" t="s">
        <v>282</v>
      </c>
      <c r="B19" t="s">
        <v>283</v>
      </c>
      <c r="C19" t="s">
        <v>284</v>
      </c>
      <c r="D19" t="s">
        <v>919</v>
      </c>
      <c r="E19" s="19">
        <v>0</v>
      </c>
      <c r="F19" t="s">
        <v>282</v>
      </c>
      <c r="G19" t="s">
        <v>838</v>
      </c>
      <c r="I19" t="s">
        <v>113</v>
      </c>
      <c r="J19" t="s">
        <v>34</v>
      </c>
      <c r="K19" t="s">
        <v>113</v>
      </c>
      <c r="M19" t="s">
        <v>113</v>
      </c>
      <c r="N19" t="s">
        <v>2522</v>
      </c>
      <c r="P19" t="s">
        <v>32</v>
      </c>
      <c r="Q19" t="s">
        <v>1357</v>
      </c>
      <c r="S19" t="s">
        <v>59</v>
      </c>
      <c r="T19" t="s">
        <v>1347</v>
      </c>
    </row>
    <row r="20" spans="1:20" ht="15" customHeight="1" x14ac:dyDescent="0.25">
      <c r="A20" t="s">
        <v>279</v>
      </c>
      <c r="B20" t="s">
        <v>280</v>
      </c>
      <c r="C20" t="s">
        <v>281</v>
      </c>
      <c r="D20" t="s">
        <v>919</v>
      </c>
      <c r="E20" s="19">
        <v>966557060811</v>
      </c>
      <c r="F20" t="s">
        <v>279</v>
      </c>
      <c r="G20" t="s">
        <v>838</v>
      </c>
      <c r="I20" t="s">
        <v>59</v>
      </c>
      <c r="J20" t="s">
        <v>75</v>
      </c>
      <c r="K20" t="s">
        <v>59</v>
      </c>
      <c r="M20" t="s">
        <v>59</v>
      </c>
      <c r="N20" t="s">
        <v>2522</v>
      </c>
      <c r="P20" t="s">
        <v>33</v>
      </c>
      <c r="Q20" t="s">
        <v>1357</v>
      </c>
      <c r="S20" t="s">
        <v>55</v>
      </c>
      <c r="T20" t="s">
        <v>1347</v>
      </c>
    </row>
    <row r="21" spans="1:20" ht="15" customHeight="1" x14ac:dyDescent="0.25">
      <c r="A21" t="s">
        <v>277</v>
      </c>
      <c r="B21" t="s">
        <v>278</v>
      </c>
      <c r="C21" t="s">
        <v>1243</v>
      </c>
      <c r="D21" t="s">
        <v>786</v>
      </c>
      <c r="E21" s="19">
        <v>966501422240</v>
      </c>
      <c r="F21" t="s">
        <v>277</v>
      </c>
      <c r="G21" t="s">
        <v>844</v>
      </c>
      <c r="I21" t="s">
        <v>55</v>
      </c>
      <c r="J21" t="s">
        <v>36</v>
      </c>
      <c r="K21" t="s">
        <v>55</v>
      </c>
      <c r="M21" t="s">
        <v>55</v>
      </c>
      <c r="N21" t="s">
        <v>2522</v>
      </c>
      <c r="P21" t="s">
        <v>34</v>
      </c>
      <c r="Q21" t="s">
        <v>1357</v>
      </c>
      <c r="S21" t="s">
        <v>166</v>
      </c>
      <c r="T21" t="s">
        <v>1347</v>
      </c>
    </row>
    <row r="22" spans="1:20" ht="15" customHeight="1" x14ac:dyDescent="0.25">
      <c r="A22" t="s">
        <v>275</v>
      </c>
      <c r="B22" t="s">
        <v>276</v>
      </c>
      <c r="C22" t="s">
        <v>1242</v>
      </c>
      <c r="D22" t="s">
        <v>786</v>
      </c>
      <c r="E22" s="19">
        <v>966567104116</v>
      </c>
      <c r="F22" t="s">
        <v>275</v>
      </c>
      <c r="G22" t="s">
        <v>844</v>
      </c>
      <c r="I22" t="s">
        <v>166</v>
      </c>
      <c r="J22" t="s">
        <v>152</v>
      </c>
      <c r="K22" t="s">
        <v>166</v>
      </c>
      <c r="M22" t="s">
        <v>166</v>
      </c>
      <c r="N22" t="s">
        <v>2522</v>
      </c>
      <c r="P22" t="s">
        <v>35</v>
      </c>
      <c r="Q22" t="s">
        <v>1357</v>
      </c>
      <c r="S22" t="s">
        <v>189</v>
      </c>
      <c r="T22" t="s">
        <v>1347</v>
      </c>
    </row>
    <row r="23" spans="1:20" ht="15" customHeight="1" x14ac:dyDescent="0.25">
      <c r="A23" t="s">
        <v>272</v>
      </c>
      <c r="B23" t="s">
        <v>273</v>
      </c>
      <c r="C23" t="s">
        <v>274</v>
      </c>
      <c r="D23" t="s">
        <v>919</v>
      </c>
      <c r="E23" s="19">
        <v>966503837380</v>
      </c>
      <c r="F23" t="s">
        <v>272</v>
      </c>
      <c r="G23" t="s">
        <v>857</v>
      </c>
      <c r="I23" t="s">
        <v>189</v>
      </c>
      <c r="J23" t="s">
        <v>91</v>
      </c>
      <c r="K23" t="s">
        <v>189</v>
      </c>
      <c r="M23" t="s">
        <v>189</v>
      </c>
      <c r="N23" t="s">
        <v>2522</v>
      </c>
      <c r="P23" t="s">
        <v>75</v>
      </c>
      <c r="Q23" t="s">
        <v>1357</v>
      </c>
      <c r="S23" t="s">
        <v>170</v>
      </c>
      <c r="T23" t="s">
        <v>1347</v>
      </c>
    </row>
    <row r="24" spans="1:20" ht="15" customHeight="1" x14ac:dyDescent="0.25">
      <c r="A24" t="s">
        <v>270</v>
      </c>
      <c r="B24" t="s">
        <v>271</v>
      </c>
      <c r="C24" t="s">
        <v>1241</v>
      </c>
      <c r="D24" t="s">
        <v>786</v>
      </c>
      <c r="E24" s="19">
        <v>966501000498</v>
      </c>
      <c r="F24" t="s">
        <v>270</v>
      </c>
      <c r="G24" t="s">
        <v>844</v>
      </c>
      <c r="I24" t="s">
        <v>170</v>
      </c>
      <c r="J24" t="s">
        <v>198</v>
      </c>
      <c r="K24" t="s">
        <v>170</v>
      </c>
      <c r="M24" t="s">
        <v>170</v>
      </c>
      <c r="N24" t="s">
        <v>2522</v>
      </c>
      <c r="P24" t="s">
        <v>36</v>
      </c>
      <c r="Q24" t="s">
        <v>1357</v>
      </c>
      <c r="S24" t="s">
        <v>178</v>
      </c>
      <c r="T24" t="s">
        <v>1347</v>
      </c>
    </row>
    <row r="25" spans="1:20" ht="15" customHeight="1" x14ac:dyDescent="0.25">
      <c r="A25" t="s">
        <v>268</v>
      </c>
      <c r="B25" t="s">
        <v>269</v>
      </c>
      <c r="C25" t="s">
        <v>1240</v>
      </c>
      <c r="D25" t="s">
        <v>919</v>
      </c>
      <c r="E25" s="19">
        <v>966596031313</v>
      </c>
      <c r="F25" t="s">
        <v>268</v>
      </c>
      <c r="G25" t="s">
        <v>849</v>
      </c>
      <c r="I25" t="s">
        <v>178</v>
      </c>
      <c r="J25" t="s">
        <v>38</v>
      </c>
      <c r="K25" t="s">
        <v>178</v>
      </c>
      <c r="M25" t="s">
        <v>178</v>
      </c>
      <c r="N25" t="s">
        <v>2522</v>
      </c>
      <c r="P25" t="s">
        <v>37</v>
      </c>
      <c r="Q25" t="s">
        <v>1357</v>
      </c>
      <c r="S25" t="s">
        <v>158</v>
      </c>
      <c r="T25" t="s">
        <v>1347</v>
      </c>
    </row>
    <row r="26" spans="1:20" ht="15" customHeight="1" x14ac:dyDescent="0.25">
      <c r="A26" t="s">
        <v>266</v>
      </c>
      <c r="B26" t="s">
        <v>267</v>
      </c>
      <c r="C26" t="s">
        <v>1239</v>
      </c>
      <c r="D26" t="s">
        <v>919</v>
      </c>
      <c r="E26" s="19">
        <v>96655000118</v>
      </c>
      <c r="F26" t="s">
        <v>266</v>
      </c>
      <c r="G26" t="s">
        <v>841</v>
      </c>
      <c r="I26" t="s">
        <v>158</v>
      </c>
      <c r="J26" t="s">
        <v>39</v>
      </c>
      <c r="K26" t="s">
        <v>158</v>
      </c>
      <c r="M26" t="s">
        <v>158</v>
      </c>
      <c r="N26" t="s">
        <v>2522</v>
      </c>
      <c r="P26" t="s">
        <v>152</v>
      </c>
      <c r="Q26" t="s">
        <v>1357</v>
      </c>
      <c r="S26" t="s">
        <v>185</v>
      </c>
      <c r="T26" t="s">
        <v>1347</v>
      </c>
    </row>
    <row r="27" spans="1:20" ht="15" customHeight="1" x14ac:dyDescent="0.25">
      <c r="A27" t="s">
        <v>263</v>
      </c>
      <c r="B27" t="s">
        <v>264</v>
      </c>
      <c r="C27" t="s">
        <v>265</v>
      </c>
      <c r="D27" t="s">
        <v>919</v>
      </c>
      <c r="E27" s="19">
        <v>966598033641</v>
      </c>
      <c r="F27" t="s">
        <v>263</v>
      </c>
      <c r="G27" t="s">
        <v>857</v>
      </c>
      <c r="I27" t="s">
        <v>185</v>
      </c>
      <c r="J27" t="s">
        <v>104</v>
      </c>
      <c r="K27" t="s">
        <v>185</v>
      </c>
      <c r="M27" t="s">
        <v>185</v>
      </c>
      <c r="N27" t="s">
        <v>2522</v>
      </c>
      <c r="P27" t="s">
        <v>91</v>
      </c>
      <c r="Q27" t="s">
        <v>1357</v>
      </c>
      <c r="S27" t="s">
        <v>83</v>
      </c>
      <c r="T27" t="s">
        <v>1347</v>
      </c>
    </row>
    <row r="28" spans="1:20" ht="15" customHeight="1" x14ac:dyDescent="0.25">
      <c r="A28" t="s">
        <v>261</v>
      </c>
      <c r="B28" t="s">
        <v>262</v>
      </c>
      <c r="C28" t="s">
        <v>1239</v>
      </c>
      <c r="D28" t="s">
        <v>919</v>
      </c>
      <c r="E28" s="19">
        <v>96655000118</v>
      </c>
      <c r="F28" t="s">
        <v>261</v>
      </c>
      <c r="G28" t="s">
        <v>857</v>
      </c>
      <c r="I28" t="s">
        <v>111</v>
      </c>
      <c r="J28" t="s">
        <v>63</v>
      </c>
      <c r="K28" t="s">
        <v>83</v>
      </c>
      <c r="M28" t="s">
        <v>83</v>
      </c>
      <c r="N28" t="s">
        <v>2522</v>
      </c>
      <c r="P28" t="s">
        <v>198</v>
      </c>
      <c r="Q28" t="s">
        <v>1357</v>
      </c>
      <c r="S28" t="s">
        <v>49</v>
      </c>
      <c r="T28" t="s">
        <v>1347</v>
      </c>
    </row>
    <row r="29" spans="1:20" ht="15" customHeight="1" x14ac:dyDescent="0.25">
      <c r="A29" t="s">
        <v>259</v>
      </c>
      <c r="B29" t="s">
        <v>260</v>
      </c>
      <c r="C29" t="s">
        <v>1232</v>
      </c>
      <c r="D29" t="s">
        <v>919</v>
      </c>
      <c r="E29" s="19">
        <v>966126975952</v>
      </c>
      <c r="F29" t="s">
        <v>259</v>
      </c>
      <c r="G29" t="s">
        <v>839</v>
      </c>
      <c r="I29" t="s">
        <v>83</v>
      </c>
      <c r="J29" t="s">
        <v>40</v>
      </c>
      <c r="K29" t="s">
        <v>49</v>
      </c>
      <c r="M29" t="s">
        <v>49</v>
      </c>
      <c r="N29" t="s">
        <v>2522</v>
      </c>
      <c r="P29" t="s">
        <v>38</v>
      </c>
      <c r="Q29" t="s">
        <v>1357</v>
      </c>
      <c r="S29" t="s">
        <v>47</v>
      </c>
      <c r="T29" t="s">
        <v>1347</v>
      </c>
    </row>
    <row r="30" spans="1:20" ht="15" customHeight="1" x14ac:dyDescent="0.25">
      <c r="A30" t="s">
        <v>256</v>
      </c>
      <c r="B30" t="s">
        <v>257</v>
      </c>
      <c r="C30" t="s">
        <v>258</v>
      </c>
      <c r="D30" t="s">
        <v>919</v>
      </c>
      <c r="E30" s="19">
        <v>97156637505</v>
      </c>
      <c r="F30" t="s">
        <v>256</v>
      </c>
      <c r="G30" t="s">
        <v>838</v>
      </c>
      <c r="I30" t="s">
        <v>49</v>
      </c>
      <c r="J30" t="s">
        <v>219</v>
      </c>
      <c r="K30" t="s">
        <v>47</v>
      </c>
      <c r="M30" t="s">
        <v>47</v>
      </c>
      <c r="N30" t="s">
        <v>2522</v>
      </c>
      <c r="P30" t="s">
        <v>39</v>
      </c>
      <c r="Q30" t="s">
        <v>1357</v>
      </c>
      <c r="S30" t="s">
        <v>106</v>
      </c>
      <c r="T30" t="s">
        <v>1347</v>
      </c>
    </row>
    <row r="31" spans="1:20" ht="15" customHeight="1" x14ac:dyDescent="0.25">
      <c r="A31" t="s">
        <v>254</v>
      </c>
      <c r="B31" t="s">
        <v>255</v>
      </c>
      <c r="C31" t="s">
        <v>1238</v>
      </c>
      <c r="D31" t="s">
        <v>919</v>
      </c>
      <c r="E31" s="19">
        <v>966535658581</v>
      </c>
      <c r="F31" t="s">
        <v>254</v>
      </c>
      <c r="G31" t="s">
        <v>839</v>
      </c>
      <c r="I31" t="s">
        <v>47</v>
      </c>
      <c r="J31" t="s">
        <v>342</v>
      </c>
      <c r="K31" t="s">
        <v>106</v>
      </c>
      <c r="M31" t="s">
        <v>106</v>
      </c>
      <c r="N31" t="s">
        <v>2522</v>
      </c>
      <c r="P31" t="s">
        <v>104</v>
      </c>
      <c r="Q31" t="s">
        <v>1357</v>
      </c>
      <c r="S31" t="s">
        <v>168</v>
      </c>
      <c r="T31" t="s">
        <v>1347</v>
      </c>
    </row>
    <row r="32" spans="1:20" ht="15" customHeight="1" x14ac:dyDescent="0.25">
      <c r="A32" t="s">
        <v>252</v>
      </c>
      <c r="B32" t="s">
        <v>253</v>
      </c>
      <c r="C32" t="s">
        <v>1237</v>
      </c>
      <c r="D32" t="s">
        <v>919</v>
      </c>
      <c r="E32" s="19">
        <v>966114668080</v>
      </c>
      <c r="F32" t="s">
        <v>252</v>
      </c>
      <c r="G32" t="s">
        <v>838</v>
      </c>
      <c r="I32" t="s">
        <v>106</v>
      </c>
      <c r="J32" t="s">
        <v>215</v>
      </c>
      <c r="K32" t="s">
        <v>168</v>
      </c>
      <c r="M32" t="s">
        <v>168</v>
      </c>
      <c r="N32" t="s">
        <v>2522</v>
      </c>
      <c r="P32" t="s">
        <v>63</v>
      </c>
      <c r="Q32" t="s">
        <v>1357</v>
      </c>
      <c r="S32" t="s">
        <v>176</v>
      </c>
      <c r="T32" t="s">
        <v>1347</v>
      </c>
    </row>
    <row r="33" spans="1:20" ht="15" customHeight="1" x14ac:dyDescent="0.25">
      <c r="A33" t="s">
        <v>250</v>
      </c>
      <c r="B33" t="s">
        <v>251</v>
      </c>
      <c r="C33" t="s">
        <v>1236</v>
      </c>
      <c r="D33" t="s">
        <v>919</v>
      </c>
      <c r="E33" s="19">
        <v>966507889959</v>
      </c>
      <c r="F33" t="s">
        <v>250</v>
      </c>
      <c r="G33" t="s">
        <v>872</v>
      </c>
      <c r="I33" t="s">
        <v>168</v>
      </c>
      <c r="J33" t="s">
        <v>374</v>
      </c>
      <c r="K33" t="s">
        <v>176</v>
      </c>
      <c r="M33" t="s">
        <v>176</v>
      </c>
      <c r="N33" t="s">
        <v>2522</v>
      </c>
      <c r="P33" t="s">
        <v>116</v>
      </c>
      <c r="Q33" t="s">
        <v>1357</v>
      </c>
      <c r="S33" t="s">
        <v>160</v>
      </c>
      <c r="T33" t="s">
        <v>1347</v>
      </c>
    </row>
    <row r="34" spans="1:20" ht="15" customHeight="1" x14ac:dyDescent="0.25">
      <c r="A34" t="s">
        <v>248</v>
      </c>
      <c r="B34" t="s">
        <v>249</v>
      </c>
      <c r="C34" t="s">
        <v>1235</v>
      </c>
      <c r="D34" t="s">
        <v>786</v>
      </c>
      <c r="E34" s="19">
        <v>966559865589</v>
      </c>
      <c r="F34" t="s">
        <v>248</v>
      </c>
      <c r="G34" t="s">
        <v>844</v>
      </c>
      <c r="I34" t="s">
        <v>176</v>
      </c>
      <c r="J34" t="s">
        <v>381</v>
      </c>
      <c r="K34" t="s">
        <v>160</v>
      </c>
      <c r="M34" t="s">
        <v>210</v>
      </c>
      <c r="N34" t="s">
        <v>2522</v>
      </c>
      <c r="P34" t="s">
        <v>40</v>
      </c>
      <c r="Q34" t="s">
        <v>1357</v>
      </c>
      <c r="S34" t="s">
        <v>93</v>
      </c>
      <c r="T34" t="s">
        <v>1347</v>
      </c>
    </row>
    <row r="35" spans="1:20" ht="15" customHeight="1" x14ac:dyDescent="0.25">
      <c r="A35" t="s">
        <v>246</v>
      </c>
      <c r="B35" t="s">
        <v>247</v>
      </c>
      <c r="C35" t="s">
        <v>1234</v>
      </c>
      <c r="D35" t="s">
        <v>786</v>
      </c>
      <c r="E35" s="19">
        <v>966536515223</v>
      </c>
      <c r="F35" t="s">
        <v>246</v>
      </c>
      <c r="G35" t="s">
        <v>844</v>
      </c>
      <c r="I35" t="s">
        <v>210</v>
      </c>
      <c r="J35" t="s">
        <v>388</v>
      </c>
      <c r="K35" t="s">
        <v>93</v>
      </c>
      <c r="M35" t="s">
        <v>69</v>
      </c>
      <c r="N35" t="s">
        <v>2522</v>
      </c>
      <c r="P35" t="s">
        <v>219</v>
      </c>
      <c r="Q35" t="s">
        <v>1357</v>
      </c>
      <c r="S35" t="s">
        <v>42</v>
      </c>
      <c r="T35" t="s">
        <v>1347</v>
      </c>
    </row>
    <row r="36" spans="1:20" ht="15" customHeight="1" x14ac:dyDescent="0.25">
      <c r="A36" t="s">
        <v>244</v>
      </c>
      <c r="B36" t="s">
        <v>245</v>
      </c>
      <c r="C36" t="s">
        <v>1233</v>
      </c>
      <c r="D36" t="s">
        <v>919</v>
      </c>
      <c r="E36" s="19">
        <v>966554434728</v>
      </c>
      <c r="F36" t="s">
        <v>244</v>
      </c>
      <c r="G36" t="s">
        <v>838</v>
      </c>
      <c r="I36" t="s">
        <v>124</v>
      </c>
      <c r="J36" t="s">
        <v>409</v>
      </c>
      <c r="K36" t="s">
        <v>42</v>
      </c>
      <c r="M36" t="s">
        <v>160</v>
      </c>
      <c r="N36" t="s">
        <v>2522</v>
      </c>
      <c r="P36" t="s">
        <v>342</v>
      </c>
      <c r="Q36" t="s">
        <v>1347</v>
      </c>
      <c r="S36" t="s">
        <v>87</v>
      </c>
      <c r="T36" t="s">
        <v>1347</v>
      </c>
    </row>
    <row r="37" spans="1:20" ht="15" customHeight="1" x14ac:dyDescent="0.25">
      <c r="A37" t="s">
        <v>242</v>
      </c>
      <c r="B37" t="s">
        <v>243</v>
      </c>
      <c r="C37" t="s">
        <v>1232</v>
      </c>
      <c r="D37" t="s">
        <v>919</v>
      </c>
      <c r="E37" s="19">
        <v>966126975952</v>
      </c>
      <c r="F37" t="s">
        <v>242</v>
      </c>
      <c r="G37" t="s">
        <v>853</v>
      </c>
      <c r="I37" t="s">
        <v>69</v>
      </c>
      <c r="J37" t="s">
        <v>425</v>
      </c>
      <c r="K37" t="s">
        <v>87</v>
      </c>
      <c r="M37" t="s">
        <v>81</v>
      </c>
      <c r="N37" t="s">
        <v>2522</v>
      </c>
      <c r="P37" t="s">
        <v>215</v>
      </c>
      <c r="Q37" t="s">
        <v>1357</v>
      </c>
      <c r="S37" t="s">
        <v>208</v>
      </c>
      <c r="T37" t="s">
        <v>1347</v>
      </c>
    </row>
    <row r="38" spans="1:20" ht="15" customHeight="1" x14ac:dyDescent="0.25">
      <c r="A38" t="s">
        <v>239</v>
      </c>
      <c r="B38" t="s">
        <v>240</v>
      </c>
      <c r="C38" t="s">
        <v>241</v>
      </c>
      <c r="D38" t="s">
        <v>919</v>
      </c>
      <c r="E38" s="19">
        <v>966530605045</v>
      </c>
      <c r="F38" t="s">
        <v>239</v>
      </c>
      <c r="G38" t="s">
        <v>838</v>
      </c>
      <c r="I38" t="s">
        <v>160</v>
      </c>
      <c r="J38" t="s">
        <v>444</v>
      </c>
      <c r="K38" t="s">
        <v>44</v>
      </c>
      <c r="M38" t="s">
        <v>42</v>
      </c>
      <c r="N38" t="s">
        <v>2522</v>
      </c>
      <c r="P38" t="s">
        <v>359</v>
      </c>
      <c r="Q38" t="s">
        <v>1357</v>
      </c>
      <c r="S38" t="s">
        <v>164</v>
      </c>
      <c r="T38" t="s">
        <v>1347</v>
      </c>
    </row>
    <row r="39" spans="1:20" ht="15" customHeight="1" x14ac:dyDescent="0.25">
      <c r="A39" t="s">
        <v>236</v>
      </c>
      <c r="B39" t="s">
        <v>237</v>
      </c>
      <c r="C39" t="s">
        <v>238</v>
      </c>
      <c r="D39" t="s">
        <v>919</v>
      </c>
      <c r="E39" s="19">
        <v>966569192934</v>
      </c>
      <c r="F39" t="s">
        <v>236</v>
      </c>
      <c r="G39" t="s">
        <v>849</v>
      </c>
      <c r="I39" t="s">
        <v>81</v>
      </c>
      <c r="J39" t="s">
        <v>456</v>
      </c>
      <c r="K39" t="s">
        <v>208</v>
      </c>
      <c r="M39" t="s">
        <v>87</v>
      </c>
      <c r="N39" t="s">
        <v>2522</v>
      </c>
      <c r="P39" t="s">
        <v>381</v>
      </c>
      <c r="Q39" t="s">
        <v>1357</v>
      </c>
      <c r="S39" t="s">
        <v>156</v>
      </c>
      <c r="T39" t="s">
        <v>1347</v>
      </c>
    </row>
    <row r="40" spans="1:20" ht="15" customHeight="1" x14ac:dyDescent="0.25">
      <c r="A40" t="s">
        <v>234</v>
      </c>
      <c r="B40" t="s">
        <v>235</v>
      </c>
      <c r="C40" t="s">
        <v>1231</v>
      </c>
      <c r="D40" t="s">
        <v>919</v>
      </c>
      <c r="E40" s="19">
        <v>966114361727</v>
      </c>
      <c r="F40" t="s">
        <v>234</v>
      </c>
      <c r="G40" t="s">
        <v>858</v>
      </c>
      <c r="I40" t="s">
        <v>33</v>
      </c>
      <c r="J40" t="s">
        <v>423</v>
      </c>
      <c r="K40" t="s">
        <v>164</v>
      </c>
      <c r="M40" t="s">
        <v>208</v>
      </c>
      <c r="N40" t="s">
        <v>2522</v>
      </c>
      <c r="P40" t="s">
        <v>416</v>
      </c>
      <c r="Q40" t="s">
        <v>1357</v>
      </c>
      <c r="S40" t="s">
        <v>79</v>
      </c>
      <c r="T40" t="s">
        <v>1347</v>
      </c>
    </row>
    <row r="41" spans="1:20" ht="15" customHeight="1" x14ac:dyDescent="0.25">
      <c r="A41" t="s">
        <v>231</v>
      </c>
      <c r="B41" t="s">
        <v>232</v>
      </c>
      <c r="C41" t="s">
        <v>233</v>
      </c>
      <c r="D41" t="s">
        <v>919</v>
      </c>
      <c r="E41" s="19">
        <v>966551831001</v>
      </c>
      <c r="F41" t="s">
        <v>231</v>
      </c>
      <c r="G41" t="s">
        <v>838</v>
      </c>
      <c r="I41" t="s">
        <v>42</v>
      </c>
      <c r="J41" t="s">
        <v>458</v>
      </c>
      <c r="K41" t="s">
        <v>156</v>
      </c>
      <c r="M41" t="s">
        <v>164</v>
      </c>
      <c r="N41" t="s">
        <v>2522</v>
      </c>
      <c r="P41" t="s">
        <v>409</v>
      </c>
      <c r="Q41" t="s">
        <v>1357</v>
      </c>
      <c r="S41" t="s">
        <v>135</v>
      </c>
      <c r="T41" t="s">
        <v>1347</v>
      </c>
    </row>
    <row r="42" spans="1:20" ht="15" customHeight="1" x14ac:dyDescent="0.25">
      <c r="A42" t="s">
        <v>229</v>
      </c>
      <c r="B42" t="s">
        <v>230</v>
      </c>
      <c r="C42" t="s">
        <v>1230</v>
      </c>
      <c r="D42" t="s">
        <v>919</v>
      </c>
      <c r="E42" s="19">
        <v>966592229888</v>
      </c>
      <c r="F42" t="s">
        <v>229</v>
      </c>
      <c r="G42" t="s">
        <v>849</v>
      </c>
      <c r="I42" t="s">
        <v>87</v>
      </c>
      <c r="J42" t="s">
        <v>467</v>
      </c>
      <c r="K42" t="s">
        <v>79</v>
      </c>
      <c r="M42" t="s">
        <v>156</v>
      </c>
      <c r="N42" t="s">
        <v>2522</v>
      </c>
      <c r="P42" t="s">
        <v>425</v>
      </c>
      <c r="Q42" t="s">
        <v>1357</v>
      </c>
      <c r="S42" t="s">
        <v>71</v>
      </c>
      <c r="T42" t="s">
        <v>1347</v>
      </c>
    </row>
    <row r="43" spans="1:20" ht="15" customHeight="1" x14ac:dyDescent="0.25">
      <c r="A43" t="s">
        <v>226</v>
      </c>
      <c r="B43" t="s">
        <v>227</v>
      </c>
      <c r="C43" t="s">
        <v>228</v>
      </c>
      <c r="D43" t="s">
        <v>786</v>
      </c>
      <c r="E43" s="19">
        <v>0</v>
      </c>
      <c r="F43" t="s">
        <v>226</v>
      </c>
      <c r="G43" t="s">
        <v>844</v>
      </c>
      <c r="I43" t="s">
        <v>44</v>
      </c>
      <c r="J43" t="s">
        <v>469</v>
      </c>
      <c r="K43" t="s">
        <v>135</v>
      </c>
      <c r="M43" t="s">
        <v>183</v>
      </c>
      <c r="N43" t="s">
        <v>2522</v>
      </c>
      <c r="P43" t="s">
        <v>444</v>
      </c>
      <c r="Q43" t="s">
        <v>1357</v>
      </c>
      <c r="S43" t="s">
        <v>89</v>
      </c>
      <c r="T43" t="s">
        <v>1347</v>
      </c>
    </row>
    <row r="44" spans="1:20" ht="15" customHeight="1" x14ac:dyDescent="0.25">
      <c r="A44" t="s">
        <v>395</v>
      </c>
      <c r="B44" t="s">
        <v>396</v>
      </c>
      <c r="C44" t="s">
        <v>1229</v>
      </c>
      <c r="D44" t="s">
        <v>786</v>
      </c>
      <c r="F44" t="s">
        <v>395</v>
      </c>
      <c r="G44" t="s">
        <v>844</v>
      </c>
      <c r="I44" t="s">
        <v>208</v>
      </c>
      <c r="J44" t="s">
        <v>484</v>
      </c>
      <c r="K44" t="s">
        <v>71</v>
      </c>
      <c r="M44" t="s">
        <v>79</v>
      </c>
      <c r="N44" t="s">
        <v>2522</v>
      </c>
      <c r="P44" t="s">
        <v>456</v>
      </c>
      <c r="Q44" t="s">
        <v>1347</v>
      </c>
      <c r="S44" t="s">
        <v>162</v>
      </c>
      <c r="T44" t="s">
        <v>1347</v>
      </c>
    </row>
    <row r="45" spans="1:20" ht="15" customHeight="1" x14ac:dyDescent="0.25">
      <c r="A45" t="s">
        <v>333</v>
      </c>
      <c r="B45" t="s">
        <v>334</v>
      </c>
      <c r="C45" t="s">
        <v>1228</v>
      </c>
      <c r="D45" t="s">
        <v>786</v>
      </c>
      <c r="E45" s="19">
        <v>966508998893</v>
      </c>
      <c r="F45" t="s">
        <v>333</v>
      </c>
      <c r="G45" t="s">
        <v>844</v>
      </c>
      <c r="I45" t="s">
        <v>164</v>
      </c>
      <c r="J45" t="s">
        <v>383</v>
      </c>
      <c r="K45" t="s">
        <v>89</v>
      </c>
      <c r="M45" t="s">
        <v>206</v>
      </c>
      <c r="N45" t="s">
        <v>2522</v>
      </c>
      <c r="P45" t="s">
        <v>423</v>
      </c>
      <c r="Q45" t="s">
        <v>1357</v>
      </c>
      <c r="S45" t="s">
        <v>73</v>
      </c>
      <c r="T45" t="s">
        <v>1347</v>
      </c>
    </row>
    <row r="46" spans="1:20" ht="15" customHeight="1" x14ac:dyDescent="0.25">
      <c r="A46" t="s">
        <v>335</v>
      </c>
      <c r="B46" t="s">
        <v>336</v>
      </c>
      <c r="C46" t="s">
        <v>1227</v>
      </c>
      <c r="D46" t="s">
        <v>786</v>
      </c>
      <c r="E46" s="19">
        <v>966550059296</v>
      </c>
      <c r="F46" t="s">
        <v>335</v>
      </c>
      <c r="G46" t="s">
        <v>844</v>
      </c>
      <c r="I46" t="s">
        <v>35</v>
      </c>
      <c r="J46" t="s">
        <v>528</v>
      </c>
      <c r="K46" t="s">
        <v>162</v>
      </c>
      <c r="M46" t="s">
        <v>135</v>
      </c>
      <c r="N46" t="s">
        <v>2522</v>
      </c>
      <c r="P46" t="s">
        <v>458</v>
      </c>
      <c r="Q46" t="s">
        <v>1357</v>
      </c>
      <c r="S46" t="s">
        <v>187</v>
      </c>
      <c r="T46" t="s">
        <v>1347</v>
      </c>
    </row>
    <row r="47" spans="1:20" ht="15" customHeight="1" x14ac:dyDescent="0.25">
      <c r="A47" t="s">
        <v>337</v>
      </c>
      <c r="B47" t="s">
        <v>338</v>
      </c>
      <c r="C47" t="s">
        <v>1226</v>
      </c>
      <c r="D47" t="s">
        <v>786</v>
      </c>
      <c r="E47" s="19">
        <v>966114038220</v>
      </c>
      <c r="F47" t="s">
        <v>337</v>
      </c>
      <c r="G47" t="s">
        <v>844</v>
      </c>
      <c r="I47" t="s">
        <v>156</v>
      </c>
      <c r="J47" t="s">
        <v>526</v>
      </c>
      <c r="K47" t="s">
        <v>73</v>
      </c>
      <c r="M47" t="s">
        <v>71</v>
      </c>
      <c r="N47" t="s">
        <v>2522</v>
      </c>
      <c r="P47" t="s">
        <v>467</v>
      </c>
      <c r="Q47" t="s">
        <v>1357</v>
      </c>
      <c r="S47" t="s">
        <v>217</v>
      </c>
      <c r="T47" t="s">
        <v>1347</v>
      </c>
    </row>
    <row r="48" spans="1:20" ht="15" customHeight="1" x14ac:dyDescent="0.25">
      <c r="A48" t="s">
        <v>345</v>
      </c>
      <c r="B48" t="s">
        <v>346</v>
      </c>
      <c r="C48" t="s">
        <v>1225</v>
      </c>
      <c r="D48" t="s">
        <v>919</v>
      </c>
      <c r="E48" s="19" t="e">
        <v>#N/A</v>
      </c>
      <c r="F48" t="s">
        <v>345</v>
      </c>
      <c r="G48" t="s">
        <v>858</v>
      </c>
      <c r="I48" t="s">
        <v>183</v>
      </c>
      <c r="J48" t="s">
        <v>518</v>
      </c>
      <c r="K48" t="s">
        <v>187</v>
      </c>
      <c r="M48" t="s">
        <v>89</v>
      </c>
      <c r="N48" t="s">
        <v>2522</v>
      </c>
      <c r="P48" t="s">
        <v>469</v>
      </c>
      <c r="Q48" t="s">
        <v>1357</v>
      </c>
      <c r="S48" t="s">
        <v>340</v>
      </c>
      <c r="T48" t="s">
        <v>1347</v>
      </c>
    </row>
    <row r="49" spans="1:20" ht="15" customHeight="1" x14ac:dyDescent="0.25">
      <c r="A49" t="s">
        <v>347</v>
      </c>
      <c r="B49" t="s">
        <v>348</v>
      </c>
      <c r="C49" t="s">
        <v>10104</v>
      </c>
      <c r="D49" t="s">
        <v>919</v>
      </c>
      <c r="E49" s="19">
        <v>966569690607</v>
      </c>
      <c r="F49" t="s">
        <v>347</v>
      </c>
      <c r="G49" t="s">
        <v>837</v>
      </c>
      <c r="I49" t="s">
        <v>79</v>
      </c>
      <c r="J49" t="s">
        <v>581</v>
      </c>
      <c r="K49" t="s">
        <v>213</v>
      </c>
      <c r="M49" t="s">
        <v>162</v>
      </c>
      <c r="N49" t="s">
        <v>2522</v>
      </c>
      <c r="P49" t="s">
        <v>484</v>
      </c>
      <c r="Q49" t="s">
        <v>1347</v>
      </c>
      <c r="S49" t="s">
        <v>344</v>
      </c>
      <c r="T49" t="s">
        <v>1347</v>
      </c>
    </row>
    <row r="50" spans="1:20" ht="15" customHeight="1" x14ac:dyDescent="0.25">
      <c r="A50" t="s">
        <v>353</v>
      </c>
      <c r="B50" t="s">
        <v>354</v>
      </c>
      <c r="C50" t="s">
        <v>355</v>
      </c>
      <c r="D50" t="s">
        <v>786</v>
      </c>
      <c r="E50" s="19">
        <v>0</v>
      </c>
      <c r="F50" t="s">
        <v>353</v>
      </c>
      <c r="G50" t="s">
        <v>844</v>
      </c>
      <c r="I50" t="s">
        <v>37</v>
      </c>
      <c r="J50" t="s">
        <v>589</v>
      </c>
      <c r="K50" t="s">
        <v>217</v>
      </c>
      <c r="M50" t="s">
        <v>73</v>
      </c>
      <c r="N50" t="s">
        <v>2522</v>
      </c>
      <c r="P50" t="s">
        <v>383</v>
      </c>
      <c r="Q50" t="s">
        <v>1357</v>
      </c>
      <c r="S50" t="s">
        <v>221</v>
      </c>
      <c r="T50" t="s">
        <v>1347</v>
      </c>
    </row>
    <row r="51" spans="1:20" ht="15" customHeight="1" x14ac:dyDescent="0.25">
      <c r="A51" t="s">
        <v>349</v>
      </c>
      <c r="B51" t="s">
        <v>350</v>
      </c>
      <c r="C51" t="s">
        <v>1224</v>
      </c>
      <c r="D51" t="s">
        <v>919</v>
      </c>
      <c r="E51" s="19">
        <v>966500000227</v>
      </c>
      <c r="F51" t="s">
        <v>349</v>
      </c>
      <c r="G51" t="s">
        <v>853</v>
      </c>
      <c r="I51" t="s">
        <v>206</v>
      </c>
      <c r="J51" t="s">
        <v>556</v>
      </c>
      <c r="K51" t="s">
        <v>340</v>
      </c>
      <c r="M51" t="s">
        <v>102</v>
      </c>
      <c r="N51" t="s">
        <v>2522</v>
      </c>
      <c r="P51" t="s">
        <v>528</v>
      </c>
      <c r="Q51" t="s">
        <v>1357</v>
      </c>
      <c r="S51" t="s">
        <v>392</v>
      </c>
      <c r="T51" t="s">
        <v>1347</v>
      </c>
    </row>
    <row r="52" spans="1:20" ht="15" customHeight="1" x14ac:dyDescent="0.25">
      <c r="A52" t="s">
        <v>330</v>
      </c>
      <c r="B52" t="s">
        <v>331</v>
      </c>
      <c r="C52" t="s">
        <v>332</v>
      </c>
      <c r="D52" t="s">
        <v>786</v>
      </c>
      <c r="E52" s="19">
        <v>0</v>
      </c>
      <c r="F52" t="s">
        <v>330</v>
      </c>
      <c r="G52" t="s">
        <v>844</v>
      </c>
      <c r="I52" t="s">
        <v>135</v>
      </c>
      <c r="J52" t="s">
        <v>560</v>
      </c>
      <c r="K52" t="s">
        <v>344</v>
      </c>
      <c r="M52" t="s">
        <v>187</v>
      </c>
      <c r="N52" t="s">
        <v>2522</v>
      </c>
      <c r="P52" t="s">
        <v>511</v>
      </c>
      <c r="Q52" t="s">
        <v>1347</v>
      </c>
      <c r="S52" t="s">
        <v>414</v>
      </c>
      <c r="T52" t="s">
        <v>1347</v>
      </c>
    </row>
    <row r="53" spans="1:20" ht="15" customHeight="1" x14ac:dyDescent="0.25">
      <c r="A53" t="s">
        <v>364</v>
      </c>
      <c r="B53" t="s">
        <v>365</v>
      </c>
      <c r="D53" t="s">
        <v>786</v>
      </c>
      <c r="E53" s="19">
        <v>0</v>
      </c>
      <c r="F53" t="s">
        <v>364</v>
      </c>
      <c r="G53" t="s">
        <v>844</v>
      </c>
      <c r="I53" t="s">
        <v>71</v>
      </c>
      <c r="J53" t="s">
        <v>523</v>
      </c>
      <c r="K53" t="s">
        <v>221</v>
      </c>
      <c r="M53" t="s">
        <v>118</v>
      </c>
      <c r="N53" t="s">
        <v>2522</v>
      </c>
      <c r="P53" t="s">
        <v>526</v>
      </c>
      <c r="Q53" t="s">
        <v>1357</v>
      </c>
      <c r="S53" t="s">
        <v>449</v>
      </c>
      <c r="T53" t="s">
        <v>1347</v>
      </c>
    </row>
    <row r="54" spans="1:20" ht="15" customHeight="1" x14ac:dyDescent="0.25">
      <c r="A54" t="s">
        <v>366</v>
      </c>
      <c r="B54" t="s">
        <v>367</v>
      </c>
      <c r="D54" t="s">
        <v>786</v>
      </c>
      <c r="E54" s="19">
        <v>0</v>
      </c>
      <c r="F54" t="s">
        <v>366</v>
      </c>
      <c r="G54" t="s">
        <v>844</v>
      </c>
      <c r="I54" t="s">
        <v>89</v>
      </c>
      <c r="J54" t="s">
        <v>573</v>
      </c>
      <c r="K54" t="s">
        <v>392</v>
      </c>
      <c r="M54" t="s">
        <v>217</v>
      </c>
      <c r="N54" t="s">
        <v>2522</v>
      </c>
      <c r="P54" t="s">
        <v>506</v>
      </c>
      <c r="Q54" t="s">
        <v>1357</v>
      </c>
      <c r="S54" t="s">
        <v>453</v>
      </c>
      <c r="T54" t="s">
        <v>1347</v>
      </c>
    </row>
    <row r="55" spans="1:20" ht="15" customHeight="1" x14ac:dyDescent="0.25">
      <c r="A55" t="s">
        <v>368</v>
      </c>
      <c r="B55" t="s">
        <v>369</v>
      </c>
      <c r="D55" t="s">
        <v>786</v>
      </c>
      <c r="E55" s="19">
        <v>0</v>
      </c>
      <c r="F55" t="s">
        <v>368</v>
      </c>
      <c r="G55" t="s">
        <v>844</v>
      </c>
      <c r="I55" t="s">
        <v>162</v>
      </c>
      <c r="J55" t="s">
        <v>607</v>
      </c>
      <c r="K55" t="s">
        <v>414</v>
      </c>
      <c r="M55" t="s">
        <v>340</v>
      </c>
      <c r="N55" t="s">
        <v>2522</v>
      </c>
      <c r="P55" t="s">
        <v>518</v>
      </c>
      <c r="Q55" t="s">
        <v>1357</v>
      </c>
      <c r="S55" t="s">
        <v>451</v>
      </c>
      <c r="T55" t="s">
        <v>1347</v>
      </c>
    </row>
    <row r="56" spans="1:20" ht="15" customHeight="1" x14ac:dyDescent="0.25">
      <c r="A56" t="s">
        <v>351</v>
      </c>
      <c r="B56" t="s">
        <v>352</v>
      </c>
      <c r="C56" t="s">
        <v>1223</v>
      </c>
      <c r="D56" t="s">
        <v>919</v>
      </c>
      <c r="E56" s="19">
        <v>966553366660</v>
      </c>
      <c r="F56" t="s">
        <v>351</v>
      </c>
      <c r="G56" t="s">
        <v>853</v>
      </c>
      <c r="I56" t="s">
        <v>73</v>
      </c>
      <c r="J56" t="s">
        <v>562</v>
      </c>
      <c r="K56" t="s">
        <v>449</v>
      </c>
      <c r="M56" t="s">
        <v>344</v>
      </c>
      <c r="N56" t="s">
        <v>2522</v>
      </c>
      <c r="P56" t="s">
        <v>581</v>
      </c>
      <c r="Q56" t="s">
        <v>1357</v>
      </c>
      <c r="S56" t="s">
        <v>472</v>
      </c>
      <c r="T56" t="s">
        <v>1347</v>
      </c>
    </row>
    <row r="57" spans="1:20" ht="15" customHeight="1" x14ac:dyDescent="0.25">
      <c r="A57" t="s">
        <v>375</v>
      </c>
      <c r="B57" t="s">
        <v>376</v>
      </c>
      <c r="C57" t="s">
        <v>1222</v>
      </c>
      <c r="D57" t="s">
        <v>919</v>
      </c>
      <c r="E57" s="19">
        <v>966555544031</v>
      </c>
      <c r="F57" t="s">
        <v>375</v>
      </c>
      <c r="G57" t="s">
        <v>839</v>
      </c>
      <c r="I57" t="s">
        <v>100</v>
      </c>
      <c r="J57" t="s">
        <v>670</v>
      </c>
      <c r="K57" t="s">
        <v>453</v>
      </c>
      <c r="M57" t="s">
        <v>221</v>
      </c>
      <c r="N57" t="s">
        <v>2522</v>
      </c>
      <c r="P57" t="s">
        <v>589</v>
      </c>
      <c r="Q57" t="s">
        <v>1357</v>
      </c>
      <c r="S57" t="s">
        <v>564</v>
      </c>
      <c r="T57" t="s">
        <v>1347</v>
      </c>
    </row>
    <row r="58" spans="1:20" ht="15" customHeight="1" x14ac:dyDescent="0.25">
      <c r="A58" t="s">
        <v>370</v>
      </c>
      <c r="B58" t="s">
        <v>371</v>
      </c>
      <c r="C58" t="s">
        <v>372</v>
      </c>
      <c r="D58" t="s">
        <v>919</v>
      </c>
      <c r="E58" s="19">
        <v>966506643518</v>
      </c>
      <c r="F58" t="s">
        <v>370</v>
      </c>
      <c r="G58" t="s">
        <v>857</v>
      </c>
      <c r="I58" t="s">
        <v>102</v>
      </c>
      <c r="J58" t="s">
        <v>663</v>
      </c>
      <c r="K58" t="s">
        <v>451</v>
      </c>
      <c r="M58" t="s">
        <v>392</v>
      </c>
      <c r="N58" t="s">
        <v>2522</v>
      </c>
      <c r="P58" t="s">
        <v>556</v>
      </c>
      <c r="Q58" t="s">
        <v>1347</v>
      </c>
      <c r="S58" t="s">
        <v>583</v>
      </c>
      <c r="T58" t="s">
        <v>1347</v>
      </c>
    </row>
    <row r="59" spans="1:20" ht="15" customHeight="1" x14ac:dyDescent="0.25">
      <c r="A59" t="s">
        <v>360</v>
      </c>
      <c r="B59" t="s">
        <v>361</v>
      </c>
      <c r="C59" t="s">
        <v>1221</v>
      </c>
      <c r="D59" t="s">
        <v>919</v>
      </c>
      <c r="E59" s="19">
        <v>966112866777</v>
      </c>
      <c r="F59" t="s">
        <v>360</v>
      </c>
      <c r="G59" t="s">
        <v>853</v>
      </c>
      <c r="I59" t="s">
        <v>187</v>
      </c>
      <c r="J59" t="s">
        <v>680</v>
      </c>
      <c r="K59" t="s">
        <v>472</v>
      </c>
      <c r="M59" t="s">
        <v>407</v>
      </c>
      <c r="N59" t="s">
        <v>2522</v>
      </c>
      <c r="P59" t="s">
        <v>560</v>
      </c>
      <c r="Q59" t="s">
        <v>1357</v>
      </c>
      <c r="S59" t="s">
        <v>587</v>
      </c>
      <c r="T59" t="s">
        <v>1347</v>
      </c>
    </row>
    <row r="60" spans="1:20" ht="15" customHeight="1" x14ac:dyDescent="0.25">
      <c r="A60" t="s">
        <v>399</v>
      </c>
      <c r="B60" t="s">
        <v>400</v>
      </c>
      <c r="C60" t="s">
        <v>1220</v>
      </c>
      <c r="D60" t="s">
        <v>786</v>
      </c>
      <c r="E60" s="19">
        <v>966541000000</v>
      </c>
      <c r="F60" t="s">
        <v>399</v>
      </c>
      <c r="G60" t="s">
        <v>844</v>
      </c>
      <c r="I60" t="s">
        <v>118</v>
      </c>
      <c r="J60" t="s">
        <v>650</v>
      </c>
      <c r="K60" t="s">
        <v>506</v>
      </c>
      <c r="M60" t="s">
        <v>412</v>
      </c>
      <c r="N60" t="s">
        <v>2522</v>
      </c>
      <c r="P60" t="s">
        <v>523</v>
      </c>
      <c r="Q60" t="s">
        <v>1357</v>
      </c>
      <c r="S60" t="s">
        <v>558</v>
      </c>
      <c r="T60" t="s">
        <v>1347</v>
      </c>
    </row>
    <row r="61" spans="1:20" ht="15" customHeight="1" x14ac:dyDescent="0.25">
      <c r="A61" t="s">
        <v>401</v>
      </c>
      <c r="B61" t="s">
        <v>402</v>
      </c>
      <c r="C61" t="s">
        <v>1219</v>
      </c>
      <c r="D61" t="s">
        <v>786</v>
      </c>
      <c r="E61" s="19">
        <v>966115000000</v>
      </c>
      <c r="F61" t="s">
        <v>401</v>
      </c>
      <c r="G61" t="s">
        <v>844</v>
      </c>
      <c r="I61" t="s">
        <v>116</v>
      </c>
      <c r="J61" t="s">
        <v>653</v>
      </c>
      <c r="K61" t="s">
        <v>564</v>
      </c>
      <c r="M61" t="s">
        <v>414</v>
      </c>
      <c r="N61" t="s">
        <v>2522</v>
      </c>
      <c r="P61" t="s">
        <v>573</v>
      </c>
      <c r="Q61" t="s">
        <v>1347</v>
      </c>
      <c r="S61" t="s">
        <v>566</v>
      </c>
      <c r="T61" t="s">
        <v>1347</v>
      </c>
    </row>
    <row r="62" spans="1:20" ht="15" customHeight="1" x14ac:dyDescent="0.25">
      <c r="A62" t="s">
        <v>403</v>
      </c>
      <c r="B62" t="s">
        <v>404</v>
      </c>
      <c r="C62" t="s">
        <v>405</v>
      </c>
      <c r="D62" t="s">
        <v>786</v>
      </c>
      <c r="E62" s="19">
        <v>966505413131</v>
      </c>
      <c r="F62" t="s">
        <v>403</v>
      </c>
      <c r="G62" t="s">
        <v>844</v>
      </c>
      <c r="I62" t="s">
        <v>217</v>
      </c>
      <c r="J62" t="s">
        <v>657</v>
      </c>
      <c r="K62" t="s">
        <v>583</v>
      </c>
      <c r="M62" t="s">
        <v>449</v>
      </c>
      <c r="N62" t="s">
        <v>2522</v>
      </c>
      <c r="P62" t="s">
        <v>607</v>
      </c>
      <c r="Q62" t="s">
        <v>1357</v>
      </c>
      <c r="S62" t="s">
        <v>636</v>
      </c>
      <c r="T62" t="s">
        <v>1347</v>
      </c>
    </row>
    <row r="63" spans="1:20" ht="15" customHeight="1" x14ac:dyDescent="0.25">
      <c r="A63" t="s">
        <v>426</v>
      </c>
      <c r="B63" t="s">
        <v>427</v>
      </c>
      <c r="C63" t="s">
        <v>1218</v>
      </c>
      <c r="D63" t="s">
        <v>786</v>
      </c>
      <c r="F63" t="s">
        <v>426</v>
      </c>
      <c r="G63" t="s">
        <v>844</v>
      </c>
      <c r="I63" t="s">
        <v>340</v>
      </c>
      <c r="J63" t="s">
        <v>658</v>
      </c>
      <c r="K63" t="s">
        <v>587</v>
      </c>
      <c r="M63" t="s">
        <v>453</v>
      </c>
      <c r="N63" t="s">
        <v>2522</v>
      </c>
      <c r="P63" t="s">
        <v>562</v>
      </c>
      <c r="Q63" t="s">
        <v>1357</v>
      </c>
      <c r="S63" t="s">
        <v>638</v>
      </c>
      <c r="T63" t="s">
        <v>1347</v>
      </c>
    </row>
    <row r="64" spans="1:20" ht="15" customHeight="1" x14ac:dyDescent="0.25">
      <c r="A64" t="s">
        <v>440</v>
      </c>
      <c r="B64" t="s">
        <v>441</v>
      </c>
      <c r="C64" t="s">
        <v>442</v>
      </c>
      <c r="D64" t="s">
        <v>919</v>
      </c>
      <c r="E64" s="19">
        <v>966554000056</v>
      </c>
      <c r="F64" t="s">
        <v>440</v>
      </c>
      <c r="G64" t="s">
        <v>838</v>
      </c>
      <c r="I64" t="s">
        <v>344</v>
      </c>
      <c r="J64" t="s">
        <v>766</v>
      </c>
      <c r="K64" t="s">
        <v>558</v>
      </c>
      <c r="M64" t="s">
        <v>451</v>
      </c>
      <c r="N64" t="s">
        <v>2522</v>
      </c>
      <c r="P64" t="s">
        <v>665</v>
      </c>
      <c r="Q64" t="s">
        <v>1357</v>
      </c>
      <c r="S64" t="s">
        <v>646</v>
      </c>
      <c r="T64" t="s">
        <v>1347</v>
      </c>
    </row>
    <row r="65" spans="1:20" ht="15" customHeight="1" x14ac:dyDescent="0.25">
      <c r="A65" t="s">
        <v>477</v>
      </c>
      <c r="B65" t="s">
        <v>478</v>
      </c>
      <c r="C65" t="s">
        <v>1217</v>
      </c>
      <c r="D65" t="s">
        <v>919</v>
      </c>
      <c r="E65" s="19">
        <v>966505665671</v>
      </c>
      <c r="F65" t="s">
        <v>477</v>
      </c>
      <c r="G65" t="s">
        <v>841</v>
      </c>
      <c r="I65" t="s">
        <v>359</v>
      </c>
      <c r="J65" t="s">
        <v>773</v>
      </c>
      <c r="K65" t="s">
        <v>566</v>
      </c>
      <c r="M65" t="s">
        <v>472</v>
      </c>
      <c r="N65" t="s">
        <v>2522</v>
      </c>
      <c r="P65" t="s">
        <v>637</v>
      </c>
      <c r="Q65" t="s">
        <v>1357</v>
      </c>
      <c r="S65" t="s">
        <v>795</v>
      </c>
      <c r="T65" t="s">
        <v>1347</v>
      </c>
    </row>
    <row r="66" spans="1:20" ht="15" customHeight="1" x14ac:dyDescent="0.25">
      <c r="A66" t="s">
        <v>479</v>
      </c>
      <c r="B66" t="s">
        <v>480</v>
      </c>
      <c r="C66" t="s">
        <v>1216</v>
      </c>
      <c r="D66" t="s">
        <v>919</v>
      </c>
      <c r="E66" s="19">
        <v>971505457410</v>
      </c>
      <c r="F66" t="s">
        <v>479</v>
      </c>
      <c r="G66" t="s">
        <v>841</v>
      </c>
      <c r="I66" t="s">
        <v>221</v>
      </c>
      <c r="J66" t="s">
        <v>806</v>
      </c>
      <c r="K66" t="s">
        <v>636</v>
      </c>
      <c r="M66" t="s">
        <v>564</v>
      </c>
      <c r="N66" t="s">
        <v>2522</v>
      </c>
      <c r="P66" t="s">
        <v>670</v>
      </c>
      <c r="Q66" t="s">
        <v>1347</v>
      </c>
      <c r="S66" t="s">
        <v>803</v>
      </c>
      <c r="T66" t="s">
        <v>1347</v>
      </c>
    </row>
    <row r="67" spans="1:20" ht="15" customHeight="1" x14ac:dyDescent="0.25">
      <c r="A67" t="s">
        <v>464</v>
      </c>
      <c r="B67" t="s">
        <v>465</v>
      </c>
      <c r="C67" t="s">
        <v>1215</v>
      </c>
      <c r="D67" t="s">
        <v>919</v>
      </c>
      <c r="E67" s="19">
        <v>966565653343</v>
      </c>
      <c r="F67" t="s">
        <v>464</v>
      </c>
      <c r="G67" t="s">
        <v>839</v>
      </c>
      <c r="I67" t="s">
        <v>392</v>
      </c>
      <c r="J67" t="s">
        <v>805</v>
      </c>
      <c r="K67" t="s">
        <v>638</v>
      </c>
      <c r="M67" t="s">
        <v>552</v>
      </c>
      <c r="N67" t="s">
        <v>2522</v>
      </c>
      <c r="P67" t="s">
        <v>663</v>
      </c>
      <c r="Q67" t="s">
        <v>1347</v>
      </c>
      <c r="S67" t="s">
        <v>802</v>
      </c>
      <c r="T67" t="s">
        <v>1347</v>
      </c>
    </row>
    <row r="68" spans="1:20" ht="15" customHeight="1" x14ac:dyDescent="0.25">
      <c r="A68" t="s">
        <v>437</v>
      </c>
      <c r="B68" t="s">
        <v>438</v>
      </c>
      <c r="C68" t="s">
        <v>439</v>
      </c>
      <c r="D68" t="s">
        <v>919</v>
      </c>
      <c r="E68" s="19">
        <v>966503245548</v>
      </c>
      <c r="F68" t="s">
        <v>437</v>
      </c>
      <c r="G68" t="s">
        <v>838</v>
      </c>
      <c r="I68" t="s">
        <v>407</v>
      </c>
      <c r="J68" t="s">
        <v>804</v>
      </c>
      <c r="K68" t="s">
        <v>646</v>
      </c>
      <c r="M68" t="s">
        <v>583</v>
      </c>
      <c r="N68" t="s">
        <v>2522</v>
      </c>
      <c r="P68" t="s">
        <v>680</v>
      </c>
      <c r="Q68" t="s">
        <v>1357</v>
      </c>
      <c r="S68" t="s">
        <v>799</v>
      </c>
      <c r="T68" t="s">
        <v>1347</v>
      </c>
    </row>
    <row r="69" spans="1:20" ht="15" customHeight="1" x14ac:dyDescent="0.25">
      <c r="A69" t="s">
        <v>496</v>
      </c>
      <c r="B69" t="s">
        <v>497</v>
      </c>
      <c r="C69" t="s">
        <v>1187</v>
      </c>
      <c r="D69" t="s">
        <v>919</v>
      </c>
      <c r="E69" s="19">
        <v>966593178933</v>
      </c>
      <c r="F69" t="s">
        <v>496</v>
      </c>
      <c r="G69" t="s">
        <v>838</v>
      </c>
      <c r="I69" t="s">
        <v>412</v>
      </c>
      <c r="J69" t="s">
        <v>801</v>
      </c>
      <c r="K69" t="s">
        <v>795</v>
      </c>
      <c r="M69" t="s">
        <v>587</v>
      </c>
      <c r="N69" t="s">
        <v>2522</v>
      </c>
      <c r="P69" t="s">
        <v>639</v>
      </c>
      <c r="Q69" t="s">
        <v>1347</v>
      </c>
      <c r="S69" t="s">
        <v>891</v>
      </c>
      <c r="T69" t="s">
        <v>1347</v>
      </c>
    </row>
    <row r="70" spans="1:20" ht="15" customHeight="1" x14ac:dyDescent="0.25">
      <c r="A70" t="s">
        <v>491</v>
      </c>
      <c r="B70" t="s">
        <v>492</v>
      </c>
      <c r="C70" t="s">
        <v>493</v>
      </c>
      <c r="D70" t="s">
        <v>919</v>
      </c>
      <c r="E70" s="19">
        <v>966544679999</v>
      </c>
      <c r="F70" t="s">
        <v>491</v>
      </c>
      <c r="G70" t="s">
        <v>839</v>
      </c>
      <c r="I70" t="s">
        <v>414</v>
      </c>
      <c r="J70" t="s">
        <v>797</v>
      </c>
      <c r="K70" t="s">
        <v>803</v>
      </c>
      <c r="M70" t="s">
        <v>558</v>
      </c>
      <c r="N70" t="s">
        <v>2522</v>
      </c>
      <c r="P70" t="s">
        <v>650</v>
      </c>
      <c r="Q70" t="s">
        <v>1357</v>
      </c>
      <c r="S70" t="s">
        <v>935</v>
      </c>
      <c r="T70" t="s">
        <v>1347</v>
      </c>
    </row>
    <row r="71" spans="1:20" ht="15" customHeight="1" x14ac:dyDescent="0.25">
      <c r="A71" t="s">
        <v>488</v>
      </c>
      <c r="B71" t="s">
        <v>489</v>
      </c>
      <c r="C71" t="s">
        <v>490</v>
      </c>
      <c r="D71" t="s">
        <v>786</v>
      </c>
      <c r="E71" s="19">
        <v>966549002222</v>
      </c>
      <c r="F71" t="s">
        <v>488</v>
      </c>
      <c r="G71" t="s">
        <v>844</v>
      </c>
      <c r="I71" t="s">
        <v>416</v>
      </c>
      <c r="J71" t="s">
        <v>829</v>
      </c>
      <c r="K71" t="s">
        <v>802</v>
      </c>
      <c r="M71" t="s">
        <v>566</v>
      </c>
      <c r="N71" t="s">
        <v>2522</v>
      </c>
      <c r="P71" t="s">
        <v>653</v>
      </c>
      <c r="Q71" t="s">
        <v>1347</v>
      </c>
      <c r="S71" t="s">
        <v>925</v>
      </c>
      <c r="T71" t="s">
        <v>1347</v>
      </c>
    </row>
    <row r="72" spans="1:20" ht="15" customHeight="1" x14ac:dyDescent="0.25">
      <c r="A72" t="s">
        <v>494</v>
      </c>
      <c r="B72" t="s">
        <v>495</v>
      </c>
      <c r="C72" t="s">
        <v>1214</v>
      </c>
      <c r="D72" t="s">
        <v>919</v>
      </c>
      <c r="E72" s="19">
        <v>966555554285</v>
      </c>
      <c r="F72" t="s">
        <v>494</v>
      </c>
      <c r="G72" t="s">
        <v>1881</v>
      </c>
      <c r="I72" t="s">
        <v>449</v>
      </c>
      <c r="J72" t="s">
        <v>869</v>
      </c>
      <c r="K72" t="s">
        <v>799</v>
      </c>
      <c r="M72" t="s">
        <v>636</v>
      </c>
      <c r="N72" t="s">
        <v>2522</v>
      </c>
      <c r="P72" t="s">
        <v>657</v>
      </c>
      <c r="Q72" t="s">
        <v>1357</v>
      </c>
      <c r="S72" t="s">
        <v>1256</v>
      </c>
      <c r="T72" t="s">
        <v>1347</v>
      </c>
    </row>
    <row r="73" spans="1:20" ht="15" customHeight="1" x14ac:dyDescent="0.25">
      <c r="A73" t="s">
        <v>498</v>
      </c>
      <c r="B73" t="s">
        <v>499</v>
      </c>
      <c r="C73" t="s">
        <v>1213</v>
      </c>
      <c r="D73" t="s">
        <v>786</v>
      </c>
      <c r="E73" s="19">
        <v>966532477684</v>
      </c>
      <c r="F73" t="s">
        <v>498</v>
      </c>
      <c r="G73" t="s">
        <v>844</v>
      </c>
      <c r="I73" t="s">
        <v>453</v>
      </c>
      <c r="J73" t="s">
        <v>867</v>
      </c>
      <c r="K73" t="s">
        <v>862</v>
      </c>
      <c r="M73" t="s">
        <v>638</v>
      </c>
      <c r="N73" t="s">
        <v>2522</v>
      </c>
      <c r="P73" t="s">
        <v>658</v>
      </c>
      <c r="Q73" t="s">
        <v>1357</v>
      </c>
      <c r="S73" t="s">
        <v>1253</v>
      </c>
      <c r="T73" t="s">
        <v>1347</v>
      </c>
    </row>
    <row r="74" spans="1:20" ht="15" customHeight="1" x14ac:dyDescent="0.25">
      <c r="A74" t="s">
        <v>502</v>
      </c>
      <c r="B74" t="s">
        <v>503</v>
      </c>
      <c r="C74" t="s">
        <v>504</v>
      </c>
      <c r="D74" t="s">
        <v>786</v>
      </c>
      <c r="E74" s="19">
        <v>971505202381</v>
      </c>
      <c r="F74" t="s">
        <v>502</v>
      </c>
      <c r="G74" t="s">
        <v>844</v>
      </c>
      <c r="I74" t="s">
        <v>451</v>
      </c>
      <c r="J74" t="s">
        <v>863</v>
      </c>
      <c r="K74" t="s">
        <v>891</v>
      </c>
      <c r="M74" t="s">
        <v>644</v>
      </c>
      <c r="N74" t="s">
        <v>2522</v>
      </c>
      <c r="P74" t="s">
        <v>766</v>
      </c>
      <c r="Q74" t="s">
        <v>1357</v>
      </c>
      <c r="S74" t="s">
        <v>1341</v>
      </c>
      <c r="T74" t="s">
        <v>1347</v>
      </c>
    </row>
    <row r="75" spans="1:20" ht="15" customHeight="1" x14ac:dyDescent="0.25">
      <c r="A75" t="s">
        <v>514</v>
      </c>
      <c r="B75" t="s">
        <v>515</v>
      </c>
      <c r="C75" t="s">
        <v>516</v>
      </c>
      <c r="D75" t="s">
        <v>919</v>
      </c>
      <c r="E75" s="19">
        <v>966507790909</v>
      </c>
      <c r="F75" t="s">
        <v>514</v>
      </c>
      <c r="G75" t="s">
        <v>850</v>
      </c>
      <c r="I75" t="s">
        <v>472</v>
      </c>
      <c r="J75" t="s">
        <v>877</v>
      </c>
      <c r="K75" t="s">
        <v>935</v>
      </c>
      <c r="M75" t="s">
        <v>646</v>
      </c>
      <c r="N75" t="s">
        <v>2522</v>
      </c>
      <c r="P75" t="s">
        <v>773</v>
      </c>
      <c r="Q75" t="s">
        <v>1347</v>
      </c>
      <c r="S75" t="s">
        <v>1360</v>
      </c>
      <c r="T75" t="s">
        <v>1347</v>
      </c>
    </row>
    <row r="76" spans="1:20" ht="15" customHeight="1" x14ac:dyDescent="0.25">
      <c r="A76" t="s">
        <v>507</v>
      </c>
      <c r="B76" t="s">
        <v>508</v>
      </c>
      <c r="C76" t="s">
        <v>509</v>
      </c>
      <c r="D76" t="s">
        <v>919</v>
      </c>
      <c r="E76" s="19">
        <v>966544427975</v>
      </c>
      <c r="F76" t="s">
        <v>507</v>
      </c>
      <c r="G76" t="s">
        <v>849</v>
      </c>
      <c r="I76" t="s">
        <v>511</v>
      </c>
      <c r="J76" t="s">
        <v>913</v>
      </c>
      <c r="K76" t="s">
        <v>925</v>
      </c>
      <c r="M76" t="s">
        <v>662</v>
      </c>
      <c r="N76" t="s">
        <v>2522</v>
      </c>
      <c r="P76" t="s">
        <v>806</v>
      </c>
      <c r="Q76" t="s">
        <v>1347</v>
      </c>
      <c r="S76" t="s">
        <v>1458</v>
      </c>
      <c r="T76" t="s">
        <v>1347</v>
      </c>
    </row>
    <row r="77" spans="1:20" ht="15" customHeight="1" x14ac:dyDescent="0.25">
      <c r="A77" t="s">
        <v>389</v>
      </c>
      <c r="B77" t="s">
        <v>390</v>
      </c>
      <c r="C77" t="s">
        <v>1212</v>
      </c>
      <c r="D77" t="s">
        <v>786</v>
      </c>
      <c r="E77" s="19">
        <v>966544041115</v>
      </c>
      <c r="F77" t="s">
        <v>389</v>
      </c>
      <c r="G77" t="s">
        <v>844</v>
      </c>
      <c r="I77" t="s">
        <v>506</v>
      </c>
      <c r="J77" t="s">
        <v>900</v>
      </c>
      <c r="K77" t="s">
        <v>1274</v>
      </c>
      <c r="M77" t="s">
        <v>778</v>
      </c>
      <c r="N77" t="s">
        <v>2522</v>
      </c>
      <c r="P77" t="s">
        <v>805</v>
      </c>
      <c r="Q77" t="s">
        <v>1357</v>
      </c>
      <c r="S77" t="s">
        <v>1467</v>
      </c>
      <c r="T77" t="s">
        <v>1347</v>
      </c>
    </row>
    <row r="78" spans="1:20" ht="15" customHeight="1" x14ac:dyDescent="0.25">
      <c r="A78" t="s">
        <v>534</v>
      </c>
      <c r="B78" t="s">
        <v>535</v>
      </c>
      <c r="C78" t="s">
        <v>536</v>
      </c>
      <c r="D78" t="s">
        <v>786</v>
      </c>
      <c r="E78" s="19">
        <v>9661100000000</v>
      </c>
      <c r="F78" t="s">
        <v>534</v>
      </c>
      <c r="G78" t="s">
        <v>844</v>
      </c>
      <c r="I78" t="s">
        <v>564</v>
      </c>
      <c r="J78" t="s">
        <v>907</v>
      </c>
      <c r="K78" t="s">
        <v>1256</v>
      </c>
      <c r="M78" t="s">
        <v>807</v>
      </c>
      <c r="N78" t="s">
        <v>2522</v>
      </c>
      <c r="P78" t="s">
        <v>804</v>
      </c>
      <c r="Q78" t="s">
        <v>1357</v>
      </c>
      <c r="S78" t="s">
        <v>1362</v>
      </c>
      <c r="T78" t="s">
        <v>1347</v>
      </c>
    </row>
    <row r="79" spans="1:20" ht="15" customHeight="1" x14ac:dyDescent="0.25">
      <c r="A79" t="s">
        <v>537</v>
      </c>
      <c r="B79" t="s">
        <v>538</v>
      </c>
      <c r="C79" t="s">
        <v>1211</v>
      </c>
      <c r="D79" t="s">
        <v>786</v>
      </c>
      <c r="E79" s="19">
        <v>971501509691</v>
      </c>
      <c r="F79" t="s">
        <v>537</v>
      </c>
      <c r="G79" t="s">
        <v>844</v>
      </c>
      <c r="I79" t="s">
        <v>552</v>
      </c>
      <c r="J79" t="s">
        <v>915</v>
      </c>
      <c r="K79" t="s">
        <v>1253</v>
      </c>
      <c r="M79" t="s">
        <v>795</v>
      </c>
      <c r="N79" t="s">
        <v>2522</v>
      </c>
      <c r="P79" t="s">
        <v>801</v>
      </c>
      <c r="Q79" t="s">
        <v>1357</v>
      </c>
      <c r="S79" t="s">
        <v>1505</v>
      </c>
      <c r="T79" t="s">
        <v>1347</v>
      </c>
    </row>
    <row r="80" spans="1:20" ht="15" customHeight="1" x14ac:dyDescent="0.25">
      <c r="A80" t="s">
        <v>548</v>
      </c>
      <c r="B80" t="s">
        <v>549</v>
      </c>
      <c r="C80" t="s">
        <v>550</v>
      </c>
      <c r="D80" t="s">
        <v>786</v>
      </c>
      <c r="F80" t="s">
        <v>548</v>
      </c>
      <c r="G80" t="s">
        <v>844</v>
      </c>
      <c r="I80" t="s">
        <v>583</v>
      </c>
      <c r="J80" t="s">
        <v>962</v>
      </c>
      <c r="K80" t="s">
        <v>1318</v>
      </c>
      <c r="M80" t="s">
        <v>803</v>
      </c>
      <c r="N80" t="s">
        <v>2522</v>
      </c>
      <c r="P80" t="s">
        <v>797</v>
      </c>
      <c r="Q80" t="s">
        <v>1357</v>
      </c>
      <c r="S80" t="s">
        <v>1355</v>
      </c>
      <c r="T80" t="s">
        <v>1347</v>
      </c>
    </row>
    <row r="81" spans="1:20" ht="15" customHeight="1" x14ac:dyDescent="0.25">
      <c r="A81" t="s">
        <v>574</v>
      </c>
      <c r="B81" t="s">
        <v>575</v>
      </c>
      <c r="C81" t="s">
        <v>576</v>
      </c>
      <c r="D81" t="s">
        <v>786</v>
      </c>
      <c r="E81" s="19">
        <v>966562801451</v>
      </c>
      <c r="F81" t="s">
        <v>574</v>
      </c>
      <c r="G81" t="s">
        <v>844</v>
      </c>
      <c r="I81" t="s">
        <v>587</v>
      </c>
      <c r="J81" t="s">
        <v>958</v>
      </c>
      <c r="K81" t="s">
        <v>1341</v>
      </c>
      <c r="M81" t="s">
        <v>802</v>
      </c>
      <c r="N81" t="s">
        <v>2522</v>
      </c>
      <c r="P81" t="s">
        <v>829</v>
      </c>
      <c r="Q81" t="s">
        <v>1357</v>
      </c>
      <c r="S81" t="s">
        <v>1581</v>
      </c>
      <c r="T81" t="s">
        <v>1347</v>
      </c>
    </row>
    <row r="82" spans="1:20" ht="15" customHeight="1" x14ac:dyDescent="0.25">
      <c r="A82" t="s">
        <v>567</v>
      </c>
      <c r="B82" t="s">
        <v>568</v>
      </c>
      <c r="C82" t="s">
        <v>569</v>
      </c>
      <c r="D82" t="s">
        <v>786</v>
      </c>
      <c r="E82" s="19">
        <v>0</v>
      </c>
      <c r="F82" t="s">
        <v>567</v>
      </c>
      <c r="G82" t="s">
        <v>844</v>
      </c>
      <c r="I82" t="s">
        <v>558</v>
      </c>
      <c r="J82" t="s">
        <v>957</v>
      </c>
      <c r="K82" t="s">
        <v>1360</v>
      </c>
      <c r="M82" t="s">
        <v>799</v>
      </c>
      <c r="N82" t="s">
        <v>2522</v>
      </c>
      <c r="P82" t="s">
        <v>869</v>
      </c>
      <c r="Q82" t="s">
        <v>1357</v>
      </c>
      <c r="S82" t="s">
        <v>1593</v>
      </c>
      <c r="T82" t="s">
        <v>1347</v>
      </c>
    </row>
    <row r="83" spans="1:20" ht="15" customHeight="1" x14ac:dyDescent="0.25">
      <c r="A83" t="s">
        <v>1398</v>
      </c>
      <c r="B83" t="s">
        <v>580</v>
      </c>
      <c r="C83" t="s">
        <v>1210</v>
      </c>
      <c r="D83" t="s">
        <v>919</v>
      </c>
      <c r="E83" s="19">
        <v>966114111195</v>
      </c>
      <c r="F83" t="s">
        <v>1398</v>
      </c>
      <c r="G83" t="s">
        <v>838</v>
      </c>
      <c r="I83" t="s">
        <v>566</v>
      </c>
      <c r="J83" t="s">
        <v>955</v>
      </c>
      <c r="K83" t="s">
        <v>1458</v>
      </c>
      <c r="M83" t="s">
        <v>891</v>
      </c>
      <c r="N83" t="s">
        <v>2522</v>
      </c>
      <c r="P83" t="s">
        <v>867</v>
      </c>
      <c r="Q83" t="s">
        <v>1357</v>
      </c>
      <c r="S83" t="s">
        <v>1363</v>
      </c>
      <c r="T83" t="s">
        <v>1347</v>
      </c>
    </row>
    <row r="84" spans="1:20" ht="15" customHeight="1" x14ac:dyDescent="0.25">
      <c r="A84" t="s">
        <v>592</v>
      </c>
      <c r="B84" t="s">
        <v>593</v>
      </c>
      <c r="C84" t="s">
        <v>1209</v>
      </c>
      <c r="D84" t="s">
        <v>786</v>
      </c>
      <c r="E84" s="19">
        <v>966596107771</v>
      </c>
      <c r="F84" t="s">
        <v>592</v>
      </c>
      <c r="G84" t="s">
        <v>844</v>
      </c>
      <c r="I84" t="s">
        <v>665</v>
      </c>
      <c r="J84" t="s">
        <v>948</v>
      </c>
      <c r="K84" t="s">
        <v>1467</v>
      </c>
      <c r="M84" t="s">
        <v>935</v>
      </c>
      <c r="N84" t="s">
        <v>2522</v>
      </c>
      <c r="P84" t="s">
        <v>863</v>
      </c>
      <c r="Q84" t="s">
        <v>1357</v>
      </c>
      <c r="S84" t="s">
        <v>1686</v>
      </c>
      <c r="T84" t="s">
        <v>1347</v>
      </c>
    </row>
    <row r="85" spans="1:20" ht="15" customHeight="1" x14ac:dyDescent="0.25">
      <c r="A85" t="s">
        <v>601</v>
      </c>
      <c r="B85" t="s">
        <v>602</v>
      </c>
      <c r="C85" t="s">
        <v>1208</v>
      </c>
      <c r="D85" t="s">
        <v>786</v>
      </c>
      <c r="E85" s="19">
        <v>96614022898</v>
      </c>
      <c r="F85" t="s">
        <v>601</v>
      </c>
      <c r="G85" t="s">
        <v>844</v>
      </c>
      <c r="I85" t="s">
        <v>636</v>
      </c>
      <c r="J85" t="s">
        <v>946</v>
      </c>
      <c r="K85" t="s">
        <v>1362</v>
      </c>
      <c r="M85" t="s">
        <v>925</v>
      </c>
      <c r="N85" t="s">
        <v>2522</v>
      </c>
      <c r="P85" t="s">
        <v>862</v>
      </c>
      <c r="Q85" t="s">
        <v>1347</v>
      </c>
      <c r="S85" t="s">
        <v>1356</v>
      </c>
      <c r="T85" t="s">
        <v>1347</v>
      </c>
    </row>
    <row r="86" spans="1:20" ht="15" customHeight="1" x14ac:dyDescent="0.25">
      <c r="A86" t="s">
        <v>599</v>
      </c>
      <c r="B86" t="s">
        <v>600</v>
      </c>
      <c r="C86" t="s">
        <v>1207</v>
      </c>
      <c r="D86" t="s">
        <v>919</v>
      </c>
      <c r="E86" s="19">
        <v>966536502076</v>
      </c>
      <c r="F86" t="s">
        <v>599</v>
      </c>
      <c r="G86" t="s">
        <v>858</v>
      </c>
      <c r="I86" t="s">
        <v>637</v>
      </c>
      <c r="J86" t="s">
        <v>940</v>
      </c>
      <c r="K86" t="s">
        <v>1505</v>
      </c>
      <c r="M86" t="s">
        <v>1274</v>
      </c>
      <c r="N86" t="s">
        <v>2522</v>
      </c>
      <c r="P86" t="s">
        <v>877</v>
      </c>
      <c r="Q86" t="s">
        <v>1347</v>
      </c>
      <c r="S86" t="s">
        <v>1823</v>
      </c>
      <c r="T86" t="s">
        <v>1347</v>
      </c>
    </row>
    <row r="87" spans="1:20" ht="15" customHeight="1" x14ac:dyDescent="0.25">
      <c r="A87" t="s">
        <v>620</v>
      </c>
      <c r="B87" t="s">
        <v>621</v>
      </c>
      <c r="C87" t="s">
        <v>1206</v>
      </c>
      <c r="D87" t="s">
        <v>919</v>
      </c>
      <c r="E87" s="19">
        <v>966555372337</v>
      </c>
      <c r="F87" t="s">
        <v>620</v>
      </c>
      <c r="G87" t="s">
        <v>838</v>
      </c>
      <c r="I87" t="s">
        <v>638</v>
      </c>
      <c r="J87" t="s">
        <v>933</v>
      </c>
      <c r="K87" t="s">
        <v>1355</v>
      </c>
      <c r="M87" t="s">
        <v>1256</v>
      </c>
      <c r="N87" t="s">
        <v>2522</v>
      </c>
      <c r="P87" t="s">
        <v>900</v>
      </c>
      <c r="Q87" t="s">
        <v>1357</v>
      </c>
      <c r="S87" t="s">
        <v>1920</v>
      </c>
      <c r="T87" t="s">
        <v>1347</v>
      </c>
    </row>
    <row r="88" spans="1:20" ht="15" customHeight="1" x14ac:dyDescent="0.25">
      <c r="A88" t="s">
        <v>625</v>
      </c>
      <c r="B88" t="s">
        <v>626</v>
      </c>
      <c r="C88" t="s">
        <v>1205</v>
      </c>
      <c r="D88" t="s">
        <v>786</v>
      </c>
      <c r="E88" s="19">
        <v>966560804563</v>
      </c>
      <c r="F88" t="s">
        <v>625</v>
      </c>
      <c r="G88" t="s">
        <v>844</v>
      </c>
      <c r="I88" t="s">
        <v>644</v>
      </c>
      <c r="J88" t="s">
        <v>931</v>
      </c>
      <c r="K88" t="s">
        <v>1581</v>
      </c>
      <c r="M88" t="s">
        <v>1318</v>
      </c>
      <c r="N88" t="s">
        <v>2522</v>
      </c>
      <c r="P88" t="s">
        <v>907</v>
      </c>
      <c r="Q88" t="s">
        <v>1347</v>
      </c>
      <c r="S88" t="s">
        <v>1957</v>
      </c>
      <c r="T88" t="s">
        <v>1347</v>
      </c>
    </row>
    <row r="89" spans="1:20" ht="15" customHeight="1" x14ac:dyDescent="0.25">
      <c r="A89" t="s">
        <v>629</v>
      </c>
      <c r="B89" t="s">
        <v>630</v>
      </c>
      <c r="C89" t="s">
        <v>1205</v>
      </c>
      <c r="D89" t="s">
        <v>786</v>
      </c>
      <c r="E89" s="19">
        <v>966592999913</v>
      </c>
      <c r="F89" t="s">
        <v>629</v>
      </c>
      <c r="G89" t="s">
        <v>844</v>
      </c>
      <c r="I89" t="s">
        <v>639</v>
      </c>
      <c r="J89" t="s">
        <v>928</v>
      </c>
      <c r="K89" t="s">
        <v>1593</v>
      </c>
      <c r="M89" t="s">
        <v>1341</v>
      </c>
      <c r="N89" t="s">
        <v>2522</v>
      </c>
      <c r="P89" t="s">
        <v>915</v>
      </c>
      <c r="Q89" t="s">
        <v>1357</v>
      </c>
      <c r="S89" t="s">
        <v>2014</v>
      </c>
      <c r="T89" t="s">
        <v>1347</v>
      </c>
    </row>
    <row r="90" spans="1:20" ht="15" customHeight="1" x14ac:dyDescent="0.25">
      <c r="A90" t="s">
        <v>631</v>
      </c>
      <c r="B90" t="s">
        <v>632</v>
      </c>
      <c r="C90" t="s">
        <v>1204</v>
      </c>
      <c r="D90" t="s">
        <v>786</v>
      </c>
      <c r="E90" s="19">
        <v>966559347559</v>
      </c>
      <c r="F90" t="s">
        <v>631</v>
      </c>
      <c r="G90" t="s">
        <v>844</v>
      </c>
      <c r="I90" t="s">
        <v>646</v>
      </c>
      <c r="J90" t="s">
        <v>1269</v>
      </c>
      <c r="K90" t="s">
        <v>1363</v>
      </c>
      <c r="M90" t="s">
        <v>1360</v>
      </c>
      <c r="N90" t="s">
        <v>2522</v>
      </c>
      <c r="P90" t="s">
        <v>962</v>
      </c>
      <c r="Q90" t="s">
        <v>1347</v>
      </c>
      <c r="S90" t="s">
        <v>2136</v>
      </c>
      <c r="T90" t="s">
        <v>1347</v>
      </c>
    </row>
    <row r="91" spans="1:20" ht="15" customHeight="1" x14ac:dyDescent="0.25">
      <c r="A91" t="s">
        <v>633</v>
      </c>
      <c r="B91" t="s">
        <v>634</v>
      </c>
      <c r="C91" t="s">
        <v>1204</v>
      </c>
      <c r="D91" t="s">
        <v>786</v>
      </c>
      <c r="E91" s="19">
        <v>966567093594</v>
      </c>
      <c r="F91" t="s">
        <v>633</v>
      </c>
      <c r="G91" t="s">
        <v>844</v>
      </c>
      <c r="I91" t="s">
        <v>662</v>
      </c>
      <c r="J91" t="s">
        <v>1282</v>
      </c>
      <c r="K91" t="s">
        <v>1686</v>
      </c>
      <c r="M91" t="s">
        <v>1415</v>
      </c>
      <c r="N91" t="s">
        <v>2522</v>
      </c>
      <c r="P91" t="s">
        <v>957</v>
      </c>
      <c r="Q91" t="s">
        <v>1347</v>
      </c>
      <c r="S91" t="s">
        <v>935</v>
      </c>
      <c r="T91" t="s">
        <v>1347</v>
      </c>
    </row>
    <row r="92" spans="1:20" ht="15" customHeight="1" x14ac:dyDescent="0.25">
      <c r="A92" t="s">
        <v>686</v>
      </c>
      <c r="B92" t="s">
        <v>687</v>
      </c>
      <c r="C92" t="s">
        <v>1203</v>
      </c>
      <c r="D92" t="s">
        <v>786</v>
      </c>
      <c r="E92" s="19">
        <v>966547002385</v>
      </c>
      <c r="F92" t="s">
        <v>686</v>
      </c>
      <c r="G92" t="s">
        <v>844</v>
      </c>
      <c r="I92" t="s">
        <v>778</v>
      </c>
      <c r="J92" t="s">
        <v>1307</v>
      </c>
      <c r="K92" t="s">
        <v>1356</v>
      </c>
      <c r="M92" t="s">
        <v>1458</v>
      </c>
      <c r="N92" t="s">
        <v>2522</v>
      </c>
      <c r="P92" t="s">
        <v>955</v>
      </c>
      <c r="Q92" t="s">
        <v>1347</v>
      </c>
      <c r="S92" t="s">
        <v>935</v>
      </c>
      <c r="T92" t="s">
        <v>1347</v>
      </c>
    </row>
    <row r="93" spans="1:20" ht="15" customHeight="1" x14ac:dyDescent="0.25">
      <c r="A93" t="s">
        <v>688</v>
      </c>
      <c r="B93" t="s">
        <v>689</v>
      </c>
      <c r="C93" t="s">
        <v>690</v>
      </c>
      <c r="D93" t="s">
        <v>786</v>
      </c>
      <c r="E93" s="19">
        <v>966553682282</v>
      </c>
      <c r="F93" t="s">
        <v>688</v>
      </c>
      <c r="G93" t="s">
        <v>844</v>
      </c>
      <c r="I93" t="s">
        <v>807</v>
      </c>
      <c r="J93" t="s">
        <v>1312</v>
      </c>
      <c r="K93" t="s">
        <v>1712</v>
      </c>
      <c r="M93" t="s">
        <v>1467</v>
      </c>
      <c r="N93" t="s">
        <v>2522</v>
      </c>
      <c r="P93" t="s">
        <v>950</v>
      </c>
      <c r="Q93" t="s">
        <v>1357</v>
      </c>
      <c r="S93" t="s">
        <v>802</v>
      </c>
      <c r="T93" t="s">
        <v>1347</v>
      </c>
    </row>
    <row r="94" spans="1:20" ht="15" customHeight="1" x14ac:dyDescent="0.25">
      <c r="A94" t="s">
        <v>693</v>
      </c>
      <c r="B94" t="s">
        <v>694</v>
      </c>
      <c r="C94" t="s">
        <v>695</v>
      </c>
      <c r="D94" t="s">
        <v>786</v>
      </c>
      <c r="F94" t="s">
        <v>693</v>
      </c>
      <c r="G94" t="s">
        <v>844</v>
      </c>
      <c r="I94" t="s">
        <v>795</v>
      </c>
      <c r="J94" t="s">
        <v>1427</v>
      </c>
      <c r="K94" t="s">
        <v>1823</v>
      </c>
      <c r="M94" t="s">
        <v>1362</v>
      </c>
      <c r="N94" t="s">
        <v>2522</v>
      </c>
      <c r="P94" t="s">
        <v>948</v>
      </c>
      <c r="Q94" t="s">
        <v>1357</v>
      </c>
      <c r="S94" t="s">
        <v>935</v>
      </c>
      <c r="T94" t="s">
        <v>1347</v>
      </c>
    </row>
    <row r="95" spans="1:20" ht="15" customHeight="1" x14ac:dyDescent="0.25">
      <c r="A95" t="s">
        <v>706</v>
      </c>
      <c r="B95" t="s">
        <v>707</v>
      </c>
      <c r="C95" t="s">
        <v>708</v>
      </c>
      <c r="D95" t="s">
        <v>786</v>
      </c>
      <c r="E95" s="19">
        <v>966548651550</v>
      </c>
      <c r="F95" t="s">
        <v>706</v>
      </c>
      <c r="G95" t="s">
        <v>844</v>
      </c>
      <c r="I95" t="s">
        <v>803</v>
      </c>
      <c r="J95" t="s">
        <v>1369</v>
      </c>
      <c r="K95" t="s">
        <v>1846</v>
      </c>
      <c r="M95" t="s">
        <v>1505</v>
      </c>
      <c r="N95" t="s">
        <v>2522</v>
      </c>
      <c r="P95" t="s">
        <v>946</v>
      </c>
      <c r="Q95" t="s">
        <v>1357</v>
      </c>
      <c r="S95" t="s">
        <v>558</v>
      </c>
      <c r="T95" t="s">
        <v>1347</v>
      </c>
    </row>
    <row r="96" spans="1:20" ht="15" customHeight="1" x14ac:dyDescent="0.25">
      <c r="A96" t="s">
        <v>709</v>
      </c>
      <c r="B96" t="s">
        <v>710</v>
      </c>
      <c r="C96" t="s">
        <v>711</v>
      </c>
      <c r="D96" t="s">
        <v>786</v>
      </c>
      <c r="E96" s="19">
        <v>971533107800</v>
      </c>
      <c r="F96" t="s">
        <v>709</v>
      </c>
      <c r="G96" t="s">
        <v>844</v>
      </c>
      <c r="I96" t="s">
        <v>802</v>
      </c>
      <c r="J96" t="s">
        <v>1366</v>
      </c>
      <c r="K96" t="s">
        <v>1370</v>
      </c>
      <c r="M96" t="s">
        <v>1355</v>
      </c>
      <c r="N96" t="s">
        <v>2522</v>
      </c>
      <c r="P96" t="s">
        <v>933</v>
      </c>
      <c r="Q96" t="s">
        <v>1357</v>
      </c>
      <c r="S96" t="s">
        <v>566</v>
      </c>
      <c r="T96" t="s">
        <v>1347</v>
      </c>
    </row>
    <row r="97" spans="1:20" ht="15" customHeight="1" x14ac:dyDescent="0.25">
      <c r="A97" t="s">
        <v>440</v>
      </c>
      <c r="B97" t="s">
        <v>712</v>
      </c>
      <c r="C97" t="s">
        <v>711</v>
      </c>
      <c r="D97" t="s">
        <v>786</v>
      </c>
      <c r="E97" s="19">
        <v>971502130680</v>
      </c>
      <c r="F97" t="s">
        <v>440</v>
      </c>
      <c r="G97" t="s">
        <v>844</v>
      </c>
      <c r="I97" t="s">
        <v>799</v>
      </c>
      <c r="J97" t="s">
        <v>1508</v>
      </c>
      <c r="K97" t="s">
        <v>1920</v>
      </c>
      <c r="M97" t="s">
        <v>1581</v>
      </c>
      <c r="N97" t="s">
        <v>2522</v>
      </c>
      <c r="P97" t="s">
        <v>928</v>
      </c>
      <c r="Q97" t="s">
        <v>1357</v>
      </c>
      <c r="S97" t="s">
        <v>636</v>
      </c>
      <c r="T97" t="s">
        <v>1347</v>
      </c>
    </row>
    <row r="98" spans="1:20" ht="15" customHeight="1" x14ac:dyDescent="0.25">
      <c r="A98" t="s">
        <v>674</v>
      </c>
      <c r="B98" t="s">
        <v>675</v>
      </c>
      <c r="C98" t="s">
        <v>676</v>
      </c>
      <c r="D98" t="s">
        <v>786</v>
      </c>
      <c r="E98" s="19">
        <v>966540052909</v>
      </c>
      <c r="F98" t="s">
        <v>674</v>
      </c>
      <c r="G98" t="s">
        <v>844</v>
      </c>
      <c r="I98" t="s">
        <v>891</v>
      </c>
      <c r="J98" t="s">
        <v>1517</v>
      </c>
      <c r="K98" t="s">
        <v>1957</v>
      </c>
      <c r="M98" t="s">
        <v>1593</v>
      </c>
      <c r="N98" t="s">
        <v>2522</v>
      </c>
      <c r="P98" t="s">
        <v>1269</v>
      </c>
      <c r="Q98" t="s">
        <v>1357</v>
      </c>
      <c r="S98" t="s">
        <v>638</v>
      </c>
      <c r="T98" t="s">
        <v>1347</v>
      </c>
    </row>
    <row r="99" spans="1:20" ht="15" customHeight="1" x14ac:dyDescent="0.25">
      <c r="A99" t="s">
        <v>672</v>
      </c>
      <c r="B99" t="s">
        <v>673</v>
      </c>
      <c r="C99" t="s">
        <v>1202</v>
      </c>
      <c r="D99" t="s">
        <v>919</v>
      </c>
      <c r="E99" s="19">
        <v>966533515088</v>
      </c>
      <c r="F99" t="s">
        <v>672</v>
      </c>
      <c r="G99" t="s">
        <v>849</v>
      </c>
      <c r="I99" t="s">
        <v>950</v>
      </c>
      <c r="J99" t="s">
        <v>1449</v>
      </c>
      <c r="K99" t="s">
        <v>2014</v>
      </c>
      <c r="M99" t="s">
        <v>1616</v>
      </c>
      <c r="N99" t="s">
        <v>2522</v>
      </c>
      <c r="P99" t="s">
        <v>1282</v>
      </c>
      <c r="Q99" t="s">
        <v>1357</v>
      </c>
      <c r="S99" t="s">
        <v>646</v>
      </c>
      <c r="T99" t="s">
        <v>1347</v>
      </c>
    </row>
    <row r="100" spans="1:20" ht="15" customHeight="1" x14ac:dyDescent="0.25">
      <c r="A100" t="s">
        <v>725</v>
      </c>
      <c r="B100" t="s">
        <v>726</v>
      </c>
      <c r="C100" t="s">
        <v>1201</v>
      </c>
      <c r="D100" t="s">
        <v>786</v>
      </c>
      <c r="E100" s="19">
        <v>966535161205</v>
      </c>
      <c r="F100" t="s">
        <v>725</v>
      </c>
      <c r="G100" t="s">
        <v>844</v>
      </c>
      <c r="I100" t="s">
        <v>935</v>
      </c>
      <c r="J100" t="s">
        <v>1629</v>
      </c>
      <c r="K100" t="s">
        <v>2032</v>
      </c>
      <c r="M100" t="s">
        <v>1363</v>
      </c>
      <c r="N100" t="s">
        <v>2522</v>
      </c>
      <c r="P100" t="s">
        <v>1307</v>
      </c>
      <c r="Q100" t="s">
        <v>1357</v>
      </c>
      <c r="S100" t="s">
        <v>795</v>
      </c>
      <c r="T100" t="s">
        <v>1347</v>
      </c>
    </row>
    <row r="101" spans="1:20" ht="15" customHeight="1" x14ac:dyDescent="0.25">
      <c r="A101" t="s">
        <v>667</v>
      </c>
      <c r="B101" t="s">
        <v>668</v>
      </c>
      <c r="C101" t="s">
        <v>1200</v>
      </c>
      <c r="D101" t="s">
        <v>919</v>
      </c>
      <c r="E101" s="19">
        <v>966558752504</v>
      </c>
      <c r="F101" t="s">
        <v>667</v>
      </c>
      <c r="G101" t="s">
        <v>838</v>
      </c>
      <c r="I101" t="s">
        <v>925</v>
      </c>
      <c r="J101" t="s">
        <v>1368</v>
      </c>
      <c r="K101" t="s">
        <v>1364</v>
      </c>
      <c r="M101" t="s">
        <v>1686</v>
      </c>
      <c r="N101" t="s">
        <v>2522</v>
      </c>
      <c r="P101" t="s">
        <v>1312</v>
      </c>
      <c r="Q101" t="s">
        <v>1347</v>
      </c>
      <c r="S101" t="s">
        <v>803</v>
      </c>
      <c r="T101" t="s">
        <v>1347</v>
      </c>
    </row>
    <row r="102" spans="1:20" ht="15" customHeight="1" x14ac:dyDescent="0.25">
      <c r="A102" t="s">
        <v>716</v>
      </c>
      <c r="B102" t="s">
        <v>717</v>
      </c>
      <c r="C102" t="s">
        <v>1199</v>
      </c>
      <c r="D102" t="s">
        <v>919</v>
      </c>
      <c r="E102" s="19">
        <v>966551188636</v>
      </c>
      <c r="F102" t="s">
        <v>716</v>
      </c>
      <c r="G102" t="s">
        <v>839</v>
      </c>
      <c r="I102" t="s">
        <v>1256</v>
      </c>
      <c r="J102" t="s">
        <v>1676</v>
      </c>
      <c r="K102" t="s">
        <v>2136</v>
      </c>
      <c r="M102" t="s">
        <v>1356</v>
      </c>
      <c r="N102" t="s">
        <v>2522</v>
      </c>
      <c r="P102" t="s">
        <v>1427</v>
      </c>
      <c r="Q102" t="s">
        <v>1357</v>
      </c>
      <c r="S102" t="s">
        <v>802</v>
      </c>
      <c r="T102" t="s">
        <v>1347</v>
      </c>
    </row>
    <row r="103" spans="1:20" ht="15" customHeight="1" x14ac:dyDescent="0.25">
      <c r="A103" t="s">
        <v>718</v>
      </c>
      <c r="B103" t="s">
        <v>719</v>
      </c>
      <c r="C103" t="s">
        <v>1198</v>
      </c>
      <c r="D103" t="s">
        <v>786</v>
      </c>
      <c r="E103" s="19">
        <v>966556699369</v>
      </c>
      <c r="F103" t="s">
        <v>718</v>
      </c>
      <c r="G103" t="s">
        <v>844</v>
      </c>
      <c r="I103" t="s">
        <v>1318</v>
      </c>
      <c r="J103" t="s">
        <v>1359</v>
      </c>
      <c r="K103" t="s">
        <v>2154</v>
      </c>
      <c r="M103" t="s">
        <v>1712</v>
      </c>
      <c r="N103" t="s">
        <v>2522</v>
      </c>
      <c r="P103" t="s">
        <v>1369</v>
      </c>
      <c r="Q103" t="s">
        <v>1357</v>
      </c>
      <c r="S103" t="s">
        <v>799</v>
      </c>
      <c r="T103" t="s">
        <v>1347</v>
      </c>
    </row>
    <row r="104" spans="1:20" ht="15" customHeight="1" x14ac:dyDescent="0.25">
      <c r="A104" t="s">
        <v>733</v>
      </c>
      <c r="B104" t="s">
        <v>734</v>
      </c>
      <c r="C104" t="s">
        <v>735</v>
      </c>
      <c r="D104" t="s">
        <v>786</v>
      </c>
      <c r="E104" s="19">
        <v>966569525629</v>
      </c>
      <c r="F104" t="s">
        <v>733</v>
      </c>
      <c r="G104" t="s">
        <v>844</v>
      </c>
      <c r="I104" t="s">
        <v>1341</v>
      </c>
      <c r="J104" t="s">
        <v>1666</v>
      </c>
      <c r="K104" t="s">
        <v>2208</v>
      </c>
      <c r="M104" t="s">
        <v>1823</v>
      </c>
      <c r="N104" t="s">
        <v>2522</v>
      </c>
      <c r="P104" t="s">
        <v>1366</v>
      </c>
      <c r="Q104" t="s">
        <v>1347</v>
      </c>
      <c r="S104" t="s">
        <v>891</v>
      </c>
      <c r="T104" t="s">
        <v>1347</v>
      </c>
    </row>
    <row r="105" spans="1:20" ht="15" customHeight="1" x14ac:dyDescent="0.25">
      <c r="A105" t="s">
        <v>741</v>
      </c>
      <c r="B105" t="s">
        <v>742</v>
      </c>
      <c r="C105" t="s">
        <v>743</v>
      </c>
      <c r="D105" t="s">
        <v>919</v>
      </c>
      <c r="E105" s="19">
        <v>966533740297</v>
      </c>
      <c r="F105" t="s">
        <v>741</v>
      </c>
      <c r="G105" t="s">
        <v>838</v>
      </c>
      <c r="I105" t="s">
        <v>1360</v>
      </c>
      <c r="J105" t="s">
        <v>1709</v>
      </c>
      <c r="K105" t="s">
        <v>2184</v>
      </c>
      <c r="M105" t="s">
        <v>1846</v>
      </c>
      <c r="N105" t="s">
        <v>2522</v>
      </c>
      <c r="P105" t="s">
        <v>1508</v>
      </c>
      <c r="Q105" t="s">
        <v>1357</v>
      </c>
      <c r="S105" t="s">
        <v>935</v>
      </c>
      <c r="T105" t="s">
        <v>1347</v>
      </c>
    </row>
    <row r="106" spans="1:20" ht="15" customHeight="1" x14ac:dyDescent="0.25">
      <c r="A106" t="s">
        <v>728</v>
      </c>
      <c r="B106" t="s">
        <v>729</v>
      </c>
      <c r="C106" t="s">
        <v>1197</v>
      </c>
      <c r="D106" t="s">
        <v>919</v>
      </c>
      <c r="E106" s="19">
        <v>966554456852</v>
      </c>
      <c r="F106" t="s">
        <v>728</v>
      </c>
      <c r="G106" t="s">
        <v>838</v>
      </c>
      <c r="I106" t="s">
        <v>1415</v>
      </c>
      <c r="J106" t="s">
        <v>1695</v>
      </c>
      <c r="K106" t="s">
        <v>138</v>
      </c>
      <c r="M106" t="s">
        <v>1851</v>
      </c>
      <c r="N106" t="s">
        <v>2522</v>
      </c>
      <c r="P106" t="s">
        <v>1517</v>
      </c>
      <c r="Q106" t="s">
        <v>1357</v>
      </c>
      <c r="S106" t="s">
        <v>2178</v>
      </c>
      <c r="T106" t="s">
        <v>1347</v>
      </c>
    </row>
    <row r="107" spans="1:20" ht="15" customHeight="1" x14ac:dyDescent="0.25">
      <c r="A107" t="s">
        <v>736</v>
      </c>
      <c r="B107" t="s">
        <v>737</v>
      </c>
      <c r="C107" t="s">
        <v>738</v>
      </c>
      <c r="D107" t="s">
        <v>919</v>
      </c>
      <c r="E107" s="19">
        <v>966556821340</v>
      </c>
      <c r="F107" t="s">
        <v>736</v>
      </c>
      <c r="G107" t="s">
        <v>838</v>
      </c>
      <c r="I107" t="s">
        <v>1458</v>
      </c>
      <c r="J107" t="s">
        <v>1367</v>
      </c>
      <c r="K107" t="s">
        <v>2291</v>
      </c>
      <c r="M107" t="s">
        <v>1920</v>
      </c>
      <c r="N107" t="s">
        <v>2522</v>
      </c>
      <c r="P107" t="s">
        <v>1645</v>
      </c>
      <c r="Q107" t="s">
        <v>1347</v>
      </c>
      <c r="S107" t="s">
        <v>2190</v>
      </c>
      <c r="T107" t="s">
        <v>1347</v>
      </c>
    </row>
    <row r="108" spans="1:20" ht="15" customHeight="1" x14ac:dyDescent="0.25">
      <c r="A108" t="s">
        <v>730</v>
      </c>
      <c r="B108" t="s">
        <v>731</v>
      </c>
      <c r="C108" t="s">
        <v>732</v>
      </c>
      <c r="D108" t="s">
        <v>919</v>
      </c>
      <c r="E108" s="19">
        <v>966556688776</v>
      </c>
      <c r="F108" t="s">
        <v>730</v>
      </c>
      <c r="G108" t="s">
        <v>853</v>
      </c>
      <c r="I108" t="s">
        <v>1467</v>
      </c>
      <c r="J108" t="s">
        <v>1361</v>
      </c>
      <c r="K108" t="s">
        <v>2247</v>
      </c>
      <c r="M108" t="s">
        <v>1957</v>
      </c>
      <c r="N108" t="s">
        <v>2522</v>
      </c>
      <c r="P108" t="s">
        <v>1629</v>
      </c>
      <c r="Q108" t="s">
        <v>1347</v>
      </c>
      <c r="S108" t="s">
        <v>2219</v>
      </c>
      <c r="T108" t="s">
        <v>1347</v>
      </c>
    </row>
    <row r="109" spans="1:20" ht="15" customHeight="1" x14ac:dyDescent="0.25">
      <c r="A109" t="s">
        <v>753</v>
      </c>
      <c r="B109" t="s">
        <v>754</v>
      </c>
      <c r="C109" t="s">
        <v>1196</v>
      </c>
      <c r="D109" t="s">
        <v>919</v>
      </c>
      <c r="E109" s="19">
        <v>966580613555</v>
      </c>
      <c r="F109" t="s">
        <v>753</v>
      </c>
      <c r="G109" t="s">
        <v>836</v>
      </c>
      <c r="I109" t="s">
        <v>1362</v>
      </c>
      <c r="J109" t="s">
        <v>1704</v>
      </c>
      <c r="K109" t="s">
        <v>1914</v>
      </c>
      <c r="M109" t="s">
        <v>2014</v>
      </c>
      <c r="N109" t="s">
        <v>2522</v>
      </c>
      <c r="P109" t="s">
        <v>1368</v>
      </c>
      <c r="Q109" t="s">
        <v>1357</v>
      </c>
      <c r="S109" t="s">
        <v>2160</v>
      </c>
      <c r="T109" t="s">
        <v>1347</v>
      </c>
    </row>
    <row r="110" spans="1:20" ht="15" customHeight="1" x14ac:dyDescent="0.25">
      <c r="A110" t="s">
        <v>767</v>
      </c>
      <c r="B110" t="s">
        <v>768</v>
      </c>
      <c r="C110" t="s">
        <v>1195</v>
      </c>
      <c r="D110" t="s">
        <v>786</v>
      </c>
      <c r="E110" s="19">
        <v>96656337777</v>
      </c>
      <c r="F110" t="s">
        <v>767</v>
      </c>
      <c r="G110" t="s">
        <v>844</v>
      </c>
      <c r="I110" t="s">
        <v>1505</v>
      </c>
      <c r="J110" t="s">
        <v>1717</v>
      </c>
      <c r="K110" t="s">
        <v>2288</v>
      </c>
      <c r="M110" t="s">
        <v>2136</v>
      </c>
      <c r="N110" t="s">
        <v>2522</v>
      </c>
      <c r="P110" t="s">
        <v>1676</v>
      </c>
      <c r="Q110" t="s">
        <v>1347</v>
      </c>
      <c r="S110" t="s">
        <v>2211</v>
      </c>
      <c r="T110" t="s">
        <v>1347</v>
      </c>
    </row>
    <row r="111" spans="1:20" ht="15" customHeight="1" x14ac:dyDescent="0.25">
      <c r="A111" t="s">
        <v>761</v>
      </c>
      <c r="B111" t="s">
        <v>762</v>
      </c>
      <c r="C111" t="s">
        <v>763</v>
      </c>
      <c r="D111" t="s">
        <v>919</v>
      </c>
      <c r="E111" s="19">
        <v>966560718296</v>
      </c>
      <c r="F111" t="s">
        <v>761</v>
      </c>
      <c r="G111" t="s">
        <v>836</v>
      </c>
      <c r="I111" t="s">
        <v>1355</v>
      </c>
      <c r="J111" t="s">
        <v>1689</v>
      </c>
      <c r="K111" t="s">
        <v>2250</v>
      </c>
      <c r="M111" t="s">
        <v>2154</v>
      </c>
      <c r="N111" t="s">
        <v>2522</v>
      </c>
      <c r="P111" t="s">
        <v>1359</v>
      </c>
      <c r="Q111" t="s">
        <v>1357</v>
      </c>
      <c r="S111" t="s">
        <v>2145</v>
      </c>
      <c r="T111" t="s">
        <v>1347</v>
      </c>
    </row>
    <row r="112" spans="1:20" ht="15" customHeight="1" x14ac:dyDescent="0.25">
      <c r="A112" t="s">
        <v>769</v>
      </c>
      <c r="B112" t="s">
        <v>770</v>
      </c>
      <c r="C112" t="s">
        <v>771</v>
      </c>
      <c r="D112" t="s">
        <v>786</v>
      </c>
      <c r="E112" s="19">
        <v>966592049181</v>
      </c>
      <c r="F112" t="s">
        <v>769</v>
      </c>
      <c r="G112" t="s">
        <v>844</v>
      </c>
      <c r="I112" t="s">
        <v>1581</v>
      </c>
      <c r="J112" t="s">
        <v>1803</v>
      </c>
      <c r="K112" t="s">
        <v>2371</v>
      </c>
      <c r="M112" t="s">
        <v>2208</v>
      </c>
      <c r="N112" t="s">
        <v>2522</v>
      </c>
      <c r="P112" t="s">
        <v>1666</v>
      </c>
      <c r="Q112" t="s">
        <v>1357</v>
      </c>
      <c r="S112" t="s">
        <v>111</v>
      </c>
      <c r="T112" t="s">
        <v>1347</v>
      </c>
    </row>
    <row r="113" spans="1:20" ht="15" customHeight="1" x14ac:dyDescent="0.25">
      <c r="A113" t="s">
        <v>226</v>
      </c>
      <c r="B113" t="s">
        <v>745</v>
      </c>
      <c r="C113" t="s">
        <v>746</v>
      </c>
      <c r="D113" t="s">
        <v>919</v>
      </c>
      <c r="E113" s="19">
        <v>966559712153</v>
      </c>
      <c r="F113" t="s">
        <v>226</v>
      </c>
      <c r="G113" t="s">
        <v>839</v>
      </c>
      <c r="I113" t="s">
        <v>1593</v>
      </c>
      <c r="J113" t="s">
        <v>1835</v>
      </c>
      <c r="K113" t="s">
        <v>2495</v>
      </c>
      <c r="M113" t="s">
        <v>935</v>
      </c>
      <c r="N113" t="s">
        <v>2522</v>
      </c>
      <c r="P113" t="s">
        <v>1709</v>
      </c>
      <c r="Q113" t="s">
        <v>1357</v>
      </c>
      <c r="S113" t="s">
        <v>120</v>
      </c>
      <c r="T113" t="s">
        <v>1347</v>
      </c>
    </row>
    <row r="114" spans="1:20" ht="15" customHeight="1" x14ac:dyDescent="0.25">
      <c r="A114" t="s">
        <v>750</v>
      </c>
      <c r="B114" t="s">
        <v>751</v>
      </c>
      <c r="C114" t="s">
        <v>752</v>
      </c>
      <c r="D114" t="s">
        <v>919</v>
      </c>
      <c r="E114" s="19">
        <v>966564060530</v>
      </c>
      <c r="F114" t="s">
        <v>750</v>
      </c>
      <c r="G114" t="s">
        <v>845</v>
      </c>
      <c r="I114" t="s">
        <v>1616</v>
      </c>
      <c r="J114" t="s">
        <v>1876</v>
      </c>
      <c r="K114" t="s">
        <v>2549</v>
      </c>
      <c r="M114" t="s">
        <v>935</v>
      </c>
      <c r="N114" t="s">
        <v>2522</v>
      </c>
      <c r="P114" t="s">
        <v>1367</v>
      </c>
      <c r="Q114" t="s">
        <v>1347</v>
      </c>
      <c r="S114" t="s">
        <v>85</v>
      </c>
      <c r="T114" t="s">
        <v>1347</v>
      </c>
    </row>
    <row r="115" spans="1:20" ht="15" customHeight="1" x14ac:dyDescent="0.25">
      <c r="A115" t="s">
        <v>720</v>
      </c>
      <c r="B115" t="s">
        <v>721</v>
      </c>
      <c r="C115" t="s">
        <v>1194</v>
      </c>
      <c r="D115" t="s">
        <v>786</v>
      </c>
      <c r="E115" s="19">
        <v>966560795775</v>
      </c>
      <c r="F115" t="s">
        <v>720</v>
      </c>
      <c r="G115" t="s">
        <v>844</v>
      </c>
      <c r="I115" t="s">
        <v>1645</v>
      </c>
      <c r="J115" t="s">
        <v>1917</v>
      </c>
      <c r="K115" t="s">
        <v>2606</v>
      </c>
      <c r="M115" t="s">
        <v>778</v>
      </c>
      <c r="N115" t="s">
        <v>2522</v>
      </c>
      <c r="P115" t="s">
        <v>1361</v>
      </c>
      <c r="Q115" t="s">
        <v>1357</v>
      </c>
      <c r="S115" t="s">
        <v>32</v>
      </c>
      <c r="T115" t="s">
        <v>1347</v>
      </c>
    </row>
    <row r="116" spans="1:20" ht="15" customHeight="1" x14ac:dyDescent="0.25">
      <c r="A116" t="s">
        <v>780</v>
      </c>
      <c r="B116" t="s">
        <v>781</v>
      </c>
      <c r="C116" t="s">
        <v>782</v>
      </c>
      <c r="D116" t="s">
        <v>786</v>
      </c>
      <c r="E116" s="19">
        <v>966564031056</v>
      </c>
      <c r="F116" t="s">
        <v>780</v>
      </c>
      <c r="G116" t="s">
        <v>844</v>
      </c>
      <c r="I116" t="s">
        <v>1363</v>
      </c>
      <c r="J116" t="s">
        <v>1998</v>
      </c>
      <c r="K116" t="s">
        <v>2659</v>
      </c>
      <c r="M116" t="s">
        <v>807</v>
      </c>
      <c r="N116" t="s">
        <v>2522</v>
      </c>
      <c r="P116" t="s">
        <v>1704</v>
      </c>
      <c r="Q116" t="s">
        <v>1357</v>
      </c>
      <c r="S116" t="s">
        <v>33</v>
      </c>
      <c r="T116" t="s">
        <v>1347</v>
      </c>
    </row>
    <row r="117" spans="1:20" ht="15" customHeight="1" x14ac:dyDescent="0.25">
      <c r="A117" t="s">
        <v>787</v>
      </c>
      <c r="B117" t="s">
        <v>788</v>
      </c>
      <c r="C117" t="s">
        <v>789</v>
      </c>
      <c r="D117" t="s">
        <v>786</v>
      </c>
      <c r="E117" s="19" t="s">
        <v>790</v>
      </c>
      <c r="F117" t="s">
        <v>787</v>
      </c>
      <c r="G117" t="s">
        <v>844</v>
      </c>
      <c r="I117" t="s">
        <v>1686</v>
      </c>
      <c r="J117" t="s">
        <v>2139</v>
      </c>
      <c r="K117" t="s">
        <v>2692</v>
      </c>
      <c r="M117" t="s">
        <v>802</v>
      </c>
      <c r="N117" t="s">
        <v>2522</v>
      </c>
      <c r="P117" t="s">
        <v>1717</v>
      </c>
      <c r="Q117" t="s">
        <v>1357</v>
      </c>
      <c r="S117" t="s">
        <v>34</v>
      </c>
      <c r="T117" t="s">
        <v>1347</v>
      </c>
    </row>
    <row r="118" spans="1:20" ht="15" customHeight="1" x14ac:dyDescent="0.25">
      <c r="A118" t="s">
        <v>793</v>
      </c>
      <c r="B118" t="s">
        <v>823</v>
      </c>
      <c r="C118" t="s">
        <v>1193</v>
      </c>
      <c r="D118" t="s">
        <v>919</v>
      </c>
      <c r="E118" s="19">
        <v>966551738893</v>
      </c>
      <c r="F118" t="s">
        <v>793</v>
      </c>
      <c r="G118" t="s">
        <v>853</v>
      </c>
      <c r="I118" t="s">
        <v>1356</v>
      </c>
      <c r="J118" t="s">
        <v>1806</v>
      </c>
      <c r="K118" t="s">
        <v>2653</v>
      </c>
      <c r="M118" t="s">
        <v>935</v>
      </c>
      <c r="N118" t="s">
        <v>2522</v>
      </c>
      <c r="P118" t="s">
        <v>1689</v>
      </c>
      <c r="Q118" t="s">
        <v>1347</v>
      </c>
      <c r="S118" t="s">
        <v>35</v>
      </c>
      <c r="T118" t="s">
        <v>1347</v>
      </c>
    </row>
    <row r="119" spans="1:20" ht="15" customHeight="1" x14ac:dyDescent="0.25">
      <c r="A119" t="s">
        <v>1391</v>
      </c>
      <c r="B119" t="s">
        <v>822</v>
      </c>
      <c r="C119" t="s">
        <v>759</v>
      </c>
      <c r="D119" t="s">
        <v>919</v>
      </c>
      <c r="E119" s="19">
        <v>966599520004</v>
      </c>
      <c r="F119" t="s">
        <v>1391</v>
      </c>
      <c r="G119" t="s">
        <v>836</v>
      </c>
      <c r="I119" t="s">
        <v>1712</v>
      </c>
      <c r="J119" t="s">
        <v>2268</v>
      </c>
      <c r="K119" t="s">
        <v>2603</v>
      </c>
      <c r="M119" t="s">
        <v>558</v>
      </c>
      <c r="N119" t="s">
        <v>2522</v>
      </c>
      <c r="P119" t="s">
        <v>1803</v>
      </c>
      <c r="Q119" t="s">
        <v>1357</v>
      </c>
      <c r="S119" t="s">
        <v>75</v>
      </c>
      <c r="T119" t="s">
        <v>1347</v>
      </c>
    </row>
    <row r="120" spans="1:20" ht="15" customHeight="1" x14ac:dyDescent="0.25">
      <c r="A120" t="s">
        <v>722</v>
      </c>
      <c r="B120" t="s">
        <v>821</v>
      </c>
      <c r="C120" t="s">
        <v>1192</v>
      </c>
      <c r="D120" t="s">
        <v>786</v>
      </c>
      <c r="E120" s="19">
        <v>966506479364</v>
      </c>
      <c r="F120" t="s">
        <v>722</v>
      </c>
      <c r="G120" t="s">
        <v>844</v>
      </c>
      <c r="I120" t="s">
        <v>1809</v>
      </c>
      <c r="J120" t="s">
        <v>2274</v>
      </c>
      <c r="K120" t="s">
        <v>2933</v>
      </c>
      <c r="M120" t="s">
        <v>566</v>
      </c>
      <c r="N120" t="s">
        <v>2522</v>
      </c>
      <c r="P120" t="s">
        <v>1809</v>
      </c>
      <c r="Q120" t="s">
        <v>1357</v>
      </c>
      <c r="S120" t="s">
        <v>37</v>
      </c>
      <c r="T120" t="s">
        <v>1347</v>
      </c>
    </row>
    <row r="121" spans="1:20" ht="15" customHeight="1" x14ac:dyDescent="0.25">
      <c r="A121" t="s">
        <v>723</v>
      </c>
      <c r="B121" t="s">
        <v>820</v>
      </c>
      <c r="C121" t="s">
        <v>724</v>
      </c>
      <c r="D121" t="s">
        <v>919</v>
      </c>
      <c r="E121" s="19">
        <v>966507873473</v>
      </c>
      <c r="F121" t="s">
        <v>723</v>
      </c>
      <c r="G121" t="s">
        <v>2044</v>
      </c>
      <c r="I121" t="s">
        <v>1823</v>
      </c>
      <c r="J121" t="s">
        <v>775</v>
      </c>
      <c r="K121" t="s">
        <v>2586</v>
      </c>
      <c r="M121" t="s">
        <v>636</v>
      </c>
      <c r="N121" t="s">
        <v>2522</v>
      </c>
      <c r="P121" t="s">
        <v>1835</v>
      </c>
      <c r="Q121" t="s">
        <v>1357</v>
      </c>
      <c r="S121" t="s">
        <v>91</v>
      </c>
      <c r="T121" t="s">
        <v>1347</v>
      </c>
    </row>
    <row r="122" spans="1:20" ht="15" customHeight="1" x14ac:dyDescent="0.25">
      <c r="A122" t="s">
        <v>764</v>
      </c>
      <c r="B122" t="s">
        <v>819</v>
      </c>
      <c r="C122" t="s">
        <v>1191</v>
      </c>
      <c r="D122" t="s">
        <v>919</v>
      </c>
      <c r="E122" s="19">
        <v>966508596077</v>
      </c>
      <c r="F122" t="s">
        <v>764</v>
      </c>
      <c r="G122" t="s">
        <v>837</v>
      </c>
      <c r="I122" t="s">
        <v>1846</v>
      </c>
      <c r="J122" t="s">
        <v>2337</v>
      </c>
      <c r="K122" t="s">
        <v>2510</v>
      </c>
      <c r="M122" t="s">
        <v>638</v>
      </c>
      <c r="N122" t="s">
        <v>2522</v>
      </c>
      <c r="P122" t="s">
        <v>1876</v>
      </c>
      <c r="Q122" t="s">
        <v>1357</v>
      </c>
      <c r="S122" t="s">
        <v>219</v>
      </c>
      <c r="T122" t="s">
        <v>1347</v>
      </c>
    </row>
    <row r="123" spans="1:20" ht="15" customHeight="1" x14ac:dyDescent="0.25">
      <c r="A123" t="s">
        <v>739</v>
      </c>
      <c r="B123" t="s">
        <v>818</v>
      </c>
      <c r="C123" t="s">
        <v>740</v>
      </c>
      <c r="D123" t="s">
        <v>919</v>
      </c>
      <c r="E123" s="19">
        <v>966564031056</v>
      </c>
      <c r="F123" t="s">
        <v>739</v>
      </c>
      <c r="G123" t="s">
        <v>838</v>
      </c>
      <c r="I123" t="s">
        <v>1851</v>
      </c>
      <c r="J123" t="s">
        <v>655</v>
      </c>
      <c r="K123" t="s">
        <v>2770</v>
      </c>
      <c r="M123" t="s">
        <v>644</v>
      </c>
      <c r="N123" t="s">
        <v>2522</v>
      </c>
      <c r="P123" t="s">
        <v>1917</v>
      </c>
      <c r="Q123" t="s">
        <v>1357</v>
      </c>
      <c r="S123" t="s">
        <v>342</v>
      </c>
      <c r="T123" t="s">
        <v>1347</v>
      </c>
    </row>
    <row r="124" spans="1:20" ht="15" customHeight="1" x14ac:dyDescent="0.25">
      <c r="A124" t="s">
        <v>666</v>
      </c>
      <c r="B124" t="s">
        <v>817</v>
      </c>
      <c r="C124" t="s">
        <v>1190</v>
      </c>
      <c r="D124" t="s">
        <v>786</v>
      </c>
      <c r="E124" s="19">
        <v>966506054004</v>
      </c>
      <c r="F124" t="s">
        <v>666</v>
      </c>
      <c r="G124" t="s">
        <v>844</v>
      </c>
      <c r="I124" t="s">
        <v>1370</v>
      </c>
      <c r="J124" t="s">
        <v>1281</v>
      </c>
      <c r="K124" t="s">
        <v>2741</v>
      </c>
      <c r="M124" t="s">
        <v>646</v>
      </c>
      <c r="N124" t="s">
        <v>2522</v>
      </c>
      <c r="P124" t="s">
        <v>1998</v>
      </c>
      <c r="Q124" t="s">
        <v>1347</v>
      </c>
      <c r="S124" t="s">
        <v>359</v>
      </c>
      <c r="T124" t="s">
        <v>1347</v>
      </c>
    </row>
    <row r="125" spans="1:20" ht="15" customHeight="1" x14ac:dyDescent="0.25">
      <c r="A125" t="s">
        <v>755</v>
      </c>
      <c r="B125" t="s">
        <v>816</v>
      </c>
      <c r="C125" t="s">
        <v>756</v>
      </c>
      <c r="D125" t="s">
        <v>919</v>
      </c>
      <c r="E125" s="19">
        <v>966509888449</v>
      </c>
      <c r="F125" t="s">
        <v>755</v>
      </c>
      <c r="G125" t="s">
        <v>839</v>
      </c>
      <c r="I125" t="s">
        <v>1920</v>
      </c>
      <c r="J125" t="s">
        <v>378</v>
      </c>
      <c r="K125" t="s">
        <v>2956</v>
      </c>
      <c r="M125" t="s">
        <v>662</v>
      </c>
      <c r="N125" t="s">
        <v>2522</v>
      </c>
      <c r="P125" t="s">
        <v>2139</v>
      </c>
      <c r="Q125" t="s">
        <v>1347</v>
      </c>
      <c r="S125" t="s">
        <v>381</v>
      </c>
      <c r="T125" t="s">
        <v>1347</v>
      </c>
    </row>
    <row r="126" spans="1:20" ht="15" customHeight="1" x14ac:dyDescent="0.25">
      <c r="A126" t="s">
        <v>813</v>
      </c>
      <c r="B126" t="s">
        <v>814</v>
      </c>
      <c r="C126" t="s">
        <v>815</v>
      </c>
      <c r="D126" t="s">
        <v>786</v>
      </c>
      <c r="E126" s="19">
        <v>96614111371</v>
      </c>
      <c r="F126" t="s">
        <v>813</v>
      </c>
      <c r="G126" t="s">
        <v>844</v>
      </c>
      <c r="I126" t="s">
        <v>1957</v>
      </c>
      <c r="J126" t="s">
        <v>1986</v>
      </c>
      <c r="K126" t="s">
        <v>2792</v>
      </c>
      <c r="M126" t="s">
        <v>778</v>
      </c>
      <c r="N126" t="s">
        <v>2522</v>
      </c>
      <c r="P126" t="s">
        <v>915</v>
      </c>
      <c r="Q126" t="s">
        <v>1357</v>
      </c>
      <c r="S126" t="s">
        <v>416</v>
      </c>
      <c r="T126" t="s">
        <v>1347</v>
      </c>
    </row>
    <row r="127" spans="1:20" ht="15" customHeight="1" x14ac:dyDescent="0.25">
      <c r="A127" t="s">
        <v>757</v>
      </c>
      <c r="B127" t="s">
        <v>812</v>
      </c>
      <c r="C127" t="s">
        <v>758</v>
      </c>
      <c r="D127" t="s">
        <v>919</v>
      </c>
      <c r="E127" s="19">
        <v>966553030467</v>
      </c>
      <c r="F127" t="s">
        <v>757</v>
      </c>
      <c r="G127" t="s">
        <v>836</v>
      </c>
      <c r="I127" t="s">
        <v>2014</v>
      </c>
      <c r="J127" t="s">
        <v>2341</v>
      </c>
      <c r="K127" t="s">
        <v>1838</v>
      </c>
      <c r="M127" t="s">
        <v>807</v>
      </c>
      <c r="N127" t="s">
        <v>2522</v>
      </c>
      <c r="P127" t="s">
        <v>950</v>
      </c>
      <c r="Q127" t="s">
        <v>1347</v>
      </c>
      <c r="S127" t="s">
        <v>409</v>
      </c>
      <c r="T127" t="s">
        <v>1347</v>
      </c>
    </row>
    <row r="128" spans="1:20" ht="15" customHeight="1" x14ac:dyDescent="0.25">
      <c r="A128" t="s">
        <v>809</v>
      </c>
      <c r="B128" t="s">
        <v>810</v>
      </c>
      <c r="C128" t="s">
        <v>811</v>
      </c>
      <c r="D128" t="s">
        <v>786</v>
      </c>
      <c r="E128" s="19">
        <v>966505471428</v>
      </c>
      <c r="F128" t="s">
        <v>809</v>
      </c>
      <c r="G128" t="s">
        <v>844</v>
      </c>
      <c r="I128" t="s">
        <v>2032</v>
      </c>
      <c r="J128" t="s">
        <v>2444</v>
      </c>
      <c r="K128" t="s">
        <v>8405</v>
      </c>
      <c r="M128" t="s">
        <v>795</v>
      </c>
      <c r="N128" t="s">
        <v>2522</v>
      </c>
      <c r="P128" t="s">
        <v>948</v>
      </c>
      <c r="Q128" t="s">
        <v>1357</v>
      </c>
      <c r="S128" t="s">
        <v>456</v>
      </c>
      <c r="T128" t="s">
        <v>1347</v>
      </c>
    </row>
    <row r="129" spans="1:20" ht="15" customHeight="1" x14ac:dyDescent="0.25">
      <c r="A129" t="s">
        <v>831</v>
      </c>
      <c r="B129" t="s">
        <v>832</v>
      </c>
      <c r="C129" t="s">
        <v>833</v>
      </c>
      <c r="D129" t="s">
        <v>786</v>
      </c>
      <c r="E129" s="19">
        <v>96614222358</v>
      </c>
      <c r="F129" t="s">
        <v>831</v>
      </c>
      <c r="G129" t="s">
        <v>844</v>
      </c>
      <c r="I129" t="s">
        <v>1364</v>
      </c>
      <c r="J129" t="s">
        <v>2169</v>
      </c>
      <c r="K129" t="s">
        <v>8062</v>
      </c>
      <c r="M129" t="s">
        <v>803</v>
      </c>
      <c r="N129" t="s">
        <v>2522</v>
      </c>
      <c r="P129" t="s">
        <v>946</v>
      </c>
      <c r="Q129" t="s">
        <v>1357</v>
      </c>
      <c r="S129" t="s">
        <v>484</v>
      </c>
      <c r="T129" t="s">
        <v>1347</v>
      </c>
    </row>
    <row r="130" spans="1:20" ht="15" customHeight="1" x14ac:dyDescent="0.25">
      <c r="A130" t="s">
        <v>834</v>
      </c>
      <c r="B130" t="s">
        <v>835</v>
      </c>
      <c r="C130" t="s">
        <v>1189</v>
      </c>
      <c r="D130" t="s">
        <v>919</v>
      </c>
      <c r="E130" s="19">
        <v>9665441412000</v>
      </c>
      <c r="F130" t="s">
        <v>834</v>
      </c>
      <c r="G130" t="s">
        <v>850</v>
      </c>
      <c r="I130" t="s">
        <v>2136</v>
      </c>
      <c r="J130" t="s">
        <v>2435</v>
      </c>
      <c r="K130" t="s">
        <v>8315</v>
      </c>
      <c r="M130" t="s">
        <v>802</v>
      </c>
      <c r="N130" t="s">
        <v>2522</v>
      </c>
      <c r="P130" t="s">
        <v>933</v>
      </c>
      <c r="Q130" t="s">
        <v>1357</v>
      </c>
      <c r="S130" t="s">
        <v>511</v>
      </c>
      <c r="T130" t="s">
        <v>1347</v>
      </c>
    </row>
    <row r="131" spans="1:20" ht="15" customHeight="1" x14ac:dyDescent="0.25">
      <c r="A131" t="s">
        <v>791</v>
      </c>
      <c r="B131" t="s">
        <v>824</v>
      </c>
      <c r="C131" t="s">
        <v>792</v>
      </c>
      <c r="D131" t="s">
        <v>919</v>
      </c>
      <c r="E131" s="19">
        <v>966561781666</v>
      </c>
      <c r="F131" t="s">
        <v>791</v>
      </c>
      <c r="G131" t="s">
        <v>836</v>
      </c>
      <c r="I131" t="s">
        <v>2154</v>
      </c>
      <c r="J131" t="s">
        <v>2536</v>
      </c>
      <c r="K131" t="s">
        <v>1272</v>
      </c>
      <c r="M131" t="s">
        <v>799</v>
      </c>
      <c r="N131" t="s">
        <v>2522</v>
      </c>
      <c r="P131" t="s">
        <v>928</v>
      </c>
      <c r="Q131" t="s">
        <v>1357</v>
      </c>
      <c r="S131" t="s">
        <v>526</v>
      </c>
      <c r="T131" t="s">
        <v>1347</v>
      </c>
    </row>
    <row r="132" spans="1:20" ht="15" customHeight="1" x14ac:dyDescent="0.25">
      <c r="A132" t="s">
        <v>873</v>
      </c>
      <c r="B132" t="s">
        <v>874</v>
      </c>
      <c r="C132" t="s">
        <v>875</v>
      </c>
      <c r="D132" t="s">
        <v>786</v>
      </c>
      <c r="E132" s="19">
        <v>966112439688</v>
      </c>
      <c r="F132" t="s">
        <v>873</v>
      </c>
      <c r="G132" t="s">
        <v>844</v>
      </c>
      <c r="I132" t="s">
        <v>2208</v>
      </c>
      <c r="J132" t="s">
        <v>2690</v>
      </c>
      <c r="K132" t="s">
        <v>8570</v>
      </c>
      <c r="M132" t="s">
        <v>891</v>
      </c>
      <c r="N132" t="s">
        <v>2522</v>
      </c>
      <c r="P132" t="s">
        <v>829</v>
      </c>
      <c r="Q132" t="s">
        <v>1357</v>
      </c>
      <c r="S132" t="s">
        <v>581</v>
      </c>
      <c r="T132" t="s">
        <v>1347</v>
      </c>
    </row>
    <row r="133" spans="1:20" ht="15" customHeight="1" x14ac:dyDescent="0.25">
      <c r="A133" t="s">
        <v>760</v>
      </c>
      <c r="B133" t="s">
        <v>876</v>
      </c>
      <c r="C133" t="s">
        <v>1188</v>
      </c>
      <c r="D133" t="s">
        <v>919</v>
      </c>
      <c r="E133" s="19">
        <v>966553146061</v>
      </c>
      <c r="F133" t="s">
        <v>760</v>
      </c>
      <c r="G133" t="s">
        <v>839</v>
      </c>
      <c r="I133" t="s">
        <v>2184</v>
      </c>
      <c r="J133" t="s">
        <v>2518</v>
      </c>
      <c r="K133" t="s">
        <v>2676</v>
      </c>
      <c r="M133" t="s">
        <v>935</v>
      </c>
      <c r="N133" t="s">
        <v>2522</v>
      </c>
      <c r="P133" t="s">
        <v>869</v>
      </c>
      <c r="Q133" t="s">
        <v>1357</v>
      </c>
      <c r="S133" t="s">
        <v>589</v>
      </c>
      <c r="T133" t="s">
        <v>1347</v>
      </c>
    </row>
    <row r="134" spans="1:20" ht="15" customHeight="1" x14ac:dyDescent="0.25">
      <c r="A134" t="s">
        <v>878</v>
      </c>
      <c r="B134" t="s">
        <v>879</v>
      </c>
      <c r="C134" t="s">
        <v>880</v>
      </c>
      <c r="D134" t="s">
        <v>919</v>
      </c>
      <c r="E134" s="19">
        <v>966500054942</v>
      </c>
      <c r="F134" t="s">
        <v>878</v>
      </c>
      <c r="G134" t="s">
        <v>838</v>
      </c>
      <c r="I134" t="s">
        <v>2259</v>
      </c>
      <c r="J134" t="s">
        <v>1455</v>
      </c>
      <c r="K134" t="s">
        <v>4719</v>
      </c>
      <c r="M134" t="s">
        <v>958</v>
      </c>
      <c r="N134" t="s">
        <v>2522</v>
      </c>
      <c r="P134" t="s">
        <v>867</v>
      </c>
      <c r="Q134" t="s">
        <v>1357</v>
      </c>
      <c r="S134" t="s">
        <v>556</v>
      </c>
      <c r="T134" t="s">
        <v>1347</v>
      </c>
    </row>
    <row r="135" spans="1:20" ht="15" customHeight="1" x14ac:dyDescent="0.25">
      <c r="A135" t="s">
        <v>884</v>
      </c>
      <c r="B135" t="s">
        <v>885</v>
      </c>
      <c r="C135" t="s">
        <v>886</v>
      </c>
      <c r="D135" t="s">
        <v>919</v>
      </c>
      <c r="E135" s="19">
        <v>966050283036</v>
      </c>
      <c r="F135" t="s">
        <v>884</v>
      </c>
      <c r="G135" t="s">
        <v>839</v>
      </c>
      <c r="I135" t="s">
        <v>138</v>
      </c>
      <c r="J135" t="s">
        <v>2706</v>
      </c>
      <c r="K135" t="s">
        <v>2621</v>
      </c>
      <c r="M135" t="s">
        <v>931</v>
      </c>
      <c r="N135" t="s">
        <v>2522</v>
      </c>
      <c r="P135" t="s">
        <v>863</v>
      </c>
      <c r="Q135" t="s">
        <v>1357</v>
      </c>
      <c r="S135" t="s">
        <v>523</v>
      </c>
      <c r="T135" t="s">
        <v>1347</v>
      </c>
    </row>
    <row r="136" spans="1:20" ht="15" customHeight="1" x14ac:dyDescent="0.25">
      <c r="A136" t="s">
        <v>881</v>
      </c>
      <c r="B136" t="s">
        <v>882</v>
      </c>
      <c r="C136" t="s">
        <v>883</v>
      </c>
      <c r="D136" t="s">
        <v>919</v>
      </c>
      <c r="E136" s="19">
        <v>9665994541422</v>
      </c>
      <c r="F136" t="s">
        <v>881</v>
      </c>
      <c r="G136" t="s">
        <v>839</v>
      </c>
      <c r="I136" t="s">
        <v>2291</v>
      </c>
      <c r="J136" t="s">
        <v>2552</v>
      </c>
      <c r="K136" t="s">
        <v>8710</v>
      </c>
      <c r="M136" t="s">
        <v>1449</v>
      </c>
      <c r="N136" t="s">
        <v>2522</v>
      </c>
      <c r="P136" t="s">
        <v>915</v>
      </c>
      <c r="Q136" t="s">
        <v>1357</v>
      </c>
      <c r="S136" t="s">
        <v>573</v>
      </c>
      <c r="T136" t="s">
        <v>1347</v>
      </c>
    </row>
    <row r="137" spans="1:20" ht="15" customHeight="1" x14ac:dyDescent="0.25">
      <c r="A137" t="s">
        <v>901</v>
      </c>
      <c r="B137" t="s">
        <v>902</v>
      </c>
      <c r="C137" t="s">
        <v>1187</v>
      </c>
      <c r="D137" t="s">
        <v>919</v>
      </c>
      <c r="E137" s="19">
        <v>966593178933</v>
      </c>
      <c r="F137" t="s">
        <v>901</v>
      </c>
      <c r="G137" t="s">
        <v>837</v>
      </c>
      <c r="I137" t="s">
        <v>2247</v>
      </c>
      <c r="J137" t="s">
        <v>2588</v>
      </c>
      <c r="K137" t="s">
        <v>8665</v>
      </c>
      <c r="M137" t="s">
        <v>1370</v>
      </c>
      <c r="N137" t="s">
        <v>2522</v>
      </c>
      <c r="P137" t="s">
        <v>950</v>
      </c>
      <c r="Q137" t="s">
        <v>1347</v>
      </c>
      <c r="S137" t="s">
        <v>665</v>
      </c>
      <c r="T137" t="s">
        <v>1347</v>
      </c>
    </row>
    <row r="138" spans="1:20" ht="15" customHeight="1" x14ac:dyDescent="0.25">
      <c r="A138" t="s">
        <v>1184</v>
      </c>
      <c r="B138" t="s">
        <v>1185</v>
      </c>
      <c r="C138" t="s">
        <v>1186</v>
      </c>
      <c r="D138" t="s">
        <v>786</v>
      </c>
      <c r="E138" s="19">
        <v>9660547408967</v>
      </c>
      <c r="F138" t="s">
        <v>1184</v>
      </c>
      <c r="G138" t="s">
        <v>844</v>
      </c>
      <c r="I138" t="s">
        <v>1464</v>
      </c>
      <c r="J138" t="s">
        <v>2911</v>
      </c>
      <c r="K138" t="s">
        <v>8844</v>
      </c>
      <c r="M138" t="s">
        <v>2032</v>
      </c>
      <c r="N138" t="s">
        <v>2522</v>
      </c>
      <c r="P138" t="s">
        <v>948</v>
      </c>
      <c r="Q138" t="s">
        <v>1357</v>
      </c>
      <c r="S138" t="s">
        <v>637</v>
      </c>
      <c r="T138" t="s">
        <v>1347</v>
      </c>
    </row>
    <row r="139" spans="1:20" ht="15" customHeight="1" x14ac:dyDescent="0.25">
      <c r="A139" t="s">
        <v>714</v>
      </c>
      <c r="B139" t="s">
        <v>1183</v>
      </c>
      <c r="C139" t="s">
        <v>715</v>
      </c>
      <c r="D139" t="s">
        <v>919</v>
      </c>
      <c r="E139" s="19">
        <v>966537336883</v>
      </c>
      <c r="F139" t="s">
        <v>714</v>
      </c>
      <c r="G139" t="s">
        <v>836</v>
      </c>
      <c r="I139" t="s">
        <v>1800</v>
      </c>
      <c r="J139" t="s">
        <v>1854</v>
      </c>
      <c r="K139" t="s">
        <v>8678</v>
      </c>
      <c r="M139" t="s">
        <v>2143</v>
      </c>
      <c r="N139" t="s">
        <v>2522</v>
      </c>
      <c r="P139" t="s">
        <v>946</v>
      </c>
      <c r="Q139" t="s">
        <v>1357</v>
      </c>
      <c r="S139" t="s">
        <v>670</v>
      </c>
      <c r="T139" t="s">
        <v>1347</v>
      </c>
    </row>
    <row r="140" spans="1:20" ht="15" customHeight="1" x14ac:dyDescent="0.25">
      <c r="A140" t="s">
        <v>916</v>
      </c>
      <c r="B140" t="s">
        <v>1181</v>
      </c>
      <c r="C140" t="s">
        <v>1182</v>
      </c>
      <c r="D140" t="s">
        <v>919</v>
      </c>
      <c r="E140" s="19">
        <v>96654695226</v>
      </c>
      <c r="F140" t="s">
        <v>916</v>
      </c>
      <c r="G140" t="s">
        <v>839</v>
      </c>
      <c r="I140" t="s">
        <v>1914</v>
      </c>
      <c r="J140" t="s">
        <v>2930</v>
      </c>
      <c r="K140" t="s">
        <v>8907</v>
      </c>
      <c r="M140" t="s">
        <v>518</v>
      </c>
      <c r="N140" t="s">
        <v>2522</v>
      </c>
      <c r="P140" t="s">
        <v>933</v>
      </c>
      <c r="Q140" t="s">
        <v>1357</v>
      </c>
      <c r="S140" t="s">
        <v>663</v>
      </c>
      <c r="T140" t="s">
        <v>1347</v>
      </c>
    </row>
    <row r="141" spans="1:20" ht="15" customHeight="1" x14ac:dyDescent="0.25">
      <c r="A141" t="s">
        <v>918</v>
      </c>
      <c r="B141" t="s">
        <v>1179</v>
      </c>
      <c r="C141" t="s">
        <v>1180</v>
      </c>
      <c r="D141" t="s">
        <v>919</v>
      </c>
      <c r="E141" s="19">
        <v>966544114562</v>
      </c>
      <c r="F141" t="s">
        <v>918</v>
      </c>
      <c r="G141" t="s">
        <v>839</v>
      </c>
      <c r="I141" t="s">
        <v>2002</v>
      </c>
      <c r="J141" t="s">
        <v>2857</v>
      </c>
      <c r="K141" t="s">
        <v>8799</v>
      </c>
      <c r="M141" t="s">
        <v>1806</v>
      </c>
      <c r="N141" t="s">
        <v>2522</v>
      </c>
      <c r="P141" t="s">
        <v>928</v>
      </c>
      <c r="Q141" t="s">
        <v>1357</v>
      </c>
      <c r="S141" t="s">
        <v>639</v>
      </c>
      <c r="T141" t="s">
        <v>1347</v>
      </c>
    </row>
    <row r="142" spans="1:20" ht="15" customHeight="1" x14ac:dyDescent="0.25">
      <c r="A142" t="s">
        <v>1175</v>
      </c>
      <c r="B142" t="s">
        <v>1176</v>
      </c>
      <c r="C142" t="s">
        <v>1177</v>
      </c>
      <c r="D142" t="s">
        <v>919</v>
      </c>
      <c r="E142" s="19">
        <v>971555538881</v>
      </c>
      <c r="F142" t="s">
        <v>1175</v>
      </c>
      <c r="G142" t="s">
        <v>1178</v>
      </c>
      <c r="I142" t="s">
        <v>2288</v>
      </c>
      <c r="J142" t="s">
        <v>2742</v>
      </c>
      <c r="K142" t="s">
        <v>8841</v>
      </c>
      <c r="M142" t="s">
        <v>138</v>
      </c>
      <c r="N142" t="s">
        <v>2522</v>
      </c>
      <c r="P142" t="s">
        <v>766</v>
      </c>
      <c r="Q142" t="s">
        <v>1357</v>
      </c>
      <c r="S142" t="s">
        <v>653</v>
      </c>
      <c r="T142" t="s">
        <v>1347</v>
      </c>
    </row>
    <row r="143" spans="1:20" ht="15" customHeight="1" x14ac:dyDescent="0.25">
      <c r="A143" t="s">
        <v>1172</v>
      </c>
      <c r="B143" t="s">
        <v>1173</v>
      </c>
      <c r="C143" t="s">
        <v>1174</v>
      </c>
      <c r="D143" t="s">
        <v>786</v>
      </c>
      <c r="E143" s="19">
        <v>966593777796</v>
      </c>
      <c r="F143" t="s">
        <v>1172</v>
      </c>
      <c r="G143" t="s">
        <v>844</v>
      </c>
      <c r="I143" t="s">
        <v>2250</v>
      </c>
      <c r="J143" t="s">
        <v>3057</v>
      </c>
      <c r="K143" t="s">
        <v>8904</v>
      </c>
      <c r="M143" t="s">
        <v>2291</v>
      </c>
      <c r="N143" t="s">
        <v>2522</v>
      </c>
      <c r="P143" t="s">
        <v>773</v>
      </c>
      <c r="Q143" t="s">
        <v>1347</v>
      </c>
      <c r="S143" t="s">
        <v>657</v>
      </c>
      <c r="T143" t="s">
        <v>1347</v>
      </c>
    </row>
    <row r="144" spans="1:20" ht="15" customHeight="1" x14ac:dyDescent="0.25">
      <c r="A144" t="s">
        <v>917</v>
      </c>
      <c r="B144" t="s">
        <v>1170</v>
      </c>
      <c r="C144" t="s">
        <v>1171</v>
      </c>
      <c r="D144" t="s">
        <v>786</v>
      </c>
      <c r="E144" s="19">
        <v>966595418003</v>
      </c>
      <c r="F144" t="s">
        <v>917</v>
      </c>
      <c r="G144" t="s">
        <v>844</v>
      </c>
      <c r="I144" t="s">
        <v>2371</v>
      </c>
      <c r="J144" t="s">
        <v>2804</v>
      </c>
      <c r="K144" t="s">
        <v>8067</v>
      </c>
      <c r="M144" t="s">
        <v>2247</v>
      </c>
      <c r="N144" t="s">
        <v>2522</v>
      </c>
      <c r="P144" t="s">
        <v>806</v>
      </c>
      <c r="Q144" t="s">
        <v>1347</v>
      </c>
      <c r="S144" t="s">
        <v>773</v>
      </c>
      <c r="T144" t="s">
        <v>1347</v>
      </c>
    </row>
    <row r="145" spans="1:20" ht="15" customHeight="1" x14ac:dyDescent="0.25">
      <c r="A145" t="s">
        <v>1167</v>
      </c>
      <c r="B145" t="s">
        <v>1168</v>
      </c>
      <c r="C145" t="s">
        <v>1169</v>
      </c>
      <c r="D145" t="s">
        <v>919</v>
      </c>
      <c r="E145" s="19">
        <v>966553510155</v>
      </c>
      <c r="F145" t="s">
        <v>1167</v>
      </c>
      <c r="G145" t="s">
        <v>857</v>
      </c>
      <c r="I145" t="s">
        <v>2495</v>
      </c>
      <c r="J145" t="s">
        <v>2714</v>
      </c>
      <c r="K145" t="s">
        <v>8928</v>
      </c>
      <c r="M145" t="s">
        <v>1914</v>
      </c>
      <c r="N145" t="s">
        <v>2522</v>
      </c>
      <c r="P145" t="s">
        <v>805</v>
      </c>
      <c r="Q145" t="s">
        <v>1357</v>
      </c>
      <c r="S145" t="s">
        <v>806</v>
      </c>
      <c r="T145" t="s">
        <v>1347</v>
      </c>
    </row>
    <row r="146" spans="1:20" ht="15" customHeight="1" x14ac:dyDescent="0.25">
      <c r="A146" t="s">
        <v>1164</v>
      </c>
      <c r="B146" t="s">
        <v>1165</v>
      </c>
      <c r="C146" t="s">
        <v>1166</v>
      </c>
      <c r="D146" t="s">
        <v>919</v>
      </c>
      <c r="E146" s="19">
        <v>966504450494</v>
      </c>
      <c r="F146" t="s">
        <v>1164</v>
      </c>
      <c r="G146" t="s">
        <v>858</v>
      </c>
      <c r="I146" t="s">
        <v>2549</v>
      </c>
      <c r="J146" t="s">
        <v>2819</v>
      </c>
      <c r="K146" t="s">
        <v>8747</v>
      </c>
      <c r="M146" t="s">
        <v>2002</v>
      </c>
      <c r="N146" t="s">
        <v>2522</v>
      </c>
      <c r="P146" t="s">
        <v>804</v>
      </c>
      <c r="Q146" t="s">
        <v>1357</v>
      </c>
      <c r="S146" t="s">
        <v>862</v>
      </c>
      <c r="T146" t="s">
        <v>1347</v>
      </c>
    </row>
    <row r="147" spans="1:20" ht="15" customHeight="1" x14ac:dyDescent="0.25">
      <c r="A147" t="s">
        <v>1160</v>
      </c>
      <c r="B147" t="s">
        <v>1161</v>
      </c>
      <c r="C147" t="s">
        <v>1162</v>
      </c>
      <c r="D147" t="s">
        <v>919</v>
      </c>
      <c r="E147" s="19">
        <v>966538331810</v>
      </c>
      <c r="F147" t="s">
        <v>1160</v>
      </c>
      <c r="G147" t="s">
        <v>1163</v>
      </c>
      <c r="I147" t="s">
        <v>2606</v>
      </c>
      <c r="J147" t="s">
        <v>2618</v>
      </c>
      <c r="K147" t="s">
        <v>8330</v>
      </c>
      <c r="M147" t="s">
        <v>2288</v>
      </c>
      <c r="N147" t="s">
        <v>2522</v>
      </c>
      <c r="P147" t="s">
        <v>801</v>
      </c>
      <c r="Q147" t="s">
        <v>1357</v>
      </c>
      <c r="S147" t="s">
        <v>877</v>
      </c>
      <c r="T147" t="s">
        <v>1347</v>
      </c>
    </row>
    <row r="148" spans="1:20" ht="15" customHeight="1" x14ac:dyDescent="0.25">
      <c r="A148" t="s">
        <v>1158</v>
      </c>
      <c r="B148" t="s">
        <v>1159</v>
      </c>
      <c r="C148" t="s">
        <v>1326</v>
      </c>
      <c r="D148" t="s">
        <v>919</v>
      </c>
      <c r="E148" s="19">
        <v>966550092196</v>
      </c>
      <c r="F148" t="s">
        <v>1158</v>
      </c>
      <c r="G148" t="s">
        <v>836</v>
      </c>
      <c r="I148" t="s">
        <v>2659</v>
      </c>
      <c r="J148" t="s">
        <v>2361</v>
      </c>
      <c r="K148" t="s">
        <v>8880</v>
      </c>
      <c r="M148" t="s">
        <v>2250</v>
      </c>
      <c r="N148" t="s">
        <v>2522</v>
      </c>
      <c r="P148" t="s">
        <v>797</v>
      </c>
      <c r="Q148" t="s">
        <v>1357</v>
      </c>
      <c r="S148" t="s">
        <v>900</v>
      </c>
      <c r="T148" t="s">
        <v>1347</v>
      </c>
    </row>
    <row r="149" spans="1:20" ht="15" customHeight="1" x14ac:dyDescent="0.25">
      <c r="A149" t="s">
        <v>1155</v>
      </c>
      <c r="B149" t="s">
        <v>1156</v>
      </c>
      <c r="C149" t="s">
        <v>1157</v>
      </c>
      <c r="D149" t="s">
        <v>919</v>
      </c>
      <c r="E149" s="19">
        <v>96650427069</v>
      </c>
      <c r="F149" t="s">
        <v>1155</v>
      </c>
      <c r="G149" t="s">
        <v>838</v>
      </c>
      <c r="I149" t="s">
        <v>2692</v>
      </c>
      <c r="J149" t="s">
        <v>2712</v>
      </c>
      <c r="K149" t="s">
        <v>9022</v>
      </c>
      <c r="M149" t="s">
        <v>2371</v>
      </c>
      <c r="N149" t="s">
        <v>2522</v>
      </c>
      <c r="P149" t="s">
        <v>829</v>
      </c>
      <c r="Q149" t="s">
        <v>1357</v>
      </c>
      <c r="S149" t="s">
        <v>907</v>
      </c>
      <c r="T149" t="s">
        <v>1347</v>
      </c>
    </row>
    <row r="150" spans="1:20" ht="15" customHeight="1" x14ac:dyDescent="0.25">
      <c r="A150" t="s">
        <v>1262</v>
      </c>
      <c r="B150" t="s">
        <v>1263</v>
      </c>
      <c r="C150" t="s">
        <v>1329</v>
      </c>
      <c r="D150" t="s">
        <v>919</v>
      </c>
      <c r="E150" s="19">
        <v>9665535933655</v>
      </c>
      <c r="F150" t="s">
        <v>1262</v>
      </c>
      <c r="G150" t="s">
        <v>836</v>
      </c>
      <c r="I150" t="s">
        <v>2653</v>
      </c>
      <c r="J150" t="s">
        <v>4725</v>
      </c>
      <c r="K150" t="s">
        <v>8986</v>
      </c>
      <c r="M150" t="s">
        <v>2495</v>
      </c>
      <c r="N150" t="s">
        <v>2522</v>
      </c>
      <c r="P150" t="s">
        <v>869</v>
      </c>
      <c r="Q150" t="s">
        <v>1357</v>
      </c>
      <c r="S150" t="s">
        <v>962</v>
      </c>
      <c r="T150" t="s">
        <v>1347</v>
      </c>
    </row>
    <row r="151" spans="1:20" ht="15" customHeight="1" x14ac:dyDescent="0.25">
      <c r="A151" t="s">
        <v>1265</v>
      </c>
      <c r="B151" t="s">
        <v>1266</v>
      </c>
      <c r="C151" t="s">
        <v>1267</v>
      </c>
      <c r="D151" t="s">
        <v>919</v>
      </c>
      <c r="E151" s="19">
        <v>966554278068</v>
      </c>
      <c r="F151" t="s">
        <v>1265</v>
      </c>
      <c r="G151" t="s">
        <v>836</v>
      </c>
      <c r="I151" t="s">
        <v>2603</v>
      </c>
      <c r="J151" t="s">
        <v>2907</v>
      </c>
      <c r="K151" t="s">
        <v>9167</v>
      </c>
      <c r="M151" t="s">
        <v>2549</v>
      </c>
      <c r="N151" t="s">
        <v>2522</v>
      </c>
      <c r="P151" t="s">
        <v>867</v>
      </c>
      <c r="Q151" t="s">
        <v>1357</v>
      </c>
      <c r="S151" t="s">
        <v>957</v>
      </c>
      <c r="T151" t="s">
        <v>1347</v>
      </c>
    </row>
    <row r="152" spans="1:20" ht="15" customHeight="1" x14ac:dyDescent="0.25">
      <c r="A152" t="s">
        <v>1278</v>
      </c>
      <c r="B152" t="s">
        <v>1279</v>
      </c>
      <c r="C152" t="s">
        <v>1280</v>
      </c>
      <c r="D152" t="s">
        <v>786</v>
      </c>
      <c r="F152" t="s">
        <v>1278</v>
      </c>
      <c r="G152" t="s">
        <v>844</v>
      </c>
      <c r="I152" t="s">
        <v>2933</v>
      </c>
      <c r="J152" t="s">
        <v>8047</v>
      </c>
      <c r="K152" t="s">
        <v>9061</v>
      </c>
      <c r="M152" t="s">
        <v>2606</v>
      </c>
      <c r="N152" t="s">
        <v>2522</v>
      </c>
      <c r="P152" t="s">
        <v>863</v>
      </c>
      <c r="Q152" t="s">
        <v>1357</v>
      </c>
      <c r="S152" t="s">
        <v>955</v>
      </c>
      <c r="T152" t="s">
        <v>1347</v>
      </c>
    </row>
    <row r="153" spans="1:20" ht="15" customHeight="1" x14ac:dyDescent="0.25">
      <c r="A153" t="s">
        <v>1303</v>
      </c>
      <c r="B153" t="s">
        <v>1304</v>
      </c>
      <c r="C153" t="s">
        <v>1280</v>
      </c>
      <c r="D153" t="s">
        <v>786</v>
      </c>
      <c r="E153" s="19">
        <v>966598259149</v>
      </c>
      <c r="F153" t="s">
        <v>1303</v>
      </c>
      <c r="G153" t="s">
        <v>844</v>
      </c>
      <c r="I153" t="s">
        <v>2541</v>
      </c>
      <c r="J153" t="s">
        <v>2852</v>
      </c>
      <c r="K153" t="s">
        <v>9370</v>
      </c>
      <c r="M153" t="s">
        <v>2659</v>
      </c>
      <c r="N153" t="s">
        <v>2522</v>
      </c>
      <c r="P153" t="s">
        <v>862</v>
      </c>
      <c r="Q153" t="s">
        <v>1347</v>
      </c>
      <c r="S153" t="s">
        <v>950</v>
      </c>
      <c r="T153" t="s">
        <v>1347</v>
      </c>
    </row>
    <row r="154" spans="1:20" ht="15" customHeight="1" x14ac:dyDescent="0.25">
      <c r="A154" t="s">
        <v>1293</v>
      </c>
      <c r="B154" t="s">
        <v>1294</v>
      </c>
      <c r="C154" t="s">
        <v>1335</v>
      </c>
      <c r="D154" t="s">
        <v>919</v>
      </c>
      <c r="E154" s="19">
        <v>966582309555</v>
      </c>
      <c r="F154" t="s">
        <v>1293</v>
      </c>
      <c r="G154" t="s">
        <v>841</v>
      </c>
      <c r="I154" t="s">
        <v>2586</v>
      </c>
      <c r="J154" t="s">
        <v>463</v>
      </c>
      <c r="K154" t="s">
        <v>9409</v>
      </c>
      <c r="M154" t="s">
        <v>2692</v>
      </c>
      <c r="N154" t="s">
        <v>2522</v>
      </c>
      <c r="P154" t="s">
        <v>877</v>
      </c>
      <c r="Q154" t="s">
        <v>1347</v>
      </c>
      <c r="S154" t="s">
        <v>1307</v>
      </c>
      <c r="T154" t="s">
        <v>1347</v>
      </c>
    </row>
    <row r="155" spans="1:20" ht="15" customHeight="1" x14ac:dyDescent="0.25">
      <c r="A155" t="s">
        <v>1276</v>
      </c>
      <c r="B155" t="s">
        <v>1295</v>
      </c>
      <c r="C155" t="s">
        <v>1296</v>
      </c>
      <c r="D155" t="s">
        <v>919</v>
      </c>
      <c r="E155" s="19">
        <v>971593756663</v>
      </c>
      <c r="F155" t="s">
        <v>1276</v>
      </c>
      <c r="G155" t="s">
        <v>836</v>
      </c>
      <c r="I155" t="s">
        <v>2510</v>
      </c>
      <c r="J155" t="s">
        <v>2318</v>
      </c>
      <c r="K155" t="s">
        <v>9386</v>
      </c>
      <c r="M155" t="s">
        <v>2653</v>
      </c>
      <c r="N155" t="s">
        <v>2522</v>
      </c>
      <c r="P155" t="s">
        <v>900</v>
      </c>
      <c r="Q155" t="s">
        <v>1347</v>
      </c>
      <c r="S155" t="s">
        <v>1312</v>
      </c>
      <c r="T155" t="s">
        <v>1347</v>
      </c>
    </row>
    <row r="156" spans="1:20" ht="15" customHeight="1" x14ac:dyDescent="0.25">
      <c r="A156" t="s">
        <v>1297</v>
      </c>
      <c r="B156" t="s">
        <v>1298</v>
      </c>
      <c r="C156" t="s">
        <v>1336</v>
      </c>
      <c r="D156" t="s">
        <v>786</v>
      </c>
      <c r="E156" s="19">
        <v>966535620780</v>
      </c>
      <c r="F156" t="s">
        <v>1297</v>
      </c>
      <c r="G156" t="s">
        <v>844</v>
      </c>
      <c r="I156" t="s">
        <v>2770</v>
      </c>
      <c r="J156" t="s">
        <v>3058</v>
      </c>
      <c r="K156" t="s">
        <v>9446</v>
      </c>
      <c r="M156" t="s">
        <v>2148</v>
      </c>
      <c r="N156" t="s">
        <v>2522</v>
      </c>
      <c r="P156" t="s">
        <v>907</v>
      </c>
      <c r="Q156" t="s">
        <v>1347</v>
      </c>
      <c r="S156" t="s">
        <v>1369</v>
      </c>
      <c r="T156" t="s">
        <v>1347</v>
      </c>
    </row>
    <row r="157" spans="1:20" ht="15" customHeight="1" x14ac:dyDescent="0.25">
      <c r="A157" t="s">
        <v>1292</v>
      </c>
      <c r="B157" t="s">
        <v>1310</v>
      </c>
      <c r="C157" t="s">
        <v>1334</v>
      </c>
      <c r="D157" t="s">
        <v>919</v>
      </c>
      <c r="E157" s="19">
        <v>966560641222</v>
      </c>
      <c r="F157" t="s">
        <v>1292</v>
      </c>
      <c r="G157" t="s">
        <v>838</v>
      </c>
      <c r="I157" t="s">
        <v>2741</v>
      </c>
      <c r="J157" t="s">
        <v>2795</v>
      </c>
      <c r="K157" t="s">
        <v>9323</v>
      </c>
      <c r="M157" t="s">
        <v>2435</v>
      </c>
      <c r="N157" t="s">
        <v>2522</v>
      </c>
      <c r="P157" t="s">
        <v>915</v>
      </c>
      <c r="Q157" t="s">
        <v>1357</v>
      </c>
      <c r="S157" t="s">
        <v>1366</v>
      </c>
      <c r="T157" t="s">
        <v>1347</v>
      </c>
    </row>
    <row r="158" spans="1:20" ht="15" customHeight="1" x14ac:dyDescent="0.25">
      <c r="B158" t="s">
        <v>1435</v>
      </c>
      <c r="D158" t="s">
        <v>786</v>
      </c>
      <c r="G158" t="s">
        <v>844</v>
      </c>
      <c r="I158" t="s">
        <v>3155</v>
      </c>
      <c r="J158" t="s">
        <v>8116</v>
      </c>
      <c r="K158" t="s">
        <v>2598</v>
      </c>
      <c r="M158" t="s">
        <v>2603</v>
      </c>
      <c r="N158" t="s">
        <v>2522</v>
      </c>
      <c r="P158" t="s">
        <v>962</v>
      </c>
      <c r="Q158" t="s">
        <v>1347</v>
      </c>
      <c r="S158" t="s">
        <v>1645</v>
      </c>
      <c r="T158" t="s">
        <v>1347</v>
      </c>
    </row>
    <row r="159" spans="1:20" ht="15" customHeight="1" x14ac:dyDescent="0.25">
      <c r="A159" t="s">
        <v>1260</v>
      </c>
      <c r="B159" t="s">
        <v>1404</v>
      </c>
      <c r="C159" t="s">
        <v>1261</v>
      </c>
      <c r="D159" t="s">
        <v>919</v>
      </c>
      <c r="E159" s="19">
        <v>966559521294</v>
      </c>
      <c r="F159" t="s">
        <v>1260</v>
      </c>
      <c r="G159" t="s">
        <v>839</v>
      </c>
      <c r="I159" t="s">
        <v>2956</v>
      </c>
      <c r="J159" t="s">
        <v>2752</v>
      </c>
      <c r="K159" t="s">
        <v>9548</v>
      </c>
      <c r="M159" t="s">
        <v>2588</v>
      </c>
      <c r="N159" t="s">
        <v>2522</v>
      </c>
      <c r="P159" t="s">
        <v>955</v>
      </c>
      <c r="Q159" t="s">
        <v>1347</v>
      </c>
      <c r="S159" t="s">
        <v>1629</v>
      </c>
      <c r="T159" t="s">
        <v>1347</v>
      </c>
    </row>
    <row r="160" spans="1:20" ht="15" customHeight="1" x14ac:dyDescent="0.25">
      <c r="A160" t="s">
        <v>1437</v>
      </c>
      <c r="B160" t="s">
        <v>1438</v>
      </c>
      <c r="C160" t="s">
        <v>1280</v>
      </c>
      <c r="D160" t="s">
        <v>786</v>
      </c>
      <c r="E160" s="19">
        <v>966507733555</v>
      </c>
      <c r="F160" t="s">
        <v>1437</v>
      </c>
      <c r="G160" t="s">
        <v>844</v>
      </c>
      <c r="I160" t="s">
        <v>2792</v>
      </c>
      <c r="J160" t="s">
        <v>2582</v>
      </c>
      <c r="K160" t="s">
        <v>1813</v>
      </c>
      <c r="M160" t="s">
        <v>2933</v>
      </c>
      <c r="N160" t="s">
        <v>2522</v>
      </c>
      <c r="P160" t="s">
        <v>950</v>
      </c>
      <c r="Q160" t="s">
        <v>1347</v>
      </c>
      <c r="S160" t="s">
        <v>1368</v>
      </c>
      <c r="T160" t="s">
        <v>1347</v>
      </c>
    </row>
    <row r="161" spans="1:20" ht="15" customHeight="1" x14ac:dyDescent="0.25">
      <c r="A161" t="s">
        <v>1439</v>
      </c>
      <c r="B161" t="s">
        <v>1440</v>
      </c>
      <c r="C161" t="s">
        <v>1441</v>
      </c>
      <c r="D161" t="s">
        <v>786</v>
      </c>
      <c r="E161" s="19">
        <v>966535942575</v>
      </c>
      <c r="F161" t="s">
        <v>1439</v>
      </c>
      <c r="G161" t="s">
        <v>844</v>
      </c>
      <c r="I161" t="s">
        <v>1838</v>
      </c>
      <c r="J161" t="s">
        <v>7942</v>
      </c>
      <c r="K161" t="s">
        <v>10113</v>
      </c>
      <c r="M161" t="s">
        <v>2541</v>
      </c>
      <c r="N161" t="s">
        <v>2522</v>
      </c>
      <c r="P161" t="s">
        <v>948</v>
      </c>
      <c r="Q161" t="s">
        <v>1357</v>
      </c>
      <c r="S161" t="s">
        <v>1676</v>
      </c>
      <c r="T161" t="s">
        <v>1347</v>
      </c>
    </row>
    <row r="162" spans="1:20" ht="15" customHeight="1" x14ac:dyDescent="0.25">
      <c r="A162" t="s">
        <v>1432</v>
      </c>
      <c r="B162" t="s">
        <v>1433</v>
      </c>
      <c r="C162" t="s">
        <v>1434</v>
      </c>
      <c r="D162" t="s">
        <v>919</v>
      </c>
      <c r="E162" s="19">
        <v>966552653013</v>
      </c>
      <c r="F162" t="s">
        <v>1432</v>
      </c>
      <c r="G162" t="s">
        <v>858</v>
      </c>
      <c r="I162" t="s">
        <v>8405</v>
      </c>
      <c r="J162" t="s">
        <v>8255</v>
      </c>
      <c r="K162" t="s">
        <v>9565</v>
      </c>
      <c r="M162" t="s">
        <v>2510</v>
      </c>
      <c r="N162" t="s">
        <v>2522</v>
      </c>
      <c r="P162" t="s">
        <v>946</v>
      </c>
      <c r="Q162" t="s">
        <v>1357</v>
      </c>
      <c r="S162" t="s">
        <v>1359</v>
      </c>
      <c r="T162" t="s">
        <v>1347</v>
      </c>
    </row>
    <row r="163" spans="1:20" ht="15" customHeight="1" x14ac:dyDescent="0.25">
      <c r="A163" t="s">
        <v>1442</v>
      </c>
      <c r="B163" t="s">
        <v>1443</v>
      </c>
      <c r="C163" t="s">
        <v>1444</v>
      </c>
      <c r="D163" t="s">
        <v>786</v>
      </c>
      <c r="F163" t="s">
        <v>1442</v>
      </c>
      <c r="G163" t="s">
        <v>844</v>
      </c>
      <c r="I163" t="s">
        <v>2798</v>
      </c>
      <c r="J163" t="s">
        <v>8036</v>
      </c>
      <c r="K163" t="s">
        <v>10075</v>
      </c>
      <c r="M163" t="s">
        <v>2770</v>
      </c>
      <c r="N163" t="s">
        <v>2522</v>
      </c>
      <c r="P163" t="s">
        <v>933</v>
      </c>
      <c r="Q163" t="s">
        <v>1357</v>
      </c>
      <c r="S163" t="s">
        <v>1666</v>
      </c>
      <c r="T163" t="s">
        <v>1347</v>
      </c>
    </row>
    <row r="164" spans="1:20" ht="15" customHeight="1" x14ac:dyDescent="0.25">
      <c r="A164" t="s">
        <v>1445</v>
      </c>
      <c r="B164" t="s">
        <v>1446</v>
      </c>
      <c r="C164" t="s">
        <v>1447</v>
      </c>
      <c r="D164" t="s">
        <v>786</v>
      </c>
      <c r="F164" t="s">
        <v>1445</v>
      </c>
      <c r="G164" t="s">
        <v>844</v>
      </c>
      <c r="I164" t="s">
        <v>8062</v>
      </c>
      <c r="J164" t="s">
        <v>3060</v>
      </c>
      <c r="K164" t="s">
        <v>9556</v>
      </c>
      <c r="M164" t="s">
        <v>2742</v>
      </c>
      <c r="N164" t="s">
        <v>2522</v>
      </c>
      <c r="P164" t="s">
        <v>928</v>
      </c>
      <c r="Q164" t="s">
        <v>1357</v>
      </c>
      <c r="S164" t="s">
        <v>1367</v>
      </c>
      <c r="T164" t="s">
        <v>1347</v>
      </c>
    </row>
    <row r="165" spans="1:20" ht="15" customHeight="1" x14ac:dyDescent="0.25">
      <c r="A165" t="s">
        <v>1483</v>
      </c>
      <c r="B165" t="s">
        <v>1484</v>
      </c>
      <c r="C165" t="s">
        <v>1485</v>
      </c>
      <c r="D165" t="s">
        <v>919</v>
      </c>
      <c r="E165" s="19">
        <v>966550680909</v>
      </c>
      <c r="F165" t="s">
        <v>1483</v>
      </c>
      <c r="G165" t="s">
        <v>857</v>
      </c>
      <c r="I165" t="s">
        <v>8315</v>
      </c>
      <c r="J165" t="s">
        <v>8150</v>
      </c>
      <c r="M165" t="s">
        <v>2741</v>
      </c>
      <c r="N165" t="s">
        <v>2522</v>
      </c>
      <c r="P165" t="s">
        <v>560</v>
      </c>
      <c r="Q165" t="s">
        <v>1357</v>
      </c>
      <c r="S165" t="s">
        <v>1361</v>
      </c>
      <c r="T165" t="s">
        <v>1347</v>
      </c>
    </row>
    <row r="166" spans="1:20" ht="15" customHeight="1" x14ac:dyDescent="0.25">
      <c r="A166" t="s">
        <v>1460</v>
      </c>
      <c r="B166" t="s">
        <v>1461</v>
      </c>
      <c r="C166" t="s">
        <v>1462</v>
      </c>
      <c r="D166" t="s">
        <v>919</v>
      </c>
      <c r="E166" s="19">
        <v>966546362119</v>
      </c>
      <c r="F166" t="s">
        <v>1460</v>
      </c>
      <c r="G166" t="s">
        <v>1163</v>
      </c>
      <c r="I166" t="s">
        <v>1272</v>
      </c>
      <c r="J166" t="s">
        <v>8336</v>
      </c>
      <c r="M166" t="s">
        <v>2804</v>
      </c>
      <c r="N166" t="s">
        <v>2522</v>
      </c>
      <c r="P166" t="s">
        <v>523</v>
      </c>
      <c r="Q166" t="s">
        <v>1347</v>
      </c>
      <c r="S166" t="s">
        <v>1689</v>
      </c>
      <c r="T166" t="s">
        <v>1347</v>
      </c>
    </row>
    <row r="167" spans="1:20" ht="15" customHeight="1" x14ac:dyDescent="0.25">
      <c r="A167" t="s">
        <v>9380</v>
      </c>
      <c r="B167" t="s">
        <v>1492</v>
      </c>
      <c r="C167" t="s">
        <v>1493</v>
      </c>
      <c r="D167" t="s">
        <v>919</v>
      </c>
      <c r="E167" s="19">
        <v>966543016942</v>
      </c>
      <c r="F167" t="s">
        <v>9380</v>
      </c>
      <c r="G167" t="s">
        <v>836</v>
      </c>
      <c r="I167" t="s">
        <v>2409</v>
      </c>
      <c r="J167" t="s">
        <v>1287</v>
      </c>
      <c r="M167" t="s">
        <v>3155</v>
      </c>
      <c r="N167" t="s">
        <v>2522</v>
      </c>
      <c r="P167" t="s">
        <v>573</v>
      </c>
      <c r="Q167" t="s">
        <v>1347</v>
      </c>
      <c r="S167" t="s">
        <v>1803</v>
      </c>
      <c r="T167" t="s">
        <v>1347</v>
      </c>
    </row>
    <row r="168" spans="1:20" ht="15" customHeight="1" x14ac:dyDescent="0.25">
      <c r="A168" t="s">
        <v>1486</v>
      </c>
      <c r="B168" t="s">
        <v>1487</v>
      </c>
      <c r="C168" t="s">
        <v>1488</v>
      </c>
      <c r="D168" t="s">
        <v>919</v>
      </c>
      <c r="E168" s="19">
        <v>9660593456868</v>
      </c>
      <c r="F168" t="s">
        <v>1486</v>
      </c>
      <c r="G168" t="s">
        <v>837</v>
      </c>
      <c r="I168" t="s">
        <v>8570</v>
      </c>
      <c r="J168" t="s">
        <v>2744</v>
      </c>
      <c r="M168" t="s">
        <v>2956</v>
      </c>
      <c r="N168" t="s">
        <v>2522</v>
      </c>
      <c r="P168" t="s">
        <v>573</v>
      </c>
      <c r="Q168" t="s">
        <v>1347</v>
      </c>
      <c r="S168" t="s">
        <v>1809</v>
      </c>
      <c r="T168" t="s">
        <v>1347</v>
      </c>
    </row>
    <row r="169" spans="1:20" ht="15" customHeight="1" x14ac:dyDescent="0.25">
      <c r="A169" t="s">
        <v>1477</v>
      </c>
      <c r="B169" t="s">
        <v>1478</v>
      </c>
      <c r="C169" t="s">
        <v>1479</v>
      </c>
      <c r="D169" t="s">
        <v>919</v>
      </c>
      <c r="E169" s="19">
        <v>966556672779</v>
      </c>
      <c r="F169" t="s">
        <v>1477</v>
      </c>
      <c r="G169" t="s">
        <v>845</v>
      </c>
      <c r="I169" t="s">
        <v>2676</v>
      </c>
      <c r="J169" t="s">
        <v>8029</v>
      </c>
      <c r="M169" t="s">
        <v>2618</v>
      </c>
      <c r="N169" t="s">
        <v>2522</v>
      </c>
      <c r="P169" t="s">
        <v>607</v>
      </c>
      <c r="Q169" t="s">
        <v>1357</v>
      </c>
      <c r="S169" t="s">
        <v>1876</v>
      </c>
      <c r="T169" t="s">
        <v>1347</v>
      </c>
    </row>
    <row r="170" spans="1:20" ht="15" customHeight="1" x14ac:dyDescent="0.25">
      <c r="A170" t="s">
        <v>1466</v>
      </c>
      <c r="B170" t="s">
        <v>1470</v>
      </c>
      <c r="C170" t="s">
        <v>1468</v>
      </c>
      <c r="D170" t="s">
        <v>919</v>
      </c>
      <c r="E170" s="19">
        <v>97143526474</v>
      </c>
      <c r="F170" t="s">
        <v>1466</v>
      </c>
      <c r="G170" t="s">
        <v>1469</v>
      </c>
      <c r="I170" t="s">
        <v>4719</v>
      </c>
      <c r="J170" t="s">
        <v>7972</v>
      </c>
      <c r="M170" t="s">
        <v>2792</v>
      </c>
      <c r="N170" t="s">
        <v>2522</v>
      </c>
      <c r="P170" t="s">
        <v>562</v>
      </c>
      <c r="Q170" t="s">
        <v>1357</v>
      </c>
      <c r="S170" t="s">
        <v>1998</v>
      </c>
      <c r="T170" t="s">
        <v>1347</v>
      </c>
    </row>
    <row r="171" spans="1:20" ht="15" customHeight="1" x14ac:dyDescent="0.25">
      <c r="A171" t="s">
        <v>1286</v>
      </c>
      <c r="B171" t="s">
        <v>1407</v>
      </c>
      <c r="C171" t="s">
        <v>1332</v>
      </c>
      <c r="D171" t="s">
        <v>919</v>
      </c>
      <c r="E171" s="19">
        <v>971554506104</v>
      </c>
      <c r="F171" t="s">
        <v>1286</v>
      </c>
      <c r="G171" t="s">
        <v>836</v>
      </c>
      <c r="I171" t="s">
        <v>2778</v>
      </c>
      <c r="J171" t="s">
        <v>3153</v>
      </c>
      <c r="M171" t="s">
        <v>3058</v>
      </c>
      <c r="N171" t="s">
        <v>2522</v>
      </c>
      <c r="P171" t="s">
        <v>665</v>
      </c>
      <c r="Q171" t="s">
        <v>1347</v>
      </c>
      <c r="S171" t="s">
        <v>2139</v>
      </c>
      <c r="T171" t="s">
        <v>1347</v>
      </c>
    </row>
    <row r="172" spans="1:20" ht="15" customHeight="1" x14ac:dyDescent="0.25">
      <c r="A172" t="s">
        <v>1519</v>
      </c>
      <c r="B172" t="s">
        <v>1520</v>
      </c>
      <c r="C172" t="s">
        <v>1521</v>
      </c>
      <c r="D172" t="s">
        <v>919</v>
      </c>
      <c r="E172" s="19">
        <v>966114788169</v>
      </c>
      <c r="F172" t="s">
        <v>1519</v>
      </c>
      <c r="G172" t="s">
        <v>858</v>
      </c>
      <c r="I172" t="s">
        <v>2621</v>
      </c>
      <c r="J172" t="s">
        <v>2644</v>
      </c>
      <c r="M172" t="s">
        <v>1364</v>
      </c>
      <c r="N172" t="s">
        <v>2522</v>
      </c>
      <c r="P172" t="s">
        <v>637</v>
      </c>
      <c r="Q172" t="s">
        <v>1347</v>
      </c>
      <c r="S172" t="s">
        <v>2259</v>
      </c>
      <c r="T172" t="s">
        <v>1347</v>
      </c>
    </row>
    <row r="173" spans="1:20" ht="15" customHeight="1" x14ac:dyDescent="0.25">
      <c r="A173" t="s">
        <v>1513</v>
      </c>
      <c r="B173" t="s">
        <v>1514</v>
      </c>
      <c r="C173" t="s">
        <v>1515</v>
      </c>
      <c r="D173" t="s">
        <v>919</v>
      </c>
      <c r="E173" s="19">
        <v>962795553597</v>
      </c>
      <c r="F173" t="s">
        <v>1513</v>
      </c>
      <c r="G173" t="s">
        <v>1516</v>
      </c>
      <c r="I173" t="s">
        <v>8710</v>
      </c>
      <c r="J173" t="s">
        <v>2612</v>
      </c>
      <c r="M173" t="s">
        <v>2795</v>
      </c>
      <c r="N173" t="s">
        <v>2522</v>
      </c>
      <c r="P173" t="s">
        <v>670</v>
      </c>
      <c r="Q173" t="s">
        <v>1347</v>
      </c>
      <c r="S173" t="s">
        <v>2208</v>
      </c>
      <c r="T173" t="s">
        <v>1347</v>
      </c>
    </row>
    <row r="174" spans="1:20" ht="15" customHeight="1" x14ac:dyDescent="0.25">
      <c r="A174" t="s">
        <v>1539</v>
      </c>
      <c r="B174" t="s">
        <v>1540</v>
      </c>
      <c r="C174" t="s">
        <v>1541</v>
      </c>
      <c r="D174" t="s">
        <v>919</v>
      </c>
      <c r="E174" s="19">
        <v>966538600646</v>
      </c>
      <c r="F174" t="s">
        <v>1539</v>
      </c>
      <c r="G174" t="s">
        <v>839</v>
      </c>
      <c r="I174" t="s">
        <v>8408</v>
      </c>
      <c r="J174" t="s">
        <v>8550</v>
      </c>
      <c r="M174" t="s">
        <v>7942</v>
      </c>
      <c r="N174" t="s">
        <v>2522</v>
      </c>
      <c r="P174" t="s">
        <v>663</v>
      </c>
      <c r="Q174" t="s">
        <v>1347</v>
      </c>
      <c r="S174" t="s">
        <v>2154</v>
      </c>
      <c r="T174" t="s">
        <v>1347</v>
      </c>
    </row>
    <row r="175" spans="1:20" ht="15" customHeight="1" x14ac:dyDescent="0.25">
      <c r="A175" t="s">
        <v>1542</v>
      </c>
      <c r="B175" t="s">
        <v>1543</v>
      </c>
      <c r="C175" t="s">
        <v>1544</v>
      </c>
      <c r="D175" t="s">
        <v>919</v>
      </c>
      <c r="E175" s="19">
        <v>966598682268</v>
      </c>
      <c r="F175" t="s">
        <v>1542</v>
      </c>
      <c r="G175" t="s">
        <v>853</v>
      </c>
      <c r="I175" t="s">
        <v>8577</v>
      </c>
      <c r="J175" t="s">
        <v>8519</v>
      </c>
      <c r="M175" t="s">
        <v>8405</v>
      </c>
      <c r="N175" t="s">
        <v>2522</v>
      </c>
      <c r="P175" t="s">
        <v>680</v>
      </c>
      <c r="Q175" t="s">
        <v>1357</v>
      </c>
      <c r="S175" t="s">
        <v>2143</v>
      </c>
      <c r="T175" t="s">
        <v>1347</v>
      </c>
    </row>
    <row r="176" spans="1:20" ht="15" customHeight="1" x14ac:dyDescent="0.25">
      <c r="A176" t="s">
        <v>1545</v>
      </c>
      <c r="B176" t="s">
        <v>1546</v>
      </c>
      <c r="C176" t="s">
        <v>1547</v>
      </c>
      <c r="D176" t="s">
        <v>919</v>
      </c>
      <c r="E176" s="19">
        <v>966552220297</v>
      </c>
      <c r="F176" t="s">
        <v>1545</v>
      </c>
      <c r="G176" t="s">
        <v>857</v>
      </c>
      <c r="I176" t="s">
        <v>8770</v>
      </c>
      <c r="J176" t="s">
        <v>2151</v>
      </c>
      <c r="M176" t="s">
        <v>8062</v>
      </c>
      <c r="N176" t="s">
        <v>2522</v>
      </c>
      <c r="P176" t="s">
        <v>639</v>
      </c>
      <c r="Q176" t="s">
        <v>1347</v>
      </c>
      <c r="S176" t="s">
        <v>2268</v>
      </c>
      <c r="T176" t="s">
        <v>1347</v>
      </c>
    </row>
    <row r="177" spans="1:20" ht="15" customHeight="1" x14ac:dyDescent="0.25">
      <c r="A177" t="s">
        <v>1550</v>
      </c>
      <c r="B177" t="s">
        <v>1551</v>
      </c>
      <c r="C177" t="s">
        <v>1552</v>
      </c>
      <c r="D177" t="s">
        <v>919</v>
      </c>
      <c r="E177" s="19">
        <v>966569955570</v>
      </c>
      <c r="F177" t="s">
        <v>1550</v>
      </c>
      <c r="G177" t="s">
        <v>857</v>
      </c>
      <c r="I177" t="s">
        <v>8665</v>
      </c>
      <c r="J177" t="s">
        <v>8314</v>
      </c>
      <c r="M177" t="s">
        <v>2798</v>
      </c>
      <c r="N177" t="s">
        <v>2522</v>
      </c>
      <c r="P177" t="s">
        <v>650</v>
      </c>
      <c r="Q177" t="s">
        <v>1357</v>
      </c>
      <c r="S177" t="s">
        <v>2274</v>
      </c>
      <c r="T177" t="s">
        <v>1347</v>
      </c>
    </row>
    <row r="178" spans="1:20" ht="15" customHeight="1" x14ac:dyDescent="0.25">
      <c r="A178" t="s">
        <v>1553</v>
      </c>
      <c r="B178" t="s">
        <v>1554</v>
      </c>
      <c r="C178" t="s">
        <v>1555</v>
      </c>
      <c r="D178" t="s">
        <v>919</v>
      </c>
      <c r="E178" s="19">
        <v>966546656610</v>
      </c>
      <c r="F178" t="s">
        <v>1553</v>
      </c>
      <c r="G178" t="s">
        <v>857</v>
      </c>
      <c r="I178" t="s">
        <v>8844</v>
      </c>
      <c r="J178" t="s">
        <v>2568</v>
      </c>
      <c r="M178" t="s">
        <v>8315</v>
      </c>
      <c r="N178" t="s">
        <v>2522</v>
      </c>
      <c r="P178" t="s">
        <v>653</v>
      </c>
      <c r="Q178" t="s">
        <v>1347</v>
      </c>
      <c r="S178" t="s">
        <v>138</v>
      </c>
      <c r="T178" t="s">
        <v>1347</v>
      </c>
    </row>
    <row r="179" spans="1:20" ht="15" customHeight="1" x14ac:dyDescent="0.25">
      <c r="A179" t="s">
        <v>1556</v>
      </c>
      <c r="B179" t="s">
        <v>1557</v>
      </c>
      <c r="C179" t="s">
        <v>1558</v>
      </c>
      <c r="D179" t="s">
        <v>919</v>
      </c>
      <c r="E179" s="19">
        <v>966552237481</v>
      </c>
      <c r="F179" t="s">
        <v>1556</v>
      </c>
      <c r="G179" t="s">
        <v>853</v>
      </c>
      <c r="I179" t="s">
        <v>8678</v>
      </c>
      <c r="J179" t="s">
        <v>2224</v>
      </c>
      <c r="M179" t="s">
        <v>8570</v>
      </c>
      <c r="N179" t="s">
        <v>2522</v>
      </c>
      <c r="P179" t="s">
        <v>657</v>
      </c>
      <c r="Q179" t="s">
        <v>1347</v>
      </c>
      <c r="S179" t="s">
        <v>206</v>
      </c>
      <c r="T179" t="s">
        <v>1347</v>
      </c>
    </row>
    <row r="180" spans="1:20" ht="15" customHeight="1" x14ac:dyDescent="0.25">
      <c r="A180" t="s">
        <v>1534</v>
      </c>
      <c r="B180" t="s">
        <v>1535</v>
      </c>
      <c r="C180" t="s">
        <v>1536</v>
      </c>
      <c r="D180" t="s">
        <v>919</v>
      </c>
      <c r="E180" s="19">
        <v>966558905182</v>
      </c>
      <c r="F180" t="s">
        <v>1534</v>
      </c>
      <c r="G180" t="s">
        <v>839</v>
      </c>
      <c r="I180" t="s">
        <v>8907</v>
      </c>
      <c r="J180" t="s">
        <v>2784</v>
      </c>
      <c r="M180" t="s">
        <v>2676</v>
      </c>
      <c r="N180" t="s">
        <v>2522</v>
      </c>
      <c r="P180" t="s">
        <v>658</v>
      </c>
      <c r="Q180" t="s">
        <v>1357</v>
      </c>
      <c r="S180" t="s">
        <v>2291</v>
      </c>
      <c r="T180" t="s">
        <v>1347</v>
      </c>
    </row>
    <row r="181" spans="1:20" ht="15" customHeight="1" x14ac:dyDescent="0.25">
      <c r="A181" t="s">
        <v>8626</v>
      </c>
      <c r="B181" t="s">
        <v>1564</v>
      </c>
      <c r="C181" t="s">
        <v>1565</v>
      </c>
      <c r="D181" t="s">
        <v>919</v>
      </c>
      <c r="E181" s="19">
        <v>966504679141</v>
      </c>
      <c r="F181" t="s">
        <v>8626</v>
      </c>
      <c r="G181" t="s">
        <v>839</v>
      </c>
      <c r="I181" t="s">
        <v>8799</v>
      </c>
      <c r="J181" t="s">
        <v>2877</v>
      </c>
      <c r="M181" t="s">
        <v>8336</v>
      </c>
      <c r="N181" t="s">
        <v>2522</v>
      </c>
      <c r="P181" t="s">
        <v>766</v>
      </c>
      <c r="Q181" t="s">
        <v>1357</v>
      </c>
      <c r="S181" t="s">
        <v>1370</v>
      </c>
      <c r="T181" t="s">
        <v>1347</v>
      </c>
    </row>
    <row r="182" spans="1:20" ht="15" customHeight="1" x14ac:dyDescent="0.25">
      <c r="A182" t="s">
        <v>1571</v>
      </c>
      <c r="B182" t="s">
        <v>1572</v>
      </c>
      <c r="C182" t="s">
        <v>1573</v>
      </c>
      <c r="D182" t="s">
        <v>919</v>
      </c>
      <c r="E182" s="19">
        <v>966505611453</v>
      </c>
      <c r="F182" t="s">
        <v>1571</v>
      </c>
      <c r="G182" t="s">
        <v>853</v>
      </c>
      <c r="I182" t="s">
        <v>8841</v>
      </c>
      <c r="J182" t="s">
        <v>3125</v>
      </c>
      <c r="M182" t="s">
        <v>2586</v>
      </c>
      <c r="N182" t="s">
        <v>2522</v>
      </c>
      <c r="P182" t="s">
        <v>773</v>
      </c>
      <c r="Q182" t="s">
        <v>1347</v>
      </c>
      <c r="S182" t="s">
        <v>2247</v>
      </c>
      <c r="T182" t="s">
        <v>1347</v>
      </c>
    </row>
    <row r="183" spans="1:20" ht="15" customHeight="1" x14ac:dyDescent="0.25">
      <c r="A183" t="s">
        <v>1568</v>
      </c>
      <c r="B183" t="s">
        <v>1569</v>
      </c>
      <c r="C183" t="s">
        <v>1570</v>
      </c>
      <c r="D183" t="s">
        <v>919</v>
      </c>
      <c r="E183" s="19">
        <v>966546560969</v>
      </c>
      <c r="F183" t="s">
        <v>1568</v>
      </c>
      <c r="G183" t="s">
        <v>1163</v>
      </c>
      <c r="I183" t="s">
        <v>8904</v>
      </c>
      <c r="J183" t="s">
        <v>8755</v>
      </c>
      <c r="M183" t="s">
        <v>4719</v>
      </c>
      <c r="N183" t="s">
        <v>2522</v>
      </c>
      <c r="P183" t="s">
        <v>806</v>
      </c>
      <c r="Q183" t="s">
        <v>1347</v>
      </c>
      <c r="S183" t="s">
        <v>1986</v>
      </c>
      <c r="T183" t="s">
        <v>1347</v>
      </c>
    </row>
    <row r="184" spans="1:20" ht="15" customHeight="1" x14ac:dyDescent="0.25">
      <c r="A184" t="s">
        <v>1525</v>
      </c>
      <c r="B184" t="s">
        <v>1526</v>
      </c>
      <c r="C184" t="s">
        <v>1527</v>
      </c>
      <c r="D184" t="s">
        <v>919</v>
      </c>
      <c r="E184" s="19">
        <v>966504442248</v>
      </c>
      <c r="F184" t="s">
        <v>1525</v>
      </c>
      <c r="G184" t="s">
        <v>839</v>
      </c>
      <c r="I184" t="s">
        <v>8067</v>
      </c>
      <c r="J184" t="s">
        <v>8525</v>
      </c>
      <c r="M184" t="s">
        <v>2621</v>
      </c>
      <c r="N184" t="s">
        <v>2522</v>
      </c>
      <c r="P184" t="s">
        <v>805</v>
      </c>
      <c r="Q184" t="s">
        <v>1357</v>
      </c>
      <c r="S184" t="s">
        <v>1914</v>
      </c>
      <c r="T184" t="s">
        <v>1347</v>
      </c>
    </row>
    <row r="185" spans="1:20" ht="15" customHeight="1" x14ac:dyDescent="0.25">
      <c r="A185" t="s">
        <v>1510</v>
      </c>
      <c r="B185" t="s">
        <v>1511</v>
      </c>
      <c r="C185" t="s">
        <v>1512</v>
      </c>
      <c r="D185" t="s">
        <v>786</v>
      </c>
      <c r="E185" s="19">
        <v>966561235568</v>
      </c>
      <c r="F185" t="s">
        <v>1510</v>
      </c>
      <c r="G185" t="s">
        <v>844</v>
      </c>
      <c r="I185" t="s">
        <v>1385</v>
      </c>
      <c r="J185" t="s">
        <v>8586</v>
      </c>
      <c r="M185" t="s">
        <v>1272</v>
      </c>
      <c r="N185" t="s">
        <v>2522</v>
      </c>
      <c r="P185" t="s">
        <v>804</v>
      </c>
      <c r="Q185" t="s">
        <v>1357</v>
      </c>
      <c r="S185" t="s">
        <v>2288</v>
      </c>
      <c r="T185" t="s">
        <v>1347</v>
      </c>
    </row>
    <row r="186" spans="1:20" ht="15" customHeight="1" x14ac:dyDescent="0.25">
      <c r="A186" t="s">
        <v>1399</v>
      </c>
      <c r="B186" t="s">
        <v>1400</v>
      </c>
      <c r="C186" t="s">
        <v>1238</v>
      </c>
      <c r="D186" t="s">
        <v>919</v>
      </c>
      <c r="E186" s="19">
        <v>966535658581</v>
      </c>
      <c r="F186" t="s">
        <v>1399</v>
      </c>
      <c r="G186" t="s">
        <v>839</v>
      </c>
      <c r="I186" t="s">
        <v>8877</v>
      </c>
      <c r="J186" t="s">
        <v>8020</v>
      </c>
      <c r="M186" t="s">
        <v>8776</v>
      </c>
      <c r="N186" t="s">
        <v>2522</v>
      </c>
      <c r="P186" t="s">
        <v>801</v>
      </c>
      <c r="Q186" t="s">
        <v>1357</v>
      </c>
      <c r="S186" t="s">
        <v>2250</v>
      </c>
      <c r="T186" t="s">
        <v>1347</v>
      </c>
    </row>
    <row r="187" spans="1:20" ht="15" customHeight="1" x14ac:dyDescent="0.25">
      <c r="A187" t="s">
        <v>1394</v>
      </c>
      <c r="B187" t="s">
        <v>1395</v>
      </c>
      <c r="C187" t="s">
        <v>1196</v>
      </c>
      <c r="D187" t="s">
        <v>919</v>
      </c>
      <c r="E187" s="19">
        <v>966580613555</v>
      </c>
      <c r="F187" t="s">
        <v>1394</v>
      </c>
      <c r="G187" t="s">
        <v>839</v>
      </c>
      <c r="I187" t="s">
        <v>8928</v>
      </c>
      <c r="J187" t="s">
        <v>8756</v>
      </c>
      <c r="M187" t="s">
        <v>8777</v>
      </c>
      <c r="N187" t="s">
        <v>2522</v>
      </c>
      <c r="P187" t="s">
        <v>797</v>
      </c>
      <c r="Q187" t="s">
        <v>1357</v>
      </c>
      <c r="S187" t="s">
        <v>2371</v>
      </c>
      <c r="T187" t="s">
        <v>1347</v>
      </c>
    </row>
    <row r="188" spans="1:20" ht="15" customHeight="1" x14ac:dyDescent="0.25">
      <c r="A188" t="s">
        <v>1577</v>
      </c>
      <c r="B188" t="s">
        <v>1578</v>
      </c>
      <c r="C188" t="s">
        <v>1579</v>
      </c>
      <c r="D188" t="s">
        <v>919</v>
      </c>
      <c r="E188" s="19">
        <v>966503490255</v>
      </c>
      <c r="F188" t="s">
        <v>1577</v>
      </c>
      <c r="G188" t="s">
        <v>857</v>
      </c>
      <c r="I188" t="s">
        <v>8747</v>
      </c>
      <c r="J188" t="s">
        <v>2321</v>
      </c>
      <c r="M188" t="s">
        <v>8778</v>
      </c>
      <c r="N188" t="s">
        <v>2522</v>
      </c>
      <c r="P188" t="s">
        <v>829</v>
      </c>
      <c r="Q188" t="s">
        <v>1357</v>
      </c>
      <c r="S188" t="s">
        <v>2495</v>
      </c>
      <c r="T188" t="s">
        <v>1347</v>
      </c>
    </row>
    <row r="189" spans="1:20" ht="15" customHeight="1" x14ac:dyDescent="0.25">
      <c r="A189" t="s">
        <v>1566</v>
      </c>
      <c r="B189" t="s">
        <v>1567</v>
      </c>
      <c r="C189" t="s">
        <v>1565</v>
      </c>
      <c r="D189" t="s">
        <v>919</v>
      </c>
      <c r="E189" s="19">
        <v>966504679141</v>
      </c>
      <c r="F189" t="s">
        <v>1566</v>
      </c>
      <c r="G189" t="s">
        <v>839</v>
      </c>
      <c r="I189" t="s">
        <v>8735</v>
      </c>
      <c r="J189" t="s">
        <v>8597</v>
      </c>
      <c r="M189" t="s">
        <v>8710</v>
      </c>
      <c r="N189" t="s">
        <v>2522</v>
      </c>
      <c r="P189" t="s">
        <v>869</v>
      </c>
      <c r="Q189" t="s">
        <v>1357</v>
      </c>
      <c r="S189" t="s">
        <v>958</v>
      </c>
      <c r="T189" t="s">
        <v>1347</v>
      </c>
    </row>
    <row r="190" spans="1:20" ht="15" customHeight="1" x14ac:dyDescent="0.25">
      <c r="A190" t="s">
        <v>1392</v>
      </c>
      <c r="B190" t="s">
        <v>1393</v>
      </c>
      <c r="C190" t="s">
        <v>1193</v>
      </c>
      <c r="D190" t="s">
        <v>919</v>
      </c>
      <c r="E190" s="19">
        <v>966551738893</v>
      </c>
      <c r="F190" t="s">
        <v>1392</v>
      </c>
      <c r="G190" t="s">
        <v>853</v>
      </c>
      <c r="I190" t="s">
        <v>9076</v>
      </c>
      <c r="J190" t="s">
        <v>1840</v>
      </c>
      <c r="M190" t="s">
        <v>8508</v>
      </c>
      <c r="N190" t="s">
        <v>2522</v>
      </c>
      <c r="P190" t="s">
        <v>867</v>
      </c>
      <c r="Q190" t="s">
        <v>1357</v>
      </c>
      <c r="S190" t="s">
        <v>2549</v>
      </c>
      <c r="T190" t="s">
        <v>1347</v>
      </c>
    </row>
    <row r="191" spans="1:20" ht="15" customHeight="1" x14ac:dyDescent="0.25">
      <c r="A191" t="s">
        <v>1595</v>
      </c>
      <c r="B191" t="s">
        <v>1596</v>
      </c>
      <c r="C191" t="s">
        <v>1597</v>
      </c>
      <c r="D191" t="s">
        <v>919</v>
      </c>
      <c r="E191" s="19">
        <v>966557021451</v>
      </c>
      <c r="F191" t="s">
        <v>1595</v>
      </c>
      <c r="G191" t="s">
        <v>836</v>
      </c>
      <c r="I191" t="s">
        <v>8330</v>
      </c>
      <c r="J191" t="s">
        <v>8837</v>
      </c>
      <c r="M191" t="s">
        <v>3066</v>
      </c>
      <c r="N191" t="s">
        <v>2522</v>
      </c>
      <c r="P191" t="s">
        <v>863</v>
      </c>
      <c r="Q191" t="s">
        <v>1357</v>
      </c>
      <c r="S191" t="s">
        <v>2606</v>
      </c>
      <c r="T191" t="s">
        <v>1347</v>
      </c>
    </row>
    <row r="192" spans="1:20" ht="15" customHeight="1" x14ac:dyDescent="0.25">
      <c r="A192" t="s">
        <v>1583</v>
      </c>
      <c r="B192" t="s">
        <v>1584</v>
      </c>
      <c r="C192" t="s">
        <v>1585</v>
      </c>
      <c r="D192" t="s">
        <v>919</v>
      </c>
      <c r="E192" s="19">
        <v>966598594420</v>
      </c>
      <c r="F192" t="s">
        <v>1583</v>
      </c>
      <c r="G192" t="s">
        <v>853</v>
      </c>
      <c r="I192" t="s">
        <v>8880</v>
      </c>
      <c r="J192" t="s">
        <v>8861</v>
      </c>
      <c r="M192" t="s">
        <v>8577</v>
      </c>
      <c r="N192" t="s">
        <v>2522</v>
      </c>
      <c r="P192" t="s">
        <v>862</v>
      </c>
      <c r="Q192" t="s">
        <v>1347</v>
      </c>
      <c r="S192" t="s">
        <v>2659</v>
      </c>
      <c r="T192" t="s">
        <v>1347</v>
      </c>
    </row>
    <row r="193" spans="1:20" ht="15" customHeight="1" x14ac:dyDescent="0.25">
      <c r="A193" t="s">
        <v>1586</v>
      </c>
      <c r="B193" t="s">
        <v>1587</v>
      </c>
      <c r="C193" t="s">
        <v>1588</v>
      </c>
      <c r="D193" t="s">
        <v>919</v>
      </c>
      <c r="E193" s="19">
        <v>966504723294</v>
      </c>
      <c r="F193" t="s">
        <v>1586</v>
      </c>
      <c r="G193" t="s">
        <v>853</v>
      </c>
      <c r="I193" t="s">
        <v>9022</v>
      </c>
      <c r="J193" t="s">
        <v>8753</v>
      </c>
      <c r="M193" t="s">
        <v>8702</v>
      </c>
      <c r="N193" t="s">
        <v>2522</v>
      </c>
      <c r="P193" t="s">
        <v>877</v>
      </c>
      <c r="Q193" t="s">
        <v>1347</v>
      </c>
      <c r="S193" t="s">
        <v>2692</v>
      </c>
      <c r="T193" t="s">
        <v>1347</v>
      </c>
    </row>
    <row r="194" spans="1:20" ht="15" customHeight="1" x14ac:dyDescent="0.25">
      <c r="A194" t="s">
        <v>1608</v>
      </c>
      <c r="B194" t="s">
        <v>1609</v>
      </c>
      <c r="C194" t="s">
        <v>1610</v>
      </c>
      <c r="D194" t="s">
        <v>919</v>
      </c>
      <c r="E194" s="19">
        <v>966126504000</v>
      </c>
      <c r="F194" t="s">
        <v>1608</v>
      </c>
      <c r="G194" t="s">
        <v>838</v>
      </c>
      <c r="I194" t="s">
        <v>8986</v>
      </c>
      <c r="J194" t="s">
        <v>8592</v>
      </c>
      <c r="M194" t="s">
        <v>8907</v>
      </c>
      <c r="N194" t="s">
        <v>2522</v>
      </c>
      <c r="P194" t="s">
        <v>900</v>
      </c>
      <c r="Q194" t="s">
        <v>1347</v>
      </c>
      <c r="S194" t="s">
        <v>2435</v>
      </c>
      <c r="T194" t="s">
        <v>1347</v>
      </c>
    </row>
    <row r="195" spans="1:20" ht="15" customHeight="1" x14ac:dyDescent="0.25">
      <c r="A195" t="s">
        <v>1405</v>
      </c>
      <c r="B195" t="s">
        <v>1406</v>
      </c>
      <c r="C195" t="s">
        <v>1261</v>
      </c>
      <c r="D195" t="s">
        <v>919</v>
      </c>
      <c r="E195" s="19">
        <v>966559521294</v>
      </c>
      <c r="F195" t="s">
        <v>1405</v>
      </c>
      <c r="G195" t="s">
        <v>839</v>
      </c>
      <c r="I195" t="s">
        <v>9167</v>
      </c>
      <c r="J195" t="s">
        <v>2214</v>
      </c>
      <c r="M195" t="s">
        <v>8799</v>
      </c>
      <c r="N195" t="s">
        <v>2522</v>
      </c>
      <c r="P195" t="s">
        <v>907</v>
      </c>
      <c r="Q195" t="s">
        <v>1347</v>
      </c>
      <c r="S195" t="s">
        <v>2032</v>
      </c>
      <c r="T195" t="s">
        <v>1347</v>
      </c>
    </row>
    <row r="196" spans="1:20" ht="15" customHeight="1" x14ac:dyDescent="0.25">
      <c r="A196" t="s">
        <v>2330</v>
      </c>
      <c r="B196" t="s">
        <v>1614</v>
      </c>
      <c r="C196" t="s">
        <v>2331</v>
      </c>
      <c r="D196" t="s">
        <v>919</v>
      </c>
      <c r="E196" s="19">
        <v>966551774855</v>
      </c>
      <c r="F196" t="s">
        <v>2330</v>
      </c>
      <c r="G196" t="s">
        <v>837</v>
      </c>
      <c r="I196" t="s">
        <v>9137</v>
      </c>
      <c r="J196" t="s">
        <v>8252</v>
      </c>
      <c r="M196" t="s">
        <v>2518</v>
      </c>
      <c r="N196" t="s">
        <v>2522</v>
      </c>
      <c r="P196" t="s">
        <v>915</v>
      </c>
      <c r="Q196" t="s">
        <v>1357</v>
      </c>
      <c r="S196" t="s">
        <v>2653</v>
      </c>
      <c r="T196" t="s">
        <v>1347</v>
      </c>
    </row>
    <row r="197" spans="1:20" ht="15" customHeight="1" x14ac:dyDescent="0.25">
      <c r="A197" t="s">
        <v>1611</v>
      </c>
      <c r="B197" t="s">
        <v>1612</v>
      </c>
      <c r="C197" t="s">
        <v>1613</v>
      </c>
      <c r="D197" t="s">
        <v>786</v>
      </c>
      <c r="E197" s="19">
        <v>966599388339</v>
      </c>
      <c r="F197" t="s">
        <v>1611</v>
      </c>
      <c r="G197" t="s">
        <v>844</v>
      </c>
      <c r="I197" t="s">
        <v>9349</v>
      </c>
      <c r="J197" t="s">
        <v>8249</v>
      </c>
      <c r="M197" t="s">
        <v>8841</v>
      </c>
      <c r="N197" t="s">
        <v>2522</v>
      </c>
      <c r="P197" t="s">
        <v>962</v>
      </c>
      <c r="Q197" t="s">
        <v>1347</v>
      </c>
      <c r="S197" t="s">
        <v>1274</v>
      </c>
      <c r="T197" t="s">
        <v>1347</v>
      </c>
    </row>
    <row r="198" spans="1:20" ht="15" customHeight="1" x14ac:dyDescent="0.25">
      <c r="A198" t="s">
        <v>1621</v>
      </c>
      <c r="B198" t="s">
        <v>1622</v>
      </c>
      <c r="C198" t="s">
        <v>1623</v>
      </c>
      <c r="D198" t="s">
        <v>919</v>
      </c>
      <c r="E198" s="19">
        <v>966597510221</v>
      </c>
      <c r="F198" t="s">
        <v>1621</v>
      </c>
      <c r="G198" t="s">
        <v>1624</v>
      </c>
      <c r="I198" t="s">
        <v>9252</v>
      </c>
      <c r="J198" t="s">
        <v>2921</v>
      </c>
      <c r="M198" t="s">
        <v>3060</v>
      </c>
      <c r="N198" t="s">
        <v>2522</v>
      </c>
      <c r="P198" t="s">
        <v>957</v>
      </c>
      <c r="Q198" t="s">
        <v>1347</v>
      </c>
      <c r="S198" t="s">
        <v>2933</v>
      </c>
      <c r="T198" t="s">
        <v>1347</v>
      </c>
    </row>
    <row r="199" spans="1:20" ht="15" customHeight="1" x14ac:dyDescent="0.25">
      <c r="A199" t="s">
        <v>1637</v>
      </c>
      <c r="B199" t="s">
        <v>1638</v>
      </c>
      <c r="C199" t="s">
        <v>1639</v>
      </c>
      <c r="D199" t="s">
        <v>919</v>
      </c>
      <c r="E199" s="19" t="s">
        <v>1640</v>
      </c>
      <c r="F199" t="s">
        <v>1637</v>
      </c>
      <c r="G199" t="s">
        <v>1624</v>
      </c>
      <c r="I199" t="s">
        <v>9370</v>
      </c>
      <c r="J199" t="s">
        <v>8582</v>
      </c>
      <c r="M199" t="s">
        <v>8904</v>
      </c>
      <c r="N199" t="s">
        <v>2522</v>
      </c>
      <c r="P199" t="s">
        <v>955</v>
      </c>
      <c r="Q199" t="s">
        <v>1347</v>
      </c>
      <c r="S199" t="s">
        <v>2541</v>
      </c>
      <c r="T199" t="s">
        <v>1347</v>
      </c>
    </row>
    <row r="200" spans="1:20" ht="15" customHeight="1" x14ac:dyDescent="0.25">
      <c r="A200" t="s">
        <v>1641</v>
      </c>
      <c r="B200" t="s">
        <v>1642</v>
      </c>
      <c r="C200" t="s">
        <v>1643</v>
      </c>
      <c r="D200" t="s">
        <v>919</v>
      </c>
      <c r="E200" s="19">
        <v>966500214977</v>
      </c>
      <c r="F200" t="s">
        <v>1641</v>
      </c>
      <c r="G200" t="s">
        <v>839</v>
      </c>
      <c r="I200" t="s">
        <v>9409</v>
      </c>
      <c r="J200" t="s">
        <v>2859</v>
      </c>
      <c r="M200" t="s">
        <v>8877</v>
      </c>
      <c r="N200" t="s">
        <v>2522</v>
      </c>
      <c r="P200" t="s">
        <v>950</v>
      </c>
      <c r="Q200" t="s">
        <v>1347</v>
      </c>
      <c r="S200" t="s">
        <v>2510</v>
      </c>
      <c r="T200" t="s">
        <v>1347</v>
      </c>
    </row>
    <row r="201" spans="1:20" ht="15" customHeight="1" x14ac:dyDescent="0.25">
      <c r="A201" t="s">
        <v>1631</v>
      </c>
      <c r="B201" t="s">
        <v>1632</v>
      </c>
      <c r="C201" t="s">
        <v>1633</v>
      </c>
      <c r="D201" t="s">
        <v>786</v>
      </c>
      <c r="E201" s="19">
        <v>966541434043</v>
      </c>
      <c r="F201" t="s">
        <v>1631</v>
      </c>
      <c r="G201" t="s">
        <v>844</v>
      </c>
      <c r="I201" t="s">
        <v>9386</v>
      </c>
      <c r="J201" t="s">
        <v>1701</v>
      </c>
      <c r="M201" t="s">
        <v>637</v>
      </c>
      <c r="N201" t="s">
        <v>2522</v>
      </c>
      <c r="P201" t="s">
        <v>948</v>
      </c>
      <c r="Q201" t="s">
        <v>1357</v>
      </c>
      <c r="S201" t="s">
        <v>2770</v>
      </c>
      <c r="T201" t="s">
        <v>1347</v>
      </c>
    </row>
    <row r="202" spans="1:20" ht="15" customHeight="1" x14ac:dyDescent="0.25">
      <c r="A202" t="s">
        <v>1602</v>
      </c>
      <c r="B202" t="s">
        <v>1603</v>
      </c>
      <c r="C202" t="s">
        <v>1604</v>
      </c>
      <c r="D202" t="s">
        <v>786</v>
      </c>
      <c r="E202" s="19">
        <v>966596449299</v>
      </c>
      <c r="F202" t="s">
        <v>1602</v>
      </c>
      <c r="G202" t="s">
        <v>844</v>
      </c>
      <c r="I202" t="s">
        <v>9446</v>
      </c>
      <c r="J202" t="s">
        <v>9019</v>
      </c>
      <c r="M202" t="s">
        <v>9178</v>
      </c>
      <c r="N202" t="s">
        <v>2522</v>
      </c>
      <c r="P202" t="s">
        <v>946</v>
      </c>
      <c r="Q202" t="s">
        <v>1357</v>
      </c>
      <c r="S202" t="s">
        <v>2741</v>
      </c>
      <c r="T202" t="s">
        <v>1347</v>
      </c>
    </row>
    <row r="203" spans="1:20" ht="15" customHeight="1" x14ac:dyDescent="0.25">
      <c r="A203" t="s">
        <v>1618</v>
      </c>
      <c r="B203" t="s">
        <v>1619</v>
      </c>
      <c r="C203" t="s">
        <v>1620</v>
      </c>
      <c r="D203" t="s">
        <v>786</v>
      </c>
      <c r="E203" s="19">
        <v>966581200057</v>
      </c>
      <c r="F203" t="s">
        <v>1618</v>
      </c>
      <c r="G203" t="s">
        <v>844</v>
      </c>
      <c r="I203" t="s">
        <v>9323</v>
      </c>
      <c r="J203" t="s">
        <v>9034</v>
      </c>
      <c r="M203" t="s">
        <v>9179</v>
      </c>
      <c r="N203" t="s">
        <v>2522</v>
      </c>
      <c r="P203" t="s">
        <v>933</v>
      </c>
      <c r="Q203" t="s">
        <v>1357</v>
      </c>
      <c r="S203" t="s">
        <v>2956</v>
      </c>
      <c r="T203" t="s">
        <v>1347</v>
      </c>
    </row>
    <row r="204" spans="1:20" ht="15" customHeight="1" x14ac:dyDescent="0.25">
      <c r="A204" t="s">
        <v>1625</v>
      </c>
      <c r="B204" t="s">
        <v>1626</v>
      </c>
      <c r="C204" t="s">
        <v>1627</v>
      </c>
      <c r="D204" t="s">
        <v>919</v>
      </c>
      <c r="E204" s="19">
        <v>9665444005035</v>
      </c>
      <c r="F204" t="s">
        <v>1625</v>
      </c>
      <c r="G204" t="s">
        <v>1624</v>
      </c>
      <c r="I204" t="s">
        <v>2598</v>
      </c>
      <c r="J204" t="s">
        <v>8688</v>
      </c>
      <c r="M204" t="s">
        <v>9186</v>
      </c>
      <c r="N204" t="s">
        <v>2522</v>
      </c>
      <c r="P204" t="s">
        <v>928</v>
      </c>
      <c r="Q204" t="s">
        <v>1357</v>
      </c>
      <c r="S204" t="s">
        <v>2792</v>
      </c>
      <c r="T204" t="s">
        <v>1347</v>
      </c>
    </row>
    <row r="205" spans="1:20" ht="15" customHeight="1" x14ac:dyDescent="0.25">
      <c r="A205" t="s">
        <v>1605</v>
      </c>
      <c r="B205" t="s">
        <v>1606</v>
      </c>
      <c r="C205" t="s">
        <v>1607</v>
      </c>
      <c r="D205" t="s">
        <v>786</v>
      </c>
      <c r="E205" s="19">
        <v>971555085047</v>
      </c>
      <c r="F205" t="s">
        <v>1605</v>
      </c>
      <c r="G205" t="s">
        <v>844</v>
      </c>
      <c r="I205" t="s">
        <v>9548</v>
      </c>
      <c r="J205" t="s">
        <v>8913</v>
      </c>
      <c r="M205" t="s">
        <v>9167</v>
      </c>
      <c r="N205" t="s">
        <v>2522</v>
      </c>
      <c r="P205" t="s">
        <v>27</v>
      </c>
      <c r="Q205" t="s">
        <v>1347</v>
      </c>
      <c r="S205" t="s">
        <v>1364</v>
      </c>
      <c r="T205" t="s">
        <v>1347</v>
      </c>
    </row>
    <row r="206" spans="1:20" ht="15" customHeight="1" x14ac:dyDescent="0.25">
      <c r="A206" t="s">
        <v>1599</v>
      </c>
      <c r="B206" t="s">
        <v>1600</v>
      </c>
      <c r="C206" t="s">
        <v>1601</v>
      </c>
      <c r="D206" t="s">
        <v>919</v>
      </c>
      <c r="E206" s="19">
        <v>966567433140</v>
      </c>
      <c r="F206" t="s">
        <v>1599</v>
      </c>
      <c r="G206" t="s">
        <v>839</v>
      </c>
      <c r="I206" t="s">
        <v>1813</v>
      </c>
      <c r="J206" t="s">
        <v>8872</v>
      </c>
      <c r="M206" t="s">
        <v>9290</v>
      </c>
      <c r="N206" t="s">
        <v>2522</v>
      </c>
      <c r="P206" t="s">
        <v>2157</v>
      </c>
      <c r="Q206" t="s">
        <v>1347</v>
      </c>
      <c r="S206" t="s">
        <v>2795</v>
      </c>
      <c r="T206" t="s">
        <v>1347</v>
      </c>
    </row>
    <row r="207" spans="1:20" ht="15" customHeight="1" x14ac:dyDescent="0.25">
      <c r="A207" t="s">
        <v>1175</v>
      </c>
      <c r="B207" t="s">
        <v>1390</v>
      </c>
      <c r="C207" t="s">
        <v>1177</v>
      </c>
      <c r="D207" t="s">
        <v>919</v>
      </c>
      <c r="E207" s="19">
        <v>971555538881</v>
      </c>
      <c r="F207" t="s">
        <v>1175</v>
      </c>
      <c r="G207" t="s">
        <v>1178</v>
      </c>
      <c r="I207" t="s">
        <v>10113</v>
      </c>
      <c r="J207" t="s">
        <v>9085</v>
      </c>
      <c r="M207" t="s">
        <v>9297</v>
      </c>
      <c r="N207" t="s">
        <v>2522</v>
      </c>
      <c r="P207" t="s">
        <v>2163</v>
      </c>
      <c r="Q207" t="s">
        <v>1347</v>
      </c>
      <c r="S207" t="s">
        <v>8405</v>
      </c>
      <c r="T207" t="s">
        <v>1347</v>
      </c>
    </row>
    <row r="208" spans="1:20" ht="15" customHeight="1" x14ac:dyDescent="0.25">
      <c r="A208" t="s">
        <v>1653</v>
      </c>
      <c r="B208" t="s">
        <v>1654</v>
      </c>
      <c r="C208" t="s">
        <v>1655</v>
      </c>
      <c r="D208" t="s">
        <v>919</v>
      </c>
      <c r="E208" s="19">
        <v>966598910170</v>
      </c>
      <c r="F208" t="s">
        <v>1653</v>
      </c>
      <c r="G208" t="s">
        <v>857</v>
      </c>
      <c r="I208" t="s">
        <v>9565</v>
      </c>
      <c r="J208" t="s">
        <v>8925</v>
      </c>
      <c r="M208" t="s">
        <v>9298</v>
      </c>
      <c r="N208" t="s">
        <v>2522</v>
      </c>
      <c r="P208" t="s">
        <v>2199</v>
      </c>
      <c r="Q208" t="s">
        <v>1347</v>
      </c>
      <c r="S208" t="s">
        <v>8062</v>
      </c>
      <c r="T208" t="s">
        <v>1347</v>
      </c>
    </row>
    <row r="209" spans="1:20" ht="15" customHeight="1" x14ac:dyDescent="0.25">
      <c r="A209" t="s">
        <v>1662</v>
      </c>
      <c r="B209" t="s">
        <v>1663</v>
      </c>
      <c r="C209" t="s">
        <v>1664</v>
      </c>
      <c r="D209" t="s">
        <v>786</v>
      </c>
      <c r="E209" s="19">
        <v>966536593637</v>
      </c>
      <c r="F209" t="s">
        <v>1662</v>
      </c>
      <c r="G209" t="s">
        <v>844</v>
      </c>
      <c r="I209" t="s">
        <v>10075</v>
      </c>
      <c r="J209" t="s">
        <v>9064</v>
      </c>
      <c r="M209" t="s">
        <v>9300</v>
      </c>
      <c r="N209" t="s">
        <v>2522</v>
      </c>
      <c r="P209" t="s">
        <v>2202</v>
      </c>
      <c r="Q209" t="s">
        <v>1347</v>
      </c>
      <c r="S209" t="s">
        <v>8315</v>
      </c>
      <c r="T209" t="s">
        <v>1347</v>
      </c>
    </row>
    <row r="210" spans="1:20" ht="15" customHeight="1" x14ac:dyDescent="0.25">
      <c r="A210" t="s">
        <v>1656</v>
      </c>
      <c r="B210" t="s">
        <v>1657</v>
      </c>
      <c r="C210" t="s">
        <v>1658</v>
      </c>
      <c r="D210" t="s">
        <v>786</v>
      </c>
      <c r="E210" s="19">
        <v>96654133083</v>
      </c>
      <c r="F210" t="s">
        <v>1656</v>
      </c>
      <c r="G210" t="s">
        <v>844</v>
      </c>
      <c r="I210" t="s">
        <v>9556</v>
      </c>
      <c r="J210" t="s">
        <v>9127</v>
      </c>
      <c r="M210" t="s">
        <v>9351</v>
      </c>
      <c r="N210" t="s">
        <v>2522</v>
      </c>
      <c r="P210" t="s">
        <v>2166</v>
      </c>
      <c r="Q210" t="s">
        <v>1347</v>
      </c>
      <c r="S210" t="s">
        <v>8570</v>
      </c>
      <c r="T210" t="s">
        <v>1347</v>
      </c>
    </row>
    <row r="211" spans="1:20" ht="15" customHeight="1" x14ac:dyDescent="0.25">
      <c r="A211" t="s">
        <v>1290</v>
      </c>
      <c r="B211" t="s">
        <v>1408</v>
      </c>
      <c r="C211" t="s">
        <v>1291</v>
      </c>
      <c r="D211" t="s">
        <v>919</v>
      </c>
      <c r="E211" s="19">
        <v>966549766622</v>
      </c>
      <c r="F211" t="s">
        <v>1290</v>
      </c>
      <c r="G211" t="s">
        <v>837</v>
      </c>
      <c r="J211" t="s">
        <v>434</v>
      </c>
      <c r="M211" t="s">
        <v>9361</v>
      </c>
      <c r="N211" t="s">
        <v>2522</v>
      </c>
      <c r="P211" t="s">
        <v>2187</v>
      </c>
      <c r="Q211" t="s">
        <v>1347</v>
      </c>
      <c r="S211" t="s">
        <v>644</v>
      </c>
      <c r="T211" t="s">
        <v>1347</v>
      </c>
    </row>
    <row r="212" spans="1:20" ht="15" customHeight="1" x14ac:dyDescent="0.25">
      <c r="A212" t="s">
        <v>1647</v>
      </c>
      <c r="B212" t="s">
        <v>1648</v>
      </c>
      <c r="C212" t="s">
        <v>1649</v>
      </c>
      <c r="D212" t="s">
        <v>919</v>
      </c>
      <c r="E212" s="19">
        <v>966564948483</v>
      </c>
      <c r="F212" t="s">
        <v>1647</v>
      </c>
      <c r="G212" t="s">
        <v>841</v>
      </c>
      <c r="J212" t="s">
        <v>2609</v>
      </c>
      <c r="M212" t="s">
        <v>9362</v>
      </c>
      <c r="N212" t="s">
        <v>2522</v>
      </c>
      <c r="P212" t="s">
        <v>2227</v>
      </c>
      <c r="Q212" t="s">
        <v>1347</v>
      </c>
      <c r="S212" t="s">
        <v>2676</v>
      </c>
      <c r="T212" t="s">
        <v>1347</v>
      </c>
    </row>
    <row r="213" spans="1:20" ht="15" customHeight="1" x14ac:dyDescent="0.25">
      <c r="A213" t="s">
        <v>1659</v>
      </c>
      <c r="B213" t="s">
        <v>1660</v>
      </c>
      <c r="C213" t="s">
        <v>1661</v>
      </c>
      <c r="D213" t="s">
        <v>786</v>
      </c>
      <c r="E213" s="19">
        <v>966599139760</v>
      </c>
      <c r="F213" t="s">
        <v>1659</v>
      </c>
      <c r="G213" t="s">
        <v>844</v>
      </c>
      <c r="J213" t="s">
        <v>8973</v>
      </c>
      <c r="M213" t="s">
        <v>9363</v>
      </c>
      <c r="N213" t="s">
        <v>2522</v>
      </c>
      <c r="P213" t="s">
        <v>2221</v>
      </c>
      <c r="Q213" t="s">
        <v>1347</v>
      </c>
      <c r="S213" t="s">
        <v>7942</v>
      </c>
      <c r="T213" t="s">
        <v>1347</v>
      </c>
    </row>
    <row r="214" spans="1:20" ht="15" customHeight="1" x14ac:dyDescent="0.25">
      <c r="A214" t="s">
        <v>1650</v>
      </c>
      <c r="B214" t="s">
        <v>1651</v>
      </c>
      <c r="C214" t="s">
        <v>1652</v>
      </c>
      <c r="D214" t="s">
        <v>919</v>
      </c>
      <c r="E214" s="19">
        <v>966593966016</v>
      </c>
      <c r="F214" t="s">
        <v>1650</v>
      </c>
      <c r="G214" t="s">
        <v>853</v>
      </c>
      <c r="J214" t="s">
        <v>9101</v>
      </c>
      <c r="M214" t="s">
        <v>9365</v>
      </c>
      <c r="N214" t="s">
        <v>2522</v>
      </c>
      <c r="P214" t="s">
        <v>2205</v>
      </c>
      <c r="Q214" t="s">
        <v>1347</v>
      </c>
      <c r="S214" t="s">
        <v>2603</v>
      </c>
      <c r="T214" t="s">
        <v>1347</v>
      </c>
    </row>
    <row r="215" spans="1:20" ht="15" customHeight="1" x14ac:dyDescent="0.25">
      <c r="A215" t="s">
        <v>1672</v>
      </c>
      <c r="B215" t="s">
        <v>1673</v>
      </c>
      <c r="C215" t="s">
        <v>1674</v>
      </c>
      <c r="D215" t="s">
        <v>919</v>
      </c>
      <c r="E215" s="19">
        <v>966505992307</v>
      </c>
      <c r="F215" t="s">
        <v>1672</v>
      </c>
      <c r="G215" t="s">
        <v>839</v>
      </c>
      <c r="J215" t="s">
        <v>9132</v>
      </c>
      <c r="M215" t="s">
        <v>9366</v>
      </c>
      <c r="N215" t="s">
        <v>2522</v>
      </c>
      <c r="P215" t="s">
        <v>2184</v>
      </c>
      <c r="Q215" t="s">
        <v>1347</v>
      </c>
      <c r="S215" t="s">
        <v>4719</v>
      </c>
      <c r="T215" t="s">
        <v>1347</v>
      </c>
    </row>
    <row r="216" spans="1:20" ht="15" customHeight="1" x14ac:dyDescent="0.25">
      <c r="A216" t="s">
        <v>1718</v>
      </c>
      <c r="B216" t="s">
        <v>1719</v>
      </c>
      <c r="C216" t="s">
        <v>1720</v>
      </c>
      <c r="D216" t="s">
        <v>919</v>
      </c>
      <c r="E216" s="19">
        <v>966567767025</v>
      </c>
      <c r="F216" t="s">
        <v>1718</v>
      </c>
      <c r="G216" t="s">
        <v>836</v>
      </c>
      <c r="J216" t="s">
        <v>357</v>
      </c>
      <c r="M216" t="s">
        <v>9372</v>
      </c>
      <c r="N216" t="s">
        <v>2522</v>
      </c>
      <c r="P216" t="s">
        <v>2238</v>
      </c>
      <c r="Q216" t="s">
        <v>1347</v>
      </c>
      <c r="S216" t="s">
        <v>8702</v>
      </c>
      <c r="T216" t="s">
        <v>1347</v>
      </c>
    </row>
    <row r="217" spans="1:20" ht="15" customHeight="1" x14ac:dyDescent="0.25">
      <c r="A217" t="s">
        <v>1727</v>
      </c>
      <c r="B217" t="s">
        <v>1728</v>
      </c>
      <c r="C217" t="s">
        <v>1729</v>
      </c>
      <c r="D217" t="s">
        <v>786</v>
      </c>
      <c r="E217" s="19" t="s">
        <v>1730</v>
      </c>
      <c r="F217" t="s">
        <v>1727</v>
      </c>
      <c r="G217" t="s">
        <v>844</v>
      </c>
      <c r="J217" t="s">
        <v>9170</v>
      </c>
      <c r="M217" t="s">
        <v>9314</v>
      </c>
      <c r="N217" t="s">
        <v>2522</v>
      </c>
      <c r="P217" t="s">
        <v>2196</v>
      </c>
      <c r="Q217" t="s">
        <v>1347</v>
      </c>
      <c r="S217" t="s">
        <v>2621</v>
      </c>
      <c r="T217" t="s">
        <v>1347</v>
      </c>
    </row>
    <row r="218" spans="1:20" ht="15" customHeight="1" x14ac:dyDescent="0.25">
      <c r="A218" t="s">
        <v>1691</v>
      </c>
      <c r="B218" t="s">
        <v>1692</v>
      </c>
      <c r="C218" t="s">
        <v>1693</v>
      </c>
      <c r="D218" t="s">
        <v>919</v>
      </c>
      <c r="E218" s="19">
        <v>966541065777</v>
      </c>
      <c r="F218" t="s">
        <v>1691</v>
      </c>
      <c r="G218" t="s">
        <v>836</v>
      </c>
      <c r="J218" t="s">
        <v>9204</v>
      </c>
      <c r="M218" t="s">
        <v>9379</v>
      </c>
      <c r="N218" t="s">
        <v>2522</v>
      </c>
      <c r="P218" t="s">
        <v>196</v>
      </c>
      <c r="Q218" t="s">
        <v>1347</v>
      </c>
      <c r="S218" t="s">
        <v>1712</v>
      </c>
      <c r="T218" t="s">
        <v>1347</v>
      </c>
    </row>
    <row r="219" spans="1:20" ht="15" customHeight="1" x14ac:dyDescent="0.25">
      <c r="A219" t="s">
        <v>1734</v>
      </c>
      <c r="B219" t="s">
        <v>1735</v>
      </c>
      <c r="C219" t="s">
        <v>1736</v>
      </c>
      <c r="D219" t="s">
        <v>919</v>
      </c>
      <c r="E219" s="19">
        <v>966503803531</v>
      </c>
      <c r="F219" t="s">
        <v>1734</v>
      </c>
      <c r="G219" t="s">
        <v>839</v>
      </c>
      <c r="J219" t="s">
        <v>9218</v>
      </c>
      <c r="M219" t="s">
        <v>1281</v>
      </c>
      <c r="N219" t="s">
        <v>2522</v>
      </c>
      <c r="P219" t="s">
        <v>180</v>
      </c>
      <c r="Q219" t="s">
        <v>1347</v>
      </c>
      <c r="S219" t="s">
        <v>8776</v>
      </c>
      <c r="T219" t="s">
        <v>1347</v>
      </c>
    </row>
    <row r="220" spans="1:20" ht="15" customHeight="1" x14ac:dyDescent="0.25">
      <c r="A220" t="s">
        <v>1743</v>
      </c>
      <c r="B220" t="s">
        <v>1744</v>
      </c>
      <c r="C220" t="s">
        <v>1745</v>
      </c>
      <c r="D220" t="s">
        <v>786</v>
      </c>
      <c r="E220" s="19" t="s">
        <v>1746</v>
      </c>
      <c r="F220" t="s">
        <v>1743</v>
      </c>
      <c r="G220" t="s">
        <v>844</v>
      </c>
      <c r="J220" t="s">
        <v>9237</v>
      </c>
      <c r="M220" t="s">
        <v>9396</v>
      </c>
      <c r="N220" t="s">
        <v>2522</v>
      </c>
      <c r="P220" t="s">
        <v>53</v>
      </c>
      <c r="Q220" t="s">
        <v>1347</v>
      </c>
      <c r="S220" t="s">
        <v>8777</v>
      </c>
      <c r="T220" t="s">
        <v>1347</v>
      </c>
    </row>
    <row r="221" spans="1:20" ht="15" customHeight="1" x14ac:dyDescent="0.25">
      <c r="A221" t="s">
        <v>1409</v>
      </c>
      <c r="B221" t="s">
        <v>1410</v>
      </c>
      <c r="C221" t="s">
        <v>1335</v>
      </c>
      <c r="D221" t="s">
        <v>919</v>
      </c>
      <c r="E221" s="19">
        <v>966582309555</v>
      </c>
      <c r="F221" t="s">
        <v>1409</v>
      </c>
      <c r="G221" t="s">
        <v>839</v>
      </c>
      <c r="J221" t="s">
        <v>9201</v>
      </c>
      <c r="M221" t="s">
        <v>9398</v>
      </c>
      <c r="N221" t="s">
        <v>2522</v>
      </c>
      <c r="P221" t="s">
        <v>113</v>
      </c>
      <c r="Q221" t="s">
        <v>1347</v>
      </c>
      <c r="S221" t="s">
        <v>8778</v>
      </c>
      <c r="T221" t="s">
        <v>1347</v>
      </c>
    </row>
    <row r="222" spans="1:20" ht="15" customHeight="1" x14ac:dyDescent="0.25">
      <c r="A222" t="s">
        <v>1747</v>
      </c>
      <c r="B222" t="s">
        <v>1748</v>
      </c>
      <c r="C222" t="s">
        <v>1749</v>
      </c>
      <c r="D222" t="s">
        <v>919</v>
      </c>
      <c r="E222" s="19">
        <v>966599309700</v>
      </c>
      <c r="F222" t="s">
        <v>1747</v>
      </c>
      <c r="G222" t="s">
        <v>842</v>
      </c>
      <c r="J222" t="s">
        <v>9440</v>
      </c>
      <c r="M222" t="s">
        <v>9399</v>
      </c>
      <c r="N222" t="s">
        <v>2522</v>
      </c>
      <c r="P222" t="s">
        <v>59</v>
      </c>
      <c r="Q222" t="s">
        <v>1347</v>
      </c>
      <c r="S222" t="s">
        <v>8710</v>
      </c>
      <c r="T222" t="s">
        <v>1347</v>
      </c>
    </row>
    <row r="223" spans="1:20" ht="15" customHeight="1" x14ac:dyDescent="0.25">
      <c r="A223" t="s">
        <v>1721</v>
      </c>
      <c r="B223" t="s">
        <v>1722</v>
      </c>
      <c r="C223" t="s">
        <v>1723</v>
      </c>
      <c r="D223" t="s">
        <v>919</v>
      </c>
      <c r="E223" s="19">
        <v>966583289851</v>
      </c>
      <c r="F223" t="s">
        <v>1721</v>
      </c>
      <c r="G223" t="s">
        <v>839</v>
      </c>
      <c r="J223" t="s">
        <v>9428</v>
      </c>
      <c r="M223" t="s">
        <v>9370</v>
      </c>
      <c r="N223" t="s">
        <v>2522</v>
      </c>
      <c r="P223" t="s">
        <v>55</v>
      </c>
      <c r="Q223" t="s">
        <v>1347</v>
      </c>
      <c r="S223" t="s">
        <v>8508</v>
      </c>
      <c r="T223" t="s">
        <v>1347</v>
      </c>
    </row>
    <row r="224" spans="1:20" ht="15" customHeight="1" x14ac:dyDescent="0.25">
      <c r="A224" t="s">
        <v>1680</v>
      </c>
      <c r="B224" t="s">
        <v>1681</v>
      </c>
      <c r="C224" t="s">
        <v>1682</v>
      </c>
      <c r="D224" t="s">
        <v>786</v>
      </c>
      <c r="E224" s="19">
        <v>966569138905</v>
      </c>
      <c r="F224" t="s">
        <v>1680</v>
      </c>
      <c r="G224" t="s">
        <v>844</v>
      </c>
      <c r="J224" t="s">
        <v>9156</v>
      </c>
      <c r="M224" t="s">
        <v>9401</v>
      </c>
      <c r="N224" t="s">
        <v>2522</v>
      </c>
      <c r="P224" t="s">
        <v>166</v>
      </c>
      <c r="Q224" t="s">
        <v>1347</v>
      </c>
      <c r="S224" t="s">
        <v>3066</v>
      </c>
      <c r="T224" t="s">
        <v>1347</v>
      </c>
    </row>
    <row r="225" spans="1:20" ht="15" customHeight="1" x14ac:dyDescent="0.25">
      <c r="A225" t="s">
        <v>1740</v>
      </c>
      <c r="B225" t="s">
        <v>1741</v>
      </c>
      <c r="C225" t="s">
        <v>1742</v>
      </c>
      <c r="D225" t="s">
        <v>919</v>
      </c>
      <c r="E225" s="19">
        <v>126692375</v>
      </c>
      <c r="F225" t="s">
        <v>1740</v>
      </c>
      <c r="G225" t="s">
        <v>1865</v>
      </c>
      <c r="J225" t="s">
        <v>9403</v>
      </c>
      <c r="M225" t="s">
        <v>9411</v>
      </c>
      <c r="N225" t="s">
        <v>2522</v>
      </c>
      <c r="P225" t="s">
        <v>189</v>
      </c>
      <c r="Q225" t="s">
        <v>1347</v>
      </c>
      <c r="S225" t="s">
        <v>2744</v>
      </c>
      <c r="T225" t="s">
        <v>1347</v>
      </c>
    </row>
    <row r="226" spans="1:20" ht="15" customHeight="1" x14ac:dyDescent="0.25">
      <c r="A226" t="s">
        <v>1737</v>
      </c>
      <c r="B226" t="s">
        <v>1738</v>
      </c>
      <c r="C226" t="s">
        <v>1739</v>
      </c>
      <c r="D226" t="s">
        <v>786</v>
      </c>
      <c r="E226" s="19">
        <v>966504114141</v>
      </c>
      <c r="F226" t="s">
        <v>1737</v>
      </c>
      <c r="G226" t="s">
        <v>844</v>
      </c>
      <c r="J226" t="s">
        <v>9255</v>
      </c>
      <c r="M226" t="s">
        <v>111</v>
      </c>
      <c r="N226" t="s">
        <v>2522</v>
      </c>
      <c r="P226" t="s">
        <v>170</v>
      </c>
      <c r="Q226" t="s">
        <v>1347</v>
      </c>
      <c r="S226" t="s">
        <v>1846</v>
      </c>
      <c r="T226" t="s">
        <v>1347</v>
      </c>
    </row>
    <row r="227" spans="1:20" ht="15" customHeight="1" x14ac:dyDescent="0.25">
      <c r="A227" t="s">
        <v>1731</v>
      </c>
      <c r="B227" t="s">
        <v>1732</v>
      </c>
      <c r="C227" t="s">
        <v>1733</v>
      </c>
      <c r="D227" t="s">
        <v>919</v>
      </c>
      <c r="E227" s="19">
        <v>966504425929</v>
      </c>
      <c r="F227" t="s">
        <v>1731</v>
      </c>
      <c r="G227" t="s">
        <v>858</v>
      </c>
      <c r="J227" t="s">
        <v>2801</v>
      </c>
      <c r="M227" t="s">
        <v>9436</v>
      </c>
      <c r="N227" t="s">
        <v>2522</v>
      </c>
      <c r="P227" t="s">
        <v>178</v>
      </c>
      <c r="Q227" t="s">
        <v>1347</v>
      </c>
      <c r="S227" t="s">
        <v>8907</v>
      </c>
      <c r="T227" t="s">
        <v>1347</v>
      </c>
    </row>
    <row r="228" spans="1:20" ht="15" customHeight="1" x14ac:dyDescent="0.25">
      <c r="A228" t="s">
        <v>1750</v>
      </c>
      <c r="B228" t="s">
        <v>1751</v>
      </c>
      <c r="C228" t="s">
        <v>1752</v>
      </c>
      <c r="D228" t="s">
        <v>919</v>
      </c>
      <c r="E228" s="19">
        <v>966555930449</v>
      </c>
      <c r="F228" t="s">
        <v>1750</v>
      </c>
      <c r="G228" t="s">
        <v>839</v>
      </c>
      <c r="J228" t="s">
        <v>8774</v>
      </c>
      <c r="M228" t="s">
        <v>9437</v>
      </c>
      <c r="N228" t="s">
        <v>2522</v>
      </c>
      <c r="P228" t="s">
        <v>158</v>
      </c>
      <c r="Q228" t="s">
        <v>1347</v>
      </c>
      <c r="S228" t="s">
        <v>8799</v>
      </c>
      <c r="T228" t="s">
        <v>1347</v>
      </c>
    </row>
    <row r="229" spans="1:20" ht="15" customHeight="1" x14ac:dyDescent="0.25">
      <c r="A229" t="s">
        <v>1755</v>
      </c>
      <c r="B229" t="s">
        <v>1756</v>
      </c>
      <c r="C229" t="s">
        <v>1757</v>
      </c>
      <c r="D229" t="s">
        <v>919</v>
      </c>
      <c r="E229" s="19">
        <v>966503792189</v>
      </c>
      <c r="F229" t="s">
        <v>1755</v>
      </c>
      <c r="G229" t="s">
        <v>839</v>
      </c>
      <c r="J229" t="s">
        <v>10097</v>
      </c>
      <c r="M229" t="s">
        <v>9442</v>
      </c>
      <c r="N229" t="s">
        <v>2522</v>
      </c>
      <c r="P229" t="s">
        <v>185</v>
      </c>
      <c r="Q229" t="s">
        <v>1357</v>
      </c>
      <c r="S229" t="s">
        <v>8841</v>
      </c>
      <c r="T229" t="s">
        <v>1347</v>
      </c>
    </row>
    <row r="230" spans="1:20" ht="15" customHeight="1" x14ac:dyDescent="0.25">
      <c r="A230" t="s">
        <v>1761</v>
      </c>
      <c r="B230" t="s">
        <v>1762</v>
      </c>
      <c r="C230" t="s">
        <v>1763</v>
      </c>
      <c r="D230" t="s">
        <v>786</v>
      </c>
      <c r="E230" s="19" t="s">
        <v>1764</v>
      </c>
      <c r="F230" t="s">
        <v>1761</v>
      </c>
      <c r="G230" t="s">
        <v>844</v>
      </c>
      <c r="J230" t="s">
        <v>9570</v>
      </c>
      <c r="M230" t="s">
        <v>9452</v>
      </c>
      <c r="N230" t="s">
        <v>2522</v>
      </c>
      <c r="P230" t="s">
        <v>83</v>
      </c>
      <c r="Q230" t="s">
        <v>1347</v>
      </c>
      <c r="S230" t="s">
        <v>65</v>
      </c>
      <c r="T230" t="s">
        <v>1347</v>
      </c>
    </row>
    <row r="231" spans="1:20" ht="15" customHeight="1" x14ac:dyDescent="0.25">
      <c r="A231" t="s">
        <v>1396</v>
      </c>
      <c r="B231" t="s">
        <v>1397</v>
      </c>
      <c r="C231" t="s">
        <v>1207</v>
      </c>
      <c r="D231" t="s">
        <v>919</v>
      </c>
      <c r="E231" s="19">
        <v>966536502076</v>
      </c>
      <c r="F231" t="s">
        <v>1396</v>
      </c>
      <c r="G231" t="s">
        <v>857</v>
      </c>
      <c r="J231" t="s">
        <v>10102</v>
      </c>
      <c r="M231" t="s">
        <v>9454</v>
      </c>
      <c r="N231" t="s">
        <v>2522</v>
      </c>
      <c r="P231" t="s">
        <v>49</v>
      </c>
      <c r="Q231" t="s">
        <v>1347</v>
      </c>
      <c r="S231" t="s">
        <v>8904</v>
      </c>
      <c r="T231" t="s">
        <v>1347</v>
      </c>
    </row>
    <row r="232" spans="1:20" ht="15" customHeight="1" x14ac:dyDescent="0.25">
      <c r="A232" t="s">
        <v>1768</v>
      </c>
      <c r="B232" t="s">
        <v>1769</v>
      </c>
      <c r="C232" t="s">
        <v>1770</v>
      </c>
      <c r="D232" t="s">
        <v>919</v>
      </c>
      <c r="E232" s="19">
        <v>966551991070</v>
      </c>
      <c r="F232" t="s">
        <v>1768</v>
      </c>
      <c r="G232" t="s">
        <v>836</v>
      </c>
      <c r="J232" t="s">
        <v>10086</v>
      </c>
      <c r="M232" t="s">
        <v>9455</v>
      </c>
      <c r="N232" t="s">
        <v>2522</v>
      </c>
      <c r="P232" t="s">
        <v>47</v>
      </c>
      <c r="Q232" t="s">
        <v>1347</v>
      </c>
      <c r="S232" t="s">
        <v>2586</v>
      </c>
      <c r="T232" t="s">
        <v>1347</v>
      </c>
    </row>
    <row r="233" spans="1:20" ht="15" customHeight="1" x14ac:dyDescent="0.25">
      <c r="A233" t="s">
        <v>1765</v>
      </c>
      <c r="B233" t="s">
        <v>1766</v>
      </c>
      <c r="C233" t="s">
        <v>1767</v>
      </c>
      <c r="D233" t="s">
        <v>919</v>
      </c>
      <c r="E233" s="19">
        <v>966563378511</v>
      </c>
      <c r="F233" t="s">
        <v>1765</v>
      </c>
      <c r="G233" t="s">
        <v>840</v>
      </c>
      <c r="J233" t="s">
        <v>9551</v>
      </c>
      <c r="M233" t="s">
        <v>9457</v>
      </c>
      <c r="N233" t="s">
        <v>2522</v>
      </c>
      <c r="P233" t="s">
        <v>106</v>
      </c>
      <c r="Q233" t="s">
        <v>1347</v>
      </c>
      <c r="S233" t="s">
        <v>9178</v>
      </c>
      <c r="T233" t="s">
        <v>1347</v>
      </c>
    </row>
    <row r="234" spans="1:20" ht="15" customHeight="1" x14ac:dyDescent="0.25">
      <c r="A234" t="s">
        <v>1774</v>
      </c>
      <c r="B234" t="s">
        <v>1775</v>
      </c>
      <c r="C234" t="s">
        <v>1776</v>
      </c>
      <c r="D234" t="s">
        <v>786</v>
      </c>
      <c r="E234" s="19">
        <v>971565490607</v>
      </c>
      <c r="F234" t="s">
        <v>1774</v>
      </c>
      <c r="G234" t="s">
        <v>844</v>
      </c>
      <c r="M234" t="s">
        <v>9469</v>
      </c>
      <c r="N234" t="s">
        <v>2522</v>
      </c>
      <c r="P234" t="s">
        <v>168</v>
      </c>
      <c r="Q234" t="s">
        <v>1347</v>
      </c>
      <c r="S234" t="s">
        <v>9179</v>
      </c>
      <c r="T234" t="s">
        <v>1347</v>
      </c>
    </row>
    <row r="235" spans="1:20" ht="15" customHeight="1" x14ac:dyDescent="0.25">
      <c r="A235" t="s">
        <v>1790</v>
      </c>
      <c r="B235" t="s">
        <v>1791</v>
      </c>
      <c r="C235" t="s">
        <v>1792</v>
      </c>
      <c r="D235" t="s">
        <v>919</v>
      </c>
      <c r="E235" s="19">
        <v>966537249406</v>
      </c>
      <c r="F235" t="s">
        <v>1790</v>
      </c>
      <c r="G235" t="s">
        <v>839</v>
      </c>
      <c r="M235" t="s">
        <v>9470</v>
      </c>
      <c r="N235" t="s">
        <v>2522</v>
      </c>
      <c r="P235" t="s">
        <v>176</v>
      </c>
      <c r="Q235" t="s">
        <v>1347</v>
      </c>
      <c r="S235" t="s">
        <v>9186</v>
      </c>
      <c r="T235" t="s">
        <v>1347</v>
      </c>
    </row>
    <row r="236" spans="1:20" ht="15" customHeight="1" x14ac:dyDescent="0.25">
      <c r="A236" t="s">
        <v>1793</v>
      </c>
      <c r="B236" t="s">
        <v>1794</v>
      </c>
      <c r="C236" t="s">
        <v>1795</v>
      </c>
      <c r="D236" t="s">
        <v>919</v>
      </c>
      <c r="E236" s="19">
        <v>966535360885</v>
      </c>
      <c r="F236" t="s">
        <v>1793</v>
      </c>
      <c r="G236" t="s">
        <v>839</v>
      </c>
      <c r="M236" t="s">
        <v>9473</v>
      </c>
      <c r="N236" t="s">
        <v>2522</v>
      </c>
      <c r="P236" t="s">
        <v>160</v>
      </c>
      <c r="Q236" t="s">
        <v>1347</v>
      </c>
      <c r="S236" t="s">
        <v>9135</v>
      </c>
      <c r="T236" t="s">
        <v>1347</v>
      </c>
    </row>
    <row r="237" spans="1:20" ht="15" customHeight="1" x14ac:dyDescent="0.25">
      <c r="A237" t="s">
        <v>1796</v>
      </c>
      <c r="B237" t="s">
        <v>1797</v>
      </c>
      <c r="C237" t="s">
        <v>1798</v>
      </c>
      <c r="D237" t="s">
        <v>919</v>
      </c>
      <c r="E237" s="19">
        <v>966546614591</v>
      </c>
      <c r="F237" t="s">
        <v>1796</v>
      </c>
      <c r="G237" t="s">
        <v>839</v>
      </c>
      <c r="M237" t="s">
        <v>9474</v>
      </c>
      <c r="N237" t="s">
        <v>2522</v>
      </c>
      <c r="P237" t="s">
        <v>93</v>
      </c>
      <c r="Q237" t="s">
        <v>1347</v>
      </c>
      <c r="S237" t="s">
        <v>8854</v>
      </c>
      <c r="T237" t="s">
        <v>1347</v>
      </c>
    </row>
    <row r="238" spans="1:20" ht="15" customHeight="1" x14ac:dyDescent="0.25">
      <c r="A238" t="s">
        <v>1787</v>
      </c>
      <c r="B238" t="s">
        <v>1788</v>
      </c>
      <c r="C238" t="s">
        <v>1789</v>
      </c>
      <c r="D238" t="s">
        <v>919</v>
      </c>
      <c r="E238" s="19">
        <v>966501236435</v>
      </c>
      <c r="F238" t="s">
        <v>1787</v>
      </c>
      <c r="G238" t="s">
        <v>839</v>
      </c>
      <c r="M238" t="s">
        <v>9476</v>
      </c>
      <c r="N238" t="s">
        <v>2522</v>
      </c>
      <c r="P238" t="s">
        <v>42</v>
      </c>
      <c r="Q238" t="s">
        <v>1347</v>
      </c>
      <c r="S238" t="s">
        <v>9206</v>
      </c>
      <c r="T238" t="s">
        <v>1347</v>
      </c>
    </row>
    <row r="239" spans="1:20" ht="15" customHeight="1" x14ac:dyDescent="0.25">
      <c r="A239" t="s">
        <v>1777</v>
      </c>
      <c r="B239" t="s">
        <v>1778</v>
      </c>
      <c r="C239" t="s">
        <v>1779</v>
      </c>
      <c r="D239" t="s">
        <v>919</v>
      </c>
      <c r="E239" s="19">
        <v>966508453085</v>
      </c>
      <c r="F239" t="s">
        <v>1777</v>
      </c>
      <c r="G239" t="s">
        <v>838</v>
      </c>
      <c r="M239" t="s">
        <v>9477</v>
      </c>
      <c r="N239" t="s">
        <v>2522</v>
      </c>
      <c r="P239" t="s">
        <v>87</v>
      </c>
      <c r="Q239" t="s">
        <v>1347</v>
      </c>
      <c r="S239" t="s">
        <v>8855</v>
      </c>
      <c r="T239" t="s">
        <v>1347</v>
      </c>
    </row>
    <row r="240" spans="1:20" ht="15" customHeight="1" x14ac:dyDescent="0.25">
      <c r="A240" t="s">
        <v>1753</v>
      </c>
      <c r="B240" t="s">
        <v>1754</v>
      </c>
      <c r="C240" t="s">
        <v>1752</v>
      </c>
      <c r="D240" t="s">
        <v>919</v>
      </c>
      <c r="E240" s="19">
        <v>966555930449</v>
      </c>
      <c r="F240" t="s">
        <v>1753</v>
      </c>
      <c r="G240" t="s">
        <v>839</v>
      </c>
      <c r="M240" t="s">
        <v>9478</v>
      </c>
      <c r="N240" t="s">
        <v>2522</v>
      </c>
      <c r="P240" t="s">
        <v>208</v>
      </c>
      <c r="Q240" t="s">
        <v>1347</v>
      </c>
      <c r="S240" t="s">
        <v>9207</v>
      </c>
      <c r="T240" t="s">
        <v>1347</v>
      </c>
    </row>
    <row r="241" spans="1:20" ht="15" customHeight="1" x14ac:dyDescent="0.25">
      <c r="A241" t="s">
        <v>1825</v>
      </c>
      <c r="B241" t="s">
        <v>1826</v>
      </c>
      <c r="C241" t="s">
        <v>1827</v>
      </c>
      <c r="D241" t="s">
        <v>919</v>
      </c>
      <c r="E241" s="19">
        <v>966532157399</v>
      </c>
      <c r="F241" t="s">
        <v>1825</v>
      </c>
      <c r="G241" t="s">
        <v>839</v>
      </c>
      <c r="M241" t="s">
        <v>9479</v>
      </c>
      <c r="N241" t="s">
        <v>2522</v>
      </c>
      <c r="P241" t="s">
        <v>164</v>
      </c>
      <c r="Q241" t="s">
        <v>1347</v>
      </c>
      <c r="S241" t="s">
        <v>9221</v>
      </c>
      <c r="T241" t="s">
        <v>1347</v>
      </c>
    </row>
    <row r="242" spans="1:20" ht="15" customHeight="1" x14ac:dyDescent="0.25">
      <c r="A242" t="s">
        <v>2514</v>
      </c>
      <c r="B242" t="s">
        <v>2515</v>
      </c>
      <c r="C242" t="s">
        <v>1827</v>
      </c>
      <c r="D242" t="s">
        <v>919</v>
      </c>
      <c r="E242" s="19">
        <v>966532157399</v>
      </c>
      <c r="F242" t="s">
        <v>2514</v>
      </c>
      <c r="G242" t="s">
        <v>838</v>
      </c>
      <c r="M242" t="s">
        <v>9480</v>
      </c>
      <c r="N242" t="s">
        <v>2522</v>
      </c>
      <c r="P242" t="s">
        <v>156</v>
      </c>
      <c r="Q242" t="s">
        <v>1347</v>
      </c>
      <c r="S242" t="s">
        <v>9167</v>
      </c>
      <c r="T242" t="s">
        <v>1347</v>
      </c>
    </row>
    <row r="243" spans="1:20" ht="15" customHeight="1" x14ac:dyDescent="0.25">
      <c r="A243" t="s">
        <v>1815</v>
      </c>
      <c r="B243" t="s">
        <v>1816</v>
      </c>
      <c r="C243" t="s">
        <v>1817</v>
      </c>
      <c r="D243" t="s">
        <v>919</v>
      </c>
      <c r="E243" s="19" t="s">
        <v>1818</v>
      </c>
      <c r="F243" t="s">
        <v>1815</v>
      </c>
      <c r="G243" t="s">
        <v>838</v>
      </c>
      <c r="M243" t="s">
        <v>9483</v>
      </c>
      <c r="N243" t="s">
        <v>2522</v>
      </c>
      <c r="P243" t="s">
        <v>79</v>
      </c>
      <c r="Q243" t="s">
        <v>1347</v>
      </c>
      <c r="S243" t="s">
        <v>9290</v>
      </c>
      <c r="T243" t="s">
        <v>1347</v>
      </c>
    </row>
    <row r="244" spans="1:20" ht="15" customHeight="1" x14ac:dyDescent="0.25">
      <c r="A244" t="s">
        <v>1783</v>
      </c>
      <c r="B244" t="s">
        <v>1784</v>
      </c>
      <c r="C244" t="s">
        <v>1785</v>
      </c>
      <c r="D244" t="s">
        <v>919</v>
      </c>
      <c r="E244" s="19">
        <v>966560202047</v>
      </c>
      <c r="F244" t="s">
        <v>1783</v>
      </c>
      <c r="G244" t="s">
        <v>1786</v>
      </c>
      <c r="M244" t="s">
        <v>9500</v>
      </c>
      <c r="N244" t="s">
        <v>2522</v>
      </c>
      <c r="P244" t="s">
        <v>135</v>
      </c>
      <c r="Q244" t="s">
        <v>1347</v>
      </c>
      <c r="S244" t="s">
        <v>9297</v>
      </c>
      <c r="T244" t="s">
        <v>1347</v>
      </c>
    </row>
    <row r="245" spans="1:20" ht="15" customHeight="1" x14ac:dyDescent="0.25">
      <c r="A245" t="s">
        <v>1859</v>
      </c>
      <c r="B245" t="s">
        <v>1860</v>
      </c>
      <c r="C245" t="s">
        <v>1861</v>
      </c>
      <c r="D245" t="s">
        <v>786</v>
      </c>
      <c r="E245" s="19">
        <v>966554745962</v>
      </c>
      <c r="F245" t="s">
        <v>1859</v>
      </c>
      <c r="G245" t="s">
        <v>844</v>
      </c>
      <c r="M245" t="s">
        <v>9501</v>
      </c>
      <c r="N245" t="s">
        <v>2522</v>
      </c>
      <c r="P245" t="s">
        <v>71</v>
      </c>
      <c r="Q245" t="s">
        <v>1347</v>
      </c>
      <c r="S245" t="s">
        <v>9298</v>
      </c>
      <c r="T245" t="s">
        <v>1347</v>
      </c>
    </row>
    <row r="246" spans="1:20" ht="15" customHeight="1" x14ac:dyDescent="0.25">
      <c r="A246" t="s">
        <v>1862</v>
      </c>
      <c r="B246" t="s">
        <v>1863</v>
      </c>
      <c r="C246" t="s">
        <v>1864</v>
      </c>
      <c r="D246" t="s">
        <v>919</v>
      </c>
      <c r="E246" s="19">
        <v>966549911021</v>
      </c>
      <c r="F246" t="s">
        <v>1862</v>
      </c>
      <c r="G246" t="s">
        <v>1865</v>
      </c>
      <c r="M246" t="s">
        <v>9502</v>
      </c>
      <c r="N246" t="s">
        <v>2522</v>
      </c>
      <c r="P246" t="s">
        <v>89</v>
      </c>
      <c r="Q246" t="s">
        <v>1347</v>
      </c>
      <c r="S246" t="s">
        <v>9300</v>
      </c>
      <c r="T246" t="s">
        <v>1347</v>
      </c>
    </row>
    <row r="247" spans="1:20" ht="15" customHeight="1" x14ac:dyDescent="0.25">
      <c r="A247" t="s">
        <v>1866</v>
      </c>
      <c r="B247" t="s">
        <v>1867</v>
      </c>
      <c r="C247" t="s">
        <v>1868</v>
      </c>
      <c r="D247" t="s">
        <v>919</v>
      </c>
      <c r="E247" s="19">
        <v>966502488992</v>
      </c>
      <c r="F247" t="s">
        <v>1866</v>
      </c>
      <c r="G247" t="s">
        <v>845</v>
      </c>
      <c r="M247" t="s">
        <v>9503</v>
      </c>
      <c r="N247" t="s">
        <v>2522</v>
      </c>
      <c r="P247" t="s">
        <v>162</v>
      </c>
      <c r="Q247" t="s">
        <v>1347</v>
      </c>
      <c r="S247" t="s">
        <v>9314</v>
      </c>
      <c r="T247" t="s">
        <v>1347</v>
      </c>
    </row>
    <row r="248" spans="1:20" ht="15" customHeight="1" x14ac:dyDescent="0.25">
      <c r="A248" t="s">
        <v>1869</v>
      </c>
      <c r="B248" t="s">
        <v>1870</v>
      </c>
      <c r="C248" t="s">
        <v>1871</v>
      </c>
      <c r="D248" t="s">
        <v>919</v>
      </c>
      <c r="E248" s="19">
        <v>966544556793</v>
      </c>
      <c r="F248" t="s">
        <v>1869</v>
      </c>
      <c r="G248" t="s">
        <v>839</v>
      </c>
      <c r="M248" t="s">
        <v>9504</v>
      </c>
      <c r="N248" t="s">
        <v>2522</v>
      </c>
      <c r="P248" t="s">
        <v>73</v>
      </c>
      <c r="Q248" t="s">
        <v>1347</v>
      </c>
      <c r="S248" t="s">
        <v>9320</v>
      </c>
      <c r="T248" t="s">
        <v>1347</v>
      </c>
    </row>
    <row r="249" spans="1:20" ht="15" customHeight="1" x14ac:dyDescent="0.25">
      <c r="A249" t="s">
        <v>1872</v>
      </c>
      <c r="B249" t="s">
        <v>1873</v>
      </c>
      <c r="C249" t="s">
        <v>1874</v>
      </c>
      <c r="D249" t="s">
        <v>919</v>
      </c>
      <c r="E249" s="19">
        <v>966538028973</v>
      </c>
      <c r="F249" t="s">
        <v>1872</v>
      </c>
      <c r="G249" t="s">
        <v>1865</v>
      </c>
      <c r="M249" t="s">
        <v>9505</v>
      </c>
      <c r="N249" t="s">
        <v>2522</v>
      </c>
      <c r="P249" t="s">
        <v>187</v>
      </c>
      <c r="Q249" t="s">
        <v>1347</v>
      </c>
      <c r="S249" t="s">
        <v>9335</v>
      </c>
      <c r="T249" t="s">
        <v>1347</v>
      </c>
    </row>
    <row r="250" spans="1:20" ht="15" customHeight="1" x14ac:dyDescent="0.25">
      <c r="A250" t="s">
        <v>1780</v>
      </c>
      <c r="B250" t="s">
        <v>1781</v>
      </c>
      <c r="C250" t="s">
        <v>1782</v>
      </c>
      <c r="D250" t="s">
        <v>919</v>
      </c>
      <c r="E250" s="19">
        <v>966504683726</v>
      </c>
      <c r="F250" t="s">
        <v>1780</v>
      </c>
      <c r="G250" t="s">
        <v>838</v>
      </c>
      <c r="M250" t="s">
        <v>9506</v>
      </c>
      <c r="N250" t="s">
        <v>2522</v>
      </c>
      <c r="P250" t="s">
        <v>217</v>
      </c>
      <c r="Q250" t="s">
        <v>1347</v>
      </c>
      <c r="S250" t="s">
        <v>1806</v>
      </c>
      <c r="T250" t="s">
        <v>1347</v>
      </c>
    </row>
    <row r="251" spans="1:20" ht="15" customHeight="1" x14ac:dyDescent="0.25">
      <c r="A251" t="s">
        <v>1537</v>
      </c>
      <c r="B251" t="s">
        <v>1538</v>
      </c>
      <c r="C251" t="s">
        <v>1536</v>
      </c>
      <c r="D251" t="s">
        <v>919</v>
      </c>
      <c r="E251" s="19">
        <v>966558905182</v>
      </c>
      <c r="F251" t="s">
        <v>1537</v>
      </c>
      <c r="G251" t="s">
        <v>838</v>
      </c>
      <c r="M251" t="s">
        <v>9507</v>
      </c>
      <c r="N251" t="s">
        <v>2522</v>
      </c>
      <c r="P251" t="s">
        <v>340</v>
      </c>
      <c r="Q251" t="s">
        <v>1347</v>
      </c>
      <c r="S251" t="s">
        <v>9362</v>
      </c>
      <c r="T251" t="s">
        <v>1347</v>
      </c>
    </row>
    <row r="252" spans="1:20" ht="15" customHeight="1" x14ac:dyDescent="0.25">
      <c r="A252" t="s">
        <v>1878</v>
      </c>
      <c r="B252" t="s">
        <v>1879</v>
      </c>
      <c r="C252" t="s">
        <v>1880</v>
      </c>
      <c r="D252" t="s">
        <v>919</v>
      </c>
      <c r="E252" s="19">
        <v>966553032418</v>
      </c>
      <c r="F252" t="s">
        <v>1878</v>
      </c>
      <c r="G252" t="s">
        <v>837</v>
      </c>
      <c r="M252" t="s">
        <v>9508</v>
      </c>
      <c r="N252" t="s">
        <v>2522</v>
      </c>
      <c r="P252" t="s">
        <v>344</v>
      </c>
      <c r="Q252" t="s">
        <v>1347</v>
      </c>
      <c r="S252" t="s">
        <v>9363</v>
      </c>
      <c r="T252" t="s">
        <v>1347</v>
      </c>
    </row>
    <row r="253" spans="1:20" ht="15" customHeight="1" x14ac:dyDescent="0.25">
      <c r="A253" t="s">
        <v>1882</v>
      </c>
      <c r="B253" t="s">
        <v>1883</v>
      </c>
      <c r="C253" t="s">
        <v>1884</v>
      </c>
      <c r="D253" t="s">
        <v>919</v>
      </c>
      <c r="E253" s="19" t="s">
        <v>1885</v>
      </c>
      <c r="F253" t="s">
        <v>1882</v>
      </c>
      <c r="G253" t="s">
        <v>839</v>
      </c>
      <c r="M253" t="s">
        <v>9509</v>
      </c>
      <c r="N253" t="s">
        <v>2522</v>
      </c>
      <c r="P253" t="s">
        <v>221</v>
      </c>
      <c r="Q253" t="s">
        <v>1347</v>
      </c>
      <c r="S253" t="s">
        <v>9365</v>
      </c>
      <c r="T253" t="s">
        <v>1347</v>
      </c>
    </row>
    <row r="254" spans="1:20" ht="15" customHeight="1" x14ac:dyDescent="0.25">
      <c r="A254" t="s">
        <v>1886</v>
      </c>
      <c r="B254" t="s">
        <v>1887</v>
      </c>
      <c r="C254" t="s">
        <v>1888</v>
      </c>
      <c r="D254" t="s">
        <v>919</v>
      </c>
      <c r="E254" s="19">
        <v>966548778305</v>
      </c>
      <c r="F254" t="s">
        <v>1886</v>
      </c>
      <c r="G254" t="s">
        <v>841</v>
      </c>
      <c r="M254" t="s">
        <v>9510</v>
      </c>
      <c r="N254" t="s">
        <v>2522</v>
      </c>
      <c r="P254" t="s">
        <v>392</v>
      </c>
      <c r="Q254" t="s">
        <v>1347</v>
      </c>
      <c r="S254" t="s">
        <v>9401</v>
      </c>
      <c r="T254" t="s">
        <v>1347</v>
      </c>
    </row>
    <row r="255" spans="1:20" ht="15" customHeight="1" x14ac:dyDescent="0.25">
      <c r="A255" t="s">
        <v>1891</v>
      </c>
      <c r="B255" t="s">
        <v>1892</v>
      </c>
      <c r="C255" t="s">
        <v>1893</v>
      </c>
      <c r="D255" t="s">
        <v>919</v>
      </c>
      <c r="E255" s="19">
        <v>966539330334</v>
      </c>
      <c r="F255" t="s">
        <v>1891</v>
      </c>
      <c r="G255" t="s">
        <v>840</v>
      </c>
      <c r="M255" t="s">
        <v>9511</v>
      </c>
      <c r="N255" t="s">
        <v>2522</v>
      </c>
      <c r="P255" t="s">
        <v>414</v>
      </c>
      <c r="Q255" t="s">
        <v>1347</v>
      </c>
      <c r="S255" t="s">
        <v>9370</v>
      </c>
      <c r="T255" t="s">
        <v>1347</v>
      </c>
    </row>
    <row r="256" spans="1:20" ht="15" customHeight="1" x14ac:dyDescent="0.25">
      <c r="A256" t="s">
        <v>1894</v>
      </c>
      <c r="B256" t="s">
        <v>1895</v>
      </c>
      <c r="C256" t="s">
        <v>1896</v>
      </c>
      <c r="D256" t="s">
        <v>919</v>
      </c>
      <c r="E256" s="19">
        <v>966504255261</v>
      </c>
      <c r="F256" t="s">
        <v>1894</v>
      </c>
      <c r="G256" t="s">
        <v>838</v>
      </c>
      <c r="M256" t="s">
        <v>9512</v>
      </c>
      <c r="N256" t="s">
        <v>2522</v>
      </c>
      <c r="P256" t="s">
        <v>449</v>
      </c>
      <c r="Q256" t="s">
        <v>1347</v>
      </c>
      <c r="S256" t="s">
        <v>9412</v>
      </c>
      <c r="T256" t="s">
        <v>1347</v>
      </c>
    </row>
    <row r="257" spans="1:20" ht="15" customHeight="1" x14ac:dyDescent="0.25">
      <c r="A257" t="s">
        <v>1897</v>
      </c>
      <c r="B257" t="s">
        <v>1898</v>
      </c>
      <c r="C257" t="s">
        <v>1899</v>
      </c>
      <c r="D257" t="s">
        <v>919</v>
      </c>
      <c r="E257" s="19">
        <v>966504498026</v>
      </c>
      <c r="F257" t="s">
        <v>1897</v>
      </c>
      <c r="G257" t="s">
        <v>845</v>
      </c>
      <c r="M257" t="s">
        <v>9513</v>
      </c>
      <c r="N257" t="s">
        <v>2522</v>
      </c>
      <c r="P257" t="s">
        <v>453</v>
      </c>
      <c r="Q257" t="s">
        <v>1347</v>
      </c>
      <c r="S257" t="s">
        <v>9443</v>
      </c>
      <c r="T257" t="s">
        <v>1347</v>
      </c>
    </row>
    <row r="258" spans="1:20" ht="15" customHeight="1" x14ac:dyDescent="0.25">
      <c r="A258" t="s">
        <v>1900</v>
      </c>
      <c r="B258" t="s">
        <v>1901</v>
      </c>
      <c r="C258" t="s">
        <v>1902</v>
      </c>
      <c r="D258" t="s">
        <v>919</v>
      </c>
      <c r="E258" s="19">
        <v>966547405642</v>
      </c>
      <c r="F258" t="s">
        <v>1900</v>
      </c>
      <c r="G258" t="s">
        <v>845</v>
      </c>
      <c r="M258" t="s">
        <v>9514</v>
      </c>
      <c r="N258" t="s">
        <v>2522</v>
      </c>
      <c r="P258" t="s">
        <v>451</v>
      </c>
      <c r="Q258" t="s">
        <v>1347</v>
      </c>
      <c r="S258" t="s">
        <v>9453</v>
      </c>
      <c r="T258" t="s">
        <v>1347</v>
      </c>
    </row>
    <row r="259" spans="1:20" ht="15" customHeight="1" x14ac:dyDescent="0.25">
      <c r="A259" t="s">
        <v>1548</v>
      </c>
      <c r="B259" t="s">
        <v>1549</v>
      </c>
      <c r="C259" t="s">
        <v>1547</v>
      </c>
      <c r="D259" t="s">
        <v>919</v>
      </c>
      <c r="E259" s="19">
        <v>966552220297</v>
      </c>
      <c r="F259" t="s">
        <v>1548</v>
      </c>
      <c r="G259" t="s">
        <v>857</v>
      </c>
      <c r="M259" t="s">
        <v>9515</v>
      </c>
      <c r="N259" t="s">
        <v>2522</v>
      </c>
      <c r="P259" t="s">
        <v>472</v>
      </c>
      <c r="Q259" t="s">
        <v>1347</v>
      </c>
      <c r="S259" t="s">
        <v>9361</v>
      </c>
      <c r="T259" t="s">
        <v>1347</v>
      </c>
    </row>
    <row r="260" spans="1:20" ht="15" customHeight="1" x14ac:dyDescent="0.25">
      <c r="A260" t="s">
        <v>1903</v>
      </c>
      <c r="B260" t="s">
        <v>1904</v>
      </c>
      <c r="C260" t="s">
        <v>1905</v>
      </c>
      <c r="D260" t="s">
        <v>919</v>
      </c>
      <c r="E260" s="19">
        <v>966599474743</v>
      </c>
      <c r="F260" t="s">
        <v>1903</v>
      </c>
      <c r="G260" t="s">
        <v>841</v>
      </c>
      <c r="M260" t="s">
        <v>9516</v>
      </c>
      <c r="N260" t="s">
        <v>2522</v>
      </c>
      <c r="P260" t="s">
        <v>564</v>
      </c>
      <c r="Q260" t="s">
        <v>1347</v>
      </c>
      <c r="S260" t="s">
        <v>9478</v>
      </c>
      <c r="T260" t="s">
        <v>1347</v>
      </c>
    </row>
    <row r="261" spans="1:20" ht="15" customHeight="1" x14ac:dyDescent="0.25">
      <c r="A261" t="s">
        <v>1906</v>
      </c>
      <c r="B261" t="s">
        <v>1907</v>
      </c>
      <c r="C261" t="s">
        <v>1908</v>
      </c>
      <c r="D261" t="s">
        <v>919</v>
      </c>
      <c r="E261" s="19">
        <v>966502855676</v>
      </c>
      <c r="F261" t="s">
        <v>1906</v>
      </c>
      <c r="G261" t="s">
        <v>845</v>
      </c>
      <c r="M261" t="s">
        <v>9517</v>
      </c>
      <c r="N261" t="s">
        <v>2522</v>
      </c>
      <c r="P261" t="s">
        <v>583</v>
      </c>
      <c r="Q261" t="s">
        <v>1347</v>
      </c>
      <c r="S261" t="s">
        <v>9323</v>
      </c>
      <c r="T261" t="s">
        <v>1347</v>
      </c>
    </row>
    <row r="262" spans="1:20" ht="15" customHeight="1" x14ac:dyDescent="0.25">
      <c r="A262" t="s">
        <v>1906</v>
      </c>
      <c r="B262" t="s">
        <v>1909</v>
      </c>
      <c r="C262" t="s">
        <v>1908</v>
      </c>
      <c r="D262" t="s">
        <v>919</v>
      </c>
      <c r="E262" s="19">
        <v>966502855676</v>
      </c>
      <c r="F262" t="s">
        <v>1906</v>
      </c>
      <c r="G262" t="s">
        <v>845</v>
      </c>
      <c r="M262" t="s">
        <v>9518</v>
      </c>
      <c r="N262" t="s">
        <v>2522</v>
      </c>
      <c r="P262" t="s">
        <v>587</v>
      </c>
      <c r="Q262" t="s">
        <v>1347</v>
      </c>
      <c r="S262" t="s">
        <v>2598</v>
      </c>
      <c r="T262" t="s">
        <v>1347</v>
      </c>
    </row>
    <row r="263" spans="1:20" ht="15" customHeight="1" x14ac:dyDescent="0.25">
      <c r="A263" t="s">
        <v>1910</v>
      </c>
      <c r="B263" t="s">
        <v>1911</v>
      </c>
      <c r="C263" t="s">
        <v>1912</v>
      </c>
      <c r="D263" t="s">
        <v>919</v>
      </c>
      <c r="E263" s="19">
        <v>966548566662</v>
      </c>
      <c r="F263" t="s">
        <v>1910</v>
      </c>
      <c r="G263" t="s">
        <v>845</v>
      </c>
      <c r="M263" t="s">
        <v>9529</v>
      </c>
      <c r="N263" t="s">
        <v>2522</v>
      </c>
      <c r="P263" t="s">
        <v>558</v>
      </c>
      <c r="Q263" t="s">
        <v>1347</v>
      </c>
      <c r="S263" t="s">
        <v>9548</v>
      </c>
      <c r="T263" t="s">
        <v>1347</v>
      </c>
    </row>
    <row r="264" spans="1:20" ht="15" customHeight="1" x14ac:dyDescent="0.25">
      <c r="A264" t="s">
        <v>1924</v>
      </c>
      <c r="B264" t="s">
        <v>1925</v>
      </c>
      <c r="C264" t="s">
        <v>1926</v>
      </c>
      <c r="D264" t="s">
        <v>919</v>
      </c>
      <c r="E264" s="19">
        <v>966532530665</v>
      </c>
      <c r="F264" t="s">
        <v>1924</v>
      </c>
      <c r="G264" t="s">
        <v>845</v>
      </c>
      <c r="M264" t="s">
        <v>9530</v>
      </c>
      <c r="N264" t="s">
        <v>2522</v>
      </c>
      <c r="P264" t="s">
        <v>566</v>
      </c>
      <c r="Q264" t="s">
        <v>1347</v>
      </c>
      <c r="S264" t="s">
        <v>1813</v>
      </c>
      <c r="T264" t="s">
        <v>1347</v>
      </c>
    </row>
    <row r="265" spans="1:20" ht="15" customHeight="1" x14ac:dyDescent="0.25">
      <c r="A265" t="s">
        <v>1927</v>
      </c>
      <c r="B265" t="s">
        <v>1928</v>
      </c>
      <c r="C265" t="s">
        <v>1926</v>
      </c>
      <c r="D265" t="s">
        <v>919</v>
      </c>
      <c r="E265" s="19">
        <v>966532530665</v>
      </c>
      <c r="F265" t="s">
        <v>1927</v>
      </c>
      <c r="G265" t="s">
        <v>845</v>
      </c>
      <c r="M265" t="s">
        <v>9531</v>
      </c>
      <c r="N265" t="s">
        <v>2522</v>
      </c>
      <c r="P265" t="s">
        <v>636</v>
      </c>
      <c r="Q265" t="s">
        <v>1347</v>
      </c>
      <c r="S265" t="s">
        <v>9356</v>
      </c>
      <c r="T265" t="s">
        <v>1347</v>
      </c>
    </row>
    <row r="266" spans="1:20" ht="15" customHeight="1" x14ac:dyDescent="0.25">
      <c r="A266" t="s">
        <v>1932</v>
      </c>
      <c r="B266" t="s">
        <v>1933</v>
      </c>
      <c r="C266" t="s">
        <v>1934</v>
      </c>
      <c r="D266" t="s">
        <v>919</v>
      </c>
      <c r="E266" s="19">
        <v>966503113291</v>
      </c>
      <c r="F266" t="s">
        <v>1932</v>
      </c>
      <c r="G266" t="s">
        <v>1865</v>
      </c>
      <c r="M266" t="s">
        <v>9533</v>
      </c>
      <c r="N266" t="s">
        <v>2522</v>
      </c>
      <c r="P266" t="s">
        <v>638</v>
      </c>
      <c r="Q266" t="s">
        <v>1347</v>
      </c>
      <c r="S266" t="s">
        <v>10114</v>
      </c>
      <c r="T266" t="s">
        <v>1347</v>
      </c>
    </row>
    <row r="267" spans="1:20" ht="15" customHeight="1" x14ac:dyDescent="0.25">
      <c r="A267" t="s">
        <v>1935</v>
      </c>
      <c r="B267" t="s">
        <v>1936</v>
      </c>
      <c r="C267" t="s">
        <v>1937</v>
      </c>
      <c r="D267" t="s">
        <v>919</v>
      </c>
      <c r="E267" s="19">
        <v>966569872629</v>
      </c>
      <c r="F267" t="s">
        <v>1935</v>
      </c>
      <c r="G267" t="s">
        <v>839</v>
      </c>
      <c r="M267" t="s">
        <v>9534</v>
      </c>
      <c r="N267" t="s">
        <v>2522</v>
      </c>
      <c r="P267" t="s">
        <v>646</v>
      </c>
      <c r="Q267" t="s">
        <v>1347</v>
      </c>
      <c r="S267" t="s">
        <v>2518</v>
      </c>
      <c r="T267" t="s">
        <v>1347</v>
      </c>
    </row>
    <row r="268" spans="1:20" ht="15" customHeight="1" x14ac:dyDescent="0.25">
      <c r="A268" t="s">
        <v>1938</v>
      </c>
      <c r="B268" t="s">
        <v>1939</v>
      </c>
      <c r="C268" t="s">
        <v>1940</v>
      </c>
      <c r="D268" t="s">
        <v>786</v>
      </c>
      <c r="E268" s="19">
        <v>966599978907</v>
      </c>
      <c r="F268" t="s">
        <v>1938</v>
      </c>
      <c r="G268" t="s">
        <v>844</v>
      </c>
      <c r="M268" t="s">
        <v>9323</v>
      </c>
      <c r="N268" t="s">
        <v>2522</v>
      </c>
      <c r="P268" t="s">
        <v>795</v>
      </c>
      <c r="Q268" t="s">
        <v>1347</v>
      </c>
      <c r="S268" t="s">
        <v>10115</v>
      </c>
      <c r="T268" t="s">
        <v>1347</v>
      </c>
    </row>
    <row r="269" spans="1:20" ht="15" customHeight="1" x14ac:dyDescent="0.25">
      <c r="A269" t="s">
        <v>1944</v>
      </c>
      <c r="B269" t="s">
        <v>1945</v>
      </c>
      <c r="C269" t="s">
        <v>1946</v>
      </c>
      <c r="D269" t="s">
        <v>919</v>
      </c>
      <c r="E269" s="19">
        <v>966500799566</v>
      </c>
      <c r="F269" t="s">
        <v>1944</v>
      </c>
      <c r="G269" t="s">
        <v>839</v>
      </c>
      <c r="M269" t="s">
        <v>2598</v>
      </c>
      <c r="N269" t="s">
        <v>2522</v>
      </c>
      <c r="P269" t="s">
        <v>803</v>
      </c>
      <c r="Q269" t="s">
        <v>1347</v>
      </c>
      <c r="S269" t="s">
        <v>10116</v>
      </c>
      <c r="T269" t="s">
        <v>1347</v>
      </c>
    </row>
    <row r="270" spans="1:20" ht="15" customHeight="1" x14ac:dyDescent="0.25">
      <c r="A270" t="s">
        <v>1947</v>
      </c>
      <c r="B270" t="s">
        <v>1948</v>
      </c>
      <c r="C270" t="s">
        <v>1192</v>
      </c>
      <c r="D270" t="s">
        <v>919</v>
      </c>
      <c r="E270" s="19">
        <v>966564447579</v>
      </c>
      <c r="F270" t="s">
        <v>1947</v>
      </c>
      <c r="G270" t="s">
        <v>838</v>
      </c>
      <c r="M270" t="s">
        <v>2801</v>
      </c>
      <c r="N270" t="s">
        <v>2522</v>
      </c>
      <c r="P270" t="s">
        <v>802</v>
      </c>
      <c r="Q270" t="s">
        <v>1347</v>
      </c>
      <c r="S270" t="s">
        <v>10117</v>
      </c>
      <c r="T270" t="s">
        <v>1347</v>
      </c>
    </row>
    <row r="271" spans="1:20" ht="15" customHeight="1" x14ac:dyDescent="0.25">
      <c r="A271" t="s">
        <v>1949</v>
      </c>
      <c r="B271" t="s">
        <v>1950</v>
      </c>
      <c r="C271" t="s">
        <v>1951</v>
      </c>
      <c r="D271" t="s">
        <v>786</v>
      </c>
      <c r="E271" s="19" t="s">
        <v>1952</v>
      </c>
      <c r="F271" t="s">
        <v>1949</v>
      </c>
      <c r="G271" t="s">
        <v>844</v>
      </c>
      <c r="M271" t="s">
        <v>9561</v>
      </c>
      <c r="N271" t="s">
        <v>2522</v>
      </c>
      <c r="P271" t="s">
        <v>799</v>
      </c>
      <c r="Q271" t="s">
        <v>1347</v>
      </c>
      <c r="S271" t="s">
        <v>10118</v>
      </c>
      <c r="T271" t="s">
        <v>1347</v>
      </c>
    </row>
    <row r="272" spans="1:20" ht="15" customHeight="1" x14ac:dyDescent="0.25">
      <c r="A272" t="s">
        <v>1953</v>
      </c>
      <c r="B272" t="s">
        <v>1954</v>
      </c>
      <c r="C272" t="s">
        <v>1955</v>
      </c>
      <c r="D272" t="s">
        <v>786</v>
      </c>
      <c r="E272" s="19" t="s">
        <v>1952</v>
      </c>
      <c r="F272" t="s">
        <v>1953</v>
      </c>
      <c r="G272" t="s">
        <v>844</v>
      </c>
      <c r="M272" t="s">
        <v>9578</v>
      </c>
      <c r="N272" t="s">
        <v>2522</v>
      </c>
      <c r="P272" t="s">
        <v>891</v>
      </c>
      <c r="Q272" t="s">
        <v>1347</v>
      </c>
      <c r="S272" t="s">
        <v>10119</v>
      </c>
      <c r="T272" t="s">
        <v>1347</v>
      </c>
    </row>
    <row r="273" spans="1:20" ht="15" customHeight="1" x14ac:dyDescent="0.25">
      <c r="A273" t="s">
        <v>1959</v>
      </c>
      <c r="B273" t="s">
        <v>1960</v>
      </c>
      <c r="C273" t="s">
        <v>1961</v>
      </c>
      <c r="D273" t="s">
        <v>919</v>
      </c>
      <c r="E273" s="19">
        <v>9660547642812</v>
      </c>
      <c r="F273" t="s">
        <v>1959</v>
      </c>
      <c r="G273" t="s">
        <v>839</v>
      </c>
      <c r="M273" t="s">
        <v>9600</v>
      </c>
      <c r="N273" t="s">
        <v>2522</v>
      </c>
      <c r="P273" t="s">
        <v>935</v>
      </c>
      <c r="Q273" t="s">
        <v>1347</v>
      </c>
      <c r="S273" t="s">
        <v>9364</v>
      </c>
      <c r="T273" t="s">
        <v>1347</v>
      </c>
    </row>
    <row r="274" spans="1:20" ht="15" customHeight="1" x14ac:dyDescent="0.25">
      <c r="A274" t="s">
        <v>1962</v>
      </c>
      <c r="B274" t="s">
        <v>1963</v>
      </c>
      <c r="C274" t="s">
        <v>1964</v>
      </c>
      <c r="D274" t="s">
        <v>919</v>
      </c>
      <c r="E274" s="19">
        <v>966540904481</v>
      </c>
      <c r="F274" t="s">
        <v>1962</v>
      </c>
      <c r="G274" t="s">
        <v>838</v>
      </c>
      <c r="M274" t="s">
        <v>9548</v>
      </c>
      <c r="N274" t="s">
        <v>2522</v>
      </c>
      <c r="P274" t="s">
        <v>925</v>
      </c>
      <c r="Q274" t="s">
        <v>1347</v>
      </c>
      <c r="S274" t="s">
        <v>10120</v>
      </c>
      <c r="T274" t="s">
        <v>1347</v>
      </c>
    </row>
    <row r="275" spans="1:20" ht="15" customHeight="1" x14ac:dyDescent="0.25">
      <c r="A275" t="s">
        <v>1965</v>
      </c>
      <c r="B275" t="s">
        <v>1966</v>
      </c>
      <c r="C275" t="s">
        <v>1967</v>
      </c>
      <c r="D275" t="s">
        <v>919</v>
      </c>
      <c r="E275" s="19">
        <v>966593586501</v>
      </c>
      <c r="F275" t="s">
        <v>1965</v>
      </c>
      <c r="G275" t="s">
        <v>838</v>
      </c>
      <c r="M275" t="s">
        <v>10077</v>
      </c>
      <c r="N275" t="s">
        <v>2522</v>
      </c>
      <c r="P275" t="s">
        <v>1256</v>
      </c>
      <c r="Q275" t="s">
        <v>1347</v>
      </c>
      <c r="S275" t="s">
        <v>10158</v>
      </c>
      <c r="T275" t="s">
        <v>1347</v>
      </c>
    </row>
    <row r="276" spans="1:20" ht="15" customHeight="1" x14ac:dyDescent="0.25">
      <c r="A276" t="s">
        <v>1968</v>
      </c>
      <c r="B276" t="s">
        <v>1969</v>
      </c>
      <c r="C276" t="s">
        <v>1970</v>
      </c>
      <c r="D276" t="s">
        <v>919</v>
      </c>
      <c r="E276" s="19">
        <v>971553652104</v>
      </c>
      <c r="F276" t="s">
        <v>1968</v>
      </c>
      <c r="G276" t="s">
        <v>839</v>
      </c>
      <c r="M276" t="s">
        <v>10078</v>
      </c>
      <c r="N276" t="s">
        <v>2522</v>
      </c>
      <c r="P276" t="s">
        <v>1253</v>
      </c>
      <c r="Q276" t="s">
        <v>1347</v>
      </c>
      <c r="S276" t="s">
        <v>10149</v>
      </c>
      <c r="T276" t="s">
        <v>1347</v>
      </c>
    </row>
    <row r="277" spans="1:20" ht="15" customHeight="1" x14ac:dyDescent="0.25">
      <c r="A277" t="s">
        <v>1971</v>
      </c>
      <c r="B277" t="s">
        <v>1972</v>
      </c>
      <c r="C277" t="s">
        <v>1970</v>
      </c>
      <c r="D277" t="s">
        <v>919</v>
      </c>
      <c r="E277" s="19">
        <v>971553652104</v>
      </c>
      <c r="F277" t="s">
        <v>1971</v>
      </c>
      <c r="G277" t="s">
        <v>839</v>
      </c>
      <c r="M277" t="s">
        <v>9255</v>
      </c>
      <c r="N277" t="s">
        <v>2522</v>
      </c>
      <c r="P277" t="s">
        <v>1341</v>
      </c>
      <c r="Q277" t="s">
        <v>1347</v>
      </c>
      <c r="S277" t="s">
        <v>9565</v>
      </c>
      <c r="T277" t="s">
        <v>1347</v>
      </c>
    </row>
    <row r="278" spans="1:20" ht="15" customHeight="1" x14ac:dyDescent="0.25">
      <c r="A278" t="s">
        <v>1973</v>
      </c>
      <c r="B278" t="s">
        <v>1974</v>
      </c>
      <c r="C278" t="s">
        <v>1975</v>
      </c>
      <c r="D278" t="s">
        <v>786</v>
      </c>
      <c r="E278" s="19" t="s">
        <v>1976</v>
      </c>
      <c r="F278" t="s">
        <v>1973</v>
      </c>
      <c r="G278" t="s">
        <v>844</v>
      </c>
      <c r="M278" t="s">
        <v>1813</v>
      </c>
      <c r="N278" t="s">
        <v>2522</v>
      </c>
      <c r="P278" t="s">
        <v>1360</v>
      </c>
      <c r="Q278" t="s">
        <v>1347</v>
      </c>
      <c r="S278" t="s">
        <v>10188</v>
      </c>
      <c r="T278" t="s">
        <v>1347</v>
      </c>
    </row>
    <row r="279" spans="1:20" ht="15" customHeight="1" x14ac:dyDescent="0.25">
      <c r="A279" t="s">
        <v>2332</v>
      </c>
      <c r="B279" t="s">
        <v>1983</v>
      </c>
      <c r="C279" t="s">
        <v>1984</v>
      </c>
      <c r="D279" t="s">
        <v>919</v>
      </c>
      <c r="E279" s="19">
        <v>966532378604</v>
      </c>
      <c r="F279" t="s">
        <v>2332</v>
      </c>
      <c r="G279" t="s">
        <v>839</v>
      </c>
      <c r="M279" t="s">
        <v>10121</v>
      </c>
      <c r="N279" t="s">
        <v>2522</v>
      </c>
      <c r="P279" t="s">
        <v>1458</v>
      </c>
      <c r="Q279" t="s">
        <v>1347</v>
      </c>
      <c r="S279" t="s">
        <v>10215</v>
      </c>
      <c r="T279" t="s">
        <v>1347</v>
      </c>
    </row>
    <row r="280" spans="1:20" ht="15" customHeight="1" x14ac:dyDescent="0.25">
      <c r="A280" t="s">
        <v>1982</v>
      </c>
      <c r="B280" t="s">
        <v>2333</v>
      </c>
      <c r="C280" t="s">
        <v>9458</v>
      </c>
      <c r="D280" t="s">
        <v>919</v>
      </c>
      <c r="E280" s="19">
        <v>966532378604</v>
      </c>
      <c r="F280" t="s">
        <v>1982</v>
      </c>
      <c r="G280" t="s">
        <v>2334</v>
      </c>
      <c r="M280" t="s">
        <v>10122</v>
      </c>
      <c r="N280" t="s">
        <v>2522</v>
      </c>
      <c r="P280" t="s">
        <v>1467</v>
      </c>
      <c r="Q280" t="s">
        <v>1347</v>
      </c>
      <c r="S280" t="s">
        <v>10220</v>
      </c>
      <c r="T280" t="s">
        <v>1347</v>
      </c>
    </row>
    <row r="281" spans="1:20" ht="15" customHeight="1" x14ac:dyDescent="0.25">
      <c r="A281" t="s">
        <v>1988</v>
      </c>
      <c r="B281" t="s">
        <v>1989</v>
      </c>
      <c r="C281" t="s">
        <v>1990</v>
      </c>
      <c r="D281" t="s">
        <v>919</v>
      </c>
      <c r="E281" s="19">
        <v>966541473330</v>
      </c>
      <c r="F281" t="s">
        <v>1988</v>
      </c>
      <c r="G281" t="s">
        <v>839</v>
      </c>
      <c r="M281" t="s">
        <v>10123</v>
      </c>
      <c r="N281" t="s">
        <v>2522</v>
      </c>
      <c r="P281" t="s">
        <v>1362</v>
      </c>
      <c r="Q281" t="s">
        <v>1347</v>
      </c>
      <c r="S281" t="s">
        <v>10227</v>
      </c>
      <c r="T281" t="s">
        <v>1347</v>
      </c>
    </row>
    <row r="282" spans="1:20" ht="15" customHeight="1" x14ac:dyDescent="0.25">
      <c r="A282" t="s">
        <v>1977</v>
      </c>
      <c r="B282" t="s">
        <v>1978</v>
      </c>
      <c r="C282" t="s">
        <v>1979</v>
      </c>
      <c r="D282" t="s">
        <v>786</v>
      </c>
      <c r="E282" s="19">
        <v>509011202</v>
      </c>
      <c r="F282" t="s">
        <v>1977</v>
      </c>
      <c r="G282" t="s">
        <v>844</v>
      </c>
      <c r="M282" t="s">
        <v>10124</v>
      </c>
      <c r="N282" t="s">
        <v>2522</v>
      </c>
      <c r="P282" t="s">
        <v>1505</v>
      </c>
      <c r="Q282" t="s">
        <v>1347</v>
      </c>
      <c r="S282" t="s">
        <v>10228</v>
      </c>
      <c r="T282" t="s">
        <v>1347</v>
      </c>
    </row>
    <row r="283" spans="1:20" ht="15" customHeight="1" x14ac:dyDescent="0.25">
      <c r="A283" t="s">
        <v>2045</v>
      </c>
      <c r="B283" t="s">
        <v>2004</v>
      </c>
      <c r="C283" t="s">
        <v>2046</v>
      </c>
      <c r="D283" t="s">
        <v>919</v>
      </c>
      <c r="E283" s="19">
        <v>966569770198</v>
      </c>
      <c r="F283" t="s">
        <v>2045</v>
      </c>
      <c r="G283" t="s">
        <v>837</v>
      </c>
      <c r="M283" t="s">
        <v>9356</v>
      </c>
      <c r="N283" t="s">
        <v>2522</v>
      </c>
      <c r="P283" t="s">
        <v>1355</v>
      </c>
      <c r="Q283" t="s">
        <v>1347</v>
      </c>
    </row>
    <row r="284" spans="1:20" ht="15" customHeight="1" x14ac:dyDescent="0.25">
      <c r="A284" t="s">
        <v>2005</v>
      </c>
      <c r="B284" t="s">
        <v>2006</v>
      </c>
      <c r="C284" t="s">
        <v>2007</v>
      </c>
      <c r="D284" t="s">
        <v>786</v>
      </c>
      <c r="E284" s="19">
        <v>966560056557</v>
      </c>
      <c r="F284" t="s">
        <v>2005</v>
      </c>
      <c r="G284" t="s">
        <v>844</v>
      </c>
      <c r="M284" t="s">
        <v>10114</v>
      </c>
      <c r="N284" t="s">
        <v>2522</v>
      </c>
      <c r="P284" t="s">
        <v>1581</v>
      </c>
      <c r="Q284" t="s">
        <v>1347</v>
      </c>
    </row>
    <row r="285" spans="1:20" ht="15" customHeight="1" x14ac:dyDescent="0.25">
      <c r="A285" t="s">
        <v>2008</v>
      </c>
      <c r="B285" t="s">
        <v>2009</v>
      </c>
      <c r="C285" t="s">
        <v>2010</v>
      </c>
      <c r="D285" t="s">
        <v>919</v>
      </c>
      <c r="E285" s="19">
        <v>966598033641</v>
      </c>
      <c r="F285" t="s">
        <v>2008</v>
      </c>
      <c r="G285" t="s">
        <v>857</v>
      </c>
      <c r="M285" t="s">
        <v>10125</v>
      </c>
      <c r="N285" t="s">
        <v>2522</v>
      </c>
      <c r="P285" t="s">
        <v>1593</v>
      </c>
      <c r="Q285" t="s">
        <v>1347</v>
      </c>
    </row>
    <row r="286" spans="1:20" ht="15" customHeight="1" x14ac:dyDescent="0.25">
      <c r="A286" t="s">
        <v>2019</v>
      </c>
      <c r="B286" t="s">
        <v>2020</v>
      </c>
      <c r="C286" t="s">
        <v>2021</v>
      </c>
      <c r="D286" t="s">
        <v>786</v>
      </c>
      <c r="E286" s="19">
        <v>509475388</v>
      </c>
      <c r="F286" t="s">
        <v>2019</v>
      </c>
      <c r="G286" t="s">
        <v>844</v>
      </c>
      <c r="M286" t="s">
        <v>10126</v>
      </c>
      <c r="N286" t="s">
        <v>2522</v>
      </c>
      <c r="P286" t="s">
        <v>1363</v>
      </c>
      <c r="Q286" t="s">
        <v>1357</v>
      </c>
    </row>
    <row r="287" spans="1:20" ht="15" customHeight="1" x14ac:dyDescent="0.25">
      <c r="A287" t="s">
        <v>2022</v>
      </c>
      <c r="B287" t="s">
        <v>2023</v>
      </c>
      <c r="C287" t="s">
        <v>2024</v>
      </c>
      <c r="D287" t="s">
        <v>786</v>
      </c>
      <c r="E287" s="19">
        <v>540461621</v>
      </c>
      <c r="F287" t="s">
        <v>2022</v>
      </c>
      <c r="G287" t="s">
        <v>844</v>
      </c>
      <c r="M287" t="s">
        <v>9335</v>
      </c>
      <c r="N287" t="s">
        <v>2522</v>
      </c>
      <c r="P287" t="s">
        <v>1686</v>
      </c>
      <c r="Q287" t="s">
        <v>1347</v>
      </c>
    </row>
    <row r="288" spans="1:20" ht="15" customHeight="1" x14ac:dyDescent="0.25">
      <c r="A288" t="s">
        <v>2025</v>
      </c>
      <c r="B288" t="s">
        <v>2026</v>
      </c>
      <c r="C288" t="s">
        <v>2027</v>
      </c>
      <c r="D288" t="s">
        <v>919</v>
      </c>
      <c r="E288" s="19">
        <v>966569434756</v>
      </c>
      <c r="F288" t="s">
        <v>2025</v>
      </c>
      <c r="G288" t="s">
        <v>839</v>
      </c>
      <c r="M288" t="s">
        <v>10127</v>
      </c>
      <c r="N288" t="s">
        <v>2522</v>
      </c>
      <c r="P288" t="s">
        <v>1356</v>
      </c>
      <c r="Q288" t="s">
        <v>1347</v>
      </c>
    </row>
    <row r="289" spans="1:17" ht="15" customHeight="1" x14ac:dyDescent="0.25">
      <c r="A289" t="s">
        <v>2028</v>
      </c>
      <c r="B289" t="s">
        <v>2029</v>
      </c>
      <c r="C289" t="s">
        <v>2030</v>
      </c>
      <c r="D289" t="s">
        <v>786</v>
      </c>
      <c r="E289" s="19">
        <v>966546555564</v>
      </c>
      <c r="F289" t="s">
        <v>2028</v>
      </c>
      <c r="G289" t="s">
        <v>844</v>
      </c>
      <c r="M289" t="s">
        <v>10128</v>
      </c>
      <c r="N289" t="s">
        <v>2522</v>
      </c>
      <c r="P289" t="s">
        <v>1823</v>
      </c>
      <c r="Q289" t="s">
        <v>1347</v>
      </c>
    </row>
    <row r="290" spans="1:17" ht="15" customHeight="1" x14ac:dyDescent="0.25">
      <c r="A290" t="s">
        <v>2038</v>
      </c>
      <c r="B290" t="s">
        <v>2039</v>
      </c>
      <c r="C290" t="s">
        <v>2040</v>
      </c>
      <c r="D290" t="s">
        <v>786</v>
      </c>
      <c r="E290" s="19">
        <v>509011202</v>
      </c>
      <c r="F290" t="s">
        <v>2038</v>
      </c>
      <c r="G290" t="s">
        <v>844</v>
      </c>
      <c r="M290" t="s">
        <v>10129</v>
      </c>
      <c r="N290" t="s">
        <v>2522</v>
      </c>
      <c r="P290" t="s">
        <v>1920</v>
      </c>
      <c r="Q290" t="s">
        <v>1347</v>
      </c>
    </row>
    <row r="291" spans="1:17" ht="15" customHeight="1" x14ac:dyDescent="0.25">
      <c r="A291" t="s">
        <v>1398</v>
      </c>
      <c r="B291" t="s">
        <v>2041</v>
      </c>
      <c r="C291" t="s">
        <v>2042</v>
      </c>
      <c r="D291" t="s">
        <v>919</v>
      </c>
      <c r="E291" s="19">
        <v>9666503230948</v>
      </c>
      <c r="F291" t="s">
        <v>1398</v>
      </c>
      <c r="G291" t="s">
        <v>838</v>
      </c>
      <c r="M291" t="s">
        <v>10130</v>
      </c>
      <c r="N291" t="s">
        <v>2522</v>
      </c>
      <c r="P291" t="s">
        <v>1957</v>
      </c>
      <c r="Q291" t="s">
        <v>1347</v>
      </c>
    </row>
    <row r="292" spans="1:17" ht="15" customHeight="1" x14ac:dyDescent="0.25">
      <c r="A292" t="s">
        <v>1796</v>
      </c>
      <c r="B292" t="s">
        <v>2043</v>
      </c>
      <c r="C292" t="s">
        <v>1798</v>
      </c>
      <c r="D292" t="s">
        <v>919</v>
      </c>
      <c r="E292" s="19">
        <v>966537249463</v>
      </c>
      <c r="F292" t="s">
        <v>1796</v>
      </c>
      <c r="G292" t="s">
        <v>839</v>
      </c>
      <c r="M292" t="s">
        <v>10131</v>
      </c>
      <c r="N292" t="s">
        <v>2522</v>
      </c>
      <c r="P292" t="s">
        <v>2014</v>
      </c>
      <c r="Q292" t="s">
        <v>1347</v>
      </c>
    </row>
    <row r="293" spans="1:17" ht="15" customHeight="1" x14ac:dyDescent="0.25">
      <c r="A293" t="s">
        <v>2047</v>
      </c>
      <c r="B293" t="s">
        <v>2048</v>
      </c>
      <c r="C293" t="s">
        <v>2049</v>
      </c>
      <c r="D293" t="s">
        <v>786</v>
      </c>
      <c r="E293" s="19">
        <v>966530593507</v>
      </c>
      <c r="F293" t="s">
        <v>2047</v>
      </c>
      <c r="G293" t="s">
        <v>844</v>
      </c>
      <c r="M293" t="s">
        <v>10132</v>
      </c>
      <c r="N293" t="s">
        <v>2522</v>
      </c>
      <c r="P293" t="s">
        <v>2136</v>
      </c>
      <c r="Q293" t="s">
        <v>1347</v>
      </c>
    </row>
    <row r="294" spans="1:17" ht="15" customHeight="1" x14ac:dyDescent="0.25">
      <c r="A294" t="s">
        <v>2050</v>
      </c>
      <c r="B294" t="s">
        <v>2051</v>
      </c>
      <c r="C294" t="s">
        <v>2052</v>
      </c>
      <c r="D294" t="s">
        <v>786</v>
      </c>
      <c r="E294" s="19">
        <v>966507400519</v>
      </c>
      <c r="F294" t="s">
        <v>2050</v>
      </c>
      <c r="G294" t="s">
        <v>844</v>
      </c>
      <c r="M294" t="s">
        <v>10133</v>
      </c>
      <c r="N294" t="s">
        <v>2522</v>
      </c>
      <c r="P294" t="s">
        <v>2259</v>
      </c>
      <c r="Q294" t="s">
        <v>1347</v>
      </c>
    </row>
    <row r="295" spans="1:17" ht="15" customHeight="1" x14ac:dyDescent="0.25">
      <c r="A295" t="s">
        <v>525</v>
      </c>
      <c r="B295" t="s">
        <v>2053</v>
      </c>
      <c r="C295" t="s">
        <v>2054</v>
      </c>
      <c r="D295" t="s">
        <v>919</v>
      </c>
      <c r="E295" s="19">
        <v>9710504648633</v>
      </c>
      <c r="F295" t="s">
        <v>525</v>
      </c>
      <c r="G295" t="s">
        <v>838</v>
      </c>
      <c r="M295" t="s">
        <v>10134</v>
      </c>
      <c r="N295" t="s">
        <v>2522</v>
      </c>
      <c r="P295" t="s">
        <v>2208</v>
      </c>
      <c r="Q295" t="s">
        <v>1347</v>
      </c>
    </row>
    <row r="296" spans="1:17" ht="15" customHeight="1" x14ac:dyDescent="0.25">
      <c r="A296" t="s">
        <v>2055</v>
      </c>
      <c r="B296" t="s">
        <v>2056</v>
      </c>
      <c r="C296" t="s">
        <v>2057</v>
      </c>
      <c r="D296" t="s">
        <v>919</v>
      </c>
      <c r="E296" s="19">
        <v>966546168940</v>
      </c>
      <c r="F296" t="s">
        <v>2055</v>
      </c>
      <c r="G296" t="s">
        <v>839</v>
      </c>
      <c r="M296" t="s">
        <v>9570</v>
      </c>
      <c r="N296" t="s">
        <v>2522</v>
      </c>
      <c r="P296" t="s">
        <v>2154</v>
      </c>
      <c r="Q296" t="s">
        <v>1347</v>
      </c>
    </row>
    <row r="297" spans="1:17" ht="15" customHeight="1" x14ac:dyDescent="0.25">
      <c r="A297" t="s">
        <v>1678</v>
      </c>
      <c r="B297" t="s">
        <v>2058</v>
      </c>
      <c r="C297" t="s">
        <v>1679</v>
      </c>
      <c r="D297" t="s">
        <v>919</v>
      </c>
      <c r="E297" s="19">
        <v>966503440476</v>
      </c>
      <c r="F297" t="s">
        <v>1678</v>
      </c>
      <c r="G297" t="s">
        <v>838</v>
      </c>
      <c r="M297" t="s">
        <v>10135</v>
      </c>
      <c r="N297" t="s">
        <v>2522</v>
      </c>
      <c r="P297" t="s">
        <v>2268</v>
      </c>
      <c r="Q297" t="s">
        <v>1357</v>
      </c>
    </row>
    <row r="298" spans="1:17" ht="15" customHeight="1" x14ac:dyDescent="0.25">
      <c r="A298" t="s">
        <v>2059</v>
      </c>
      <c r="B298" t="s">
        <v>2060</v>
      </c>
      <c r="C298" t="s">
        <v>2061</v>
      </c>
      <c r="D298" t="s">
        <v>786</v>
      </c>
      <c r="E298" s="19" t="s">
        <v>2062</v>
      </c>
      <c r="F298" t="s">
        <v>2059</v>
      </c>
      <c r="G298" t="s">
        <v>844</v>
      </c>
      <c r="M298" t="s">
        <v>10116</v>
      </c>
      <c r="N298" t="s">
        <v>2522</v>
      </c>
      <c r="P298" t="s">
        <v>2274</v>
      </c>
      <c r="Q298" t="s">
        <v>1357</v>
      </c>
    </row>
    <row r="299" spans="1:17" ht="15" customHeight="1" x14ac:dyDescent="0.25">
      <c r="A299" t="s">
        <v>2063</v>
      </c>
      <c r="B299" t="s">
        <v>2064</v>
      </c>
      <c r="C299" t="s">
        <v>2065</v>
      </c>
      <c r="D299" t="s">
        <v>919</v>
      </c>
      <c r="E299" s="19">
        <v>966553224099</v>
      </c>
      <c r="F299" t="s">
        <v>2063</v>
      </c>
      <c r="G299" t="s">
        <v>839</v>
      </c>
      <c r="M299" t="s">
        <v>10136</v>
      </c>
      <c r="N299" t="s">
        <v>2522</v>
      </c>
      <c r="P299" t="s">
        <v>775</v>
      </c>
      <c r="Q299" t="s">
        <v>1357</v>
      </c>
    </row>
    <row r="300" spans="1:17" ht="15" customHeight="1" x14ac:dyDescent="0.25">
      <c r="A300" t="s">
        <v>2066</v>
      </c>
      <c r="B300" t="s">
        <v>2067</v>
      </c>
      <c r="C300" t="s">
        <v>2068</v>
      </c>
      <c r="D300" t="s">
        <v>919</v>
      </c>
      <c r="E300" s="19">
        <v>966546311317</v>
      </c>
      <c r="F300" t="s">
        <v>2066</v>
      </c>
      <c r="G300" t="s">
        <v>838</v>
      </c>
      <c r="M300" t="s">
        <v>10137</v>
      </c>
      <c r="N300" t="s">
        <v>2522</v>
      </c>
      <c r="P300" t="s">
        <v>138</v>
      </c>
      <c r="Q300" t="s">
        <v>1347</v>
      </c>
    </row>
    <row r="301" spans="1:17" ht="15" customHeight="1" x14ac:dyDescent="0.25">
      <c r="A301" t="s">
        <v>2335</v>
      </c>
      <c r="B301" t="s">
        <v>2336</v>
      </c>
      <c r="C301" t="s">
        <v>2068</v>
      </c>
      <c r="D301" t="s">
        <v>919</v>
      </c>
      <c r="E301" s="19">
        <v>966546311317</v>
      </c>
      <c r="F301" t="s">
        <v>2335</v>
      </c>
      <c r="G301" t="s">
        <v>838</v>
      </c>
      <c r="M301" t="s">
        <v>10138</v>
      </c>
      <c r="N301" t="s">
        <v>2522</v>
      </c>
      <c r="P301" t="s">
        <v>913</v>
      </c>
      <c r="Q301" t="s">
        <v>1357</v>
      </c>
    </row>
    <row r="302" spans="1:17" ht="15" customHeight="1" x14ac:dyDescent="0.25">
      <c r="A302" t="s">
        <v>2069</v>
      </c>
      <c r="B302" t="s">
        <v>2070</v>
      </c>
      <c r="C302" t="s">
        <v>2071</v>
      </c>
      <c r="D302" t="s">
        <v>919</v>
      </c>
      <c r="E302" s="19">
        <v>97143870027</v>
      </c>
      <c r="F302" t="s">
        <v>2069</v>
      </c>
      <c r="G302" t="s">
        <v>1516</v>
      </c>
      <c r="M302" t="s">
        <v>10139</v>
      </c>
      <c r="N302" t="s">
        <v>2522</v>
      </c>
      <c r="P302" t="s">
        <v>206</v>
      </c>
      <c r="Q302" t="s">
        <v>1347</v>
      </c>
    </row>
    <row r="303" spans="1:17" ht="15" customHeight="1" x14ac:dyDescent="0.25">
      <c r="A303" t="s">
        <v>2072</v>
      </c>
      <c r="B303" t="s">
        <v>2073</v>
      </c>
      <c r="C303" t="s">
        <v>2074</v>
      </c>
      <c r="D303" t="s">
        <v>919</v>
      </c>
      <c r="E303" s="19">
        <v>966555143695</v>
      </c>
      <c r="F303" t="s">
        <v>2072</v>
      </c>
      <c r="G303" t="s">
        <v>839</v>
      </c>
      <c r="M303" t="s">
        <v>10140</v>
      </c>
      <c r="N303" t="s">
        <v>2522</v>
      </c>
      <c r="P303" t="s">
        <v>2291</v>
      </c>
      <c r="Q303" t="s">
        <v>1347</v>
      </c>
    </row>
    <row r="304" spans="1:17" ht="15" customHeight="1" x14ac:dyDescent="0.25">
      <c r="A304" t="s">
        <v>2075</v>
      </c>
      <c r="B304" t="s">
        <v>2076</v>
      </c>
      <c r="C304" t="s">
        <v>2077</v>
      </c>
      <c r="D304" t="s">
        <v>919</v>
      </c>
      <c r="E304" s="19">
        <v>966536715001</v>
      </c>
      <c r="F304" t="s">
        <v>2075</v>
      </c>
      <c r="G304" t="s">
        <v>839</v>
      </c>
      <c r="M304" t="s">
        <v>10141</v>
      </c>
      <c r="N304" t="s">
        <v>2522</v>
      </c>
      <c r="P304" t="s">
        <v>1370</v>
      </c>
      <c r="Q304" t="s">
        <v>1347</v>
      </c>
    </row>
    <row r="305" spans="1:17" ht="15" customHeight="1" x14ac:dyDescent="0.25">
      <c r="A305" t="s">
        <v>2078</v>
      </c>
      <c r="B305" t="s">
        <v>2079</v>
      </c>
      <c r="C305" t="s">
        <v>2077</v>
      </c>
      <c r="D305" t="s">
        <v>919</v>
      </c>
      <c r="E305" s="19">
        <v>966536715001</v>
      </c>
      <c r="F305" t="s">
        <v>2078</v>
      </c>
      <c r="G305" t="s">
        <v>839</v>
      </c>
      <c r="M305" t="s">
        <v>10142</v>
      </c>
      <c r="N305" t="s">
        <v>2522</v>
      </c>
      <c r="P305" t="s">
        <v>2247</v>
      </c>
      <c r="Q305" t="s">
        <v>1347</v>
      </c>
    </row>
    <row r="306" spans="1:17" ht="15" customHeight="1" x14ac:dyDescent="0.25">
      <c r="A306" t="s">
        <v>2080</v>
      </c>
      <c r="B306" t="s">
        <v>2081</v>
      </c>
      <c r="C306" t="s">
        <v>2082</v>
      </c>
      <c r="D306" t="s">
        <v>919</v>
      </c>
      <c r="E306" s="19">
        <v>966556821340</v>
      </c>
      <c r="F306" t="s">
        <v>2080</v>
      </c>
      <c r="G306" t="s">
        <v>839</v>
      </c>
      <c r="M306" t="s">
        <v>10143</v>
      </c>
      <c r="N306" t="s">
        <v>2522</v>
      </c>
      <c r="P306" t="s">
        <v>2337</v>
      </c>
      <c r="Q306" t="s">
        <v>1357</v>
      </c>
    </row>
    <row r="307" spans="1:17" ht="15" customHeight="1" x14ac:dyDescent="0.25">
      <c r="A307" t="s">
        <v>2083</v>
      </c>
      <c r="B307" t="s">
        <v>2084</v>
      </c>
      <c r="C307" t="s">
        <v>2085</v>
      </c>
      <c r="D307" t="s">
        <v>919</v>
      </c>
      <c r="E307" s="19">
        <v>966550030349</v>
      </c>
      <c r="F307" t="s">
        <v>2083</v>
      </c>
      <c r="G307" t="s">
        <v>839</v>
      </c>
      <c r="M307" t="s">
        <v>10119</v>
      </c>
      <c r="N307" t="s">
        <v>2522</v>
      </c>
      <c r="P307" t="s">
        <v>1986</v>
      </c>
      <c r="Q307" t="s">
        <v>1347</v>
      </c>
    </row>
    <row r="308" spans="1:17" ht="15" customHeight="1" x14ac:dyDescent="0.25">
      <c r="A308" t="s">
        <v>2338</v>
      </c>
      <c r="B308" t="s">
        <v>2086</v>
      </c>
      <c r="C308" t="s">
        <v>2087</v>
      </c>
      <c r="D308" t="s">
        <v>919</v>
      </c>
      <c r="E308" s="19">
        <v>966542857259</v>
      </c>
      <c r="F308" t="s">
        <v>2338</v>
      </c>
      <c r="G308" t="s">
        <v>839</v>
      </c>
      <c r="M308" t="s">
        <v>9364</v>
      </c>
      <c r="N308" t="s">
        <v>2522</v>
      </c>
      <c r="P308" t="s">
        <v>1914</v>
      </c>
      <c r="Q308" t="s">
        <v>1347</v>
      </c>
    </row>
    <row r="309" spans="1:17" ht="15" customHeight="1" x14ac:dyDescent="0.25">
      <c r="A309" t="s">
        <v>2339</v>
      </c>
      <c r="B309" t="s">
        <v>2340</v>
      </c>
      <c r="C309" t="s">
        <v>2087</v>
      </c>
      <c r="D309" t="s">
        <v>919</v>
      </c>
      <c r="E309" s="19">
        <v>966542857259</v>
      </c>
      <c r="F309" t="s">
        <v>2339</v>
      </c>
      <c r="G309" t="s">
        <v>838</v>
      </c>
      <c r="M309" t="s">
        <v>10120</v>
      </c>
      <c r="N309" t="s">
        <v>2522</v>
      </c>
      <c r="P309" t="s">
        <v>2341</v>
      </c>
      <c r="Q309" t="s">
        <v>1357</v>
      </c>
    </row>
    <row r="310" spans="1:17" ht="15" customHeight="1" x14ac:dyDescent="0.25">
      <c r="A310" t="s">
        <v>2088</v>
      </c>
      <c r="B310" t="s">
        <v>2089</v>
      </c>
      <c r="C310" t="s">
        <v>2085</v>
      </c>
      <c r="D310" t="s">
        <v>919</v>
      </c>
      <c r="E310" s="19">
        <v>966554848683</v>
      </c>
      <c r="F310" t="s">
        <v>2088</v>
      </c>
      <c r="G310" t="s">
        <v>839</v>
      </c>
      <c r="M310" t="s">
        <v>10144</v>
      </c>
      <c r="N310" t="s">
        <v>2522</v>
      </c>
      <c r="P310" t="s">
        <v>2288</v>
      </c>
      <c r="Q310" t="s">
        <v>1347</v>
      </c>
    </row>
    <row r="311" spans="1:17" ht="15" customHeight="1" x14ac:dyDescent="0.25">
      <c r="A311" t="s">
        <v>2090</v>
      </c>
      <c r="B311" t="s">
        <v>2091</v>
      </c>
      <c r="C311" t="s">
        <v>2085</v>
      </c>
      <c r="D311" t="s">
        <v>786</v>
      </c>
      <c r="E311" s="19">
        <v>966590555553</v>
      </c>
      <c r="F311" t="s">
        <v>2090</v>
      </c>
      <c r="G311" t="s">
        <v>844</v>
      </c>
      <c r="M311" t="s">
        <v>10145</v>
      </c>
      <c r="N311" t="s">
        <v>2522</v>
      </c>
      <c r="P311" t="s">
        <v>2250</v>
      </c>
      <c r="Q311" t="s">
        <v>1347</v>
      </c>
    </row>
    <row r="312" spans="1:17" ht="15" customHeight="1" x14ac:dyDescent="0.25">
      <c r="A312" t="s">
        <v>2092</v>
      </c>
      <c r="B312" t="s">
        <v>2093</v>
      </c>
      <c r="C312" t="s">
        <v>2087</v>
      </c>
      <c r="D312" t="s">
        <v>919</v>
      </c>
      <c r="E312" s="19">
        <v>966504622279</v>
      </c>
      <c r="F312" t="s">
        <v>2092</v>
      </c>
      <c r="G312" t="s">
        <v>838</v>
      </c>
      <c r="M312" t="s">
        <v>10173</v>
      </c>
      <c r="N312" t="s">
        <v>2522</v>
      </c>
      <c r="P312" t="s">
        <v>2444</v>
      </c>
      <c r="Q312" t="s">
        <v>1357</v>
      </c>
    </row>
    <row r="313" spans="1:17" ht="15" customHeight="1" x14ac:dyDescent="0.25">
      <c r="A313" t="s">
        <v>2094</v>
      </c>
      <c r="B313" t="s">
        <v>2095</v>
      </c>
      <c r="C313" t="s">
        <v>2096</v>
      </c>
      <c r="D313" t="s">
        <v>919</v>
      </c>
      <c r="E313" s="19">
        <v>966555518999</v>
      </c>
      <c r="F313" t="s">
        <v>2094</v>
      </c>
      <c r="G313" t="s">
        <v>839</v>
      </c>
      <c r="M313" t="s">
        <v>10175</v>
      </c>
      <c r="N313" t="s">
        <v>2522</v>
      </c>
      <c r="P313" t="s">
        <v>2169</v>
      </c>
      <c r="Q313" t="s">
        <v>1357</v>
      </c>
    </row>
    <row r="314" spans="1:17" ht="15" customHeight="1" x14ac:dyDescent="0.25">
      <c r="A314" t="s">
        <v>2097</v>
      </c>
      <c r="B314" t="s">
        <v>2098</v>
      </c>
      <c r="C314" t="s">
        <v>2099</v>
      </c>
      <c r="D314" t="s">
        <v>919</v>
      </c>
      <c r="E314" s="19">
        <v>971529779429</v>
      </c>
      <c r="F314" t="s">
        <v>2097</v>
      </c>
      <c r="G314" t="s">
        <v>838</v>
      </c>
      <c r="M314" t="s">
        <v>10176</v>
      </c>
      <c r="N314" t="s">
        <v>2522</v>
      </c>
      <c r="P314" t="s">
        <v>2371</v>
      </c>
      <c r="Q314" t="s">
        <v>1347</v>
      </c>
    </row>
    <row r="315" spans="1:17" ht="15" customHeight="1" x14ac:dyDescent="0.25">
      <c r="A315" t="s">
        <v>2100</v>
      </c>
      <c r="B315" t="s">
        <v>2101</v>
      </c>
      <c r="C315" t="s">
        <v>2102</v>
      </c>
      <c r="D315" t="s">
        <v>786</v>
      </c>
      <c r="E315" s="19">
        <v>9715687428421</v>
      </c>
      <c r="F315" t="s">
        <v>2100</v>
      </c>
      <c r="G315" t="s">
        <v>844</v>
      </c>
      <c r="M315" t="s">
        <v>10184</v>
      </c>
      <c r="N315" t="s">
        <v>2522</v>
      </c>
      <c r="P315" t="s">
        <v>2495</v>
      </c>
      <c r="Q315" t="s">
        <v>1347</v>
      </c>
    </row>
    <row r="316" spans="1:17" ht="15" customHeight="1" x14ac:dyDescent="0.25">
      <c r="A316" t="s">
        <v>2103</v>
      </c>
      <c r="B316" t="s">
        <v>2104</v>
      </c>
      <c r="C316" t="s">
        <v>2102</v>
      </c>
      <c r="D316" t="s">
        <v>919</v>
      </c>
      <c r="E316" s="19">
        <v>9715687428423</v>
      </c>
      <c r="F316" t="s">
        <v>2103</v>
      </c>
      <c r="G316" t="s">
        <v>839</v>
      </c>
      <c r="M316" t="s">
        <v>10185</v>
      </c>
      <c r="N316" t="s">
        <v>2522</v>
      </c>
      <c r="P316" t="s">
        <v>958</v>
      </c>
      <c r="Q316" t="s">
        <v>1347</v>
      </c>
    </row>
    <row r="317" spans="1:17" ht="15" customHeight="1" x14ac:dyDescent="0.25">
      <c r="A317" t="s">
        <v>2105</v>
      </c>
      <c r="B317" t="s">
        <v>2106</v>
      </c>
      <c r="C317" t="s">
        <v>2102</v>
      </c>
      <c r="D317" t="s">
        <v>919</v>
      </c>
      <c r="E317" s="19">
        <v>9715687428424</v>
      </c>
      <c r="F317" t="s">
        <v>2105</v>
      </c>
      <c r="G317" t="s">
        <v>839</v>
      </c>
      <c r="M317" t="s">
        <v>9565</v>
      </c>
      <c r="N317" t="s">
        <v>2522</v>
      </c>
      <c r="P317" t="s">
        <v>2549</v>
      </c>
      <c r="Q317" t="s">
        <v>1347</v>
      </c>
    </row>
    <row r="318" spans="1:17" ht="15" customHeight="1" x14ac:dyDescent="0.25">
      <c r="A318" t="s">
        <v>2107</v>
      </c>
      <c r="B318" t="s">
        <v>2108</v>
      </c>
      <c r="C318" t="s">
        <v>2109</v>
      </c>
      <c r="D318" t="s">
        <v>786</v>
      </c>
      <c r="E318" s="19">
        <v>966590570388</v>
      </c>
      <c r="F318" t="s">
        <v>2107</v>
      </c>
      <c r="G318" t="s">
        <v>844</v>
      </c>
      <c r="M318" t="s">
        <v>10186</v>
      </c>
      <c r="N318" t="s">
        <v>2522</v>
      </c>
      <c r="P318" t="s">
        <v>2435</v>
      </c>
      <c r="Q318" t="s">
        <v>1357</v>
      </c>
    </row>
    <row r="319" spans="1:17" ht="15" customHeight="1" x14ac:dyDescent="0.25">
      <c r="A319" t="s">
        <v>2110</v>
      </c>
      <c r="B319" t="s">
        <v>2111</v>
      </c>
      <c r="C319" t="s">
        <v>2112</v>
      </c>
      <c r="D319" t="s">
        <v>919</v>
      </c>
      <c r="E319" s="19">
        <v>966534361600</v>
      </c>
      <c r="F319" t="s">
        <v>2110</v>
      </c>
      <c r="G319" t="s">
        <v>839</v>
      </c>
      <c r="M319" t="s">
        <v>10189</v>
      </c>
      <c r="N319" t="s">
        <v>2522</v>
      </c>
      <c r="P319" t="s">
        <v>2606</v>
      </c>
      <c r="Q319" t="s">
        <v>1347</v>
      </c>
    </row>
    <row r="320" spans="1:17" ht="15" customHeight="1" x14ac:dyDescent="0.25">
      <c r="A320" t="s">
        <v>2113</v>
      </c>
      <c r="B320" t="s">
        <v>2114</v>
      </c>
      <c r="C320" t="s">
        <v>2115</v>
      </c>
      <c r="D320" t="s">
        <v>919</v>
      </c>
      <c r="E320" s="19">
        <v>966545322400</v>
      </c>
      <c r="F320" t="s">
        <v>2113</v>
      </c>
      <c r="G320" t="s">
        <v>845</v>
      </c>
      <c r="M320" t="s">
        <v>10203</v>
      </c>
      <c r="N320" t="s">
        <v>2522</v>
      </c>
      <c r="P320" t="s">
        <v>2659</v>
      </c>
      <c r="Q320" t="s">
        <v>1347</v>
      </c>
    </row>
    <row r="321" spans="1:17" ht="15" customHeight="1" x14ac:dyDescent="0.25">
      <c r="A321" t="s">
        <v>2116</v>
      </c>
      <c r="B321" t="s">
        <v>2117</v>
      </c>
      <c r="C321" t="s">
        <v>2118</v>
      </c>
      <c r="D321" t="s">
        <v>919</v>
      </c>
      <c r="E321" s="19">
        <v>966506923306</v>
      </c>
      <c r="F321" t="s">
        <v>2116</v>
      </c>
      <c r="G321" t="s">
        <v>839</v>
      </c>
      <c r="M321" t="s">
        <v>10204</v>
      </c>
      <c r="N321" t="s">
        <v>2522</v>
      </c>
      <c r="P321" t="s">
        <v>2536</v>
      </c>
      <c r="Q321" t="s">
        <v>1357</v>
      </c>
    </row>
    <row r="322" spans="1:17" ht="15" customHeight="1" x14ac:dyDescent="0.25">
      <c r="A322" t="s">
        <v>2119</v>
      </c>
      <c r="B322" t="s">
        <v>2120</v>
      </c>
      <c r="C322" t="s">
        <v>2118</v>
      </c>
      <c r="D322" t="s">
        <v>919</v>
      </c>
      <c r="E322" s="19">
        <v>966506923306</v>
      </c>
      <c r="F322" t="s">
        <v>2119</v>
      </c>
      <c r="G322" t="s">
        <v>839</v>
      </c>
      <c r="M322" t="s">
        <v>10205</v>
      </c>
      <c r="N322" t="s">
        <v>2522</v>
      </c>
      <c r="P322" t="s">
        <v>2032</v>
      </c>
      <c r="Q322" t="s">
        <v>1347</v>
      </c>
    </row>
    <row r="323" spans="1:17" ht="15" customHeight="1" x14ac:dyDescent="0.25">
      <c r="A323" t="s">
        <v>2121</v>
      </c>
      <c r="B323" t="s">
        <v>2122</v>
      </c>
      <c r="C323" t="s">
        <v>2123</v>
      </c>
      <c r="D323" t="s">
        <v>786</v>
      </c>
      <c r="F323" t="s">
        <v>2121</v>
      </c>
      <c r="G323" t="s">
        <v>844</v>
      </c>
      <c r="M323" t="s">
        <v>10206</v>
      </c>
      <c r="N323" t="s">
        <v>2522</v>
      </c>
      <c r="P323" t="s">
        <v>2692</v>
      </c>
      <c r="Q323" t="s">
        <v>1347</v>
      </c>
    </row>
    <row r="324" spans="1:17" ht="15" customHeight="1" x14ac:dyDescent="0.25">
      <c r="A324" t="s">
        <v>2124</v>
      </c>
      <c r="B324" t="s">
        <v>2125</v>
      </c>
      <c r="C324" t="s">
        <v>2126</v>
      </c>
      <c r="D324" t="s">
        <v>919</v>
      </c>
      <c r="E324" s="19">
        <v>966114768032</v>
      </c>
      <c r="F324" t="s">
        <v>2124</v>
      </c>
      <c r="G324" t="s">
        <v>838</v>
      </c>
      <c r="M324" t="s">
        <v>10207</v>
      </c>
      <c r="N324" t="s">
        <v>2522</v>
      </c>
      <c r="P324" t="s">
        <v>2653</v>
      </c>
      <c r="Q324" t="s">
        <v>1347</v>
      </c>
    </row>
    <row r="325" spans="1:17" ht="15" customHeight="1" x14ac:dyDescent="0.25">
      <c r="A325" t="s">
        <v>2127</v>
      </c>
      <c r="B325" t="s">
        <v>2128</v>
      </c>
      <c r="C325" t="s">
        <v>2129</v>
      </c>
      <c r="D325" t="s">
        <v>919</v>
      </c>
      <c r="E325" s="19">
        <v>966561963027</v>
      </c>
      <c r="F325" t="s">
        <v>2127</v>
      </c>
      <c r="G325" t="s">
        <v>842</v>
      </c>
      <c r="M325" t="s">
        <v>10212</v>
      </c>
      <c r="N325" t="s">
        <v>2522</v>
      </c>
      <c r="P325" t="s">
        <v>2690</v>
      </c>
      <c r="Q325" t="s">
        <v>1357</v>
      </c>
    </row>
    <row r="326" spans="1:17" ht="15" customHeight="1" x14ac:dyDescent="0.25">
      <c r="A326" t="s">
        <v>121</v>
      </c>
      <c r="B326" t="s">
        <v>122</v>
      </c>
      <c r="C326" t="s">
        <v>225</v>
      </c>
      <c r="D326" t="s">
        <v>786</v>
      </c>
      <c r="E326" s="19">
        <v>0</v>
      </c>
      <c r="F326" t="s">
        <v>121</v>
      </c>
      <c r="G326" t="s">
        <v>844</v>
      </c>
      <c r="M326" t="s">
        <v>10213</v>
      </c>
      <c r="N326" t="s">
        <v>2522</v>
      </c>
      <c r="P326" t="s">
        <v>1274</v>
      </c>
      <c r="Q326" t="s">
        <v>1357</v>
      </c>
    </row>
    <row r="327" spans="1:17" ht="15" customHeight="1" x14ac:dyDescent="0.25">
      <c r="A327" t="s">
        <v>174</v>
      </c>
      <c r="B327" t="s">
        <v>27</v>
      </c>
      <c r="C327" t="s">
        <v>1154</v>
      </c>
      <c r="D327" t="s">
        <v>919</v>
      </c>
      <c r="E327" s="19">
        <v>971505456876</v>
      </c>
      <c r="F327" t="s">
        <v>174</v>
      </c>
      <c r="G327" t="s">
        <v>846</v>
      </c>
      <c r="M327" t="s">
        <v>10214</v>
      </c>
      <c r="N327" t="s">
        <v>2522</v>
      </c>
      <c r="P327" t="s">
        <v>2518</v>
      </c>
      <c r="Q327" t="s">
        <v>1357</v>
      </c>
    </row>
    <row r="328" spans="1:17" ht="15" customHeight="1" x14ac:dyDescent="0.25">
      <c r="A328" t="s">
        <v>64</v>
      </c>
      <c r="B328" t="s">
        <v>65</v>
      </c>
      <c r="C328" t="s">
        <v>1153</v>
      </c>
      <c r="D328" t="s">
        <v>919</v>
      </c>
      <c r="E328" s="19">
        <v>9714231144</v>
      </c>
      <c r="F328" t="s">
        <v>64</v>
      </c>
      <c r="G328" t="s">
        <v>837</v>
      </c>
      <c r="M328" t="s">
        <v>10215</v>
      </c>
      <c r="N328" t="s">
        <v>2522</v>
      </c>
      <c r="P328" t="s">
        <v>2603</v>
      </c>
      <c r="Q328" t="s">
        <v>1347</v>
      </c>
    </row>
    <row r="329" spans="1:17" ht="15" customHeight="1" x14ac:dyDescent="0.25">
      <c r="A329" t="s">
        <v>195</v>
      </c>
      <c r="B329" t="s">
        <v>196</v>
      </c>
      <c r="C329" t="s">
        <v>1152</v>
      </c>
      <c r="D329" t="s">
        <v>919</v>
      </c>
      <c r="E329" s="19">
        <v>971555786668</v>
      </c>
      <c r="F329" t="s">
        <v>195</v>
      </c>
      <c r="G329" t="s">
        <v>854</v>
      </c>
      <c r="M329" t="s">
        <v>10217</v>
      </c>
      <c r="N329" t="s">
        <v>2522</v>
      </c>
      <c r="P329" t="s">
        <v>2706</v>
      </c>
      <c r="Q329" t="s">
        <v>1357</v>
      </c>
    </row>
    <row r="330" spans="1:17" ht="15" customHeight="1" x14ac:dyDescent="0.25">
      <c r="A330" t="s">
        <v>179</v>
      </c>
      <c r="B330" t="s">
        <v>180</v>
      </c>
      <c r="C330" t="s">
        <v>1151</v>
      </c>
      <c r="D330" t="s">
        <v>786</v>
      </c>
      <c r="E330" s="19">
        <v>971506535118</v>
      </c>
      <c r="F330" t="s">
        <v>179</v>
      </c>
      <c r="G330" t="s">
        <v>844</v>
      </c>
      <c r="M330" t="s">
        <v>10218</v>
      </c>
      <c r="N330" t="s">
        <v>2522</v>
      </c>
      <c r="P330" t="s">
        <v>2911</v>
      </c>
      <c r="Q330" t="s">
        <v>1357</v>
      </c>
    </row>
    <row r="331" spans="1:17" ht="15" customHeight="1" x14ac:dyDescent="0.25">
      <c r="A331" t="s">
        <v>52</v>
      </c>
      <c r="B331" t="s">
        <v>53</v>
      </c>
      <c r="C331" t="s">
        <v>1150</v>
      </c>
      <c r="D331" t="s">
        <v>919</v>
      </c>
      <c r="E331" s="19">
        <v>715536164739</v>
      </c>
      <c r="F331" t="s">
        <v>52</v>
      </c>
      <c r="G331" t="s">
        <v>836</v>
      </c>
      <c r="M331" t="s">
        <v>10219</v>
      </c>
      <c r="N331" t="s">
        <v>2522</v>
      </c>
      <c r="P331" t="s">
        <v>1854</v>
      </c>
      <c r="Q331" t="s">
        <v>1357</v>
      </c>
    </row>
    <row r="332" spans="1:17" ht="15" customHeight="1" x14ac:dyDescent="0.25">
      <c r="A332" t="s">
        <v>112</v>
      </c>
      <c r="B332" t="s">
        <v>113</v>
      </c>
      <c r="C332" t="s">
        <v>1149</v>
      </c>
      <c r="D332" t="s">
        <v>919</v>
      </c>
      <c r="E332" s="19">
        <v>971504533871</v>
      </c>
      <c r="F332" t="s">
        <v>112</v>
      </c>
      <c r="G332" t="s">
        <v>837</v>
      </c>
      <c r="M332" t="s">
        <v>10220</v>
      </c>
      <c r="N332" t="s">
        <v>2522</v>
      </c>
      <c r="P332" t="s">
        <v>2933</v>
      </c>
      <c r="Q332" t="s">
        <v>1347</v>
      </c>
    </row>
    <row r="333" spans="1:17" ht="15" customHeight="1" x14ac:dyDescent="0.25">
      <c r="A333" t="s">
        <v>58</v>
      </c>
      <c r="B333" t="s">
        <v>59</v>
      </c>
      <c r="C333" t="s">
        <v>1148</v>
      </c>
      <c r="D333" t="s">
        <v>919</v>
      </c>
      <c r="E333" s="19">
        <v>971507903222</v>
      </c>
      <c r="F333" t="s">
        <v>58</v>
      </c>
      <c r="G333" t="s">
        <v>838</v>
      </c>
      <c r="M333" t="s">
        <v>10221</v>
      </c>
      <c r="N333" t="s">
        <v>2522</v>
      </c>
      <c r="P333" t="s">
        <v>2541</v>
      </c>
      <c r="Q333" t="s">
        <v>1347</v>
      </c>
    </row>
    <row r="334" spans="1:17" ht="15" customHeight="1" x14ac:dyDescent="0.25">
      <c r="A334" t="s">
        <v>54</v>
      </c>
      <c r="B334" t="s">
        <v>55</v>
      </c>
      <c r="C334" t="s">
        <v>1147</v>
      </c>
      <c r="D334" t="s">
        <v>919</v>
      </c>
      <c r="E334" s="19">
        <v>971509957808</v>
      </c>
      <c r="F334" t="s">
        <v>54</v>
      </c>
      <c r="G334" t="s">
        <v>849</v>
      </c>
      <c r="M334" t="s">
        <v>10222</v>
      </c>
      <c r="N334" t="s">
        <v>2522</v>
      </c>
      <c r="P334" t="s">
        <v>2586</v>
      </c>
      <c r="Q334" t="s">
        <v>1347</v>
      </c>
    </row>
    <row r="335" spans="1:17" ht="15" customHeight="1" x14ac:dyDescent="0.25">
      <c r="A335" t="s">
        <v>165</v>
      </c>
      <c r="B335" t="s">
        <v>166</v>
      </c>
      <c r="C335" t="s">
        <v>1146</v>
      </c>
      <c r="D335" t="s">
        <v>919</v>
      </c>
      <c r="E335" s="19">
        <v>971552412410</v>
      </c>
      <c r="F335" t="s">
        <v>165</v>
      </c>
      <c r="G335" t="s">
        <v>838</v>
      </c>
      <c r="M335" t="s">
        <v>10223</v>
      </c>
      <c r="N335" t="s">
        <v>2522</v>
      </c>
      <c r="P335" t="s">
        <v>2510</v>
      </c>
      <c r="Q335" t="s">
        <v>1347</v>
      </c>
    </row>
    <row r="336" spans="1:17" ht="15" customHeight="1" x14ac:dyDescent="0.25">
      <c r="A336" t="s">
        <v>188</v>
      </c>
      <c r="B336" t="s">
        <v>189</v>
      </c>
      <c r="C336" t="s">
        <v>1145</v>
      </c>
      <c r="D336" t="s">
        <v>919</v>
      </c>
      <c r="E336" s="19">
        <v>0</v>
      </c>
      <c r="F336" t="s">
        <v>188</v>
      </c>
      <c r="G336" t="s">
        <v>1387</v>
      </c>
      <c r="M336" t="s">
        <v>10224</v>
      </c>
      <c r="N336" t="s">
        <v>2522</v>
      </c>
      <c r="P336" t="s">
        <v>2770</v>
      </c>
      <c r="Q336" t="s">
        <v>1347</v>
      </c>
    </row>
    <row r="337" spans="1:17" ht="15" customHeight="1" x14ac:dyDescent="0.25">
      <c r="A337" t="s">
        <v>66</v>
      </c>
      <c r="B337" t="s">
        <v>67</v>
      </c>
      <c r="C337" t="s">
        <v>1144</v>
      </c>
      <c r="D337" t="s">
        <v>919</v>
      </c>
      <c r="E337" s="19">
        <v>971555304488</v>
      </c>
      <c r="F337" t="s">
        <v>66</v>
      </c>
      <c r="G337" t="s">
        <v>849</v>
      </c>
      <c r="M337" t="s">
        <v>10225</v>
      </c>
      <c r="N337" t="s">
        <v>2522</v>
      </c>
      <c r="P337" t="s">
        <v>2930</v>
      </c>
      <c r="Q337" t="s">
        <v>1357</v>
      </c>
    </row>
    <row r="338" spans="1:17" ht="15" customHeight="1" x14ac:dyDescent="0.25">
      <c r="A338" t="s">
        <v>2556</v>
      </c>
      <c r="B338" t="s">
        <v>2557</v>
      </c>
      <c r="C338" t="s">
        <v>1144</v>
      </c>
      <c r="D338" t="s">
        <v>919</v>
      </c>
      <c r="E338" s="19">
        <v>971555304488</v>
      </c>
      <c r="F338" t="s">
        <v>2556</v>
      </c>
      <c r="G338" t="s">
        <v>849</v>
      </c>
      <c r="M338" t="s">
        <v>10229</v>
      </c>
      <c r="N338" t="s">
        <v>2522</v>
      </c>
      <c r="P338" t="s">
        <v>2857</v>
      </c>
      <c r="Q338" t="s">
        <v>1357</v>
      </c>
    </row>
    <row r="339" spans="1:17" ht="15" customHeight="1" x14ac:dyDescent="0.25">
      <c r="A339" t="s">
        <v>169</v>
      </c>
      <c r="B339" t="s">
        <v>170</v>
      </c>
      <c r="C339" t="s">
        <v>1143</v>
      </c>
      <c r="D339" t="s">
        <v>786</v>
      </c>
      <c r="E339" s="19">
        <v>971502934400</v>
      </c>
      <c r="F339" t="s">
        <v>169</v>
      </c>
      <c r="G339" t="s">
        <v>844</v>
      </c>
      <c r="M339" t="s">
        <v>10230</v>
      </c>
      <c r="N339" t="s">
        <v>2522</v>
      </c>
      <c r="P339" t="s">
        <v>3086</v>
      </c>
      <c r="Q339" t="s">
        <v>1357</v>
      </c>
    </row>
    <row r="340" spans="1:17" ht="15" customHeight="1" x14ac:dyDescent="0.25">
      <c r="A340" t="s">
        <v>177</v>
      </c>
      <c r="B340" t="s">
        <v>178</v>
      </c>
      <c r="C340" t="s">
        <v>1142</v>
      </c>
      <c r="D340" t="s">
        <v>919</v>
      </c>
      <c r="E340" s="19">
        <v>97143552270</v>
      </c>
      <c r="F340" t="s">
        <v>177</v>
      </c>
      <c r="G340" t="s">
        <v>838</v>
      </c>
      <c r="M340" t="s">
        <v>10227</v>
      </c>
      <c r="N340" t="s">
        <v>2522</v>
      </c>
      <c r="P340" t="s">
        <v>3057</v>
      </c>
      <c r="Q340" t="s">
        <v>1357</v>
      </c>
    </row>
    <row r="341" spans="1:17" ht="15" customHeight="1" x14ac:dyDescent="0.25">
      <c r="A341" t="s">
        <v>157</v>
      </c>
      <c r="B341" t="s">
        <v>158</v>
      </c>
      <c r="C341" t="s">
        <v>1141</v>
      </c>
      <c r="D341" t="s">
        <v>919</v>
      </c>
      <c r="E341" s="19">
        <v>0</v>
      </c>
      <c r="F341" t="s">
        <v>157</v>
      </c>
      <c r="G341" t="s">
        <v>2828</v>
      </c>
      <c r="M341" t="s">
        <v>10231</v>
      </c>
      <c r="N341" t="s">
        <v>2522</v>
      </c>
      <c r="P341" t="s">
        <v>2714</v>
      </c>
      <c r="Q341" t="s">
        <v>1357</v>
      </c>
    </row>
    <row r="342" spans="1:17" ht="15" customHeight="1" x14ac:dyDescent="0.25">
      <c r="A342" t="s">
        <v>184</v>
      </c>
      <c r="B342" t="s">
        <v>185</v>
      </c>
      <c r="C342" t="s">
        <v>1140</v>
      </c>
      <c r="D342" t="s">
        <v>919</v>
      </c>
      <c r="E342" s="19">
        <v>0</v>
      </c>
      <c r="F342" t="s">
        <v>184</v>
      </c>
      <c r="G342" t="s">
        <v>839</v>
      </c>
      <c r="M342" t="s">
        <v>10232</v>
      </c>
      <c r="N342" t="s">
        <v>2522</v>
      </c>
      <c r="P342" t="s">
        <v>2804</v>
      </c>
      <c r="Q342" t="s">
        <v>1357</v>
      </c>
    </row>
    <row r="343" spans="1:17" ht="15" customHeight="1" x14ac:dyDescent="0.25">
      <c r="A343" t="s">
        <v>110</v>
      </c>
      <c r="B343" t="s">
        <v>111</v>
      </c>
      <c r="C343" t="s">
        <v>1139</v>
      </c>
      <c r="D343" t="s">
        <v>919</v>
      </c>
      <c r="E343" s="19">
        <v>971505484207</v>
      </c>
      <c r="F343" t="s">
        <v>110</v>
      </c>
      <c r="G343" t="s">
        <v>838</v>
      </c>
      <c r="M343" t="s">
        <v>10187</v>
      </c>
      <c r="N343" t="s">
        <v>2522</v>
      </c>
      <c r="P343" t="s">
        <v>2819</v>
      </c>
      <c r="Q343" t="s">
        <v>1357</v>
      </c>
    </row>
    <row r="344" spans="1:17" ht="15" customHeight="1" x14ac:dyDescent="0.25">
      <c r="A344" t="s">
        <v>82</v>
      </c>
      <c r="B344" t="s">
        <v>83</v>
      </c>
      <c r="C344" t="s">
        <v>1138</v>
      </c>
      <c r="D344" t="s">
        <v>919</v>
      </c>
      <c r="E344" s="19">
        <v>971506448504</v>
      </c>
      <c r="F344" t="s">
        <v>82</v>
      </c>
      <c r="G344" t="s">
        <v>850</v>
      </c>
      <c r="M344" t="s">
        <v>10237</v>
      </c>
      <c r="N344" t="s">
        <v>2522</v>
      </c>
      <c r="P344" t="s">
        <v>2618</v>
      </c>
      <c r="Q344" t="s">
        <v>1357</v>
      </c>
    </row>
    <row r="345" spans="1:17" ht="15" customHeight="1" x14ac:dyDescent="0.25">
      <c r="A345" t="s">
        <v>119</v>
      </c>
      <c r="B345" t="s">
        <v>120</v>
      </c>
      <c r="C345" t="s">
        <v>1137</v>
      </c>
      <c r="D345" t="s">
        <v>919</v>
      </c>
      <c r="E345" s="19">
        <v>0</v>
      </c>
      <c r="F345" t="s">
        <v>119</v>
      </c>
      <c r="G345" t="s">
        <v>838</v>
      </c>
      <c r="M345" t="s">
        <v>10238</v>
      </c>
      <c r="N345" t="s">
        <v>2522</v>
      </c>
      <c r="P345" t="s">
        <v>2742</v>
      </c>
      <c r="Q345" t="s">
        <v>1357</v>
      </c>
    </row>
    <row r="346" spans="1:17" ht="15" customHeight="1" x14ac:dyDescent="0.25">
      <c r="A346" t="s">
        <v>48</v>
      </c>
      <c r="B346" t="s">
        <v>49</v>
      </c>
      <c r="C346" t="s">
        <v>1136</v>
      </c>
      <c r="D346" t="s">
        <v>919</v>
      </c>
      <c r="E346" s="19">
        <v>97142230848</v>
      </c>
      <c r="F346" t="s">
        <v>48</v>
      </c>
      <c r="G346" t="s">
        <v>854</v>
      </c>
      <c r="M346" t="s">
        <v>10243</v>
      </c>
      <c r="N346" t="s">
        <v>2522</v>
      </c>
      <c r="P346" t="s">
        <v>2361</v>
      </c>
      <c r="Q346" t="s">
        <v>1357</v>
      </c>
    </row>
    <row r="347" spans="1:17" ht="15" customHeight="1" x14ac:dyDescent="0.25">
      <c r="A347" t="s">
        <v>76</v>
      </c>
      <c r="B347" t="s">
        <v>77</v>
      </c>
      <c r="C347" t="s">
        <v>1135</v>
      </c>
      <c r="D347" t="s">
        <v>919</v>
      </c>
      <c r="E347" s="19">
        <v>43475343</v>
      </c>
      <c r="F347" t="s">
        <v>76</v>
      </c>
      <c r="G347" t="s">
        <v>838</v>
      </c>
      <c r="M347" t="s">
        <v>10244</v>
      </c>
      <c r="N347" t="s">
        <v>2522</v>
      </c>
      <c r="P347" t="s">
        <v>3155</v>
      </c>
      <c r="Q347" t="s">
        <v>1357</v>
      </c>
    </row>
    <row r="348" spans="1:17" ht="15" customHeight="1" x14ac:dyDescent="0.25">
      <c r="A348" t="s">
        <v>46</v>
      </c>
      <c r="B348" t="s">
        <v>47</v>
      </c>
      <c r="C348" t="s">
        <v>1134</v>
      </c>
      <c r="D348" t="s">
        <v>786</v>
      </c>
      <c r="E348" s="19">
        <v>971553433148</v>
      </c>
      <c r="F348" t="s">
        <v>46</v>
      </c>
      <c r="G348" t="s">
        <v>844</v>
      </c>
      <c r="M348" t="s">
        <v>10245</v>
      </c>
      <c r="N348" t="s">
        <v>2522</v>
      </c>
      <c r="P348" t="s">
        <v>4725</v>
      </c>
      <c r="Q348" t="s">
        <v>1357</v>
      </c>
    </row>
    <row r="349" spans="1:17" ht="15" customHeight="1" x14ac:dyDescent="0.25">
      <c r="A349" t="s">
        <v>105</v>
      </c>
      <c r="B349" t="s">
        <v>106</v>
      </c>
      <c r="C349" t="s">
        <v>1133</v>
      </c>
      <c r="D349" t="s">
        <v>919</v>
      </c>
      <c r="E349" s="19">
        <v>556341606</v>
      </c>
      <c r="F349" t="s">
        <v>105</v>
      </c>
      <c r="G349" t="s">
        <v>837</v>
      </c>
      <c r="P349" t="s">
        <v>2741</v>
      </c>
      <c r="Q349" t="s">
        <v>1347</v>
      </c>
    </row>
    <row r="350" spans="1:17" ht="15" customHeight="1" x14ac:dyDescent="0.25">
      <c r="A350" t="s">
        <v>167</v>
      </c>
      <c r="B350" t="s">
        <v>168</v>
      </c>
      <c r="C350" t="s">
        <v>1132</v>
      </c>
      <c r="D350" t="s">
        <v>919</v>
      </c>
      <c r="E350" s="19">
        <v>971556401019</v>
      </c>
      <c r="F350" t="s">
        <v>167</v>
      </c>
      <c r="G350" t="s">
        <v>837</v>
      </c>
      <c r="P350" t="s">
        <v>2956</v>
      </c>
      <c r="Q350" t="s">
        <v>1347</v>
      </c>
    </row>
    <row r="351" spans="1:17" ht="15" customHeight="1" x14ac:dyDescent="0.25">
      <c r="A351" t="s">
        <v>192</v>
      </c>
      <c r="B351" t="s">
        <v>193</v>
      </c>
      <c r="C351" t="s">
        <v>1131</v>
      </c>
      <c r="D351" t="s">
        <v>919</v>
      </c>
      <c r="E351" s="19">
        <v>97145531402</v>
      </c>
      <c r="F351" t="s">
        <v>192</v>
      </c>
      <c r="G351" t="s">
        <v>849</v>
      </c>
      <c r="P351" t="s">
        <v>2907</v>
      </c>
      <c r="Q351" t="s">
        <v>1357</v>
      </c>
    </row>
    <row r="352" spans="1:17" ht="15" customHeight="1" x14ac:dyDescent="0.25">
      <c r="A352" t="s">
        <v>60</v>
      </c>
      <c r="B352" t="s">
        <v>61</v>
      </c>
      <c r="C352" t="s">
        <v>1130</v>
      </c>
      <c r="D352" t="s">
        <v>786</v>
      </c>
      <c r="E352" s="19">
        <v>0</v>
      </c>
      <c r="F352" t="s">
        <v>60</v>
      </c>
      <c r="G352" t="s">
        <v>844</v>
      </c>
      <c r="P352" t="s">
        <v>8047</v>
      </c>
      <c r="Q352" t="s">
        <v>1357</v>
      </c>
    </row>
    <row r="353" spans="1:17" ht="15" customHeight="1" x14ac:dyDescent="0.25">
      <c r="A353" t="s">
        <v>84</v>
      </c>
      <c r="B353" t="s">
        <v>85</v>
      </c>
      <c r="C353" t="s">
        <v>1129</v>
      </c>
      <c r="D353" t="s">
        <v>919</v>
      </c>
      <c r="E353" s="19">
        <v>97143435501</v>
      </c>
      <c r="F353" t="s">
        <v>84</v>
      </c>
      <c r="G353" t="s">
        <v>838</v>
      </c>
      <c r="P353" t="s">
        <v>2852</v>
      </c>
      <c r="Q353" t="s">
        <v>1357</v>
      </c>
    </row>
    <row r="354" spans="1:17" ht="15" customHeight="1" x14ac:dyDescent="0.25">
      <c r="A354" t="s">
        <v>172</v>
      </c>
      <c r="B354" t="s">
        <v>173</v>
      </c>
      <c r="C354" t="s">
        <v>2130</v>
      </c>
      <c r="D354" t="s">
        <v>919</v>
      </c>
      <c r="E354" s="19">
        <v>0</v>
      </c>
      <c r="F354" t="s">
        <v>172</v>
      </c>
      <c r="G354" t="s">
        <v>837</v>
      </c>
      <c r="P354" t="s">
        <v>463</v>
      </c>
      <c r="Q354" t="s">
        <v>1357</v>
      </c>
    </row>
    <row r="355" spans="1:17" ht="15" customHeight="1" x14ac:dyDescent="0.25">
      <c r="A355" t="s">
        <v>175</v>
      </c>
      <c r="B355" t="s">
        <v>176</v>
      </c>
      <c r="C355" t="s">
        <v>1128</v>
      </c>
      <c r="D355" t="s">
        <v>919</v>
      </c>
      <c r="E355" s="19">
        <v>97142996556</v>
      </c>
      <c r="F355" t="s">
        <v>175</v>
      </c>
      <c r="G355" t="s">
        <v>852</v>
      </c>
      <c r="P355" t="s">
        <v>2318</v>
      </c>
      <c r="Q355" t="s">
        <v>1357</v>
      </c>
    </row>
    <row r="356" spans="1:17" ht="15" customHeight="1" x14ac:dyDescent="0.25">
      <c r="A356" t="s">
        <v>209</v>
      </c>
      <c r="B356" t="s">
        <v>210</v>
      </c>
      <c r="C356" t="s">
        <v>1127</v>
      </c>
      <c r="D356" t="s">
        <v>786</v>
      </c>
      <c r="E356" s="19">
        <v>971551111378</v>
      </c>
      <c r="F356" t="s">
        <v>209</v>
      </c>
      <c r="G356" t="s">
        <v>844</v>
      </c>
      <c r="P356" t="s">
        <v>2792</v>
      </c>
      <c r="Q356" t="s">
        <v>1347</v>
      </c>
    </row>
    <row r="357" spans="1:17" ht="15" customHeight="1" x14ac:dyDescent="0.25">
      <c r="A357" t="s">
        <v>26</v>
      </c>
      <c r="B357" t="s">
        <v>124</v>
      </c>
      <c r="C357" t="s">
        <v>123</v>
      </c>
      <c r="D357" t="s">
        <v>786</v>
      </c>
      <c r="E357" s="19">
        <v>97142275380</v>
      </c>
      <c r="F357" t="s">
        <v>26</v>
      </c>
      <c r="G357" t="s">
        <v>844</v>
      </c>
      <c r="P357" t="s">
        <v>3058</v>
      </c>
      <c r="Q357" t="s">
        <v>1357</v>
      </c>
    </row>
    <row r="358" spans="1:17" ht="15" customHeight="1" x14ac:dyDescent="0.25">
      <c r="A358" t="s">
        <v>68</v>
      </c>
      <c r="B358" t="s">
        <v>69</v>
      </c>
      <c r="C358" t="s">
        <v>1126</v>
      </c>
      <c r="D358" t="s">
        <v>786</v>
      </c>
      <c r="E358" s="19">
        <v>971504507937</v>
      </c>
      <c r="F358" t="s">
        <v>68</v>
      </c>
      <c r="G358" t="s">
        <v>844</v>
      </c>
      <c r="P358" t="s">
        <v>1364</v>
      </c>
      <c r="Q358" t="s">
        <v>1347</v>
      </c>
    </row>
    <row r="359" spans="1:17" ht="15" customHeight="1" x14ac:dyDescent="0.25">
      <c r="A359" t="s">
        <v>159</v>
      </c>
      <c r="B359" t="s">
        <v>160</v>
      </c>
      <c r="C359" t="s">
        <v>1125</v>
      </c>
      <c r="D359" t="s">
        <v>786</v>
      </c>
      <c r="E359" s="19">
        <v>9710506747923</v>
      </c>
      <c r="F359" t="s">
        <v>159</v>
      </c>
      <c r="G359" t="s">
        <v>844</v>
      </c>
      <c r="P359" t="s">
        <v>2795</v>
      </c>
      <c r="Q359" t="s">
        <v>1347</v>
      </c>
    </row>
    <row r="360" spans="1:17" ht="15" customHeight="1" x14ac:dyDescent="0.25">
      <c r="A360" t="s">
        <v>80</v>
      </c>
      <c r="B360" t="s">
        <v>81</v>
      </c>
      <c r="C360" t="s">
        <v>1124</v>
      </c>
      <c r="D360" t="s">
        <v>919</v>
      </c>
      <c r="E360" s="19">
        <v>971505252191</v>
      </c>
      <c r="F360" t="s">
        <v>80</v>
      </c>
      <c r="G360" t="s">
        <v>849</v>
      </c>
      <c r="P360" t="s">
        <v>8116</v>
      </c>
      <c r="Q360" t="s">
        <v>1357</v>
      </c>
    </row>
    <row r="361" spans="1:17" ht="15" customHeight="1" x14ac:dyDescent="0.25">
      <c r="A361" t="s">
        <v>153</v>
      </c>
      <c r="B361" t="s">
        <v>154</v>
      </c>
      <c r="C361" t="s">
        <v>1123</v>
      </c>
      <c r="D361" t="s">
        <v>919</v>
      </c>
      <c r="E361" s="19">
        <v>0</v>
      </c>
      <c r="F361" t="s">
        <v>153</v>
      </c>
      <c r="G361" t="s">
        <v>852</v>
      </c>
      <c r="P361" t="s">
        <v>2752</v>
      </c>
      <c r="Q361" t="s">
        <v>1357</v>
      </c>
    </row>
    <row r="362" spans="1:17" ht="15" customHeight="1" x14ac:dyDescent="0.25">
      <c r="A362" t="s">
        <v>92</v>
      </c>
      <c r="B362" t="s">
        <v>93</v>
      </c>
      <c r="C362" t="s">
        <v>1122</v>
      </c>
      <c r="D362" t="s">
        <v>786</v>
      </c>
      <c r="E362" s="19">
        <v>0</v>
      </c>
      <c r="F362" t="s">
        <v>92</v>
      </c>
      <c r="G362" t="s">
        <v>844</v>
      </c>
      <c r="P362" t="s">
        <v>2582</v>
      </c>
      <c r="Q362" t="s">
        <v>1357</v>
      </c>
    </row>
    <row r="363" spans="1:17" ht="15" customHeight="1" x14ac:dyDescent="0.25">
      <c r="A363" t="s">
        <v>45</v>
      </c>
      <c r="B363" t="s">
        <v>32</v>
      </c>
      <c r="C363" t="s">
        <v>1121</v>
      </c>
      <c r="D363" t="s">
        <v>919</v>
      </c>
      <c r="E363" s="19">
        <v>971506505316</v>
      </c>
      <c r="F363" t="s">
        <v>45</v>
      </c>
      <c r="G363" t="s">
        <v>841</v>
      </c>
      <c r="P363" t="s">
        <v>7942</v>
      </c>
      <c r="Q363" t="s">
        <v>1357</v>
      </c>
    </row>
    <row r="364" spans="1:17" ht="15" customHeight="1" x14ac:dyDescent="0.25">
      <c r="A364" t="s">
        <v>202</v>
      </c>
      <c r="B364" t="s">
        <v>33</v>
      </c>
      <c r="C364" t="s">
        <v>1120</v>
      </c>
      <c r="D364" t="s">
        <v>919</v>
      </c>
      <c r="E364" s="19">
        <v>97143860337</v>
      </c>
      <c r="F364" t="s">
        <v>202</v>
      </c>
      <c r="G364" t="s">
        <v>841</v>
      </c>
      <c r="P364" t="s">
        <v>8255</v>
      </c>
      <c r="Q364" t="s">
        <v>1357</v>
      </c>
    </row>
    <row r="365" spans="1:17" ht="15" customHeight="1" x14ac:dyDescent="0.25">
      <c r="A365" t="s">
        <v>41</v>
      </c>
      <c r="B365" t="s">
        <v>42</v>
      </c>
      <c r="C365" t="s">
        <v>1119</v>
      </c>
      <c r="D365" t="s">
        <v>786</v>
      </c>
      <c r="E365" s="19">
        <v>971564098956</v>
      </c>
      <c r="F365" t="s">
        <v>41</v>
      </c>
      <c r="G365" t="s">
        <v>844</v>
      </c>
      <c r="P365" t="s">
        <v>1449</v>
      </c>
      <c r="Q365" t="s">
        <v>1357</v>
      </c>
    </row>
    <row r="366" spans="1:17" ht="15" customHeight="1" x14ac:dyDescent="0.25">
      <c r="A366" t="s">
        <v>181</v>
      </c>
      <c r="B366" t="s">
        <v>34</v>
      </c>
      <c r="C366" t="s">
        <v>1118</v>
      </c>
      <c r="D366" t="s">
        <v>919</v>
      </c>
      <c r="E366" s="19">
        <v>97143406288</v>
      </c>
      <c r="F366" t="s">
        <v>181</v>
      </c>
      <c r="G366" t="s">
        <v>842</v>
      </c>
      <c r="P366" t="s">
        <v>3060</v>
      </c>
      <c r="Q366" t="s">
        <v>1357</v>
      </c>
    </row>
    <row r="367" spans="1:17" ht="15" customHeight="1" x14ac:dyDescent="0.25">
      <c r="A367" t="s">
        <v>86</v>
      </c>
      <c r="B367" t="s">
        <v>87</v>
      </c>
      <c r="C367" t="s">
        <v>9481</v>
      </c>
      <c r="D367" t="s">
        <v>919</v>
      </c>
      <c r="E367" s="19">
        <v>97142343999</v>
      </c>
      <c r="F367" t="s">
        <v>86</v>
      </c>
      <c r="G367" t="s">
        <v>872</v>
      </c>
      <c r="P367" t="s">
        <v>8150</v>
      </c>
      <c r="Q367" t="s">
        <v>1357</v>
      </c>
    </row>
    <row r="368" spans="1:17" ht="15" customHeight="1" x14ac:dyDescent="0.25">
      <c r="A368" t="s">
        <v>43</v>
      </c>
      <c r="B368" t="s">
        <v>44</v>
      </c>
      <c r="C368" t="s">
        <v>1024</v>
      </c>
      <c r="D368" t="s">
        <v>786</v>
      </c>
      <c r="E368" s="19" t="s">
        <v>224</v>
      </c>
      <c r="F368" t="s">
        <v>43</v>
      </c>
      <c r="G368" t="s">
        <v>844</v>
      </c>
      <c r="P368" t="s">
        <v>1838</v>
      </c>
      <c r="Q368" t="s">
        <v>1357</v>
      </c>
    </row>
    <row r="369" spans="1:17" ht="15" customHeight="1" x14ac:dyDescent="0.25">
      <c r="A369" t="s">
        <v>207</v>
      </c>
      <c r="B369" t="s">
        <v>208</v>
      </c>
      <c r="C369" t="s">
        <v>1116</v>
      </c>
      <c r="D369" t="s">
        <v>919</v>
      </c>
      <c r="E369" s="19">
        <v>971529291166</v>
      </c>
      <c r="F369" t="s">
        <v>207</v>
      </c>
      <c r="G369" t="s">
        <v>838</v>
      </c>
      <c r="P369" t="s">
        <v>8405</v>
      </c>
      <c r="Q369" t="s">
        <v>1347</v>
      </c>
    </row>
    <row r="370" spans="1:17" ht="15" customHeight="1" x14ac:dyDescent="0.25">
      <c r="A370" t="s">
        <v>203</v>
      </c>
      <c r="B370" t="s">
        <v>204</v>
      </c>
      <c r="C370" t="s">
        <v>1115</v>
      </c>
      <c r="D370" t="s">
        <v>919</v>
      </c>
      <c r="E370" s="19">
        <v>97165687888</v>
      </c>
      <c r="F370" t="s">
        <v>203</v>
      </c>
      <c r="G370" t="s">
        <v>839</v>
      </c>
      <c r="P370" t="s">
        <v>2798</v>
      </c>
      <c r="Q370" t="s">
        <v>1357</v>
      </c>
    </row>
    <row r="371" spans="1:17" ht="15" customHeight="1" x14ac:dyDescent="0.25">
      <c r="A371" t="s">
        <v>163</v>
      </c>
      <c r="B371" t="s">
        <v>164</v>
      </c>
      <c r="C371" t="s">
        <v>1114</v>
      </c>
      <c r="D371" t="s">
        <v>919</v>
      </c>
      <c r="E371" s="19">
        <v>97143938399</v>
      </c>
      <c r="F371" t="s">
        <v>163</v>
      </c>
      <c r="G371" t="s">
        <v>851</v>
      </c>
      <c r="P371" t="s">
        <v>8336</v>
      </c>
      <c r="Q371" t="s">
        <v>1357</v>
      </c>
    </row>
    <row r="372" spans="1:17" ht="15" customHeight="1" x14ac:dyDescent="0.25">
      <c r="A372" t="s">
        <v>171</v>
      </c>
      <c r="B372" t="s">
        <v>35</v>
      </c>
      <c r="C372" t="s">
        <v>1113</v>
      </c>
      <c r="D372" t="s">
        <v>919</v>
      </c>
      <c r="E372" s="19">
        <v>971553813981</v>
      </c>
      <c r="F372" t="s">
        <v>171</v>
      </c>
      <c r="G372" t="s">
        <v>1387</v>
      </c>
      <c r="P372" t="s">
        <v>1287</v>
      </c>
      <c r="Q372" t="s">
        <v>1357</v>
      </c>
    </row>
    <row r="373" spans="1:17" ht="15" customHeight="1" x14ac:dyDescent="0.25">
      <c r="A373" t="s">
        <v>155</v>
      </c>
      <c r="B373" t="s">
        <v>156</v>
      </c>
      <c r="C373" t="s">
        <v>1112</v>
      </c>
      <c r="D373" t="s">
        <v>786</v>
      </c>
      <c r="E373" s="19">
        <v>971506515971</v>
      </c>
      <c r="F373" t="s">
        <v>155</v>
      </c>
      <c r="G373" t="s">
        <v>844</v>
      </c>
      <c r="P373" t="s">
        <v>8062</v>
      </c>
      <c r="Q373" t="s">
        <v>1347</v>
      </c>
    </row>
    <row r="374" spans="1:17" ht="15" customHeight="1" x14ac:dyDescent="0.25">
      <c r="A374" t="s">
        <v>182</v>
      </c>
      <c r="B374" t="s">
        <v>183</v>
      </c>
      <c r="C374" t="s">
        <v>1111</v>
      </c>
      <c r="D374" t="s">
        <v>919</v>
      </c>
      <c r="E374" s="19">
        <v>971569514577</v>
      </c>
      <c r="F374" t="s">
        <v>182</v>
      </c>
      <c r="G374" t="s">
        <v>841</v>
      </c>
      <c r="P374" t="s">
        <v>8315</v>
      </c>
      <c r="Q374" t="s">
        <v>1347</v>
      </c>
    </row>
    <row r="375" spans="1:17" ht="15" customHeight="1" x14ac:dyDescent="0.25">
      <c r="A375" t="s">
        <v>74</v>
      </c>
      <c r="B375" t="s">
        <v>75</v>
      </c>
      <c r="C375" t="s">
        <v>1110</v>
      </c>
      <c r="D375" t="s">
        <v>919</v>
      </c>
      <c r="E375" s="19">
        <v>97143284604</v>
      </c>
      <c r="F375" t="s">
        <v>74</v>
      </c>
      <c r="G375" t="s">
        <v>839</v>
      </c>
      <c r="P375" t="s">
        <v>1272</v>
      </c>
      <c r="Q375" t="s">
        <v>1357</v>
      </c>
    </row>
    <row r="376" spans="1:17" ht="15" customHeight="1" x14ac:dyDescent="0.25">
      <c r="A376" t="s">
        <v>107</v>
      </c>
      <c r="B376" t="s">
        <v>108</v>
      </c>
      <c r="C376" t="s">
        <v>109</v>
      </c>
      <c r="D376" t="s">
        <v>786</v>
      </c>
      <c r="E376" s="19">
        <v>0</v>
      </c>
      <c r="F376" t="s">
        <v>107</v>
      </c>
      <c r="G376" t="s">
        <v>844</v>
      </c>
      <c r="P376" t="s">
        <v>8029</v>
      </c>
      <c r="Q376" t="s">
        <v>1357</v>
      </c>
    </row>
    <row r="377" spans="1:17" ht="15" customHeight="1" x14ac:dyDescent="0.25">
      <c r="A377" t="s">
        <v>125</v>
      </c>
      <c r="B377" t="s">
        <v>36</v>
      </c>
      <c r="C377" t="s">
        <v>1109</v>
      </c>
      <c r="D377" t="s">
        <v>786</v>
      </c>
      <c r="E377" s="19">
        <v>97143388873</v>
      </c>
      <c r="F377" t="s">
        <v>125</v>
      </c>
      <c r="G377" t="s">
        <v>844</v>
      </c>
      <c r="P377" t="s">
        <v>3153</v>
      </c>
      <c r="Q377" t="s">
        <v>1357</v>
      </c>
    </row>
    <row r="378" spans="1:17" ht="15" customHeight="1" x14ac:dyDescent="0.25">
      <c r="A378" t="s">
        <v>78</v>
      </c>
      <c r="B378" t="s">
        <v>79</v>
      </c>
      <c r="C378" t="s">
        <v>1108</v>
      </c>
      <c r="D378" t="s">
        <v>919</v>
      </c>
      <c r="E378" s="19">
        <v>0</v>
      </c>
      <c r="F378" t="s">
        <v>78</v>
      </c>
      <c r="G378" t="s">
        <v>838</v>
      </c>
      <c r="P378" t="s">
        <v>8570</v>
      </c>
      <c r="Q378" t="s">
        <v>1347</v>
      </c>
    </row>
    <row r="379" spans="1:17" ht="15" customHeight="1" x14ac:dyDescent="0.25">
      <c r="A379" t="s">
        <v>194</v>
      </c>
      <c r="B379" t="s">
        <v>37</v>
      </c>
      <c r="C379" t="s">
        <v>1107</v>
      </c>
      <c r="D379" t="s">
        <v>919</v>
      </c>
      <c r="E379" s="19">
        <v>97143474719</v>
      </c>
      <c r="F379" t="s">
        <v>194</v>
      </c>
      <c r="G379" t="s">
        <v>839</v>
      </c>
      <c r="P379" t="s">
        <v>644</v>
      </c>
      <c r="Q379" t="s">
        <v>1347</v>
      </c>
    </row>
    <row r="380" spans="1:17" ht="15" customHeight="1" x14ac:dyDescent="0.25">
      <c r="A380" t="s">
        <v>126</v>
      </c>
      <c r="B380" t="s">
        <v>127</v>
      </c>
      <c r="C380" t="s">
        <v>123</v>
      </c>
      <c r="D380" t="s">
        <v>786</v>
      </c>
      <c r="E380" s="19">
        <v>0</v>
      </c>
      <c r="F380" t="s">
        <v>126</v>
      </c>
      <c r="G380" t="s">
        <v>844</v>
      </c>
      <c r="P380" t="s">
        <v>2676</v>
      </c>
      <c r="Q380" t="s">
        <v>1347</v>
      </c>
    </row>
    <row r="381" spans="1:17" ht="15" customHeight="1" x14ac:dyDescent="0.25">
      <c r="A381" t="s">
        <v>128</v>
      </c>
      <c r="B381" t="s">
        <v>129</v>
      </c>
      <c r="C381" t="s">
        <v>123</v>
      </c>
      <c r="D381" t="s">
        <v>786</v>
      </c>
      <c r="E381" s="19">
        <v>0</v>
      </c>
      <c r="F381" t="s">
        <v>128</v>
      </c>
      <c r="G381" t="s">
        <v>844</v>
      </c>
      <c r="P381" t="s">
        <v>2644</v>
      </c>
      <c r="Q381" t="s">
        <v>1357</v>
      </c>
    </row>
    <row r="382" spans="1:17" ht="15" customHeight="1" x14ac:dyDescent="0.25">
      <c r="A382" t="s">
        <v>151</v>
      </c>
      <c r="B382" t="s">
        <v>152</v>
      </c>
      <c r="C382" t="s">
        <v>1106</v>
      </c>
      <c r="D382" t="s">
        <v>919</v>
      </c>
      <c r="E382" s="19">
        <v>971508558999</v>
      </c>
      <c r="F382" t="s">
        <v>151</v>
      </c>
      <c r="G382" t="s">
        <v>839</v>
      </c>
      <c r="P382" t="s">
        <v>4719</v>
      </c>
      <c r="Q382" t="s">
        <v>1347</v>
      </c>
    </row>
    <row r="383" spans="1:17" ht="15" customHeight="1" x14ac:dyDescent="0.25">
      <c r="A383" t="s">
        <v>50</v>
      </c>
      <c r="B383" t="s">
        <v>51</v>
      </c>
      <c r="C383" t="s">
        <v>1105</v>
      </c>
      <c r="D383" t="s">
        <v>919</v>
      </c>
      <c r="E383" s="19">
        <v>971504418815</v>
      </c>
      <c r="F383" t="s">
        <v>50</v>
      </c>
      <c r="G383" t="s">
        <v>839</v>
      </c>
      <c r="P383" t="s">
        <v>8702</v>
      </c>
      <c r="Q383" t="s">
        <v>1347</v>
      </c>
    </row>
    <row r="384" spans="1:17" ht="15" customHeight="1" x14ac:dyDescent="0.25">
      <c r="A384" t="s">
        <v>130</v>
      </c>
      <c r="B384" t="s">
        <v>131</v>
      </c>
      <c r="C384" t="s">
        <v>123</v>
      </c>
      <c r="D384" t="s">
        <v>786</v>
      </c>
      <c r="E384" s="19">
        <v>0</v>
      </c>
      <c r="F384" t="s">
        <v>130</v>
      </c>
      <c r="G384" t="s">
        <v>844</v>
      </c>
      <c r="P384" t="s">
        <v>8314</v>
      </c>
      <c r="Q384" t="s">
        <v>1357</v>
      </c>
    </row>
    <row r="385" spans="1:17" ht="15" customHeight="1" x14ac:dyDescent="0.25">
      <c r="A385" t="s">
        <v>132</v>
      </c>
      <c r="B385" t="s">
        <v>133</v>
      </c>
      <c r="C385" t="s">
        <v>123</v>
      </c>
      <c r="D385" t="s">
        <v>786</v>
      </c>
      <c r="E385" s="19">
        <v>0</v>
      </c>
      <c r="F385" t="s">
        <v>132</v>
      </c>
      <c r="G385" t="s">
        <v>844</v>
      </c>
      <c r="P385" t="s">
        <v>2568</v>
      </c>
      <c r="Q385" t="s">
        <v>1357</v>
      </c>
    </row>
    <row r="386" spans="1:17" ht="15" customHeight="1" x14ac:dyDescent="0.25">
      <c r="A386" t="s">
        <v>205</v>
      </c>
      <c r="B386" t="s">
        <v>206</v>
      </c>
      <c r="C386" t="s">
        <v>2342</v>
      </c>
      <c r="D386" t="s">
        <v>919</v>
      </c>
      <c r="E386" s="19">
        <v>971561603536</v>
      </c>
      <c r="F386" t="s">
        <v>205</v>
      </c>
      <c r="G386" t="s">
        <v>841</v>
      </c>
      <c r="P386" t="s">
        <v>2224</v>
      </c>
      <c r="Q386" t="s">
        <v>1357</v>
      </c>
    </row>
    <row r="387" spans="1:17" ht="15" customHeight="1" x14ac:dyDescent="0.25">
      <c r="A387" t="s">
        <v>134</v>
      </c>
      <c r="B387" t="s">
        <v>135</v>
      </c>
      <c r="C387" t="s">
        <v>1104</v>
      </c>
      <c r="D387" t="s">
        <v>919</v>
      </c>
      <c r="E387" s="19">
        <v>971504653835</v>
      </c>
      <c r="F387" t="s">
        <v>134</v>
      </c>
      <c r="G387" t="s">
        <v>2131</v>
      </c>
      <c r="P387" t="s">
        <v>2621</v>
      </c>
      <c r="Q387" t="s">
        <v>1347</v>
      </c>
    </row>
    <row r="388" spans="1:17" ht="15" customHeight="1" x14ac:dyDescent="0.25">
      <c r="A388" t="s">
        <v>70</v>
      </c>
      <c r="B388" t="s">
        <v>71</v>
      </c>
      <c r="C388" t="s">
        <v>1103</v>
      </c>
      <c r="D388" t="s">
        <v>919</v>
      </c>
      <c r="E388" s="19">
        <v>971507646999</v>
      </c>
      <c r="F388" t="s">
        <v>70</v>
      </c>
      <c r="G388" t="s">
        <v>854</v>
      </c>
      <c r="P388" t="s">
        <v>1712</v>
      </c>
      <c r="Q388" t="s">
        <v>1347</v>
      </c>
    </row>
    <row r="389" spans="1:17" ht="15" customHeight="1" x14ac:dyDescent="0.25">
      <c r="A389" t="s">
        <v>136</v>
      </c>
      <c r="B389" t="s">
        <v>137</v>
      </c>
      <c r="C389" t="s">
        <v>123</v>
      </c>
      <c r="D389" t="s">
        <v>786</v>
      </c>
      <c r="E389" s="19">
        <v>0</v>
      </c>
      <c r="F389" t="s">
        <v>136</v>
      </c>
      <c r="G389" t="s">
        <v>844</v>
      </c>
      <c r="P389" t="s">
        <v>2877</v>
      </c>
      <c r="Q389" t="s">
        <v>1357</v>
      </c>
    </row>
    <row r="390" spans="1:17" ht="15" customHeight="1" x14ac:dyDescent="0.25">
      <c r="A390" t="s">
        <v>2740</v>
      </c>
      <c r="B390" t="s">
        <v>138</v>
      </c>
      <c r="C390" t="s">
        <v>123</v>
      </c>
      <c r="D390" t="s">
        <v>786</v>
      </c>
      <c r="E390" s="19">
        <v>0</v>
      </c>
      <c r="F390" t="s">
        <v>2740</v>
      </c>
      <c r="G390" t="s">
        <v>844</v>
      </c>
      <c r="P390" t="s">
        <v>8776</v>
      </c>
      <c r="Q390" t="s">
        <v>1347</v>
      </c>
    </row>
    <row r="391" spans="1:17" ht="15" customHeight="1" x14ac:dyDescent="0.25">
      <c r="A391" t="s">
        <v>139</v>
      </c>
      <c r="B391" t="s">
        <v>140</v>
      </c>
      <c r="C391" t="s">
        <v>123</v>
      </c>
      <c r="D391" t="s">
        <v>786</v>
      </c>
      <c r="E391" s="19">
        <v>0</v>
      </c>
      <c r="F391" t="s">
        <v>139</v>
      </c>
      <c r="G391" t="s">
        <v>844</v>
      </c>
      <c r="P391" t="s">
        <v>8777</v>
      </c>
      <c r="Q391" t="s">
        <v>1347</v>
      </c>
    </row>
    <row r="392" spans="1:17" ht="15" customHeight="1" x14ac:dyDescent="0.25">
      <c r="A392" t="s">
        <v>903</v>
      </c>
      <c r="B392" t="s">
        <v>904</v>
      </c>
      <c r="C392" t="s">
        <v>905</v>
      </c>
      <c r="D392" t="s">
        <v>786</v>
      </c>
      <c r="F392" t="s">
        <v>903</v>
      </c>
      <c r="G392" t="s">
        <v>844</v>
      </c>
      <c r="P392" t="s">
        <v>8778</v>
      </c>
      <c r="Q392" t="s">
        <v>1347</v>
      </c>
    </row>
    <row r="393" spans="1:17" ht="15" customHeight="1" x14ac:dyDescent="0.25">
      <c r="A393" t="s">
        <v>88</v>
      </c>
      <c r="B393" t="s">
        <v>89</v>
      </c>
      <c r="C393" t="s">
        <v>1102</v>
      </c>
      <c r="D393" t="s">
        <v>919</v>
      </c>
      <c r="E393" s="19">
        <v>971502020070</v>
      </c>
      <c r="F393" t="s">
        <v>88</v>
      </c>
      <c r="G393" t="s">
        <v>841</v>
      </c>
      <c r="P393" t="s">
        <v>8710</v>
      </c>
      <c r="Q393" t="s">
        <v>1347</v>
      </c>
    </row>
    <row r="394" spans="1:17" ht="15" customHeight="1" x14ac:dyDescent="0.25">
      <c r="A394" t="s">
        <v>141</v>
      </c>
      <c r="B394" t="s">
        <v>142</v>
      </c>
      <c r="C394" t="s">
        <v>123</v>
      </c>
      <c r="D394" t="s">
        <v>786</v>
      </c>
      <c r="E394" s="19">
        <v>0</v>
      </c>
      <c r="F394" t="s">
        <v>141</v>
      </c>
      <c r="G394" t="s">
        <v>844</v>
      </c>
      <c r="P394" t="s">
        <v>8508</v>
      </c>
      <c r="Q394" t="s">
        <v>1347</v>
      </c>
    </row>
    <row r="395" spans="1:17" ht="15" customHeight="1" x14ac:dyDescent="0.25">
      <c r="A395" t="s">
        <v>143</v>
      </c>
      <c r="B395" t="s">
        <v>144</v>
      </c>
      <c r="C395" t="s">
        <v>123</v>
      </c>
      <c r="D395" t="s">
        <v>786</v>
      </c>
      <c r="E395" s="19">
        <v>0</v>
      </c>
      <c r="F395" t="s">
        <v>143</v>
      </c>
      <c r="G395" t="s">
        <v>844</v>
      </c>
      <c r="P395" t="s">
        <v>3066</v>
      </c>
      <c r="Q395" t="s">
        <v>1347</v>
      </c>
    </row>
    <row r="396" spans="1:17" ht="15" customHeight="1" x14ac:dyDescent="0.25">
      <c r="A396" t="s">
        <v>145</v>
      </c>
      <c r="B396" t="s">
        <v>146</v>
      </c>
      <c r="C396" t="s">
        <v>123</v>
      </c>
      <c r="D396" t="s">
        <v>786</v>
      </c>
      <c r="E396" s="19">
        <v>0</v>
      </c>
      <c r="F396" t="s">
        <v>145</v>
      </c>
      <c r="G396" t="s">
        <v>844</v>
      </c>
      <c r="P396" t="s">
        <v>8525</v>
      </c>
      <c r="Q396" t="s">
        <v>1357</v>
      </c>
    </row>
    <row r="397" spans="1:17" ht="15" customHeight="1" x14ac:dyDescent="0.25">
      <c r="A397" t="s">
        <v>147</v>
      </c>
      <c r="B397" t="s">
        <v>148</v>
      </c>
      <c r="C397" t="s">
        <v>123</v>
      </c>
      <c r="D397" t="s">
        <v>786</v>
      </c>
      <c r="E397" s="19">
        <v>0</v>
      </c>
      <c r="F397" t="s">
        <v>147</v>
      </c>
      <c r="G397" t="s">
        <v>844</v>
      </c>
      <c r="P397" t="s">
        <v>8756</v>
      </c>
      <c r="Q397" t="s">
        <v>1357</v>
      </c>
    </row>
    <row r="398" spans="1:17" x14ac:dyDescent="0.25">
      <c r="A398" t="s">
        <v>149</v>
      </c>
      <c r="B398" t="s">
        <v>150</v>
      </c>
      <c r="C398" t="s">
        <v>123</v>
      </c>
      <c r="D398" t="s">
        <v>786</v>
      </c>
      <c r="E398" s="19">
        <v>0</v>
      </c>
      <c r="F398" t="s">
        <v>149</v>
      </c>
      <c r="G398" t="s">
        <v>844</v>
      </c>
      <c r="P398" t="s">
        <v>8854</v>
      </c>
      <c r="Q398" t="s">
        <v>1357</v>
      </c>
    </row>
    <row r="399" spans="1:17" x14ac:dyDescent="0.25">
      <c r="A399" t="s">
        <v>94</v>
      </c>
      <c r="B399" t="s">
        <v>95</v>
      </c>
      <c r="C399" t="s">
        <v>96</v>
      </c>
      <c r="D399" t="s">
        <v>786</v>
      </c>
      <c r="E399" s="19">
        <v>0</v>
      </c>
      <c r="F399" t="s">
        <v>94</v>
      </c>
      <c r="G399" t="s">
        <v>844</v>
      </c>
      <c r="P399" t="s">
        <v>8855</v>
      </c>
      <c r="Q399" t="s">
        <v>1357</v>
      </c>
    </row>
    <row r="400" spans="1:17" x14ac:dyDescent="0.25">
      <c r="A400" t="s">
        <v>97</v>
      </c>
      <c r="B400" t="s">
        <v>98</v>
      </c>
      <c r="C400" t="s">
        <v>96</v>
      </c>
      <c r="D400" t="s">
        <v>786</v>
      </c>
      <c r="E400" s="19">
        <v>0</v>
      </c>
      <c r="F400" t="s">
        <v>97</v>
      </c>
      <c r="G400" t="s">
        <v>844</v>
      </c>
      <c r="P400" t="s">
        <v>8020</v>
      </c>
      <c r="Q400" t="s">
        <v>1357</v>
      </c>
    </row>
    <row r="401" spans="1:17" x14ac:dyDescent="0.25">
      <c r="A401" t="s">
        <v>200</v>
      </c>
      <c r="B401" t="s">
        <v>201</v>
      </c>
      <c r="C401" t="s">
        <v>1101</v>
      </c>
      <c r="D401" t="s">
        <v>786</v>
      </c>
      <c r="E401" s="19">
        <v>9714358964</v>
      </c>
      <c r="F401" t="s">
        <v>200</v>
      </c>
      <c r="G401" t="s">
        <v>844</v>
      </c>
      <c r="P401" t="s">
        <v>2744</v>
      </c>
      <c r="Q401" t="s">
        <v>1347</v>
      </c>
    </row>
    <row r="402" spans="1:17" x14ac:dyDescent="0.25">
      <c r="A402" t="s">
        <v>90</v>
      </c>
      <c r="B402" t="s">
        <v>91</v>
      </c>
      <c r="C402" t="s">
        <v>1100</v>
      </c>
      <c r="D402" t="s">
        <v>919</v>
      </c>
      <c r="E402" s="19">
        <v>9714210429</v>
      </c>
      <c r="F402" t="s">
        <v>90</v>
      </c>
      <c r="G402" t="s">
        <v>837</v>
      </c>
      <c r="P402" t="s">
        <v>1846</v>
      </c>
      <c r="Q402" t="s">
        <v>1347</v>
      </c>
    </row>
    <row r="403" spans="1:17" x14ac:dyDescent="0.25">
      <c r="A403" t="s">
        <v>161</v>
      </c>
      <c r="B403" t="s">
        <v>162</v>
      </c>
      <c r="C403" t="s">
        <v>1099</v>
      </c>
      <c r="D403" t="s">
        <v>919</v>
      </c>
      <c r="E403" s="19">
        <v>971557263337</v>
      </c>
      <c r="F403" t="s">
        <v>161</v>
      </c>
      <c r="G403" t="s">
        <v>872</v>
      </c>
      <c r="P403" t="s">
        <v>8753</v>
      </c>
      <c r="Q403" t="s">
        <v>1357</v>
      </c>
    </row>
    <row r="404" spans="1:17" x14ac:dyDescent="0.25">
      <c r="A404" t="s">
        <v>72</v>
      </c>
      <c r="B404" t="s">
        <v>73</v>
      </c>
      <c r="C404" t="s">
        <v>1098</v>
      </c>
      <c r="D404" t="s">
        <v>919</v>
      </c>
      <c r="E404" s="19">
        <v>971506503935</v>
      </c>
      <c r="F404" t="s">
        <v>72</v>
      </c>
      <c r="G404" t="s">
        <v>872</v>
      </c>
      <c r="P404" t="s">
        <v>8592</v>
      </c>
      <c r="Q404" t="s">
        <v>1357</v>
      </c>
    </row>
    <row r="405" spans="1:17" x14ac:dyDescent="0.25">
      <c r="A405" t="s">
        <v>99</v>
      </c>
      <c r="B405" t="s">
        <v>100</v>
      </c>
      <c r="C405" t="s">
        <v>96</v>
      </c>
      <c r="D405" t="s">
        <v>786</v>
      </c>
      <c r="E405" s="19">
        <v>0</v>
      </c>
      <c r="F405" t="s">
        <v>99</v>
      </c>
      <c r="G405" t="s">
        <v>844</v>
      </c>
      <c r="P405" t="s">
        <v>8770</v>
      </c>
      <c r="Q405" t="s">
        <v>1357</v>
      </c>
    </row>
    <row r="406" spans="1:17" x14ac:dyDescent="0.25">
      <c r="A406" t="s">
        <v>101</v>
      </c>
      <c r="B406" t="s">
        <v>102</v>
      </c>
      <c r="C406" t="s">
        <v>1097</v>
      </c>
      <c r="D406" t="s">
        <v>786</v>
      </c>
      <c r="E406" s="19">
        <v>0</v>
      </c>
      <c r="F406" t="s">
        <v>101</v>
      </c>
      <c r="G406" t="s">
        <v>844</v>
      </c>
      <c r="P406" t="s">
        <v>8252</v>
      </c>
      <c r="Q406" t="s">
        <v>1357</v>
      </c>
    </row>
    <row r="407" spans="1:17" x14ac:dyDescent="0.25">
      <c r="A407" t="s">
        <v>197</v>
      </c>
      <c r="B407" t="s">
        <v>198</v>
      </c>
      <c r="C407" t="s">
        <v>199</v>
      </c>
      <c r="D407" t="s">
        <v>919</v>
      </c>
      <c r="E407" s="19">
        <v>971506859894</v>
      </c>
      <c r="F407" t="s">
        <v>197</v>
      </c>
      <c r="G407" t="s">
        <v>841</v>
      </c>
      <c r="P407" t="s">
        <v>8249</v>
      </c>
      <c r="Q407" t="s">
        <v>1357</v>
      </c>
    </row>
    <row r="408" spans="1:17" x14ac:dyDescent="0.25">
      <c r="A408" t="s">
        <v>190</v>
      </c>
      <c r="B408" t="s">
        <v>38</v>
      </c>
      <c r="C408" t="s">
        <v>191</v>
      </c>
      <c r="D408" t="s">
        <v>786</v>
      </c>
      <c r="E408" s="19">
        <v>97142821375</v>
      </c>
      <c r="F408" t="s">
        <v>190</v>
      </c>
      <c r="G408" t="s">
        <v>844</v>
      </c>
      <c r="P408" t="s">
        <v>8907</v>
      </c>
      <c r="Q408" t="s">
        <v>1347</v>
      </c>
    </row>
    <row r="409" spans="1:17" x14ac:dyDescent="0.25">
      <c r="A409" t="s">
        <v>114</v>
      </c>
      <c r="B409" t="s">
        <v>39</v>
      </c>
      <c r="C409" t="s">
        <v>1096</v>
      </c>
      <c r="D409" t="s">
        <v>919</v>
      </c>
      <c r="E409" s="19">
        <v>97142211461</v>
      </c>
      <c r="F409" t="s">
        <v>114</v>
      </c>
      <c r="G409" t="s">
        <v>837</v>
      </c>
      <c r="P409" t="s">
        <v>8799</v>
      </c>
      <c r="Q409" t="s">
        <v>1347</v>
      </c>
    </row>
    <row r="410" spans="1:17" x14ac:dyDescent="0.25">
      <c r="A410" t="s">
        <v>186</v>
      </c>
      <c r="B410" t="s">
        <v>187</v>
      </c>
      <c r="C410" t="s">
        <v>1325</v>
      </c>
      <c r="D410" t="s">
        <v>786</v>
      </c>
      <c r="E410" s="19">
        <v>97142567303</v>
      </c>
      <c r="F410" t="s">
        <v>186</v>
      </c>
      <c r="G410" t="s">
        <v>844</v>
      </c>
      <c r="P410" t="s">
        <v>8841</v>
      </c>
      <c r="Q410" t="s">
        <v>1347</v>
      </c>
    </row>
    <row r="411" spans="1:17" x14ac:dyDescent="0.25">
      <c r="A411" t="s">
        <v>103</v>
      </c>
      <c r="B411" t="s">
        <v>104</v>
      </c>
      <c r="C411" t="s">
        <v>96</v>
      </c>
      <c r="D411" t="s">
        <v>786</v>
      </c>
      <c r="E411" s="19">
        <v>0</v>
      </c>
      <c r="F411" t="s">
        <v>103</v>
      </c>
      <c r="G411" t="s">
        <v>844</v>
      </c>
      <c r="P411" t="s">
        <v>8597</v>
      </c>
      <c r="Q411" t="s">
        <v>1357</v>
      </c>
    </row>
    <row r="412" spans="1:17" x14ac:dyDescent="0.25">
      <c r="A412" t="s">
        <v>117</v>
      </c>
      <c r="B412" t="s">
        <v>118</v>
      </c>
      <c r="C412" t="s">
        <v>1095</v>
      </c>
      <c r="D412" t="s">
        <v>919</v>
      </c>
      <c r="E412" s="19">
        <v>971556163570</v>
      </c>
      <c r="F412" t="s">
        <v>117</v>
      </c>
      <c r="G412" t="s">
        <v>841</v>
      </c>
      <c r="P412" t="s">
        <v>65</v>
      </c>
      <c r="Q412" t="s">
        <v>1347</v>
      </c>
    </row>
    <row r="413" spans="1:17" x14ac:dyDescent="0.25">
      <c r="A413" t="s">
        <v>62</v>
      </c>
      <c r="B413" t="s">
        <v>63</v>
      </c>
      <c r="C413" t="s">
        <v>1094</v>
      </c>
      <c r="D413" t="s">
        <v>919</v>
      </c>
      <c r="E413" s="19">
        <v>971552760772</v>
      </c>
      <c r="F413" t="s">
        <v>62</v>
      </c>
      <c r="G413" t="s">
        <v>841</v>
      </c>
      <c r="P413" t="s">
        <v>8904</v>
      </c>
      <c r="Q413" t="s">
        <v>1347</v>
      </c>
    </row>
    <row r="414" spans="1:17" x14ac:dyDescent="0.25">
      <c r="A414" t="s">
        <v>115</v>
      </c>
      <c r="B414" t="s">
        <v>116</v>
      </c>
      <c r="C414" t="s">
        <v>1093</v>
      </c>
      <c r="D414" t="s">
        <v>919</v>
      </c>
      <c r="E414" s="19">
        <v>97142776875</v>
      </c>
      <c r="F414" t="s">
        <v>115</v>
      </c>
      <c r="G414" t="s">
        <v>851</v>
      </c>
      <c r="P414" t="s">
        <v>2921</v>
      </c>
      <c r="Q414" t="s">
        <v>1357</v>
      </c>
    </row>
    <row r="415" spans="1:17" x14ac:dyDescent="0.25">
      <c r="A415" t="s">
        <v>56</v>
      </c>
      <c r="B415" t="s">
        <v>57</v>
      </c>
      <c r="C415" t="s">
        <v>1092</v>
      </c>
      <c r="D415" t="s">
        <v>786</v>
      </c>
      <c r="E415" s="19">
        <v>0</v>
      </c>
      <c r="F415" t="s">
        <v>56</v>
      </c>
      <c r="G415" t="s">
        <v>844</v>
      </c>
      <c r="P415" t="s">
        <v>8067</v>
      </c>
      <c r="Q415" t="s">
        <v>1357</v>
      </c>
    </row>
    <row r="416" spans="1:17" x14ac:dyDescent="0.25">
      <c r="A416" t="s">
        <v>212</v>
      </c>
      <c r="B416" t="s">
        <v>213</v>
      </c>
      <c r="C416" t="s">
        <v>1091</v>
      </c>
      <c r="D416" t="s">
        <v>919</v>
      </c>
      <c r="E416" s="19">
        <v>97143636555</v>
      </c>
      <c r="F416" t="s">
        <v>212</v>
      </c>
      <c r="G416" t="s">
        <v>850</v>
      </c>
      <c r="P416" t="s">
        <v>8582</v>
      </c>
      <c r="Q416" t="s">
        <v>1357</v>
      </c>
    </row>
    <row r="417" spans="1:17" x14ac:dyDescent="0.25">
      <c r="A417" t="s">
        <v>211</v>
      </c>
      <c r="B417" t="s">
        <v>40</v>
      </c>
      <c r="C417" t="s">
        <v>1090</v>
      </c>
      <c r="D417" t="s">
        <v>786</v>
      </c>
      <c r="E417" s="19">
        <v>971502934981</v>
      </c>
      <c r="F417" t="s">
        <v>211</v>
      </c>
      <c r="G417" t="s">
        <v>844</v>
      </c>
      <c r="P417" t="s">
        <v>1385</v>
      </c>
      <c r="Q417" t="s">
        <v>1357</v>
      </c>
    </row>
    <row r="418" spans="1:17" x14ac:dyDescent="0.25">
      <c r="A418" t="s">
        <v>216</v>
      </c>
      <c r="B418" t="s">
        <v>217</v>
      </c>
      <c r="C418" t="s">
        <v>1089</v>
      </c>
      <c r="D418" t="s">
        <v>919</v>
      </c>
      <c r="E418" s="19">
        <v>971555054644</v>
      </c>
      <c r="F418" t="s">
        <v>216</v>
      </c>
      <c r="G418" t="s">
        <v>837</v>
      </c>
      <c r="P418" t="s">
        <v>9034</v>
      </c>
      <c r="Q418" t="s">
        <v>1357</v>
      </c>
    </row>
    <row r="419" spans="1:17" x14ac:dyDescent="0.25">
      <c r="A419" t="s">
        <v>218</v>
      </c>
      <c r="B419" t="s">
        <v>219</v>
      </c>
      <c r="C419" t="s">
        <v>9482</v>
      </c>
      <c r="D419" t="s">
        <v>919</v>
      </c>
      <c r="E419" s="19">
        <v>971505588097</v>
      </c>
      <c r="F419" t="s">
        <v>218</v>
      </c>
      <c r="G419" t="s">
        <v>850</v>
      </c>
      <c r="P419" t="s">
        <v>8913</v>
      </c>
      <c r="Q419" t="s">
        <v>1357</v>
      </c>
    </row>
    <row r="420" spans="1:17" x14ac:dyDescent="0.25">
      <c r="A420" t="s">
        <v>339</v>
      </c>
      <c r="B420" t="s">
        <v>340</v>
      </c>
      <c r="C420" t="s">
        <v>1088</v>
      </c>
      <c r="D420" t="s">
        <v>786</v>
      </c>
      <c r="E420" s="19">
        <v>971503583992</v>
      </c>
      <c r="F420" t="s">
        <v>339</v>
      </c>
      <c r="G420" t="s">
        <v>844</v>
      </c>
      <c r="P420" t="s">
        <v>1800</v>
      </c>
      <c r="Q420" t="s">
        <v>1357</v>
      </c>
    </row>
    <row r="421" spans="1:17" x14ac:dyDescent="0.25">
      <c r="A421" t="s">
        <v>341</v>
      </c>
      <c r="B421" t="s">
        <v>342</v>
      </c>
      <c r="C421" t="s">
        <v>1087</v>
      </c>
      <c r="D421" t="s">
        <v>919</v>
      </c>
      <c r="E421" s="19">
        <v>0</v>
      </c>
      <c r="F421" t="s">
        <v>341</v>
      </c>
      <c r="G421" t="s">
        <v>856</v>
      </c>
      <c r="P421" t="s">
        <v>8928</v>
      </c>
      <c r="Q421" t="s">
        <v>1357</v>
      </c>
    </row>
    <row r="422" spans="1:17" x14ac:dyDescent="0.25">
      <c r="A422" t="s">
        <v>343</v>
      </c>
      <c r="B422" t="s">
        <v>344</v>
      </c>
      <c r="C422" t="s">
        <v>1086</v>
      </c>
      <c r="D422" t="s">
        <v>786</v>
      </c>
      <c r="E422" s="19">
        <v>433582929</v>
      </c>
      <c r="F422" t="s">
        <v>343</v>
      </c>
      <c r="G422" t="s">
        <v>844</v>
      </c>
      <c r="P422" t="s">
        <v>9085</v>
      </c>
      <c r="Q422" t="s">
        <v>1357</v>
      </c>
    </row>
    <row r="423" spans="1:17" x14ac:dyDescent="0.25">
      <c r="A423" t="s">
        <v>214</v>
      </c>
      <c r="B423" t="s">
        <v>215</v>
      </c>
      <c r="C423" t="s">
        <v>1386</v>
      </c>
      <c r="D423" t="s">
        <v>919</v>
      </c>
      <c r="E423" s="19">
        <v>971502805678</v>
      </c>
      <c r="F423" t="s">
        <v>214</v>
      </c>
      <c r="G423" t="s">
        <v>849</v>
      </c>
      <c r="P423" t="s">
        <v>8747</v>
      </c>
      <c r="Q423" t="s">
        <v>1357</v>
      </c>
    </row>
    <row r="424" spans="1:17" x14ac:dyDescent="0.25">
      <c r="A424" t="s">
        <v>358</v>
      </c>
      <c r="B424" t="s">
        <v>359</v>
      </c>
      <c r="C424" t="s">
        <v>1085</v>
      </c>
      <c r="D424" t="s">
        <v>919</v>
      </c>
      <c r="E424" s="19">
        <v>97152689777</v>
      </c>
      <c r="F424" t="s">
        <v>358</v>
      </c>
      <c r="G424" t="s">
        <v>849</v>
      </c>
      <c r="P424" t="s">
        <v>9064</v>
      </c>
      <c r="Q424" t="s">
        <v>1357</v>
      </c>
    </row>
    <row r="425" spans="1:17" x14ac:dyDescent="0.25">
      <c r="A425" t="s">
        <v>393</v>
      </c>
      <c r="B425" t="s">
        <v>394</v>
      </c>
      <c r="C425" t="s">
        <v>1084</v>
      </c>
      <c r="D425" t="s">
        <v>786</v>
      </c>
      <c r="E425" s="19">
        <v>97143346799</v>
      </c>
      <c r="F425" t="s">
        <v>393</v>
      </c>
      <c r="G425" t="s">
        <v>844</v>
      </c>
      <c r="P425" t="s">
        <v>9135</v>
      </c>
      <c r="Q425" t="s">
        <v>1357</v>
      </c>
    </row>
    <row r="426" spans="1:17" x14ac:dyDescent="0.25">
      <c r="A426" t="s">
        <v>220</v>
      </c>
      <c r="B426" t="s">
        <v>221</v>
      </c>
      <c r="C426" t="s">
        <v>1083</v>
      </c>
      <c r="D426" t="s">
        <v>919</v>
      </c>
      <c r="E426" s="19">
        <v>971529023366</v>
      </c>
      <c r="F426" t="s">
        <v>220</v>
      </c>
      <c r="G426" t="s">
        <v>872</v>
      </c>
      <c r="P426" t="s">
        <v>9127</v>
      </c>
      <c r="Q426" t="s">
        <v>1357</v>
      </c>
    </row>
    <row r="427" spans="1:17" x14ac:dyDescent="0.25">
      <c r="A427" t="s">
        <v>373</v>
      </c>
      <c r="B427" t="s">
        <v>374</v>
      </c>
      <c r="C427" t="s">
        <v>1081</v>
      </c>
      <c r="D427" t="s">
        <v>919</v>
      </c>
      <c r="E427" s="19" t="s">
        <v>1082</v>
      </c>
      <c r="F427" t="s">
        <v>373</v>
      </c>
      <c r="G427" t="s">
        <v>839</v>
      </c>
      <c r="P427" t="s">
        <v>9076</v>
      </c>
      <c r="Q427" t="s">
        <v>1357</v>
      </c>
    </row>
    <row r="428" spans="1:17" x14ac:dyDescent="0.25">
      <c r="A428" t="s">
        <v>377</v>
      </c>
      <c r="B428" t="s">
        <v>378</v>
      </c>
      <c r="C428" t="s">
        <v>379</v>
      </c>
      <c r="D428" t="s">
        <v>919</v>
      </c>
      <c r="E428" s="19">
        <v>971506566773</v>
      </c>
      <c r="F428" t="s">
        <v>377</v>
      </c>
      <c r="G428" t="s">
        <v>839</v>
      </c>
      <c r="P428" t="s">
        <v>434</v>
      </c>
      <c r="Q428" t="s">
        <v>1357</v>
      </c>
    </row>
    <row r="429" spans="1:17" x14ac:dyDescent="0.25">
      <c r="A429" t="s">
        <v>380</v>
      </c>
      <c r="B429" t="s">
        <v>381</v>
      </c>
      <c r="C429" t="s">
        <v>1080</v>
      </c>
      <c r="D429" t="s">
        <v>919</v>
      </c>
      <c r="E429" s="19">
        <v>971506528201</v>
      </c>
      <c r="F429" t="s">
        <v>380</v>
      </c>
      <c r="G429" t="s">
        <v>839</v>
      </c>
      <c r="P429" t="s">
        <v>2609</v>
      </c>
      <c r="Q429" t="s">
        <v>1357</v>
      </c>
    </row>
    <row r="430" spans="1:17" x14ac:dyDescent="0.25">
      <c r="A430" t="s">
        <v>385</v>
      </c>
      <c r="B430" t="s">
        <v>386</v>
      </c>
      <c r="C430" t="s">
        <v>1079</v>
      </c>
      <c r="D430" t="s">
        <v>919</v>
      </c>
      <c r="E430" s="19">
        <v>971502845557</v>
      </c>
      <c r="F430" t="s">
        <v>385</v>
      </c>
      <c r="G430" t="s">
        <v>839</v>
      </c>
      <c r="P430" t="s">
        <v>8973</v>
      </c>
      <c r="Q430" t="s">
        <v>1357</v>
      </c>
    </row>
    <row r="431" spans="1:17" x14ac:dyDescent="0.25">
      <c r="A431" t="s">
        <v>387</v>
      </c>
      <c r="B431" t="s">
        <v>388</v>
      </c>
      <c r="C431" t="s">
        <v>1078</v>
      </c>
      <c r="D431" t="s">
        <v>919</v>
      </c>
      <c r="E431" s="19">
        <v>971505581396</v>
      </c>
      <c r="F431" t="s">
        <v>387</v>
      </c>
      <c r="G431" t="s">
        <v>839</v>
      </c>
      <c r="P431" t="s">
        <v>9101</v>
      </c>
      <c r="Q431" t="s">
        <v>1357</v>
      </c>
    </row>
    <row r="432" spans="1:17" x14ac:dyDescent="0.25">
      <c r="A432" t="s">
        <v>391</v>
      </c>
      <c r="B432" t="s">
        <v>392</v>
      </c>
      <c r="C432" t="s">
        <v>1077</v>
      </c>
      <c r="D432" t="s">
        <v>786</v>
      </c>
      <c r="E432" s="19">
        <v>97142723351</v>
      </c>
      <c r="F432" t="s">
        <v>391</v>
      </c>
      <c r="G432" t="s">
        <v>844</v>
      </c>
      <c r="P432" t="s">
        <v>9132</v>
      </c>
      <c r="Q432" t="s">
        <v>1357</v>
      </c>
    </row>
    <row r="433" spans="1:17" x14ac:dyDescent="0.25">
      <c r="A433" t="s">
        <v>406</v>
      </c>
      <c r="B433" t="s">
        <v>407</v>
      </c>
      <c r="C433" t="s">
        <v>1076</v>
      </c>
      <c r="D433" t="s">
        <v>919</v>
      </c>
      <c r="E433" s="19">
        <v>971559923699</v>
      </c>
      <c r="F433" t="s">
        <v>406</v>
      </c>
      <c r="G433" t="s">
        <v>841</v>
      </c>
      <c r="P433" t="s">
        <v>9178</v>
      </c>
      <c r="Q433" t="s">
        <v>1347</v>
      </c>
    </row>
    <row r="434" spans="1:17" x14ac:dyDescent="0.25">
      <c r="A434" t="s">
        <v>397</v>
      </c>
      <c r="B434" t="s">
        <v>398</v>
      </c>
      <c r="C434" t="s">
        <v>1075</v>
      </c>
      <c r="D434" t="s">
        <v>919</v>
      </c>
      <c r="E434" s="19">
        <v>971506950052</v>
      </c>
      <c r="F434" t="s">
        <v>397</v>
      </c>
      <c r="G434" t="s">
        <v>839</v>
      </c>
      <c r="P434" t="s">
        <v>9179</v>
      </c>
      <c r="Q434" t="s">
        <v>1347</v>
      </c>
    </row>
    <row r="435" spans="1:17" x14ac:dyDescent="0.25">
      <c r="A435" t="s">
        <v>411</v>
      </c>
      <c r="B435" t="s">
        <v>412</v>
      </c>
      <c r="C435" t="s">
        <v>1074</v>
      </c>
      <c r="D435" t="s">
        <v>786</v>
      </c>
      <c r="E435" s="19">
        <v>971551595522</v>
      </c>
      <c r="F435" t="s">
        <v>411</v>
      </c>
      <c r="G435" t="s">
        <v>844</v>
      </c>
      <c r="P435" t="s">
        <v>9186</v>
      </c>
      <c r="Q435" t="s">
        <v>1347</v>
      </c>
    </row>
    <row r="436" spans="1:17" x14ac:dyDescent="0.25">
      <c r="A436" t="s">
        <v>413</v>
      </c>
      <c r="B436" t="s">
        <v>414</v>
      </c>
      <c r="C436" t="s">
        <v>1073</v>
      </c>
      <c r="D436" t="s">
        <v>786</v>
      </c>
      <c r="E436" s="19">
        <v>971508700158</v>
      </c>
      <c r="F436" t="s">
        <v>413</v>
      </c>
      <c r="G436" t="s">
        <v>844</v>
      </c>
      <c r="P436" t="s">
        <v>9206</v>
      </c>
      <c r="Q436" t="s">
        <v>1347</v>
      </c>
    </row>
    <row r="437" spans="1:17" x14ac:dyDescent="0.25">
      <c r="A437" t="s">
        <v>415</v>
      </c>
      <c r="B437" t="s">
        <v>416</v>
      </c>
      <c r="C437" t="s">
        <v>1072</v>
      </c>
      <c r="D437" t="s">
        <v>919</v>
      </c>
      <c r="E437" s="19">
        <v>971551081179</v>
      </c>
      <c r="F437" t="s">
        <v>415</v>
      </c>
      <c r="G437" t="s">
        <v>2480</v>
      </c>
      <c r="P437" t="s">
        <v>9207</v>
      </c>
      <c r="Q437" t="s">
        <v>1347</v>
      </c>
    </row>
    <row r="438" spans="1:17" x14ac:dyDescent="0.25">
      <c r="A438" t="s">
        <v>356</v>
      </c>
      <c r="B438" t="s">
        <v>357</v>
      </c>
      <c r="C438" t="s">
        <v>1071</v>
      </c>
      <c r="D438" t="s">
        <v>919</v>
      </c>
      <c r="E438" s="19">
        <v>97147016967</v>
      </c>
      <c r="F438" t="s">
        <v>356</v>
      </c>
      <c r="G438" t="s">
        <v>855</v>
      </c>
      <c r="P438" t="s">
        <v>9221</v>
      </c>
      <c r="Q438" t="s">
        <v>1347</v>
      </c>
    </row>
    <row r="439" spans="1:17" x14ac:dyDescent="0.25">
      <c r="A439" t="s">
        <v>408</v>
      </c>
      <c r="B439" t="s">
        <v>409</v>
      </c>
      <c r="C439" t="s">
        <v>410</v>
      </c>
      <c r="D439" t="s">
        <v>919</v>
      </c>
      <c r="E439" s="19">
        <v>971559890098</v>
      </c>
      <c r="F439" t="s">
        <v>408</v>
      </c>
      <c r="G439" t="s">
        <v>1383</v>
      </c>
      <c r="P439" t="s">
        <v>9237</v>
      </c>
      <c r="Q439" t="s">
        <v>1357</v>
      </c>
    </row>
    <row r="440" spans="1:17" x14ac:dyDescent="0.25">
      <c r="A440" t="s">
        <v>428</v>
      </c>
      <c r="B440" t="s">
        <v>429</v>
      </c>
      <c r="C440" t="s">
        <v>430</v>
      </c>
      <c r="D440" t="s">
        <v>786</v>
      </c>
      <c r="F440" t="s">
        <v>428</v>
      </c>
      <c r="G440" t="s">
        <v>844</v>
      </c>
      <c r="P440" t="s">
        <v>9167</v>
      </c>
      <c r="Q440" t="s">
        <v>1347</v>
      </c>
    </row>
    <row r="441" spans="1:17" x14ac:dyDescent="0.25">
      <c r="A441" t="s">
        <v>431</v>
      </c>
      <c r="B441" t="s">
        <v>432</v>
      </c>
      <c r="C441" t="s">
        <v>1070</v>
      </c>
      <c r="D441" t="s">
        <v>786</v>
      </c>
      <c r="F441" t="s">
        <v>431</v>
      </c>
      <c r="G441" t="s">
        <v>844</v>
      </c>
      <c r="P441" t="s">
        <v>9290</v>
      </c>
      <c r="Q441" t="s">
        <v>1347</v>
      </c>
    </row>
    <row r="442" spans="1:17" x14ac:dyDescent="0.25">
      <c r="A442" t="s">
        <v>433</v>
      </c>
      <c r="B442" t="s">
        <v>434</v>
      </c>
      <c r="C442" t="s">
        <v>1069</v>
      </c>
      <c r="D442" t="s">
        <v>786</v>
      </c>
      <c r="F442" t="s">
        <v>433</v>
      </c>
      <c r="G442" t="s">
        <v>844</v>
      </c>
      <c r="P442" t="s">
        <v>9297</v>
      </c>
      <c r="Q442" t="s">
        <v>1347</v>
      </c>
    </row>
    <row r="443" spans="1:17" x14ac:dyDescent="0.25">
      <c r="A443" t="s">
        <v>435</v>
      </c>
      <c r="B443" t="s">
        <v>436</v>
      </c>
      <c r="C443" t="s">
        <v>1068</v>
      </c>
      <c r="D443" t="s">
        <v>786</v>
      </c>
      <c r="E443" s="19">
        <v>97165384808</v>
      </c>
      <c r="F443" t="s">
        <v>435</v>
      </c>
      <c r="G443" t="s">
        <v>844</v>
      </c>
      <c r="P443" t="s">
        <v>9299</v>
      </c>
      <c r="Q443" t="s">
        <v>1357</v>
      </c>
    </row>
    <row r="444" spans="1:17" x14ac:dyDescent="0.25">
      <c r="A444" t="s">
        <v>424</v>
      </c>
      <c r="B444" t="s">
        <v>425</v>
      </c>
      <c r="C444" t="s">
        <v>1067</v>
      </c>
      <c r="D444" t="s">
        <v>919</v>
      </c>
      <c r="E444" s="19">
        <v>971553252656</v>
      </c>
      <c r="F444" t="s">
        <v>424</v>
      </c>
      <c r="G444" t="s">
        <v>838</v>
      </c>
      <c r="P444" t="s">
        <v>9298</v>
      </c>
      <c r="Q444" t="s">
        <v>1347</v>
      </c>
    </row>
    <row r="445" spans="1:17" x14ac:dyDescent="0.25">
      <c r="A445" t="s">
        <v>443</v>
      </c>
      <c r="B445" t="s">
        <v>444</v>
      </c>
      <c r="C445" t="s">
        <v>445</v>
      </c>
      <c r="D445" t="s">
        <v>919</v>
      </c>
      <c r="E445" s="19">
        <v>971529918444</v>
      </c>
      <c r="F445" t="s">
        <v>443</v>
      </c>
      <c r="G445" t="s">
        <v>839</v>
      </c>
      <c r="P445" t="s">
        <v>9300</v>
      </c>
      <c r="Q445" t="s">
        <v>1347</v>
      </c>
    </row>
    <row r="446" spans="1:17" x14ac:dyDescent="0.25">
      <c r="A446" t="s">
        <v>446</v>
      </c>
      <c r="B446" t="s">
        <v>447</v>
      </c>
      <c r="C446" t="s">
        <v>1066</v>
      </c>
      <c r="D446" t="s">
        <v>919</v>
      </c>
      <c r="E446" s="19">
        <v>971558004422</v>
      </c>
      <c r="F446" t="s">
        <v>446</v>
      </c>
      <c r="G446" t="s">
        <v>849</v>
      </c>
      <c r="P446" t="s">
        <v>9301</v>
      </c>
      <c r="Q446" t="s">
        <v>1357</v>
      </c>
    </row>
    <row r="447" spans="1:17" x14ac:dyDescent="0.25">
      <c r="A447" t="s">
        <v>448</v>
      </c>
      <c r="B447" t="s">
        <v>449</v>
      </c>
      <c r="C447" t="s">
        <v>1065</v>
      </c>
      <c r="D447" t="s">
        <v>919</v>
      </c>
      <c r="E447" s="19">
        <v>971506285108</v>
      </c>
      <c r="F447" t="s">
        <v>448</v>
      </c>
      <c r="G447" t="s">
        <v>858</v>
      </c>
      <c r="P447" t="s">
        <v>9302</v>
      </c>
      <c r="Q447" t="s">
        <v>1357</v>
      </c>
    </row>
    <row r="448" spans="1:17" x14ac:dyDescent="0.25">
      <c r="A448" t="s">
        <v>455</v>
      </c>
      <c r="B448" t="s">
        <v>456</v>
      </c>
      <c r="C448" t="s">
        <v>1064</v>
      </c>
      <c r="D448" t="s">
        <v>919</v>
      </c>
      <c r="E448" s="19">
        <v>971551018620</v>
      </c>
      <c r="F448" t="s">
        <v>455</v>
      </c>
      <c r="G448" t="s">
        <v>849</v>
      </c>
      <c r="P448" t="s">
        <v>9303</v>
      </c>
      <c r="Q448" t="s">
        <v>1357</v>
      </c>
    </row>
    <row r="449" spans="1:17" x14ac:dyDescent="0.25">
      <c r="A449" t="s">
        <v>452</v>
      </c>
      <c r="B449" t="s">
        <v>453</v>
      </c>
      <c r="C449" t="s">
        <v>454</v>
      </c>
      <c r="D449" t="s">
        <v>919</v>
      </c>
      <c r="E449" s="19">
        <v>971507980647</v>
      </c>
      <c r="F449" t="s">
        <v>452</v>
      </c>
      <c r="G449" t="s">
        <v>849</v>
      </c>
      <c r="P449" t="s">
        <v>9314</v>
      </c>
      <c r="Q449" t="s">
        <v>1347</v>
      </c>
    </row>
    <row r="450" spans="1:17" x14ac:dyDescent="0.25">
      <c r="A450" t="s">
        <v>422</v>
      </c>
      <c r="B450" t="s">
        <v>423</v>
      </c>
      <c r="C450" t="s">
        <v>1063</v>
      </c>
      <c r="D450" t="s">
        <v>919</v>
      </c>
      <c r="E450" s="19">
        <v>971558888573</v>
      </c>
      <c r="F450" t="s">
        <v>422</v>
      </c>
      <c r="G450" t="s">
        <v>839</v>
      </c>
      <c r="P450" t="s">
        <v>9318</v>
      </c>
      <c r="Q450" t="s">
        <v>1357</v>
      </c>
    </row>
    <row r="451" spans="1:17" x14ac:dyDescent="0.25">
      <c r="A451" t="s">
        <v>450</v>
      </c>
      <c r="B451" t="s">
        <v>451</v>
      </c>
      <c r="C451" t="s">
        <v>1062</v>
      </c>
      <c r="D451" t="s">
        <v>919</v>
      </c>
      <c r="E451" s="19">
        <v>971556448625</v>
      </c>
      <c r="F451" t="s">
        <v>450</v>
      </c>
      <c r="G451" t="s">
        <v>854</v>
      </c>
      <c r="P451" t="s">
        <v>9327</v>
      </c>
      <c r="Q451" t="s">
        <v>1357</v>
      </c>
    </row>
    <row r="452" spans="1:17" x14ac:dyDescent="0.25">
      <c r="A452" t="s">
        <v>417</v>
      </c>
      <c r="B452" t="s">
        <v>418</v>
      </c>
      <c r="C452" t="s">
        <v>1061</v>
      </c>
      <c r="D452" t="s">
        <v>919</v>
      </c>
      <c r="E452" s="19">
        <v>971559566343</v>
      </c>
      <c r="F452" t="s">
        <v>417</v>
      </c>
      <c r="G452" t="s">
        <v>849</v>
      </c>
      <c r="P452" t="s">
        <v>9328</v>
      </c>
      <c r="Q452" t="s">
        <v>1357</v>
      </c>
    </row>
    <row r="453" spans="1:17" x14ac:dyDescent="0.25">
      <c r="A453" t="s">
        <v>460</v>
      </c>
      <c r="B453" t="s">
        <v>461</v>
      </c>
      <c r="C453" t="s">
        <v>1060</v>
      </c>
      <c r="D453" t="s">
        <v>786</v>
      </c>
      <c r="E453" s="19">
        <v>97143539646</v>
      </c>
      <c r="F453" t="s">
        <v>460</v>
      </c>
      <c r="G453" t="s">
        <v>844</v>
      </c>
      <c r="P453" t="s">
        <v>9329</v>
      </c>
      <c r="Q453" t="s">
        <v>1357</v>
      </c>
    </row>
    <row r="454" spans="1:17" x14ac:dyDescent="0.25">
      <c r="A454" t="s">
        <v>462</v>
      </c>
      <c r="B454" t="s">
        <v>463</v>
      </c>
      <c r="C454" t="s">
        <v>1059</v>
      </c>
      <c r="D454" t="s">
        <v>786</v>
      </c>
      <c r="E454" s="19">
        <v>971508543948</v>
      </c>
      <c r="F454" t="s">
        <v>462</v>
      </c>
      <c r="G454" t="s">
        <v>844</v>
      </c>
      <c r="P454" t="s">
        <v>9330</v>
      </c>
      <c r="Q454" t="s">
        <v>1357</v>
      </c>
    </row>
    <row r="455" spans="1:17" x14ac:dyDescent="0.25">
      <c r="A455" t="s">
        <v>457</v>
      </c>
      <c r="B455" t="s">
        <v>458</v>
      </c>
      <c r="C455" t="s">
        <v>459</v>
      </c>
      <c r="D455" t="s">
        <v>786</v>
      </c>
      <c r="E455" s="19">
        <v>9715509377137</v>
      </c>
      <c r="F455" t="s">
        <v>457</v>
      </c>
      <c r="G455" t="s">
        <v>844</v>
      </c>
      <c r="P455" t="s">
        <v>9331</v>
      </c>
      <c r="Q455" t="s">
        <v>1357</v>
      </c>
    </row>
    <row r="456" spans="1:17" x14ac:dyDescent="0.25">
      <c r="A456" t="s">
        <v>471</v>
      </c>
      <c r="B456" t="s">
        <v>472</v>
      </c>
      <c r="C456" t="s">
        <v>1058</v>
      </c>
      <c r="D456" t="s">
        <v>919</v>
      </c>
      <c r="E456" s="19">
        <v>971554264190</v>
      </c>
      <c r="F456" t="s">
        <v>471</v>
      </c>
      <c r="G456" t="s">
        <v>849</v>
      </c>
      <c r="P456" t="s">
        <v>9320</v>
      </c>
      <c r="Q456" t="s">
        <v>1347</v>
      </c>
    </row>
    <row r="457" spans="1:17" x14ac:dyDescent="0.25">
      <c r="A457" t="s">
        <v>475</v>
      </c>
      <c r="B457" t="s">
        <v>476</v>
      </c>
      <c r="C457" t="s">
        <v>1057</v>
      </c>
      <c r="D457" t="s">
        <v>919</v>
      </c>
      <c r="E457" s="19">
        <v>97143331148</v>
      </c>
      <c r="F457" t="s">
        <v>475</v>
      </c>
      <c r="G457" t="s">
        <v>839</v>
      </c>
      <c r="P457" t="s">
        <v>9332</v>
      </c>
      <c r="Q457" t="s">
        <v>1357</v>
      </c>
    </row>
    <row r="458" spans="1:17" x14ac:dyDescent="0.25">
      <c r="A458" t="s">
        <v>481</v>
      </c>
      <c r="B458" t="s">
        <v>482</v>
      </c>
      <c r="C458" t="s">
        <v>1056</v>
      </c>
      <c r="D458" t="s">
        <v>919</v>
      </c>
      <c r="E458" s="19">
        <v>97142958100</v>
      </c>
      <c r="F458" t="s">
        <v>481</v>
      </c>
      <c r="G458" t="s">
        <v>849</v>
      </c>
      <c r="P458" t="s">
        <v>9333</v>
      </c>
      <c r="Q458" t="s">
        <v>1357</v>
      </c>
    </row>
    <row r="459" spans="1:17" x14ac:dyDescent="0.25">
      <c r="A459" t="s">
        <v>466</v>
      </c>
      <c r="B459" t="s">
        <v>467</v>
      </c>
      <c r="C459" t="s">
        <v>1055</v>
      </c>
      <c r="D459" t="s">
        <v>919</v>
      </c>
      <c r="E459" s="19">
        <v>971528777727</v>
      </c>
      <c r="F459" t="s">
        <v>466</v>
      </c>
      <c r="G459" t="s">
        <v>849</v>
      </c>
      <c r="P459" t="s">
        <v>9334</v>
      </c>
      <c r="Q459" t="s">
        <v>1357</v>
      </c>
    </row>
    <row r="460" spans="1:17" x14ac:dyDescent="0.25">
      <c r="A460" t="s">
        <v>468</v>
      </c>
      <c r="B460" t="s">
        <v>469</v>
      </c>
      <c r="C460" t="s">
        <v>470</v>
      </c>
      <c r="D460" t="s">
        <v>919</v>
      </c>
      <c r="E460" s="19">
        <v>971506610825</v>
      </c>
      <c r="F460" t="s">
        <v>468</v>
      </c>
      <c r="G460" t="s">
        <v>839</v>
      </c>
      <c r="P460" t="s">
        <v>9335</v>
      </c>
      <c r="Q460" t="s">
        <v>1347</v>
      </c>
    </row>
    <row r="461" spans="1:17" x14ac:dyDescent="0.25">
      <c r="A461" t="s">
        <v>483</v>
      </c>
      <c r="B461" t="s">
        <v>484</v>
      </c>
      <c r="C461" t="s">
        <v>1054</v>
      </c>
      <c r="D461" t="s">
        <v>919</v>
      </c>
      <c r="E461" s="19">
        <v>97143746970</v>
      </c>
      <c r="F461" t="s">
        <v>483</v>
      </c>
      <c r="G461" t="s">
        <v>839</v>
      </c>
      <c r="P461" t="s">
        <v>9336</v>
      </c>
      <c r="Q461" t="s">
        <v>1357</v>
      </c>
    </row>
    <row r="462" spans="1:17" x14ac:dyDescent="0.25">
      <c r="A462" t="s">
        <v>473</v>
      </c>
      <c r="B462" t="s">
        <v>474</v>
      </c>
      <c r="C462" t="s">
        <v>1053</v>
      </c>
      <c r="D462" t="s">
        <v>919</v>
      </c>
      <c r="E462" s="19">
        <v>97148865538</v>
      </c>
      <c r="F462" t="s">
        <v>473</v>
      </c>
      <c r="G462" t="s">
        <v>841</v>
      </c>
      <c r="P462" t="s">
        <v>9346</v>
      </c>
      <c r="Q462" t="s">
        <v>1357</v>
      </c>
    </row>
    <row r="463" spans="1:17" x14ac:dyDescent="0.25">
      <c r="A463" t="s">
        <v>382</v>
      </c>
      <c r="B463" t="s">
        <v>383</v>
      </c>
      <c r="C463" t="s">
        <v>1052</v>
      </c>
      <c r="D463" t="s">
        <v>919</v>
      </c>
      <c r="E463" s="19" t="s">
        <v>384</v>
      </c>
      <c r="F463" t="s">
        <v>382</v>
      </c>
      <c r="G463" t="s">
        <v>839</v>
      </c>
      <c r="P463" t="s">
        <v>9349</v>
      </c>
      <c r="Q463" t="s">
        <v>1357</v>
      </c>
    </row>
    <row r="464" spans="1:17" x14ac:dyDescent="0.25">
      <c r="A464" t="s">
        <v>500</v>
      </c>
      <c r="B464" t="s">
        <v>501</v>
      </c>
      <c r="C464" t="s">
        <v>1051</v>
      </c>
      <c r="D464" t="s">
        <v>786</v>
      </c>
      <c r="E464" s="19">
        <v>971555953504</v>
      </c>
      <c r="F464" t="s">
        <v>500</v>
      </c>
      <c r="G464" t="s">
        <v>844</v>
      </c>
      <c r="P464" t="s">
        <v>9350</v>
      </c>
      <c r="Q464" t="s">
        <v>1357</v>
      </c>
    </row>
    <row r="465" spans="1:17" x14ac:dyDescent="0.25">
      <c r="A465" t="s">
        <v>527</v>
      </c>
      <c r="B465" t="s">
        <v>528</v>
      </c>
      <c r="C465" t="s">
        <v>1050</v>
      </c>
      <c r="D465" t="s">
        <v>919</v>
      </c>
      <c r="E465" s="19">
        <v>97142085609</v>
      </c>
      <c r="F465" t="s">
        <v>527</v>
      </c>
      <c r="G465" t="s">
        <v>845</v>
      </c>
      <c r="P465" t="s">
        <v>8665</v>
      </c>
      <c r="Q465" t="s">
        <v>1357</v>
      </c>
    </row>
    <row r="466" spans="1:17" x14ac:dyDescent="0.25">
      <c r="A466" t="s">
        <v>510</v>
      </c>
      <c r="B466" t="s">
        <v>511</v>
      </c>
      <c r="C466" t="s">
        <v>1049</v>
      </c>
      <c r="D466" t="s">
        <v>919</v>
      </c>
      <c r="E466" s="19">
        <v>971506141301</v>
      </c>
      <c r="F466" t="s">
        <v>510</v>
      </c>
      <c r="G466" t="s">
        <v>1382</v>
      </c>
      <c r="P466" t="s">
        <v>1806</v>
      </c>
      <c r="Q466" t="s">
        <v>1347</v>
      </c>
    </row>
    <row r="467" spans="1:17" x14ac:dyDescent="0.25">
      <c r="A467" t="s">
        <v>525</v>
      </c>
      <c r="B467" t="s">
        <v>526</v>
      </c>
      <c r="C467" t="s">
        <v>1048</v>
      </c>
      <c r="D467" t="s">
        <v>919</v>
      </c>
      <c r="E467" s="19">
        <v>971504648633</v>
      </c>
      <c r="F467" t="s">
        <v>525</v>
      </c>
      <c r="G467" t="s">
        <v>839</v>
      </c>
      <c r="P467" t="s">
        <v>9355</v>
      </c>
      <c r="Q467" t="s">
        <v>1357</v>
      </c>
    </row>
    <row r="468" spans="1:17" ht="15.75" thickBot="1" x14ac:dyDescent="0.3">
      <c r="A468" t="s">
        <v>505</v>
      </c>
      <c r="B468" t="s">
        <v>506</v>
      </c>
      <c r="C468" t="s">
        <v>1047</v>
      </c>
      <c r="D468" t="s">
        <v>919</v>
      </c>
      <c r="E468" s="19">
        <v>971557319117</v>
      </c>
      <c r="F468" t="s">
        <v>505</v>
      </c>
      <c r="G468" t="s">
        <v>838</v>
      </c>
      <c r="P468" t="s">
        <v>9356</v>
      </c>
      <c r="Q468" t="s">
        <v>1347</v>
      </c>
    </row>
    <row r="469" spans="1:17" ht="15.75" thickBot="1" x14ac:dyDescent="0.3">
      <c r="A469" s="20" t="s">
        <v>517</v>
      </c>
      <c r="B469" s="20" t="s">
        <v>518</v>
      </c>
      <c r="C469" s="20" t="s">
        <v>519</v>
      </c>
      <c r="D469" s="20" t="s">
        <v>919</v>
      </c>
      <c r="E469" s="21">
        <v>971506459148</v>
      </c>
      <c r="F469" s="20" t="s">
        <v>517</v>
      </c>
      <c r="G469" s="20" t="s">
        <v>839</v>
      </c>
      <c r="P469" t="s">
        <v>9362</v>
      </c>
      <c r="Q469" t="s">
        <v>1347</v>
      </c>
    </row>
    <row r="470" spans="1:17" ht="15.75" thickBot="1" x14ac:dyDescent="0.3">
      <c r="A470" s="20" t="s">
        <v>529</v>
      </c>
      <c r="B470" s="20" t="s">
        <v>530</v>
      </c>
      <c r="C470" s="20" t="s">
        <v>1046</v>
      </c>
      <c r="D470" s="20" t="s">
        <v>786</v>
      </c>
      <c r="E470" s="21">
        <v>97143323777</v>
      </c>
      <c r="F470" s="20" t="s">
        <v>529</v>
      </c>
      <c r="G470" s="20" t="s">
        <v>844</v>
      </c>
      <c r="P470" t="s">
        <v>9364</v>
      </c>
      <c r="Q470" t="s">
        <v>1347</v>
      </c>
    </row>
    <row r="471" spans="1:17" ht="15.75" thickBot="1" x14ac:dyDescent="0.3">
      <c r="A471" s="20" t="s">
        <v>531</v>
      </c>
      <c r="B471" s="20" t="s">
        <v>532</v>
      </c>
      <c r="C471" s="20" t="s">
        <v>533</v>
      </c>
      <c r="D471" s="20" t="s">
        <v>786</v>
      </c>
      <c r="E471" s="21">
        <v>971556708547</v>
      </c>
      <c r="F471" s="20" t="s">
        <v>531</v>
      </c>
      <c r="G471" s="20" t="s">
        <v>844</v>
      </c>
      <c r="P471" t="s">
        <v>9363</v>
      </c>
      <c r="Q471" t="s">
        <v>1347</v>
      </c>
    </row>
    <row r="472" spans="1:17" ht="15.75" thickBot="1" x14ac:dyDescent="0.3">
      <c r="A472" s="20" t="s">
        <v>362</v>
      </c>
      <c r="B472" s="20" t="s">
        <v>363</v>
      </c>
      <c r="C472" s="20" t="s">
        <v>1045</v>
      </c>
      <c r="D472" s="20" t="s">
        <v>919</v>
      </c>
      <c r="E472" s="21">
        <v>9811044492</v>
      </c>
      <c r="F472" s="20" t="s">
        <v>362</v>
      </c>
      <c r="G472" s="20" t="s">
        <v>839</v>
      </c>
      <c r="P472" t="s">
        <v>9365</v>
      </c>
      <c r="Q472" t="s">
        <v>1347</v>
      </c>
    </row>
    <row r="473" spans="1:17" ht="15.75" thickBot="1" x14ac:dyDescent="0.3">
      <c r="A473" s="20" t="s">
        <v>539</v>
      </c>
      <c r="B473" s="20" t="s">
        <v>540</v>
      </c>
      <c r="C473" s="20" t="s">
        <v>1044</v>
      </c>
      <c r="D473" s="20" t="s">
        <v>786</v>
      </c>
      <c r="E473" s="21">
        <v>97144190397</v>
      </c>
      <c r="F473" s="20" t="s">
        <v>539</v>
      </c>
      <c r="G473" s="20" t="s">
        <v>844</v>
      </c>
      <c r="P473" t="s">
        <v>9367</v>
      </c>
      <c r="Q473" t="s">
        <v>1357</v>
      </c>
    </row>
    <row r="474" spans="1:17" ht="15.75" thickBot="1" x14ac:dyDescent="0.3">
      <c r="A474" s="20" t="s">
        <v>541</v>
      </c>
      <c r="B474" s="20" t="s">
        <v>542</v>
      </c>
      <c r="C474" s="20" t="s">
        <v>543</v>
      </c>
      <c r="D474" s="20" t="s">
        <v>786</v>
      </c>
      <c r="E474" s="21" t="s">
        <v>544</v>
      </c>
      <c r="F474" s="20" t="s">
        <v>541</v>
      </c>
      <c r="G474" s="20" t="s">
        <v>844</v>
      </c>
      <c r="P474" t="s">
        <v>9373</v>
      </c>
      <c r="Q474" t="s">
        <v>1357</v>
      </c>
    </row>
    <row r="475" spans="1:17" ht="15.75" thickBot="1" x14ac:dyDescent="0.3">
      <c r="A475" s="20" t="s">
        <v>545</v>
      </c>
      <c r="B475" s="20" t="s">
        <v>546</v>
      </c>
      <c r="C475" s="20" t="s">
        <v>1043</v>
      </c>
      <c r="D475" s="20" t="s">
        <v>786</v>
      </c>
      <c r="E475" s="21">
        <v>44341255</v>
      </c>
      <c r="F475" s="20" t="s">
        <v>545</v>
      </c>
      <c r="G475" s="20" t="s">
        <v>844</v>
      </c>
      <c r="P475" t="s">
        <v>9374</v>
      </c>
      <c r="Q475" t="s">
        <v>1357</v>
      </c>
    </row>
    <row r="476" spans="1:17" ht="15.75" thickBot="1" x14ac:dyDescent="0.3">
      <c r="A476" s="20" t="s">
        <v>226</v>
      </c>
      <c r="B476" s="20" t="s">
        <v>547</v>
      </c>
      <c r="C476" s="20" t="s">
        <v>543</v>
      </c>
      <c r="D476" s="20" t="s">
        <v>786</v>
      </c>
      <c r="E476" s="21"/>
      <c r="F476" s="20" t="s">
        <v>226</v>
      </c>
      <c r="G476" s="20" t="s">
        <v>844</v>
      </c>
      <c r="P476" t="s">
        <v>9375</v>
      </c>
      <c r="Q476" t="s">
        <v>1357</v>
      </c>
    </row>
    <row r="477" spans="1:17" ht="15.75" thickBot="1" x14ac:dyDescent="0.3">
      <c r="A477" s="20" t="s">
        <v>520</v>
      </c>
      <c r="B477" s="20" t="s">
        <v>521</v>
      </c>
      <c r="C477" s="20" t="s">
        <v>1042</v>
      </c>
      <c r="D477" s="20" t="s">
        <v>919</v>
      </c>
      <c r="E477" s="21">
        <v>971506112594</v>
      </c>
      <c r="F477" s="20" t="s">
        <v>520</v>
      </c>
      <c r="G477" s="20" t="s">
        <v>839</v>
      </c>
      <c r="P477" t="s">
        <v>9376</v>
      </c>
      <c r="Q477" t="s">
        <v>1357</v>
      </c>
    </row>
    <row r="478" spans="1:17" ht="15.75" thickBot="1" x14ac:dyDescent="0.3">
      <c r="A478" s="20" t="s">
        <v>8572</v>
      </c>
      <c r="B478" s="20" t="s">
        <v>581</v>
      </c>
      <c r="C478" s="20" t="s">
        <v>1041</v>
      </c>
      <c r="D478" s="20" t="s">
        <v>919</v>
      </c>
      <c r="E478" s="21">
        <v>97142776336</v>
      </c>
      <c r="F478" s="20" t="s">
        <v>8572</v>
      </c>
      <c r="G478" s="20" t="s">
        <v>841</v>
      </c>
      <c r="P478" t="s">
        <v>9377</v>
      </c>
      <c r="Q478" t="s">
        <v>1357</v>
      </c>
    </row>
    <row r="479" spans="1:17" ht="15.75" thickBot="1" x14ac:dyDescent="0.3">
      <c r="A479" s="20" t="s">
        <v>588</v>
      </c>
      <c r="B479" s="20" t="s">
        <v>589</v>
      </c>
      <c r="C479" s="20" t="s">
        <v>2329</v>
      </c>
      <c r="D479" s="20" t="s">
        <v>919</v>
      </c>
      <c r="E479" s="21">
        <v>971554966275</v>
      </c>
      <c r="F479" s="20" t="s">
        <v>588</v>
      </c>
      <c r="G479" s="20" t="s">
        <v>838</v>
      </c>
      <c r="P479" t="s">
        <v>9378</v>
      </c>
      <c r="Q479" t="s">
        <v>1357</v>
      </c>
    </row>
    <row r="480" spans="1:17" ht="15.75" thickBot="1" x14ac:dyDescent="0.3">
      <c r="A480" s="20" t="s">
        <v>512</v>
      </c>
      <c r="B480" s="20" t="s">
        <v>513</v>
      </c>
      <c r="C480" s="20" t="s">
        <v>1040</v>
      </c>
      <c r="D480" s="20" t="s">
        <v>919</v>
      </c>
      <c r="E480" s="21">
        <v>97142697970</v>
      </c>
      <c r="F480" s="20" t="s">
        <v>512</v>
      </c>
      <c r="G480" s="20" t="s">
        <v>838</v>
      </c>
      <c r="P480" t="s">
        <v>9382</v>
      </c>
      <c r="Q480" t="s">
        <v>1357</v>
      </c>
    </row>
    <row r="481" spans="1:17" ht="15.75" thickBot="1" x14ac:dyDescent="0.3">
      <c r="A481" s="20" t="s">
        <v>563</v>
      </c>
      <c r="B481" s="20" t="s">
        <v>564</v>
      </c>
      <c r="C481" s="20" t="s">
        <v>1039</v>
      </c>
      <c r="D481" s="20" t="s">
        <v>919</v>
      </c>
      <c r="E481" s="21">
        <v>97155343597</v>
      </c>
      <c r="F481" s="20" t="s">
        <v>563</v>
      </c>
      <c r="G481" s="20" t="s">
        <v>838</v>
      </c>
      <c r="P481" t="s">
        <v>9397</v>
      </c>
      <c r="Q481" t="s">
        <v>1357</v>
      </c>
    </row>
    <row r="482" spans="1:17" ht="15.75" thickBot="1" x14ac:dyDescent="0.3">
      <c r="A482" s="20" t="s">
        <v>553</v>
      </c>
      <c r="B482" s="20" t="s">
        <v>554</v>
      </c>
      <c r="C482" s="20" t="s">
        <v>1038</v>
      </c>
      <c r="D482" s="20" t="s">
        <v>919</v>
      </c>
      <c r="E482" s="21">
        <v>971558745694</v>
      </c>
      <c r="F482" s="20" t="s">
        <v>553</v>
      </c>
      <c r="G482" s="20" t="s">
        <v>838</v>
      </c>
      <c r="P482" t="s">
        <v>9400</v>
      </c>
      <c r="Q482" t="s">
        <v>1357</v>
      </c>
    </row>
    <row r="483" spans="1:17" ht="15.75" thickBot="1" x14ac:dyDescent="0.3">
      <c r="A483" s="20" t="s">
        <v>551</v>
      </c>
      <c r="B483" s="20" t="s">
        <v>552</v>
      </c>
      <c r="C483" s="20" t="s">
        <v>1037</v>
      </c>
      <c r="D483" s="20" t="s">
        <v>919</v>
      </c>
      <c r="E483" s="21">
        <v>97143558060</v>
      </c>
      <c r="F483" s="20" t="s">
        <v>551</v>
      </c>
      <c r="G483" s="20" t="s">
        <v>839</v>
      </c>
      <c r="P483" t="s">
        <v>9401</v>
      </c>
      <c r="Q483" t="s">
        <v>1347</v>
      </c>
    </row>
    <row r="484" spans="1:17" ht="15.75" thickBot="1" x14ac:dyDescent="0.3">
      <c r="A484" s="20" t="s">
        <v>570</v>
      </c>
      <c r="B484" s="20" t="s">
        <v>571</v>
      </c>
      <c r="C484" s="20" t="s">
        <v>1036</v>
      </c>
      <c r="D484" s="20" t="s">
        <v>919</v>
      </c>
      <c r="E484" s="21">
        <v>97150656697</v>
      </c>
      <c r="F484" s="20" t="s">
        <v>570</v>
      </c>
      <c r="G484" s="20" t="s">
        <v>839</v>
      </c>
      <c r="P484" t="s">
        <v>9370</v>
      </c>
      <c r="Q484" t="s">
        <v>1347</v>
      </c>
    </row>
    <row r="485" spans="1:17" ht="15.75" thickBot="1" x14ac:dyDescent="0.3">
      <c r="A485" s="20" t="s">
        <v>555</v>
      </c>
      <c r="B485" s="20" t="s">
        <v>556</v>
      </c>
      <c r="C485" s="20" t="s">
        <v>1035</v>
      </c>
      <c r="D485" s="20" t="s">
        <v>919</v>
      </c>
      <c r="E485" s="21">
        <v>97143869111</v>
      </c>
      <c r="F485" s="20" t="s">
        <v>555</v>
      </c>
      <c r="G485" s="20" t="s">
        <v>839</v>
      </c>
      <c r="P485" t="s">
        <v>9412</v>
      </c>
      <c r="Q485" t="s">
        <v>1347</v>
      </c>
    </row>
    <row r="486" spans="1:17" ht="15.75" thickBot="1" x14ac:dyDescent="0.3">
      <c r="A486" s="20" t="s">
        <v>582</v>
      </c>
      <c r="B486" s="20" t="s">
        <v>583</v>
      </c>
      <c r="C486" s="20" t="s">
        <v>584</v>
      </c>
      <c r="D486" s="20" t="s">
        <v>919</v>
      </c>
      <c r="E486" s="21">
        <v>971535960625</v>
      </c>
      <c r="F486" s="20" t="s">
        <v>582</v>
      </c>
      <c r="G486" s="20" t="s">
        <v>839</v>
      </c>
      <c r="P486" t="s">
        <v>9413</v>
      </c>
      <c r="Q486" t="s">
        <v>1357</v>
      </c>
    </row>
    <row r="487" spans="1:17" ht="15.75" thickBot="1" x14ac:dyDescent="0.3">
      <c r="A487" s="20" t="s">
        <v>1381</v>
      </c>
      <c r="B487" s="20" t="s">
        <v>586</v>
      </c>
      <c r="C487" s="20" t="s">
        <v>1032</v>
      </c>
      <c r="D487" s="20" t="s">
        <v>919</v>
      </c>
      <c r="E487" s="21">
        <v>971556536290</v>
      </c>
      <c r="F487" s="20" t="s">
        <v>1381</v>
      </c>
      <c r="G487" s="20" t="s">
        <v>841</v>
      </c>
      <c r="P487" t="s">
        <v>9443</v>
      </c>
      <c r="Q487" t="s">
        <v>1347</v>
      </c>
    </row>
    <row r="488" spans="1:17" ht="15.75" thickBot="1" x14ac:dyDescent="0.3">
      <c r="A488" s="20" t="s">
        <v>590</v>
      </c>
      <c r="B488" s="20" t="s">
        <v>591</v>
      </c>
      <c r="C488" s="20" t="s">
        <v>1034</v>
      </c>
      <c r="D488" s="20" t="s">
        <v>786</v>
      </c>
      <c r="E488" s="21">
        <v>43519838</v>
      </c>
      <c r="F488" s="20" t="s">
        <v>590</v>
      </c>
      <c r="G488" s="20" t="s">
        <v>844</v>
      </c>
      <c r="P488" t="s">
        <v>9444</v>
      </c>
      <c r="Q488" t="s">
        <v>1357</v>
      </c>
    </row>
    <row r="489" spans="1:17" ht="15.75" thickBot="1" x14ac:dyDescent="0.3">
      <c r="A489" s="20" t="s">
        <v>585</v>
      </c>
      <c r="B489" s="20" t="s">
        <v>587</v>
      </c>
      <c r="C489" s="20" t="s">
        <v>1032</v>
      </c>
      <c r="D489" s="20" t="s">
        <v>919</v>
      </c>
      <c r="E489" s="21">
        <v>971556536290</v>
      </c>
      <c r="F489" s="20" t="s">
        <v>585</v>
      </c>
      <c r="G489" s="20" t="s">
        <v>841</v>
      </c>
      <c r="P489" t="s">
        <v>9453</v>
      </c>
      <c r="Q489" t="s">
        <v>1347</v>
      </c>
    </row>
    <row r="490" spans="1:17" ht="15.75" thickBot="1" x14ac:dyDescent="0.3">
      <c r="A490" s="20" t="s">
        <v>585</v>
      </c>
      <c r="B490" s="20" t="s">
        <v>587</v>
      </c>
      <c r="C490" s="20" t="s">
        <v>1033</v>
      </c>
      <c r="D490" s="20" t="s">
        <v>919</v>
      </c>
      <c r="E490" s="21">
        <v>97143706767</v>
      </c>
      <c r="F490" s="20" t="s">
        <v>585</v>
      </c>
      <c r="G490" s="20" t="s">
        <v>841</v>
      </c>
      <c r="P490" t="s">
        <v>9440</v>
      </c>
      <c r="Q490" t="s">
        <v>1357</v>
      </c>
    </row>
    <row r="491" spans="1:17" ht="15.75" thickBot="1" x14ac:dyDescent="0.3">
      <c r="A491" s="20" t="s">
        <v>559</v>
      </c>
      <c r="B491" s="20" t="s">
        <v>560</v>
      </c>
      <c r="C491" s="20" t="s">
        <v>1031</v>
      </c>
      <c r="D491" s="20" t="s">
        <v>919</v>
      </c>
      <c r="E491" s="21">
        <v>97143554222</v>
      </c>
      <c r="F491" s="20" t="s">
        <v>559</v>
      </c>
      <c r="G491" s="20" t="s">
        <v>841</v>
      </c>
      <c r="P491" t="s">
        <v>9459</v>
      </c>
      <c r="Q491" t="s">
        <v>1357</v>
      </c>
    </row>
    <row r="492" spans="1:17" ht="15.75" thickBot="1" x14ac:dyDescent="0.3">
      <c r="A492" s="20" t="s">
        <v>522</v>
      </c>
      <c r="B492" s="20" t="s">
        <v>523</v>
      </c>
      <c r="C492" s="20" t="s">
        <v>524</v>
      </c>
      <c r="D492" s="20" t="s">
        <v>919</v>
      </c>
      <c r="E492" s="21">
        <v>97143384423</v>
      </c>
      <c r="F492" s="20" t="s">
        <v>522</v>
      </c>
      <c r="G492" s="20" t="s">
        <v>839</v>
      </c>
      <c r="P492" t="s">
        <v>9460</v>
      </c>
      <c r="Q492" t="s">
        <v>1357</v>
      </c>
    </row>
    <row r="493" spans="1:17" ht="15.75" thickBot="1" x14ac:dyDescent="0.3">
      <c r="A493" s="20" t="s">
        <v>572</v>
      </c>
      <c r="B493" s="20" t="s">
        <v>573</v>
      </c>
      <c r="C493" s="20" t="s">
        <v>1030</v>
      </c>
      <c r="D493" s="20" t="s">
        <v>919</v>
      </c>
      <c r="E493" s="21">
        <v>97155939499</v>
      </c>
      <c r="F493" s="20" t="s">
        <v>572</v>
      </c>
      <c r="G493" s="20" t="s">
        <v>838</v>
      </c>
      <c r="P493" t="s">
        <v>9471</v>
      </c>
      <c r="Q493" t="s">
        <v>1357</v>
      </c>
    </row>
    <row r="494" spans="1:17" ht="15.75" thickBot="1" x14ac:dyDescent="0.3">
      <c r="A494" s="20" t="s">
        <v>557</v>
      </c>
      <c r="B494" s="20" t="s">
        <v>558</v>
      </c>
      <c r="C494" s="20" t="s">
        <v>1029</v>
      </c>
      <c r="D494" s="20" t="s">
        <v>919</v>
      </c>
      <c r="E494" s="21">
        <v>971503985899</v>
      </c>
      <c r="F494" s="20" t="s">
        <v>557</v>
      </c>
      <c r="G494" s="20" t="s">
        <v>838</v>
      </c>
      <c r="P494" t="s">
        <v>9472</v>
      </c>
      <c r="Q494" t="s">
        <v>1357</v>
      </c>
    </row>
    <row r="495" spans="1:17" ht="15.75" thickBot="1" x14ac:dyDescent="0.3">
      <c r="A495" s="20" t="s">
        <v>565</v>
      </c>
      <c r="B495" s="20" t="s">
        <v>566</v>
      </c>
      <c r="C495" s="20" t="s">
        <v>1028</v>
      </c>
      <c r="D495" s="20" t="s">
        <v>919</v>
      </c>
      <c r="E495" s="21">
        <v>971506950850</v>
      </c>
      <c r="F495" s="20" t="s">
        <v>565</v>
      </c>
      <c r="G495" s="20" t="s">
        <v>839</v>
      </c>
      <c r="P495" t="s">
        <v>9475</v>
      </c>
      <c r="Q495" t="s">
        <v>1357</v>
      </c>
    </row>
    <row r="496" spans="1:17" ht="15.75" thickBot="1" x14ac:dyDescent="0.3">
      <c r="A496" s="20" t="s">
        <v>594</v>
      </c>
      <c r="B496" s="20" t="s">
        <v>595</v>
      </c>
      <c r="C496" s="20" t="s">
        <v>1027</v>
      </c>
      <c r="D496" s="20" t="s">
        <v>786</v>
      </c>
      <c r="E496" s="21">
        <v>97143516181</v>
      </c>
      <c r="F496" s="20" t="s">
        <v>594</v>
      </c>
      <c r="G496" s="20" t="s">
        <v>844</v>
      </c>
      <c r="P496" t="s">
        <v>9484</v>
      </c>
      <c r="Q496" t="s">
        <v>1357</v>
      </c>
    </row>
    <row r="497" spans="1:17" ht="15.75" thickBot="1" x14ac:dyDescent="0.3">
      <c r="A497" s="20" t="s">
        <v>596</v>
      </c>
      <c r="B497" s="20" t="s">
        <v>597</v>
      </c>
      <c r="C497" s="20" t="s">
        <v>598</v>
      </c>
      <c r="D497" s="20" t="s">
        <v>786</v>
      </c>
      <c r="E497" s="21"/>
      <c r="F497" s="20" t="s">
        <v>596</v>
      </c>
      <c r="G497" s="20" t="s">
        <v>844</v>
      </c>
      <c r="P497" t="s">
        <v>9519</v>
      </c>
      <c r="Q497" t="s">
        <v>1357</v>
      </c>
    </row>
    <row r="498" spans="1:17" ht="15.75" thickBot="1" x14ac:dyDescent="0.3">
      <c r="A498" s="20" t="s">
        <v>603</v>
      </c>
      <c r="B498" s="20" t="s">
        <v>604</v>
      </c>
      <c r="C498" s="20" t="s">
        <v>605</v>
      </c>
      <c r="D498" s="20" t="s">
        <v>786</v>
      </c>
      <c r="E498" s="21">
        <v>971505517343</v>
      </c>
      <c r="F498" s="20" t="s">
        <v>603</v>
      </c>
      <c r="G498" s="20" t="s">
        <v>844</v>
      </c>
      <c r="P498" t="s">
        <v>9520</v>
      </c>
      <c r="Q498" t="s">
        <v>1357</v>
      </c>
    </row>
    <row r="499" spans="1:17" ht="15.75" thickBot="1" x14ac:dyDescent="0.3">
      <c r="A499" s="20" t="s">
        <v>608</v>
      </c>
      <c r="B499" s="20" t="s">
        <v>609</v>
      </c>
      <c r="C499" s="20" t="s">
        <v>1026</v>
      </c>
      <c r="D499" s="20" t="s">
        <v>919</v>
      </c>
      <c r="E499" s="21">
        <v>919819777200</v>
      </c>
      <c r="F499" s="20" t="s">
        <v>608</v>
      </c>
      <c r="G499" s="20" t="s">
        <v>839</v>
      </c>
      <c r="P499" t="s">
        <v>9521</v>
      </c>
      <c r="Q499" t="s">
        <v>1357</v>
      </c>
    </row>
    <row r="500" spans="1:17" ht="15.75" thickBot="1" x14ac:dyDescent="0.3">
      <c r="A500" s="20" t="s">
        <v>577</v>
      </c>
      <c r="B500" s="20" t="s">
        <v>578</v>
      </c>
      <c r="C500" s="20" t="s">
        <v>1025</v>
      </c>
      <c r="D500" s="20" t="s">
        <v>919</v>
      </c>
      <c r="E500" s="21">
        <v>971552222267</v>
      </c>
      <c r="F500" s="20" t="s">
        <v>577</v>
      </c>
      <c r="G500" s="20" t="s">
        <v>841</v>
      </c>
      <c r="P500" t="s">
        <v>9522</v>
      </c>
      <c r="Q500" t="s">
        <v>1357</v>
      </c>
    </row>
    <row r="501" spans="1:17" ht="15.75" thickBot="1" x14ac:dyDescent="0.3">
      <c r="A501" s="20" t="s">
        <v>485</v>
      </c>
      <c r="B501" s="20" t="s">
        <v>486</v>
      </c>
      <c r="C501" s="20" t="s">
        <v>1024</v>
      </c>
      <c r="D501" s="20" t="s">
        <v>786</v>
      </c>
      <c r="E501" s="21" t="s">
        <v>487</v>
      </c>
      <c r="F501" s="20" t="s">
        <v>485</v>
      </c>
      <c r="G501" s="20" t="s">
        <v>844</v>
      </c>
      <c r="P501" t="s">
        <v>9523</v>
      </c>
      <c r="Q501" t="s">
        <v>1357</v>
      </c>
    </row>
    <row r="502" spans="1:17" ht="15.75" thickBot="1" x14ac:dyDescent="0.3">
      <c r="A502" s="20" t="s">
        <v>606</v>
      </c>
      <c r="B502" s="20" t="s">
        <v>607</v>
      </c>
      <c r="C502" s="20" t="s">
        <v>1023</v>
      </c>
      <c r="D502" s="20" t="s">
        <v>919</v>
      </c>
      <c r="E502" s="21">
        <v>971506565807</v>
      </c>
      <c r="F502" s="20" t="s">
        <v>606</v>
      </c>
      <c r="G502" s="20" t="s">
        <v>848</v>
      </c>
      <c r="P502" t="s">
        <v>9524</v>
      </c>
      <c r="Q502" t="s">
        <v>1357</v>
      </c>
    </row>
    <row r="503" spans="1:17" ht="15.75" thickBot="1" x14ac:dyDescent="0.3">
      <c r="A503" s="20" t="s">
        <v>610</v>
      </c>
      <c r="B503" s="20" t="s">
        <v>611</v>
      </c>
      <c r="C503" s="20" t="s">
        <v>2260</v>
      </c>
      <c r="D503" s="20" t="s">
        <v>786</v>
      </c>
      <c r="E503" s="21"/>
      <c r="F503" s="20" t="s">
        <v>610</v>
      </c>
      <c r="G503" s="20" t="s">
        <v>844</v>
      </c>
      <c r="P503" t="s">
        <v>9525</v>
      </c>
      <c r="Q503" t="s">
        <v>1357</v>
      </c>
    </row>
    <row r="504" spans="1:17" ht="15.75" thickBot="1" x14ac:dyDescent="0.3">
      <c r="A504" s="20" t="s">
        <v>612</v>
      </c>
      <c r="B504" s="20" t="s">
        <v>613</v>
      </c>
      <c r="C504" s="20" t="s">
        <v>1022</v>
      </c>
      <c r="D504" s="20" t="s">
        <v>786</v>
      </c>
      <c r="E504" s="21"/>
      <c r="F504" s="20" t="s">
        <v>612</v>
      </c>
      <c r="G504" s="20" t="s">
        <v>844</v>
      </c>
      <c r="P504" t="s">
        <v>9526</v>
      </c>
      <c r="Q504" t="s">
        <v>1357</v>
      </c>
    </row>
    <row r="505" spans="1:17" ht="15.75" thickBot="1" x14ac:dyDescent="0.3">
      <c r="A505" s="20" t="s">
        <v>614</v>
      </c>
      <c r="B505" s="20" t="s">
        <v>615</v>
      </c>
      <c r="C505" s="20" t="s">
        <v>1021</v>
      </c>
      <c r="D505" s="20" t="s">
        <v>786</v>
      </c>
      <c r="E505" s="21"/>
      <c r="F505" s="20" t="s">
        <v>614</v>
      </c>
      <c r="G505" s="20" t="s">
        <v>844</v>
      </c>
      <c r="P505" t="s">
        <v>9527</v>
      </c>
      <c r="Q505" t="s">
        <v>1357</v>
      </c>
    </row>
    <row r="506" spans="1:17" ht="15.75" thickBot="1" x14ac:dyDescent="0.3">
      <c r="A506" s="20" t="s">
        <v>616</v>
      </c>
      <c r="B506" s="20" t="s">
        <v>617</v>
      </c>
      <c r="C506" s="20" t="s">
        <v>1020</v>
      </c>
      <c r="D506" s="20" t="s">
        <v>786</v>
      </c>
      <c r="E506" s="21"/>
      <c r="F506" s="20" t="s">
        <v>616</v>
      </c>
      <c r="G506" s="20" t="s">
        <v>844</v>
      </c>
      <c r="P506" t="s">
        <v>9528</v>
      </c>
      <c r="Q506" t="s">
        <v>1357</v>
      </c>
    </row>
    <row r="507" spans="1:17" ht="15.75" thickBot="1" x14ac:dyDescent="0.3">
      <c r="A507" s="20" t="s">
        <v>618</v>
      </c>
      <c r="B507" s="20" t="s">
        <v>619</v>
      </c>
      <c r="C507" s="20" t="s">
        <v>1019</v>
      </c>
      <c r="D507" s="20" t="s">
        <v>786</v>
      </c>
      <c r="E507" s="21"/>
      <c r="F507" s="20" t="s">
        <v>618</v>
      </c>
      <c r="G507" s="20" t="s">
        <v>844</v>
      </c>
      <c r="P507" t="s">
        <v>9428</v>
      </c>
      <c r="Q507" t="s">
        <v>1357</v>
      </c>
    </row>
    <row r="508" spans="1:17" ht="15.75" thickBot="1" x14ac:dyDescent="0.3">
      <c r="A508" s="20" t="s">
        <v>419</v>
      </c>
      <c r="B508" s="20" t="s">
        <v>420</v>
      </c>
      <c r="C508" s="20" t="s">
        <v>421</v>
      </c>
      <c r="D508" s="20" t="s">
        <v>919</v>
      </c>
      <c r="E508" s="21">
        <v>971551096872</v>
      </c>
      <c r="F508" s="20" t="s">
        <v>419</v>
      </c>
      <c r="G508" s="20" t="s">
        <v>839</v>
      </c>
      <c r="P508" t="s">
        <v>9156</v>
      </c>
      <c r="Q508" t="s">
        <v>1357</v>
      </c>
    </row>
    <row r="509" spans="1:17" ht="15.75" thickBot="1" x14ac:dyDescent="0.3">
      <c r="A509" s="20" t="s">
        <v>561</v>
      </c>
      <c r="B509" s="20" t="s">
        <v>562</v>
      </c>
      <c r="C509" s="20" t="s">
        <v>1380</v>
      </c>
      <c r="D509" s="20" t="s">
        <v>919</v>
      </c>
      <c r="E509" s="21">
        <v>971503026840</v>
      </c>
      <c r="F509" s="20" t="s">
        <v>561</v>
      </c>
      <c r="G509" s="20" t="s">
        <v>839</v>
      </c>
      <c r="P509" t="s">
        <v>9403</v>
      </c>
      <c r="Q509" t="s">
        <v>1357</v>
      </c>
    </row>
    <row r="510" spans="1:17" ht="15.75" thickBot="1" x14ac:dyDescent="0.3">
      <c r="A510" s="20" t="s">
        <v>622</v>
      </c>
      <c r="B510" s="20" t="s">
        <v>623</v>
      </c>
      <c r="C510" s="20" t="s">
        <v>624</v>
      </c>
      <c r="D510" s="20" t="s">
        <v>786</v>
      </c>
      <c r="E510" s="21">
        <v>97142247668</v>
      </c>
      <c r="F510" s="20" t="s">
        <v>622</v>
      </c>
      <c r="G510" s="20" t="s">
        <v>844</v>
      </c>
      <c r="P510" t="s">
        <v>9532</v>
      </c>
      <c r="Q510" t="s">
        <v>1357</v>
      </c>
    </row>
    <row r="511" spans="1:17" ht="15.75" thickBot="1" x14ac:dyDescent="0.3">
      <c r="A511" s="20" t="s">
        <v>696</v>
      </c>
      <c r="B511" s="20" t="s">
        <v>697</v>
      </c>
      <c r="C511" s="20" t="s">
        <v>698</v>
      </c>
      <c r="D511" s="20" t="s">
        <v>786</v>
      </c>
      <c r="E511" s="21"/>
      <c r="F511" s="20" t="s">
        <v>696</v>
      </c>
      <c r="G511" s="20" t="s">
        <v>844</v>
      </c>
      <c r="P511" t="s">
        <v>9535</v>
      </c>
      <c r="Q511" t="s">
        <v>1357</v>
      </c>
    </row>
    <row r="512" spans="1:17" ht="15.75" thickBot="1" x14ac:dyDescent="0.3">
      <c r="A512" s="20" t="s">
        <v>699</v>
      </c>
      <c r="B512" s="20" t="s">
        <v>700</v>
      </c>
      <c r="C512" s="20" t="s">
        <v>698</v>
      </c>
      <c r="D512" s="20" t="s">
        <v>786</v>
      </c>
      <c r="E512" s="21"/>
      <c r="F512" s="20" t="s">
        <v>699</v>
      </c>
      <c r="G512" s="20" t="s">
        <v>844</v>
      </c>
      <c r="P512" t="s">
        <v>9255</v>
      </c>
      <c r="Q512" t="s">
        <v>1357</v>
      </c>
    </row>
    <row r="513" spans="1:17" ht="15.75" thickBot="1" x14ac:dyDescent="0.3">
      <c r="A513" s="20" t="s">
        <v>691</v>
      </c>
      <c r="B513" s="20" t="s">
        <v>692</v>
      </c>
      <c r="C513" s="20" t="s">
        <v>1018</v>
      </c>
      <c r="D513" s="20" t="s">
        <v>786</v>
      </c>
      <c r="E513" s="21">
        <v>97126776222</v>
      </c>
      <c r="F513" s="20" t="s">
        <v>691</v>
      </c>
      <c r="G513" s="20" t="s">
        <v>844</v>
      </c>
      <c r="P513" t="s">
        <v>9361</v>
      </c>
      <c r="Q513" t="s">
        <v>1347</v>
      </c>
    </row>
    <row r="514" spans="1:17" ht="15.75" thickBot="1" x14ac:dyDescent="0.3">
      <c r="A514" s="20" t="s">
        <v>701</v>
      </c>
      <c r="B514" s="20" t="s">
        <v>702</v>
      </c>
      <c r="C514" s="20" t="s">
        <v>703</v>
      </c>
      <c r="D514" s="20" t="s">
        <v>786</v>
      </c>
      <c r="E514" s="21">
        <v>97142287887</v>
      </c>
      <c r="F514" s="20" t="s">
        <v>701</v>
      </c>
      <c r="G514" s="20" t="s">
        <v>844</v>
      </c>
      <c r="P514" t="s">
        <v>9478</v>
      </c>
      <c r="Q514" t="s">
        <v>1347</v>
      </c>
    </row>
    <row r="515" spans="1:17" ht="15.75" thickBot="1" x14ac:dyDescent="0.3">
      <c r="A515" s="20" t="s">
        <v>704</v>
      </c>
      <c r="B515" s="20" t="s">
        <v>705</v>
      </c>
      <c r="C515" s="20" t="s">
        <v>698</v>
      </c>
      <c r="D515" s="20" t="s">
        <v>786</v>
      </c>
      <c r="E515" s="21"/>
      <c r="F515" s="20" t="s">
        <v>704</v>
      </c>
      <c r="G515" s="20" t="s">
        <v>844</v>
      </c>
      <c r="P515" t="s">
        <v>9323</v>
      </c>
      <c r="Q515" t="s">
        <v>1347</v>
      </c>
    </row>
    <row r="516" spans="1:17" ht="15.75" thickBot="1" x14ac:dyDescent="0.3">
      <c r="A516" s="20" t="s">
        <v>664</v>
      </c>
      <c r="B516" s="20" t="s">
        <v>665</v>
      </c>
      <c r="C516" s="20" t="s">
        <v>1017</v>
      </c>
      <c r="D516" s="20" t="s">
        <v>919</v>
      </c>
      <c r="E516" s="21">
        <v>971044473106</v>
      </c>
      <c r="F516" s="20" t="s">
        <v>664</v>
      </c>
      <c r="G516" s="20" t="s">
        <v>839</v>
      </c>
      <c r="P516" t="s">
        <v>2598</v>
      </c>
      <c r="Q516" t="s">
        <v>1347</v>
      </c>
    </row>
    <row r="517" spans="1:17" ht="15.75" thickBot="1" x14ac:dyDescent="0.3">
      <c r="A517" s="20" t="s">
        <v>635</v>
      </c>
      <c r="B517" s="20" t="s">
        <v>636</v>
      </c>
      <c r="C517" s="20" t="s">
        <v>1016</v>
      </c>
      <c r="D517" s="20" t="s">
        <v>919</v>
      </c>
      <c r="E517" s="21">
        <v>971559915850</v>
      </c>
      <c r="F517" s="20" t="s">
        <v>635</v>
      </c>
      <c r="G517" s="20" t="s">
        <v>838</v>
      </c>
      <c r="P517" t="s">
        <v>9553</v>
      </c>
      <c r="Q517" t="s">
        <v>1357</v>
      </c>
    </row>
    <row r="518" spans="1:17" ht="15.75" thickBot="1" x14ac:dyDescent="0.3">
      <c r="A518" s="20" t="s">
        <v>682</v>
      </c>
      <c r="B518" s="20" t="s">
        <v>683</v>
      </c>
      <c r="C518" s="20" t="s">
        <v>1015</v>
      </c>
      <c r="D518" s="20" t="s">
        <v>919</v>
      </c>
      <c r="E518" s="21">
        <v>971528489145</v>
      </c>
      <c r="F518" s="20" t="s">
        <v>682</v>
      </c>
      <c r="G518" s="20" t="s">
        <v>846</v>
      </c>
      <c r="P518" t="s">
        <v>9562</v>
      </c>
      <c r="Q518" t="s">
        <v>1357</v>
      </c>
    </row>
    <row r="519" spans="1:17" ht="15.75" thickBot="1" x14ac:dyDescent="0.3">
      <c r="A519" s="20" t="s">
        <v>628</v>
      </c>
      <c r="B519" s="20" t="s">
        <v>637</v>
      </c>
      <c r="C519" s="20" t="s">
        <v>1014</v>
      </c>
      <c r="D519" s="20" t="s">
        <v>919</v>
      </c>
      <c r="E519" s="21">
        <v>971553061453</v>
      </c>
      <c r="F519" s="20" t="s">
        <v>628</v>
      </c>
      <c r="G519" s="20" t="s">
        <v>838</v>
      </c>
      <c r="P519" t="s">
        <v>9563</v>
      </c>
      <c r="Q519" t="s">
        <v>1357</v>
      </c>
    </row>
    <row r="520" spans="1:17" ht="15.75" thickBot="1" x14ac:dyDescent="0.3">
      <c r="A520" s="20" t="s">
        <v>684</v>
      </c>
      <c r="B520" s="20" t="s">
        <v>685</v>
      </c>
      <c r="C520" s="20" t="s">
        <v>1013</v>
      </c>
      <c r="D520" s="20" t="s">
        <v>919</v>
      </c>
      <c r="E520" s="21">
        <v>971558475906</v>
      </c>
      <c r="F520" s="20" t="s">
        <v>684</v>
      </c>
      <c r="G520" s="20" t="s">
        <v>838</v>
      </c>
      <c r="P520" t="s">
        <v>9579</v>
      </c>
      <c r="Q520" t="s">
        <v>1357</v>
      </c>
    </row>
    <row r="521" spans="1:17" ht="15.75" thickBot="1" x14ac:dyDescent="0.3">
      <c r="A521" s="20" t="s">
        <v>669</v>
      </c>
      <c r="B521" s="20" t="s">
        <v>670</v>
      </c>
      <c r="C521" s="20" t="s">
        <v>1012</v>
      </c>
      <c r="D521" s="20" t="s">
        <v>919</v>
      </c>
      <c r="E521" s="21">
        <v>971501007260</v>
      </c>
      <c r="F521" s="20" t="s">
        <v>669</v>
      </c>
      <c r="G521" s="20" t="s">
        <v>839</v>
      </c>
      <c r="P521" t="s">
        <v>9548</v>
      </c>
      <c r="Q521" t="s">
        <v>1347</v>
      </c>
    </row>
    <row r="522" spans="1:17" ht="15.75" thickBot="1" x14ac:dyDescent="0.3">
      <c r="A522" s="20" t="s">
        <v>1379</v>
      </c>
      <c r="B522" s="20" t="s">
        <v>713</v>
      </c>
      <c r="C522" s="20" t="s">
        <v>1011</v>
      </c>
      <c r="D522" s="20" t="s">
        <v>786</v>
      </c>
      <c r="E522" s="21">
        <v>97143882340</v>
      </c>
      <c r="F522" s="20" t="s">
        <v>1379</v>
      </c>
      <c r="G522" s="20" t="s">
        <v>844</v>
      </c>
      <c r="P522" t="s">
        <v>1813</v>
      </c>
      <c r="Q522" t="s">
        <v>1347</v>
      </c>
    </row>
    <row r="523" spans="1:17" ht="15.75" thickBot="1" x14ac:dyDescent="0.3">
      <c r="A523" s="20" t="s">
        <v>1378</v>
      </c>
      <c r="B523" s="20" t="s">
        <v>663</v>
      </c>
      <c r="C523" s="20" t="s">
        <v>1010</v>
      </c>
      <c r="D523" s="20" t="s">
        <v>919</v>
      </c>
      <c r="E523" s="21">
        <v>971554666183</v>
      </c>
      <c r="F523" s="20" t="s">
        <v>1378</v>
      </c>
      <c r="G523" s="20" t="s">
        <v>839</v>
      </c>
      <c r="P523" t="s">
        <v>8774</v>
      </c>
      <c r="Q523" t="s">
        <v>1357</v>
      </c>
    </row>
    <row r="524" spans="1:17" x14ac:dyDescent="0.25">
      <c r="A524" t="s">
        <v>1377</v>
      </c>
      <c r="B524" t="s">
        <v>727</v>
      </c>
      <c r="C524" t="s">
        <v>1009</v>
      </c>
      <c r="D524" t="s">
        <v>786</v>
      </c>
      <c r="E524" s="19">
        <v>971800275223</v>
      </c>
      <c r="F524" t="s">
        <v>1377</v>
      </c>
      <c r="G524" t="s">
        <v>844</v>
      </c>
      <c r="P524" t="s">
        <v>10146</v>
      </c>
      <c r="Q524" t="s">
        <v>1357</v>
      </c>
    </row>
    <row r="525" spans="1:17" x14ac:dyDescent="0.25">
      <c r="A525" t="s">
        <v>1374</v>
      </c>
      <c r="B525" t="s">
        <v>680</v>
      </c>
      <c r="C525" t="s">
        <v>1008</v>
      </c>
      <c r="D525" t="s">
        <v>919</v>
      </c>
      <c r="E525" s="19">
        <v>971504507542</v>
      </c>
      <c r="F525" t="s">
        <v>1374</v>
      </c>
      <c r="G525" t="s">
        <v>839</v>
      </c>
      <c r="P525" t="s">
        <v>10147</v>
      </c>
      <c r="Q525" t="s">
        <v>1357</v>
      </c>
    </row>
    <row r="526" spans="1:17" x14ac:dyDescent="0.25">
      <c r="A526" t="s">
        <v>1373</v>
      </c>
      <c r="B526" t="s">
        <v>638</v>
      </c>
      <c r="C526" t="s">
        <v>1007</v>
      </c>
      <c r="D526" t="s">
        <v>919</v>
      </c>
      <c r="E526" s="19">
        <v>971553994712</v>
      </c>
      <c r="F526" t="s">
        <v>1373</v>
      </c>
      <c r="G526" t="s">
        <v>837</v>
      </c>
      <c r="P526" t="s">
        <v>10148</v>
      </c>
      <c r="Q526" t="s">
        <v>1357</v>
      </c>
    </row>
    <row r="527" spans="1:17" x14ac:dyDescent="0.25">
      <c r="A527" t="s">
        <v>677</v>
      </c>
      <c r="B527" t="s">
        <v>678</v>
      </c>
      <c r="C527" t="s">
        <v>679</v>
      </c>
      <c r="D527" t="s">
        <v>919</v>
      </c>
      <c r="E527" s="19">
        <v>97142666557</v>
      </c>
      <c r="F527" t="s">
        <v>677</v>
      </c>
      <c r="G527" t="s">
        <v>839</v>
      </c>
      <c r="P527" t="s">
        <v>10149</v>
      </c>
      <c r="Q527" t="s">
        <v>1347</v>
      </c>
    </row>
    <row r="528" spans="1:17" x14ac:dyDescent="0.25">
      <c r="A528" t="s">
        <v>627</v>
      </c>
      <c r="B528" t="s">
        <v>640</v>
      </c>
      <c r="C528" t="s">
        <v>1006</v>
      </c>
      <c r="D528" t="s">
        <v>919</v>
      </c>
      <c r="E528" s="19">
        <v>971507401830</v>
      </c>
      <c r="F528" t="s">
        <v>627</v>
      </c>
      <c r="G528" t="s">
        <v>838</v>
      </c>
      <c r="P528" t="s">
        <v>10114</v>
      </c>
      <c r="Q528" t="s">
        <v>1347</v>
      </c>
    </row>
    <row r="529" spans="1:17" x14ac:dyDescent="0.25">
      <c r="A529" t="s">
        <v>641</v>
      </c>
      <c r="B529" t="s">
        <v>642</v>
      </c>
      <c r="C529" t="s">
        <v>1005</v>
      </c>
      <c r="D529" t="s">
        <v>919</v>
      </c>
      <c r="E529" s="19">
        <v>971502941058</v>
      </c>
      <c r="F529" t="s">
        <v>641</v>
      </c>
      <c r="G529" t="s">
        <v>838</v>
      </c>
      <c r="P529" t="s">
        <v>10115</v>
      </c>
      <c r="Q529" t="s">
        <v>1347</v>
      </c>
    </row>
    <row r="530" spans="1:17" x14ac:dyDescent="0.25">
      <c r="A530" t="s">
        <v>643</v>
      </c>
      <c r="B530" t="s">
        <v>644</v>
      </c>
      <c r="C530" t="s">
        <v>1004</v>
      </c>
      <c r="D530" t="s">
        <v>919</v>
      </c>
      <c r="E530" s="19">
        <v>971558883784</v>
      </c>
      <c r="F530" t="s">
        <v>643</v>
      </c>
      <c r="G530" t="s">
        <v>838</v>
      </c>
      <c r="P530" t="s">
        <v>10150</v>
      </c>
      <c r="Q530" t="s">
        <v>1357</v>
      </c>
    </row>
    <row r="531" spans="1:17" x14ac:dyDescent="0.25">
      <c r="A531" t="s">
        <v>1372</v>
      </c>
      <c r="B531" t="s">
        <v>639</v>
      </c>
      <c r="C531" t="s">
        <v>1003</v>
      </c>
      <c r="D531" t="s">
        <v>919</v>
      </c>
      <c r="E531" s="19">
        <v>971525620399</v>
      </c>
      <c r="F531" t="s">
        <v>1372</v>
      </c>
      <c r="G531" t="s">
        <v>847</v>
      </c>
      <c r="P531" t="s">
        <v>10151</v>
      </c>
      <c r="Q531" t="s">
        <v>1357</v>
      </c>
    </row>
    <row r="532" spans="1:17" x14ac:dyDescent="0.25">
      <c r="A532" t="s">
        <v>645</v>
      </c>
      <c r="B532" t="s">
        <v>646</v>
      </c>
      <c r="C532" t="s">
        <v>1002</v>
      </c>
      <c r="D532" t="s">
        <v>919</v>
      </c>
      <c r="E532" s="19">
        <v>971505681124</v>
      </c>
      <c r="F532" t="s">
        <v>645</v>
      </c>
      <c r="G532" t="s">
        <v>838</v>
      </c>
      <c r="P532" t="s">
        <v>10152</v>
      </c>
      <c r="Q532" t="s">
        <v>1357</v>
      </c>
    </row>
    <row r="533" spans="1:17" x14ac:dyDescent="0.25">
      <c r="A533" t="s">
        <v>2343</v>
      </c>
      <c r="B533" t="s">
        <v>2344</v>
      </c>
      <c r="C533" t="s">
        <v>1002</v>
      </c>
      <c r="D533" t="s">
        <v>919</v>
      </c>
      <c r="E533" s="19">
        <v>971505681124</v>
      </c>
      <c r="F533" t="s">
        <v>2343</v>
      </c>
      <c r="G533" t="s">
        <v>839</v>
      </c>
      <c r="P533" t="s">
        <v>10153</v>
      </c>
      <c r="Q533" t="s">
        <v>1357</v>
      </c>
    </row>
    <row r="534" spans="1:17" x14ac:dyDescent="0.25">
      <c r="A534" t="s">
        <v>647</v>
      </c>
      <c r="B534" t="s">
        <v>648</v>
      </c>
      <c r="C534" t="s">
        <v>1001</v>
      </c>
      <c r="D534" t="s">
        <v>919</v>
      </c>
      <c r="E534" s="19">
        <v>9711677952</v>
      </c>
      <c r="F534" t="s">
        <v>647</v>
      </c>
      <c r="G534" t="s">
        <v>836</v>
      </c>
      <c r="P534" t="s">
        <v>10154</v>
      </c>
      <c r="Q534" t="s">
        <v>1357</v>
      </c>
    </row>
    <row r="535" spans="1:17" x14ac:dyDescent="0.25">
      <c r="A535" t="s">
        <v>649</v>
      </c>
      <c r="B535" t="s">
        <v>650</v>
      </c>
      <c r="C535" t="s">
        <v>651</v>
      </c>
      <c r="D535" t="s">
        <v>919</v>
      </c>
      <c r="E535" s="19">
        <v>971508968300</v>
      </c>
      <c r="F535" t="s">
        <v>649</v>
      </c>
      <c r="G535" t="s">
        <v>841</v>
      </c>
      <c r="P535" t="s">
        <v>10155</v>
      </c>
      <c r="Q535" t="s">
        <v>1357</v>
      </c>
    </row>
    <row r="536" spans="1:17" x14ac:dyDescent="0.25">
      <c r="A536" t="s">
        <v>652</v>
      </c>
      <c r="B536" t="s">
        <v>653</v>
      </c>
      <c r="C536" t="s">
        <v>1000</v>
      </c>
      <c r="D536" t="s">
        <v>919</v>
      </c>
      <c r="E536" s="19">
        <v>971558421395</v>
      </c>
      <c r="F536" t="s">
        <v>652</v>
      </c>
      <c r="G536" t="s">
        <v>846</v>
      </c>
      <c r="P536" t="s">
        <v>10156</v>
      </c>
      <c r="Q536" t="s">
        <v>1357</v>
      </c>
    </row>
    <row r="537" spans="1:17" x14ac:dyDescent="0.25">
      <c r="A537" t="s">
        <v>654</v>
      </c>
      <c r="B537" t="s">
        <v>655</v>
      </c>
      <c r="C537" t="s">
        <v>999</v>
      </c>
      <c r="D537" t="s">
        <v>919</v>
      </c>
      <c r="E537" s="19">
        <v>999810159597</v>
      </c>
      <c r="F537" t="s">
        <v>654</v>
      </c>
      <c r="G537" t="s">
        <v>839</v>
      </c>
      <c r="P537" t="s">
        <v>10116</v>
      </c>
      <c r="Q537" t="s">
        <v>1347</v>
      </c>
    </row>
    <row r="538" spans="1:17" x14ac:dyDescent="0.25">
      <c r="A538" t="s">
        <v>656</v>
      </c>
      <c r="B538" t="s">
        <v>657</v>
      </c>
      <c r="C538" t="s">
        <v>998</v>
      </c>
      <c r="D538" t="s">
        <v>919</v>
      </c>
      <c r="E538" s="19">
        <v>971507958196</v>
      </c>
      <c r="F538" t="s">
        <v>656</v>
      </c>
      <c r="G538" t="s">
        <v>845</v>
      </c>
      <c r="P538" t="s">
        <v>10117</v>
      </c>
      <c r="Q538" t="s">
        <v>1347</v>
      </c>
    </row>
    <row r="539" spans="1:17" x14ac:dyDescent="0.25">
      <c r="A539" t="s">
        <v>579</v>
      </c>
      <c r="B539" t="s">
        <v>658</v>
      </c>
      <c r="C539" t="s">
        <v>997</v>
      </c>
      <c r="D539" t="s">
        <v>919</v>
      </c>
      <c r="E539" s="19">
        <v>97143212381</v>
      </c>
      <c r="F539" t="s">
        <v>579</v>
      </c>
      <c r="G539" t="s">
        <v>839</v>
      </c>
      <c r="P539" t="s">
        <v>10118</v>
      </c>
      <c r="Q539" t="s">
        <v>1347</v>
      </c>
    </row>
    <row r="540" spans="1:17" x14ac:dyDescent="0.25">
      <c r="A540" t="s">
        <v>659</v>
      </c>
      <c r="B540" t="s">
        <v>660</v>
      </c>
      <c r="C540" t="s">
        <v>996</v>
      </c>
      <c r="D540" t="s">
        <v>786</v>
      </c>
      <c r="E540" s="19">
        <v>971564566715</v>
      </c>
      <c r="F540" t="s">
        <v>659</v>
      </c>
      <c r="G540" t="s">
        <v>844</v>
      </c>
      <c r="P540" t="s">
        <v>10157</v>
      </c>
      <c r="Q540" t="s">
        <v>1357</v>
      </c>
    </row>
    <row r="541" spans="1:17" x14ac:dyDescent="0.25">
      <c r="A541" t="s">
        <v>661</v>
      </c>
      <c r="B541" t="s">
        <v>662</v>
      </c>
      <c r="C541" t="s">
        <v>995</v>
      </c>
      <c r="D541" t="s">
        <v>919</v>
      </c>
      <c r="E541" s="19">
        <v>971505670324</v>
      </c>
      <c r="F541" t="s">
        <v>661</v>
      </c>
      <c r="G541" t="s">
        <v>838</v>
      </c>
      <c r="P541" t="s">
        <v>10119</v>
      </c>
      <c r="Q541" t="s">
        <v>1347</v>
      </c>
    </row>
    <row r="542" spans="1:17" x14ac:dyDescent="0.25">
      <c r="A542" t="s">
        <v>1371</v>
      </c>
      <c r="B542" t="s">
        <v>744</v>
      </c>
      <c r="C542" t="s">
        <v>994</v>
      </c>
      <c r="D542" t="s">
        <v>919</v>
      </c>
      <c r="E542" s="19">
        <v>971555907005</v>
      </c>
      <c r="F542" t="s">
        <v>1371</v>
      </c>
      <c r="G542" t="s">
        <v>836</v>
      </c>
      <c r="P542" t="s">
        <v>10120</v>
      </c>
      <c r="Q542" t="s">
        <v>1347</v>
      </c>
    </row>
    <row r="543" spans="1:17" x14ac:dyDescent="0.25">
      <c r="A543" t="s">
        <v>765</v>
      </c>
      <c r="B543" t="s">
        <v>766</v>
      </c>
      <c r="C543" t="s">
        <v>993</v>
      </c>
      <c r="D543" t="s">
        <v>919</v>
      </c>
      <c r="E543" s="19">
        <v>971529111186</v>
      </c>
      <c r="F543" t="s">
        <v>765</v>
      </c>
      <c r="G543" t="s">
        <v>843</v>
      </c>
      <c r="P543" t="s">
        <v>10158</v>
      </c>
      <c r="Q543" t="s">
        <v>1347</v>
      </c>
    </row>
    <row r="544" spans="1:17" x14ac:dyDescent="0.25">
      <c r="A544" t="s">
        <v>748</v>
      </c>
      <c r="B544" t="s">
        <v>749</v>
      </c>
      <c r="C544" t="s">
        <v>992</v>
      </c>
      <c r="D544" t="s">
        <v>919</v>
      </c>
      <c r="E544" s="19">
        <v>97143347117</v>
      </c>
      <c r="F544" t="s">
        <v>748</v>
      </c>
      <c r="G544" t="s">
        <v>839</v>
      </c>
      <c r="P544" t="s">
        <v>9551</v>
      </c>
      <c r="Q544" t="s">
        <v>1357</v>
      </c>
    </row>
    <row r="545" spans="1:17" x14ac:dyDescent="0.25">
      <c r="A545" t="s">
        <v>772</v>
      </c>
      <c r="B545" t="s">
        <v>773</v>
      </c>
      <c r="C545" t="s">
        <v>991</v>
      </c>
      <c r="D545" t="s">
        <v>919</v>
      </c>
      <c r="E545" s="19">
        <v>97143426060</v>
      </c>
      <c r="F545" t="s">
        <v>772</v>
      </c>
      <c r="G545" t="s">
        <v>836</v>
      </c>
      <c r="P545" t="s">
        <v>10170</v>
      </c>
      <c r="Q545" t="s">
        <v>1357</v>
      </c>
    </row>
    <row r="546" spans="1:17" x14ac:dyDescent="0.25">
      <c r="A546" t="s">
        <v>777</v>
      </c>
      <c r="B546" t="s">
        <v>778</v>
      </c>
      <c r="C546" t="s">
        <v>990</v>
      </c>
      <c r="D546" t="s">
        <v>919</v>
      </c>
      <c r="E546" s="19">
        <v>971506251930</v>
      </c>
      <c r="F546" t="s">
        <v>777</v>
      </c>
      <c r="G546" t="s">
        <v>838</v>
      </c>
      <c r="P546" t="s">
        <v>10171</v>
      </c>
      <c r="Q546" t="s">
        <v>1357</v>
      </c>
    </row>
    <row r="547" spans="1:17" x14ac:dyDescent="0.25">
      <c r="A547" t="s">
        <v>774</v>
      </c>
      <c r="B547" t="s">
        <v>775</v>
      </c>
      <c r="C547" t="s">
        <v>776</v>
      </c>
      <c r="D547" t="s">
        <v>919</v>
      </c>
      <c r="E547" s="19">
        <v>971551837145</v>
      </c>
      <c r="F547" t="s">
        <v>774</v>
      </c>
      <c r="G547" t="s">
        <v>842</v>
      </c>
      <c r="P547" t="s">
        <v>10174</v>
      </c>
      <c r="Q547" t="s">
        <v>1357</v>
      </c>
    </row>
    <row r="548" spans="1:17" x14ac:dyDescent="0.25">
      <c r="A548" t="s">
        <v>783</v>
      </c>
      <c r="B548" t="s">
        <v>784</v>
      </c>
      <c r="C548" t="s">
        <v>785</v>
      </c>
      <c r="D548" t="s">
        <v>919</v>
      </c>
      <c r="E548" s="19">
        <v>971563778974</v>
      </c>
      <c r="F548" t="s">
        <v>783</v>
      </c>
      <c r="G548" t="s">
        <v>838</v>
      </c>
      <c r="P548" t="s">
        <v>9565</v>
      </c>
      <c r="Q548" t="s">
        <v>1347</v>
      </c>
    </row>
    <row r="549" spans="1:17" x14ac:dyDescent="0.25">
      <c r="A549" t="s">
        <v>988</v>
      </c>
      <c r="B549" t="s">
        <v>808</v>
      </c>
      <c r="C549" t="s">
        <v>989</v>
      </c>
      <c r="D549" t="s">
        <v>919</v>
      </c>
      <c r="E549" s="19">
        <v>971551039055</v>
      </c>
      <c r="F549" t="s">
        <v>988</v>
      </c>
      <c r="G549" t="s">
        <v>838</v>
      </c>
      <c r="P549" t="s">
        <v>10187</v>
      </c>
      <c r="Q549" t="s">
        <v>1357</v>
      </c>
    </row>
    <row r="550" spans="1:17" x14ac:dyDescent="0.25">
      <c r="A550" t="s">
        <v>681</v>
      </c>
      <c r="B550" t="s">
        <v>807</v>
      </c>
      <c r="C550" t="s">
        <v>987</v>
      </c>
      <c r="D550" t="s">
        <v>919</v>
      </c>
      <c r="E550" s="19">
        <v>971556078180</v>
      </c>
      <c r="F550" t="s">
        <v>681</v>
      </c>
      <c r="G550" t="s">
        <v>841</v>
      </c>
      <c r="P550" t="s">
        <v>10188</v>
      </c>
      <c r="Q550" t="s">
        <v>1347</v>
      </c>
    </row>
    <row r="551" spans="1:17" x14ac:dyDescent="0.25">
      <c r="A551" t="s">
        <v>9488</v>
      </c>
      <c r="B551" t="s">
        <v>806</v>
      </c>
      <c r="C551" t="s">
        <v>9489</v>
      </c>
      <c r="D551" t="s">
        <v>919</v>
      </c>
      <c r="E551" s="19">
        <v>971559026268</v>
      </c>
      <c r="F551" t="s">
        <v>9488</v>
      </c>
      <c r="G551" t="s">
        <v>840</v>
      </c>
      <c r="P551" t="s">
        <v>10190</v>
      </c>
      <c r="Q551" t="s">
        <v>1357</v>
      </c>
    </row>
    <row r="552" spans="1:17" x14ac:dyDescent="0.25">
      <c r="A552" t="s">
        <v>747</v>
      </c>
      <c r="B552" t="s">
        <v>805</v>
      </c>
      <c r="C552" t="s">
        <v>986</v>
      </c>
      <c r="D552" t="s">
        <v>919</v>
      </c>
      <c r="E552" s="19">
        <v>971529469000</v>
      </c>
      <c r="F552" t="s">
        <v>747</v>
      </c>
      <c r="G552" t="s">
        <v>839</v>
      </c>
      <c r="P552" t="s">
        <v>10215</v>
      </c>
      <c r="Q552" t="s">
        <v>1347</v>
      </c>
    </row>
    <row r="553" spans="1:17" x14ac:dyDescent="0.25">
      <c r="A553" t="s">
        <v>779</v>
      </c>
      <c r="B553" t="s">
        <v>804</v>
      </c>
      <c r="C553" t="s">
        <v>985</v>
      </c>
      <c r="D553" t="s">
        <v>919</v>
      </c>
      <c r="E553" s="19">
        <v>971559141960</v>
      </c>
      <c r="F553" t="s">
        <v>779</v>
      </c>
      <c r="G553" t="s">
        <v>838</v>
      </c>
      <c r="P553" t="s">
        <v>10220</v>
      </c>
      <c r="Q553" t="s">
        <v>1347</v>
      </c>
    </row>
    <row r="554" spans="1:17" x14ac:dyDescent="0.25">
      <c r="A554" t="s">
        <v>984</v>
      </c>
      <c r="B554" t="s">
        <v>795</v>
      </c>
      <c r="C554" t="s">
        <v>8584</v>
      </c>
      <c r="D554" t="s">
        <v>919</v>
      </c>
      <c r="E554" s="19">
        <v>97142282840</v>
      </c>
      <c r="F554" t="s">
        <v>984</v>
      </c>
      <c r="G554" t="s">
        <v>1365</v>
      </c>
      <c r="P554" t="s">
        <v>10226</v>
      </c>
      <c r="Q554" t="s">
        <v>1357</v>
      </c>
    </row>
    <row r="555" spans="1:17" x14ac:dyDescent="0.25">
      <c r="A555" t="s">
        <v>983</v>
      </c>
      <c r="B555" t="s">
        <v>803</v>
      </c>
      <c r="C555" t="s">
        <v>10105</v>
      </c>
      <c r="D555" t="s">
        <v>919</v>
      </c>
      <c r="E555" s="19">
        <v>971043368090</v>
      </c>
      <c r="F555" t="s">
        <v>983</v>
      </c>
      <c r="G555" t="s">
        <v>836</v>
      </c>
      <c r="P555" t="s">
        <v>10233</v>
      </c>
      <c r="Q555" t="s">
        <v>1357</v>
      </c>
    </row>
    <row r="556" spans="1:17" x14ac:dyDescent="0.25">
      <c r="A556" t="s">
        <v>981</v>
      </c>
      <c r="B556" t="s">
        <v>802</v>
      </c>
      <c r="C556" t="s">
        <v>982</v>
      </c>
      <c r="D556" t="s">
        <v>919</v>
      </c>
      <c r="E556" s="19">
        <v>971507986719</v>
      </c>
      <c r="F556" t="s">
        <v>981</v>
      </c>
      <c r="G556" t="s">
        <v>836</v>
      </c>
      <c r="P556" t="s">
        <v>10234</v>
      </c>
      <c r="Q556" t="s">
        <v>1357</v>
      </c>
    </row>
    <row r="557" spans="1:17" x14ac:dyDescent="0.25">
      <c r="A557" t="s">
        <v>800</v>
      </c>
      <c r="B557" t="s">
        <v>801</v>
      </c>
      <c r="C557" t="s">
        <v>980</v>
      </c>
      <c r="D557" t="s">
        <v>919</v>
      </c>
      <c r="E557" s="19">
        <v>971526462095</v>
      </c>
      <c r="F557" t="s">
        <v>800</v>
      </c>
      <c r="G557" t="s">
        <v>836</v>
      </c>
      <c r="P557" t="s">
        <v>10235</v>
      </c>
      <c r="Q557" t="s">
        <v>1357</v>
      </c>
    </row>
    <row r="558" spans="1:17" x14ac:dyDescent="0.25">
      <c r="A558" t="s">
        <v>798</v>
      </c>
      <c r="B558" t="s">
        <v>799</v>
      </c>
      <c r="C558" t="s">
        <v>979</v>
      </c>
      <c r="D558" t="s">
        <v>919</v>
      </c>
      <c r="E558" s="19">
        <v>971508230515</v>
      </c>
      <c r="F558" t="s">
        <v>798</v>
      </c>
      <c r="G558" t="s">
        <v>836</v>
      </c>
      <c r="P558" t="s">
        <v>10236</v>
      </c>
      <c r="Q558" t="s">
        <v>1357</v>
      </c>
    </row>
    <row r="559" spans="1:17" x14ac:dyDescent="0.25">
      <c r="A559" t="s">
        <v>796</v>
      </c>
      <c r="B559" t="s">
        <v>797</v>
      </c>
      <c r="C559" t="s">
        <v>978</v>
      </c>
      <c r="D559" t="s">
        <v>919</v>
      </c>
      <c r="E559" s="19">
        <v>971558423467</v>
      </c>
      <c r="F559" t="s">
        <v>796</v>
      </c>
      <c r="G559" t="s">
        <v>836</v>
      </c>
      <c r="P559" t="s">
        <v>10227</v>
      </c>
      <c r="Q559" t="s">
        <v>1347</v>
      </c>
    </row>
    <row r="560" spans="1:17" x14ac:dyDescent="0.25">
      <c r="A560" t="s">
        <v>794</v>
      </c>
      <c r="B560" t="s">
        <v>829</v>
      </c>
      <c r="C560" t="s">
        <v>977</v>
      </c>
      <c r="D560" t="s">
        <v>919</v>
      </c>
      <c r="E560" s="19">
        <v>971553280758</v>
      </c>
      <c r="F560" t="s">
        <v>794</v>
      </c>
      <c r="G560" t="s">
        <v>838</v>
      </c>
      <c r="P560" t="s">
        <v>10228</v>
      </c>
      <c r="Q560" t="s">
        <v>1347</v>
      </c>
    </row>
    <row r="561" spans="1:17" x14ac:dyDescent="0.25">
      <c r="A561" t="s">
        <v>859</v>
      </c>
      <c r="B561" t="s">
        <v>860</v>
      </c>
      <c r="C561" t="s">
        <v>976</v>
      </c>
      <c r="D561" t="s">
        <v>786</v>
      </c>
      <c r="F561" t="s">
        <v>859</v>
      </c>
      <c r="G561" t="s">
        <v>844</v>
      </c>
      <c r="P561" t="s">
        <v>10239</v>
      </c>
      <c r="Q561" t="s">
        <v>1357</v>
      </c>
    </row>
    <row r="562" spans="1:17" x14ac:dyDescent="0.25">
      <c r="A562" t="s">
        <v>825</v>
      </c>
      <c r="B562" t="s">
        <v>871</v>
      </c>
      <c r="C562" t="s">
        <v>826</v>
      </c>
      <c r="D562" t="s">
        <v>919</v>
      </c>
      <c r="E562" s="19">
        <v>971559270009</v>
      </c>
      <c r="F562" t="s">
        <v>825</v>
      </c>
      <c r="G562" t="s">
        <v>836</v>
      </c>
      <c r="P562" t="s">
        <v>10240</v>
      </c>
      <c r="Q562" t="s">
        <v>1357</v>
      </c>
    </row>
    <row r="563" spans="1:17" x14ac:dyDescent="0.25">
      <c r="A563" t="s">
        <v>868</v>
      </c>
      <c r="B563" t="s">
        <v>869</v>
      </c>
      <c r="C563" t="s">
        <v>870</v>
      </c>
      <c r="D563" t="s">
        <v>919</v>
      </c>
      <c r="E563" s="19">
        <v>971044219664</v>
      </c>
      <c r="F563" t="s">
        <v>868</v>
      </c>
      <c r="G563" t="s">
        <v>839</v>
      </c>
      <c r="P563" t="s">
        <v>10241</v>
      </c>
      <c r="Q563" t="s">
        <v>1357</v>
      </c>
    </row>
    <row r="564" spans="1:17" x14ac:dyDescent="0.25">
      <c r="A564" t="s">
        <v>866</v>
      </c>
      <c r="B564" t="s">
        <v>867</v>
      </c>
      <c r="C564" t="s">
        <v>975</v>
      </c>
      <c r="D564" t="s">
        <v>919</v>
      </c>
      <c r="E564" s="19">
        <v>971507491732</v>
      </c>
      <c r="F564" t="s">
        <v>866</v>
      </c>
      <c r="G564" t="s">
        <v>839</v>
      </c>
      <c r="P564" t="s">
        <v>10242</v>
      </c>
      <c r="Q564" t="s">
        <v>1357</v>
      </c>
    </row>
    <row r="565" spans="1:17" x14ac:dyDescent="0.25">
      <c r="A565" t="s">
        <v>864</v>
      </c>
      <c r="B565" t="s">
        <v>865</v>
      </c>
      <c r="C565" t="s">
        <v>974</v>
      </c>
      <c r="D565" t="s">
        <v>919</v>
      </c>
      <c r="E565" s="19">
        <v>97148032006</v>
      </c>
      <c r="F565" t="s">
        <v>864</v>
      </c>
      <c r="G565" t="s">
        <v>845</v>
      </c>
      <c r="P565" t="s">
        <v>10244</v>
      </c>
      <c r="Q565" t="s">
        <v>1357</v>
      </c>
    </row>
    <row r="566" spans="1:17" x14ac:dyDescent="0.25">
      <c r="A566" t="s">
        <v>830</v>
      </c>
      <c r="B566" t="s">
        <v>863</v>
      </c>
      <c r="C566" t="s">
        <v>973</v>
      </c>
      <c r="D566" t="s">
        <v>919</v>
      </c>
      <c r="E566" s="19">
        <v>971559203905</v>
      </c>
      <c r="F566" t="s">
        <v>830</v>
      </c>
      <c r="G566" t="s">
        <v>840</v>
      </c>
      <c r="P566" t="s">
        <v>10246</v>
      </c>
      <c r="Q566" t="s">
        <v>1357</v>
      </c>
    </row>
    <row r="567" spans="1:17" x14ac:dyDescent="0.25">
      <c r="A567" t="s">
        <v>861</v>
      </c>
      <c r="B567" t="s">
        <v>862</v>
      </c>
      <c r="C567" t="s">
        <v>972</v>
      </c>
      <c r="D567" t="s">
        <v>919</v>
      </c>
      <c r="E567" s="19">
        <v>971552943781</v>
      </c>
      <c r="F567" t="s">
        <v>861</v>
      </c>
      <c r="G567" t="s">
        <v>4698</v>
      </c>
      <c r="P567" t="s">
        <v>10247</v>
      </c>
      <c r="Q567" t="s">
        <v>1357</v>
      </c>
    </row>
    <row r="568" spans="1:17" x14ac:dyDescent="0.25">
      <c r="A568" t="s">
        <v>1358</v>
      </c>
      <c r="B568" t="s">
        <v>877</v>
      </c>
      <c r="C568" t="s">
        <v>971</v>
      </c>
      <c r="D568" t="s">
        <v>919</v>
      </c>
      <c r="E568" s="19">
        <v>971509963360</v>
      </c>
      <c r="F568" t="s">
        <v>1358</v>
      </c>
      <c r="G568" t="s">
        <v>838</v>
      </c>
      <c r="P568" t="s">
        <v>10248</v>
      </c>
      <c r="Q568" t="s">
        <v>1357</v>
      </c>
    </row>
    <row r="569" spans="1:17" x14ac:dyDescent="0.25">
      <c r="A569" t="s">
        <v>888</v>
      </c>
      <c r="B569" t="s">
        <v>889</v>
      </c>
      <c r="C569" t="s">
        <v>970</v>
      </c>
      <c r="D569" t="s">
        <v>919</v>
      </c>
      <c r="E569" s="19">
        <v>971563532144</v>
      </c>
      <c r="F569" t="s">
        <v>888</v>
      </c>
      <c r="G569" t="s">
        <v>839</v>
      </c>
    </row>
    <row r="570" spans="1:17" x14ac:dyDescent="0.25">
      <c r="A570" t="s">
        <v>890</v>
      </c>
      <c r="B570" t="s">
        <v>891</v>
      </c>
      <c r="C570" t="s">
        <v>969</v>
      </c>
      <c r="D570" t="s">
        <v>919</v>
      </c>
      <c r="E570" s="19">
        <v>971553522592</v>
      </c>
      <c r="F570" t="s">
        <v>890</v>
      </c>
      <c r="G570" t="s">
        <v>838</v>
      </c>
    </row>
    <row r="571" spans="1:17" x14ac:dyDescent="0.25">
      <c r="A571" t="s">
        <v>912</v>
      </c>
      <c r="B571" t="s">
        <v>913</v>
      </c>
      <c r="C571" t="s">
        <v>1309</v>
      </c>
      <c r="D571" t="s">
        <v>919</v>
      </c>
      <c r="E571" s="19">
        <v>97148861445</v>
      </c>
      <c r="F571" t="s">
        <v>912</v>
      </c>
      <c r="G571" t="s">
        <v>836</v>
      </c>
    </row>
    <row r="572" spans="1:17" x14ac:dyDescent="0.25">
      <c r="A572" t="s">
        <v>909</v>
      </c>
      <c r="B572" t="s">
        <v>910</v>
      </c>
      <c r="C572" t="s">
        <v>911</v>
      </c>
      <c r="D572" t="s">
        <v>919</v>
      </c>
      <c r="E572" s="19">
        <v>971556769870</v>
      </c>
      <c r="F572" t="s">
        <v>909</v>
      </c>
      <c r="G572" t="s">
        <v>839</v>
      </c>
    </row>
    <row r="573" spans="1:17" x14ac:dyDescent="0.25">
      <c r="A573" t="s">
        <v>894</v>
      </c>
      <c r="B573" t="s">
        <v>900</v>
      </c>
      <c r="C573" t="s">
        <v>2132</v>
      </c>
      <c r="D573" t="s">
        <v>919</v>
      </c>
      <c r="E573" s="19">
        <v>971551892637</v>
      </c>
      <c r="F573" t="s">
        <v>894</v>
      </c>
      <c r="G573" t="s">
        <v>850</v>
      </c>
    </row>
    <row r="574" spans="1:17" x14ac:dyDescent="0.25">
      <c r="A574" t="s">
        <v>893</v>
      </c>
      <c r="B574" t="s">
        <v>899</v>
      </c>
      <c r="C574" t="s">
        <v>968</v>
      </c>
      <c r="D574" t="s">
        <v>919</v>
      </c>
      <c r="E574" s="19">
        <v>971509455960</v>
      </c>
      <c r="F574" t="s">
        <v>893</v>
      </c>
      <c r="G574" t="s">
        <v>836</v>
      </c>
    </row>
    <row r="575" spans="1:17" x14ac:dyDescent="0.25">
      <c r="A575" t="s">
        <v>906</v>
      </c>
      <c r="B575" t="s">
        <v>907</v>
      </c>
      <c r="C575" t="s">
        <v>908</v>
      </c>
      <c r="D575" t="s">
        <v>919</v>
      </c>
      <c r="E575" s="19">
        <v>971551056496</v>
      </c>
      <c r="F575" t="s">
        <v>906</v>
      </c>
      <c r="G575" t="s">
        <v>839</v>
      </c>
    </row>
    <row r="576" spans="1:17" x14ac:dyDescent="0.25">
      <c r="A576" t="s">
        <v>914</v>
      </c>
      <c r="B576" t="s">
        <v>915</v>
      </c>
      <c r="C576" t="s">
        <v>967</v>
      </c>
      <c r="D576" t="s">
        <v>919</v>
      </c>
      <c r="E576" s="19">
        <v>971505547811</v>
      </c>
      <c r="F576" t="s">
        <v>914</v>
      </c>
      <c r="G576" t="s">
        <v>839</v>
      </c>
    </row>
    <row r="577" spans="1:7" x14ac:dyDescent="0.25">
      <c r="A577" t="s">
        <v>964</v>
      </c>
      <c r="B577" t="s">
        <v>965</v>
      </c>
      <c r="C577" t="s">
        <v>966</v>
      </c>
      <c r="D577" t="s">
        <v>919</v>
      </c>
      <c r="E577" s="19">
        <v>971566013038</v>
      </c>
      <c r="F577" t="s">
        <v>964</v>
      </c>
      <c r="G577" t="s">
        <v>838</v>
      </c>
    </row>
    <row r="578" spans="1:7" x14ac:dyDescent="0.25">
      <c r="A578" t="s">
        <v>961</v>
      </c>
      <c r="B578" t="s">
        <v>962</v>
      </c>
      <c r="C578" t="s">
        <v>963</v>
      </c>
      <c r="D578" t="s">
        <v>919</v>
      </c>
      <c r="F578" t="s">
        <v>961</v>
      </c>
      <c r="G578" t="s">
        <v>836</v>
      </c>
    </row>
    <row r="579" spans="1:7" x14ac:dyDescent="0.25">
      <c r="A579" t="s">
        <v>1354</v>
      </c>
      <c r="B579" t="s">
        <v>959</v>
      </c>
      <c r="C579" t="s">
        <v>960</v>
      </c>
      <c r="D579" t="s">
        <v>919</v>
      </c>
      <c r="E579" s="19">
        <v>971551881996</v>
      </c>
      <c r="F579" t="s">
        <v>1354</v>
      </c>
      <c r="G579" t="s">
        <v>838</v>
      </c>
    </row>
    <row r="580" spans="1:7" x14ac:dyDescent="0.25">
      <c r="A580" t="s">
        <v>887</v>
      </c>
      <c r="B580" t="s">
        <v>958</v>
      </c>
      <c r="C580" t="s">
        <v>2345</v>
      </c>
      <c r="D580" t="s">
        <v>919</v>
      </c>
      <c r="E580" s="19" t="s">
        <v>2346</v>
      </c>
      <c r="F580" t="s">
        <v>887</v>
      </c>
      <c r="G580" t="s">
        <v>836</v>
      </c>
    </row>
    <row r="581" spans="1:7" x14ac:dyDescent="0.25">
      <c r="A581" t="s">
        <v>1353</v>
      </c>
      <c r="B581" t="s">
        <v>957</v>
      </c>
      <c r="C581" t="s">
        <v>2133</v>
      </c>
      <c r="D581" t="s">
        <v>919</v>
      </c>
      <c r="E581" s="19">
        <v>971551724584</v>
      </c>
      <c r="F581" t="s">
        <v>1353</v>
      </c>
      <c r="G581" t="s">
        <v>839</v>
      </c>
    </row>
    <row r="582" spans="1:7" x14ac:dyDescent="0.25">
      <c r="A582" t="s">
        <v>1352</v>
      </c>
      <c r="B582" t="s">
        <v>955</v>
      </c>
      <c r="C582" t="s">
        <v>956</v>
      </c>
      <c r="D582" t="s">
        <v>919</v>
      </c>
      <c r="E582" s="19">
        <v>971508225926</v>
      </c>
      <c r="F582" t="s">
        <v>1352</v>
      </c>
      <c r="G582" t="s">
        <v>837</v>
      </c>
    </row>
    <row r="583" spans="1:7" x14ac:dyDescent="0.25">
      <c r="A583" t="s">
        <v>952</v>
      </c>
      <c r="B583" t="s">
        <v>953</v>
      </c>
      <c r="C583" t="s">
        <v>954</v>
      </c>
      <c r="D583" t="s">
        <v>919</v>
      </c>
      <c r="E583" s="19">
        <v>971558085572</v>
      </c>
      <c r="F583" t="s">
        <v>952</v>
      </c>
      <c r="G583" t="s">
        <v>839</v>
      </c>
    </row>
    <row r="584" spans="1:7" x14ac:dyDescent="0.25">
      <c r="A584" t="s">
        <v>1351</v>
      </c>
      <c r="B584" t="s">
        <v>950</v>
      </c>
      <c r="C584" t="s">
        <v>951</v>
      </c>
      <c r="D584" t="s">
        <v>919</v>
      </c>
      <c r="E584" s="19">
        <v>971563537027</v>
      </c>
      <c r="F584" t="s">
        <v>1351</v>
      </c>
      <c r="G584" t="s">
        <v>839</v>
      </c>
    </row>
    <row r="585" spans="1:7" x14ac:dyDescent="0.25">
      <c r="A585" t="s">
        <v>947</v>
      </c>
      <c r="B585" t="s">
        <v>948</v>
      </c>
      <c r="C585" t="s">
        <v>949</v>
      </c>
      <c r="D585" t="s">
        <v>919</v>
      </c>
      <c r="E585" s="19">
        <v>971522504857</v>
      </c>
      <c r="F585" t="s">
        <v>947</v>
      </c>
      <c r="G585" t="s">
        <v>836</v>
      </c>
    </row>
    <row r="586" spans="1:7" x14ac:dyDescent="0.25">
      <c r="A586" t="s">
        <v>945</v>
      </c>
      <c r="B586" t="s">
        <v>946</v>
      </c>
      <c r="C586" t="s">
        <v>1324</v>
      </c>
      <c r="D586" t="s">
        <v>919</v>
      </c>
      <c r="E586" s="19">
        <v>971553137362</v>
      </c>
      <c r="F586" t="s">
        <v>945</v>
      </c>
      <c r="G586" t="s">
        <v>836</v>
      </c>
    </row>
    <row r="587" spans="1:7" x14ac:dyDescent="0.25">
      <c r="A587" t="s">
        <v>942</v>
      </c>
      <c r="B587" t="s">
        <v>943</v>
      </c>
      <c r="C587" t="s">
        <v>944</v>
      </c>
      <c r="D587" t="s">
        <v>919</v>
      </c>
      <c r="E587" s="19">
        <v>971561052052</v>
      </c>
      <c r="F587" t="s">
        <v>942</v>
      </c>
      <c r="G587" t="s">
        <v>839</v>
      </c>
    </row>
    <row r="588" spans="1:7" x14ac:dyDescent="0.25">
      <c r="A588" t="s">
        <v>939</v>
      </c>
      <c r="B588" t="s">
        <v>940</v>
      </c>
      <c r="C588" t="s">
        <v>941</v>
      </c>
      <c r="D588" t="s">
        <v>919</v>
      </c>
      <c r="E588" s="19">
        <v>971528790936</v>
      </c>
      <c r="F588" t="s">
        <v>939</v>
      </c>
      <c r="G588" t="s">
        <v>837</v>
      </c>
    </row>
    <row r="589" spans="1:7" x14ac:dyDescent="0.25">
      <c r="A589" t="s">
        <v>1350</v>
      </c>
      <c r="B589" t="s">
        <v>936</v>
      </c>
      <c r="C589" t="s">
        <v>937</v>
      </c>
      <c r="D589" t="s">
        <v>919</v>
      </c>
      <c r="E589" s="19" t="s">
        <v>938</v>
      </c>
      <c r="F589" t="s">
        <v>1350</v>
      </c>
      <c r="G589" t="s">
        <v>845</v>
      </c>
    </row>
    <row r="590" spans="1:7" x14ac:dyDescent="0.25">
      <c r="A590" t="s">
        <v>934</v>
      </c>
      <c r="B590" t="s">
        <v>935</v>
      </c>
      <c r="C590" t="s">
        <v>1323</v>
      </c>
      <c r="D590" t="s">
        <v>919</v>
      </c>
      <c r="E590" s="19">
        <v>971551049523</v>
      </c>
      <c r="F590" t="s">
        <v>934</v>
      </c>
      <c r="G590" t="s">
        <v>836</v>
      </c>
    </row>
    <row r="591" spans="1:7" x14ac:dyDescent="0.25">
      <c r="A591" t="s">
        <v>932</v>
      </c>
      <c r="B591" t="s">
        <v>933</v>
      </c>
      <c r="C591" t="s">
        <v>1322</v>
      </c>
      <c r="D591" t="s">
        <v>919</v>
      </c>
      <c r="F591" t="s">
        <v>932</v>
      </c>
      <c r="G591" t="s">
        <v>836</v>
      </c>
    </row>
    <row r="592" spans="1:7" x14ac:dyDescent="0.25">
      <c r="A592" t="s">
        <v>930</v>
      </c>
      <c r="B592" t="s">
        <v>931</v>
      </c>
      <c r="C592" t="s">
        <v>1321</v>
      </c>
      <c r="D592" t="s">
        <v>919</v>
      </c>
      <c r="E592" s="19">
        <v>971505484052</v>
      </c>
      <c r="F592" t="s">
        <v>930</v>
      </c>
      <c r="G592" t="s">
        <v>836</v>
      </c>
    </row>
    <row r="593" spans="1:7" x14ac:dyDescent="0.25">
      <c r="A593" t="s">
        <v>1349</v>
      </c>
      <c r="B593" t="s">
        <v>928</v>
      </c>
      <c r="C593" t="s">
        <v>929</v>
      </c>
      <c r="D593" t="s">
        <v>919</v>
      </c>
      <c r="E593" s="19">
        <v>971502831751</v>
      </c>
      <c r="F593" t="s">
        <v>1349</v>
      </c>
      <c r="G593" t="s">
        <v>839</v>
      </c>
    </row>
    <row r="594" spans="1:7" x14ac:dyDescent="0.25">
      <c r="A594" t="s">
        <v>1348</v>
      </c>
      <c r="B594" t="s">
        <v>927</v>
      </c>
      <c r="C594" t="s">
        <v>1320</v>
      </c>
      <c r="D594" t="s">
        <v>919</v>
      </c>
      <c r="E594" s="19">
        <v>971561918669</v>
      </c>
      <c r="F594" t="s">
        <v>1348</v>
      </c>
      <c r="G594" t="s">
        <v>842</v>
      </c>
    </row>
    <row r="595" spans="1:7" x14ac:dyDescent="0.25">
      <c r="A595" t="s">
        <v>924</v>
      </c>
      <c r="B595" t="s">
        <v>925</v>
      </c>
      <c r="C595" t="s">
        <v>926</v>
      </c>
      <c r="D595" t="s">
        <v>919</v>
      </c>
      <c r="E595" s="19">
        <v>971554919040</v>
      </c>
      <c r="F595" t="s">
        <v>924</v>
      </c>
      <c r="G595" t="s">
        <v>836</v>
      </c>
    </row>
    <row r="596" spans="1:7" x14ac:dyDescent="0.25">
      <c r="A596" t="s">
        <v>1273</v>
      </c>
      <c r="B596" t="s">
        <v>1274</v>
      </c>
      <c r="C596" t="s">
        <v>9193</v>
      </c>
      <c r="D596" t="s">
        <v>919</v>
      </c>
      <c r="E596" s="19">
        <v>971553860038</v>
      </c>
      <c r="F596" t="s">
        <v>1273</v>
      </c>
      <c r="G596" t="s">
        <v>839</v>
      </c>
    </row>
    <row r="597" spans="1:7" x14ac:dyDescent="0.25">
      <c r="A597" t="s">
        <v>1268</v>
      </c>
      <c r="B597" t="s">
        <v>1269</v>
      </c>
      <c r="C597" t="s">
        <v>1270</v>
      </c>
      <c r="D597" t="s">
        <v>919</v>
      </c>
      <c r="E597" s="19">
        <v>971566552191</v>
      </c>
      <c r="F597" t="s">
        <v>1268</v>
      </c>
      <c r="G597" t="s">
        <v>839</v>
      </c>
    </row>
    <row r="598" spans="1:7" x14ac:dyDescent="0.25">
      <c r="A598" t="s">
        <v>1255</v>
      </c>
      <c r="B598" t="s">
        <v>1256</v>
      </c>
      <c r="C598" t="s">
        <v>1327</v>
      </c>
      <c r="D598" t="s">
        <v>919</v>
      </c>
      <c r="E598" s="19">
        <v>971504657616</v>
      </c>
      <c r="F598" t="s">
        <v>1255</v>
      </c>
      <c r="G598" t="s">
        <v>836</v>
      </c>
    </row>
    <row r="599" spans="1:7" x14ac:dyDescent="0.25">
      <c r="A599" t="s">
        <v>1252</v>
      </c>
      <c r="B599" t="s">
        <v>1253</v>
      </c>
      <c r="C599" t="s">
        <v>1254</v>
      </c>
      <c r="D599" t="s">
        <v>919</v>
      </c>
      <c r="E599" s="19">
        <v>966553366660</v>
      </c>
      <c r="F599" t="s">
        <v>1252</v>
      </c>
      <c r="G599" t="s">
        <v>839</v>
      </c>
    </row>
    <row r="600" spans="1:7" x14ac:dyDescent="0.25">
      <c r="A600" t="s">
        <v>1271</v>
      </c>
      <c r="B600" t="s">
        <v>1272</v>
      </c>
      <c r="C600" t="s">
        <v>2768</v>
      </c>
      <c r="D600" t="s">
        <v>919</v>
      </c>
      <c r="E600" s="19">
        <v>971504909193</v>
      </c>
      <c r="F600" t="s">
        <v>1271</v>
      </c>
      <c r="G600" t="s">
        <v>839</v>
      </c>
    </row>
    <row r="601" spans="1:7" x14ac:dyDescent="0.25">
      <c r="A601" t="s">
        <v>1283</v>
      </c>
      <c r="B601" t="s">
        <v>1284</v>
      </c>
      <c r="C601" t="s">
        <v>1285</v>
      </c>
      <c r="D601" t="s">
        <v>786</v>
      </c>
      <c r="F601" t="s">
        <v>1283</v>
      </c>
      <c r="G601" t="s">
        <v>844</v>
      </c>
    </row>
    <row r="602" spans="1:7" x14ac:dyDescent="0.25">
      <c r="A602" t="s">
        <v>1257</v>
      </c>
      <c r="B602" t="s">
        <v>1282</v>
      </c>
      <c r="C602" t="s">
        <v>1258</v>
      </c>
      <c r="D602" t="s">
        <v>919</v>
      </c>
      <c r="E602" s="19">
        <v>96698855969</v>
      </c>
      <c r="F602" t="s">
        <v>1257</v>
      </c>
      <c r="G602" t="s">
        <v>839</v>
      </c>
    </row>
    <row r="603" spans="1:7" x14ac:dyDescent="0.25">
      <c r="A603" t="s">
        <v>1277</v>
      </c>
      <c r="B603" t="s">
        <v>1281</v>
      </c>
      <c r="C603" t="s">
        <v>10172</v>
      </c>
      <c r="D603" t="s">
        <v>919</v>
      </c>
      <c r="E603" s="19">
        <v>9710559911705</v>
      </c>
      <c r="F603" t="s">
        <v>1277</v>
      </c>
      <c r="G603" t="s">
        <v>838</v>
      </c>
    </row>
    <row r="604" spans="1:7" x14ac:dyDescent="0.25">
      <c r="A604" t="s">
        <v>1286</v>
      </c>
      <c r="B604" t="s">
        <v>1287</v>
      </c>
      <c r="C604" t="s">
        <v>1332</v>
      </c>
      <c r="D604" t="s">
        <v>919</v>
      </c>
      <c r="E604" s="19">
        <v>971554506104</v>
      </c>
      <c r="F604" t="s">
        <v>1286</v>
      </c>
      <c r="G604" t="s">
        <v>841</v>
      </c>
    </row>
    <row r="605" spans="1:7" x14ac:dyDescent="0.25">
      <c r="A605" t="s">
        <v>1299</v>
      </c>
      <c r="B605" t="s">
        <v>1300</v>
      </c>
      <c r="C605" t="s">
        <v>1337</v>
      </c>
      <c r="D605" t="s">
        <v>919</v>
      </c>
      <c r="E605" s="19">
        <v>971502746999</v>
      </c>
      <c r="F605" t="s">
        <v>1299</v>
      </c>
      <c r="G605" t="s">
        <v>836</v>
      </c>
    </row>
    <row r="606" spans="1:7" x14ac:dyDescent="0.25">
      <c r="A606" t="s">
        <v>1301</v>
      </c>
      <c r="B606" t="s">
        <v>1302</v>
      </c>
      <c r="C606" t="s">
        <v>1338</v>
      </c>
      <c r="D606" t="s">
        <v>919</v>
      </c>
      <c r="E606" s="19">
        <v>9966569517467</v>
      </c>
      <c r="F606" t="s">
        <v>1301</v>
      </c>
      <c r="G606" t="s">
        <v>836</v>
      </c>
    </row>
    <row r="607" spans="1:7" x14ac:dyDescent="0.25">
      <c r="A607" t="s">
        <v>1288</v>
      </c>
      <c r="B607" t="s">
        <v>1289</v>
      </c>
      <c r="C607" t="s">
        <v>1333</v>
      </c>
      <c r="D607" t="s">
        <v>919</v>
      </c>
      <c r="E607" s="19">
        <v>971556569983</v>
      </c>
      <c r="F607" t="s">
        <v>1288</v>
      </c>
      <c r="G607" t="s">
        <v>836</v>
      </c>
    </row>
    <row r="608" spans="1:7" x14ac:dyDescent="0.25">
      <c r="A608" t="s">
        <v>9554</v>
      </c>
      <c r="B608" t="s">
        <v>1307</v>
      </c>
      <c r="C608" t="s">
        <v>1308</v>
      </c>
      <c r="D608" t="s">
        <v>919</v>
      </c>
      <c r="E608" s="19">
        <v>971561759143</v>
      </c>
      <c r="F608" t="s">
        <v>9554</v>
      </c>
      <c r="G608" t="s">
        <v>842</v>
      </c>
    </row>
    <row r="609" spans="1:7" x14ac:dyDescent="0.25">
      <c r="A609" t="s">
        <v>1311</v>
      </c>
      <c r="B609" t="s">
        <v>1312</v>
      </c>
      <c r="C609" t="s">
        <v>1313</v>
      </c>
      <c r="D609" t="s">
        <v>919</v>
      </c>
      <c r="E609" s="19">
        <v>971552009922</v>
      </c>
      <c r="F609" t="s">
        <v>1311</v>
      </c>
      <c r="G609" t="s">
        <v>836</v>
      </c>
    </row>
    <row r="610" spans="1:7" x14ac:dyDescent="0.25">
      <c r="A610" t="s">
        <v>1314</v>
      </c>
      <c r="B610" t="s">
        <v>1315</v>
      </c>
      <c r="C610" t="s">
        <v>1316</v>
      </c>
      <c r="D610" t="s">
        <v>786</v>
      </c>
      <c r="F610" t="s">
        <v>1314</v>
      </c>
      <c r="G610" t="s">
        <v>844</v>
      </c>
    </row>
    <row r="611" spans="1:7" x14ac:dyDescent="0.25">
      <c r="A611" t="s">
        <v>1317</v>
      </c>
      <c r="B611" t="s">
        <v>1318</v>
      </c>
      <c r="C611" t="s">
        <v>1319</v>
      </c>
      <c r="D611" t="s">
        <v>786</v>
      </c>
      <c r="E611" s="19">
        <v>971506507934</v>
      </c>
      <c r="F611" t="s">
        <v>1317</v>
      </c>
      <c r="G611" t="s">
        <v>844</v>
      </c>
    </row>
    <row r="612" spans="1:7" x14ac:dyDescent="0.25">
      <c r="A612" t="s">
        <v>1264</v>
      </c>
      <c r="B612" t="s">
        <v>1341</v>
      </c>
      <c r="C612" t="s">
        <v>1330</v>
      </c>
      <c r="D612" t="s">
        <v>919</v>
      </c>
      <c r="E612" s="19">
        <v>971551779933</v>
      </c>
      <c r="F612" t="s">
        <v>1264</v>
      </c>
      <c r="G612" t="s">
        <v>854</v>
      </c>
    </row>
    <row r="613" spans="1:7" x14ac:dyDescent="0.25">
      <c r="A613" t="s">
        <v>1342</v>
      </c>
      <c r="B613" t="s">
        <v>1343</v>
      </c>
      <c r="C613" t="s">
        <v>1344</v>
      </c>
      <c r="D613" t="s">
        <v>786</v>
      </c>
      <c r="F613" t="s">
        <v>1342</v>
      </c>
      <c r="G613" t="s">
        <v>844</v>
      </c>
    </row>
    <row r="614" spans="1:7" x14ac:dyDescent="0.25">
      <c r="A614" t="s">
        <v>1417</v>
      </c>
      <c r="B614" t="s">
        <v>1360</v>
      </c>
      <c r="C614" t="s">
        <v>1418</v>
      </c>
      <c r="D614" t="s">
        <v>919</v>
      </c>
      <c r="E614" s="19">
        <v>9710552526780</v>
      </c>
      <c r="F614" t="s">
        <v>1417</v>
      </c>
      <c r="G614" t="s">
        <v>1419</v>
      </c>
    </row>
    <row r="615" spans="1:7" x14ac:dyDescent="0.25">
      <c r="A615" t="s">
        <v>1420</v>
      </c>
      <c r="B615" t="s">
        <v>1421</v>
      </c>
      <c r="C615" t="s">
        <v>1422</v>
      </c>
      <c r="D615" t="s">
        <v>786</v>
      </c>
      <c r="F615" t="s">
        <v>1420</v>
      </c>
      <c r="G615" t="s">
        <v>844</v>
      </c>
    </row>
    <row r="616" spans="1:7" x14ac:dyDescent="0.25">
      <c r="B616" t="s">
        <v>1436</v>
      </c>
      <c r="D616" t="s">
        <v>786</v>
      </c>
      <c r="G616" t="s">
        <v>844</v>
      </c>
    </row>
    <row r="617" spans="1:7" x14ac:dyDescent="0.25">
      <c r="A617" t="s">
        <v>1423</v>
      </c>
      <c r="B617" t="s">
        <v>1424</v>
      </c>
      <c r="C617" t="s">
        <v>1425</v>
      </c>
      <c r="D617" t="s">
        <v>919</v>
      </c>
      <c r="E617" s="19">
        <v>9715071153086</v>
      </c>
      <c r="F617" t="s">
        <v>1423</v>
      </c>
      <c r="G617" t="s">
        <v>839</v>
      </c>
    </row>
    <row r="618" spans="1:7" x14ac:dyDescent="0.25">
      <c r="A618" t="s">
        <v>1426</v>
      </c>
      <c r="B618" t="s">
        <v>1427</v>
      </c>
      <c r="C618" t="s">
        <v>1428</v>
      </c>
      <c r="D618" t="s">
        <v>919</v>
      </c>
      <c r="E618" s="19">
        <v>971506649500</v>
      </c>
      <c r="F618" t="s">
        <v>1426</v>
      </c>
      <c r="G618" t="s">
        <v>838</v>
      </c>
    </row>
    <row r="619" spans="1:7" x14ac:dyDescent="0.25">
      <c r="A619" t="s">
        <v>1414</v>
      </c>
      <c r="B619" t="s">
        <v>1415</v>
      </c>
      <c r="C619" t="s">
        <v>1416</v>
      </c>
      <c r="D619" t="s">
        <v>919</v>
      </c>
      <c r="E619" s="19">
        <v>971566332775</v>
      </c>
      <c r="F619" t="s">
        <v>1414</v>
      </c>
      <c r="G619" t="s">
        <v>839</v>
      </c>
    </row>
    <row r="620" spans="1:7" x14ac:dyDescent="0.25">
      <c r="A620" t="s">
        <v>1412</v>
      </c>
      <c r="B620" t="s">
        <v>1369</v>
      </c>
      <c r="C620" t="s">
        <v>1413</v>
      </c>
      <c r="D620" t="s">
        <v>919</v>
      </c>
      <c r="E620" s="19">
        <v>971559883977</v>
      </c>
      <c r="F620" t="s">
        <v>1412</v>
      </c>
      <c r="G620" t="s">
        <v>836</v>
      </c>
    </row>
    <row r="621" spans="1:7" x14ac:dyDescent="0.25">
      <c r="A621" t="s">
        <v>892</v>
      </c>
      <c r="B621" t="s">
        <v>1402</v>
      </c>
      <c r="C621" t="s">
        <v>1251</v>
      </c>
      <c r="D621" t="s">
        <v>919</v>
      </c>
      <c r="E621" s="19">
        <v>971503899490</v>
      </c>
      <c r="F621" t="s">
        <v>892</v>
      </c>
      <c r="G621" t="s">
        <v>838</v>
      </c>
    </row>
    <row r="622" spans="1:7" x14ac:dyDescent="0.25">
      <c r="A622" t="s">
        <v>671</v>
      </c>
      <c r="B622" t="s">
        <v>1401</v>
      </c>
      <c r="C622" t="s">
        <v>1250</v>
      </c>
      <c r="D622" t="s">
        <v>919</v>
      </c>
      <c r="E622" s="19">
        <v>971552876568</v>
      </c>
      <c r="F622" t="s">
        <v>671</v>
      </c>
      <c r="G622" t="s">
        <v>836</v>
      </c>
    </row>
    <row r="623" spans="1:7" x14ac:dyDescent="0.25">
      <c r="A623" t="s">
        <v>1457</v>
      </c>
      <c r="B623" t="s">
        <v>1458</v>
      </c>
      <c r="C623" t="s">
        <v>1459</v>
      </c>
      <c r="D623" t="s">
        <v>919</v>
      </c>
      <c r="E623" s="19">
        <v>971503482884</v>
      </c>
      <c r="F623" t="s">
        <v>1457</v>
      </c>
      <c r="G623" t="s">
        <v>837</v>
      </c>
    </row>
    <row r="624" spans="1:7" x14ac:dyDescent="0.25">
      <c r="A624" t="s">
        <v>1471</v>
      </c>
      <c r="B624" t="s">
        <v>1472</v>
      </c>
      <c r="C624" t="s">
        <v>1473</v>
      </c>
      <c r="D624" t="s">
        <v>919</v>
      </c>
      <c r="E624" s="19">
        <v>971555980589</v>
      </c>
      <c r="F624" t="s">
        <v>1471</v>
      </c>
      <c r="G624" t="s">
        <v>841</v>
      </c>
    </row>
    <row r="625" spans="1:7" x14ac:dyDescent="0.25">
      <c r="A625" t="s">
        <v>1466</v>
      </c>
      <c r="B625" t="s">
        <v>1467</v>
      </c>
      <c r="C625" t="s">
        <v>1468</v>
      </c>
      <c r="D625" t="s">
        <v>919</v>
      </c>
      <c r="E625" s="19">
        <v>97143526474</v>
      </c>
      <c r="F625" t="s">
        <v>1466</v>
      </c>
      <c r="G625" t="s">
        <v>1469</v>
      </c>
    </row>
    <row r="626" spans="1:7" x14ac:dyDescent="0.25">
      <c r="A626" t="s">
        <v>1474</v>
      </c>
      <c r="B626" t="s">
        <v>1475</v>
      </c>
      <c r="C626" t="s">
        <v>1476</v>
      </c>
      <c r="D626" t="s">
        <v>919</v>
      </c>
      <c r="E626" s="19">
        <v>97156058194</v>
      </c>
      <c r="F626" t="s">
        <v>1474</v>
      </c>
      <c r="G626" t="s">
        <v>836</v>
      </c>
    </row>
    <row r="627" spans="1:7" x14ac:dyDescent="0.25">
      <c r="A627" t="s">
        <v>1454</v>
      </c>
      <c r="B627" t="s">
        <v>1455</v>
      </c>
      <c r="C627" t="s">
        <v>1456</v>
      </c>
      <c r="D627" t="s">
        <v>919</v>
      </c>
      <c r="E627" s="19">
        <v>9714267888</v>
      </c>
      <c r="F627" t="s">
        <v>1454</v>
      </c>
      <c r="G627" t="s">
        <v>839</v>
      </c>
    </row>
    <row r="628" spans="1:7" x14ac:dyDescent="0.25">
      <c r="A628" t="s">
        <v>1451</v>
      </c>
      <c r="B628" t="s">
        <v>1452</v>
      </c>
      <c r="C628" t="s">
        <v>1453</v>
      </c>
      <c r="D628" t="s">
        <v>919</v>
      </c>
      <c r="E628" s="19">
        <v>971501495382</v>
      </c>
      <c r="F628" t="s">
        <v>1451</v>
      </c>
      <c r="G628" t="s">
        <v>839</v>
      </c>
    </row>
    <row r="629" spans="1:7" x14ac:dyDescent="0.25">
      <c r="A629" t="s">
        <v>1463</v>
      </c>
      <c r="B629" t="s">
        <v>1464</v>
      </c>
      <c r="C629" t="s">
        <v>1465</v>
      </c>
      <c r="D629" t="s">
        <v>919</v>
      </c>
      <c r="E629" s="19">
        <v>9710504259215</v>
      </c>
      <c r="F629" t="s">
        <v>1463</v>
      </c>
      <c r="G629" t="s">
        <v>836</v>
      </c>
    </row>
    <row r="630" spans="1:7" x14ac:dyDescent="0.25">
      <c r="A630" t="s">
        <v>1489</v>
      </c>
      <c r="B630" t="s">
        <v>1490</v>
      </c>
      <c r="C630" t="s">
        <v>1491</v>
      </c>
      <c r="D630" t="s">
        <v>919</v>
      </c>
      <c r="E630" s="19">
        <v>971551069981</v>
      </c>
      <c r="F630" t="s">
        <v>1489</v>
      </c>
      <c r="G630" t="s">
        <v>836</v>
      </c>
    </row>
    <row r="631" spans="1:7" x14ac:dyDescent="0.25">
      <c r="A631" t="s">
        <v>1497</v>
      </c>
      <c r="B631" t="s">
        <v>1366</v>
      </c>
      <c r="C631" t="s">
        <v>1498</v>
      </c>
      <c r="D631" t="s">
        <v>919</v>
      </c>
      <c r="E631" s="19">
        <v>9715045025</v>
      </c>
      <c r="F631" t="s">
        <v>1497</v>
      </c>
      <c r="G631" t="s">
        <v>1365</v>
      </c>
    </row>
    <row r="632" spans="1:7" x14ac:dyDescent="0.25">
      <c r="A632" t="s">
        <v>1502</v>
      </c>
      <c r="B632" t="s">
        <v>1362</v>
      </c>
      <c r="C632" t="s">
        <v>1503</v>
      </c>
      <c r="D632" t="s">
        <v>786</v>
      </c>
      <c r="E632" s="19">
        <v>97143579929</v>
      </c>
      <c r="F632" t="s">
        <v>1502</v>
      </c>
      <c r="G632" t="s">
        <v>844</v>
      </c>
    </row>
    <row r="633" spans="1:7" x14ac:dyDescent="0.25">
      <c r="A633" t="s">
        <v>1507</v>
      </c>
      <c r="B633" t="s">
        <v>1508</v>
      </c>
      <c r="C633" t="s">
        <v>1509</v>
      </c>
      <c r="D633" t="s">
        <v>919</v>
      </c>
      <c r="E633" s="19">
        <v>971555855743</v>
      </c>
      <c r="F633" t="s">
        <v>1507</v>
      </c>
      <c r="G633" t="s">
        <v>895</v>
      </c>
    </row>
    <row r="634" spans="1:7" x14ac:dyDescent="0.25">
      <c r="A634" t="s">
        <v>1480</v>
      </c>
      <c r="B634" t="s">
        <v>1481</v>
      </c>
      <c r="C634" t="s">
        <v>1482</v>
      </c>
      <c r="D634" t="s">
        <v>919</v>
      </c>
      <c r="E634" s="19">
        <v>971558870424</v>
      </c>
      <c r="F634" t="s">
        <v>1480</v>
      </c>
      <c r="G634" t="s">
        <v>836</v>
      </c>
    </row>
    <row r="635" spans="1:7" x14ac:dyDescent="0.25">
      <c r="A635" t="s">
        <v>1504</v>
      </c>
      <c r="B635" t="s">
        <v>1505</v>
      </c>
      <c r="C635" t="s">
        <v>1506</v>
      </c>
      <c r="D635" t="s">
        <v>919</v>
      </c>
      <c r="E635" s="19">
        <v>97143592226</v>
      </c>
      <c r="F635" t="s">
        <v>1504</v>
      </c>
      <c r="G635" t="s">
        <v>842</v>
      </c>
    </row>
    <row r="636" spans="1:7" x14ac:dyDescent="0.25">
      <c r="A636" t="s">
        <v>1528</v>
      </c>
      <c r="B636" t="s">
        <v>1529</v>
      </c>
      <c r="C636" t="s">
        <v>1530</v>
      </c>
      <c r="D636" t="s">
        <v>919</v>
      </c>
      <c r="E636" s="19">
        <v>97143477761</v>
      </c>
      <c r="F636" t="s">
        <v>1528</v>
      </c>
      <c r="G636" t="s">
        <v>836</v>
      </c>
    </row>
    <row r="637" spans="1:7" x14ac:dyDescent="0.25">
      <c r="A637" t="s">
        <v>1531</v>
      </c>
      <c r="B637" t="s">
        <v>1532</v>
      </c>
      <c r="C637" t="s">
        <v>1533</v>
      </c>
      <c r="D637" t="s">
        <v>786</v>
      </c>
      <c r="F637" t="s">
        <v>1531</v>
      </c>
      <c r="G637" t="s">
        <v>844</v>
      </c>
    </row>
    <row r="638" spans="1:7" x14ac:dyDescent="0.25">
      <c r="A638" t="s">
        <v>1513</v>
      </c>
      <c r="B638" t="s">
        <v>1517</v>
      </c>
      <c r="C638" t="s">
        <v>1518</v>
      </c>
      <c r="D638" t="s">
        <v>919</v>
      </c>
      <c r="E638" s="19">
        <v>962795553597</v>
      </c>
      <c r="F638" t="s">
        <v>1513</v>
      </c>
      <c r="G638" t="s">
        <v>1516</v>
      </c>
    </row>
    <row r="639" spans="1:7" x14ac:dyDescent="0.25">
      <c r="A639" t="s">
        <v>1522</v>
      </c>
      <c r="B639" t="s">
        <v>1523</v>
      </c>
      <c r="C639" t="s">
        <v>1524</v>
      </c>
      <c r="D639" t="s">
        <v>919</v>
      </c>
      <c r="E639" s="19">
        <v>971564308260</v>
      </c>
      <c r="F639" t="s">
        <v>1522</v>
      </c>
      <c r="G639" t="s">
        <v>836</v>
      </c>
    </row>
    <row r="640" spans="1:7" x14ac:dyDescent="0.25">
      <c r="A640" t="s">
        <v>1429</v>
      </c>
      <c r="B640" t="s">
        <v>1430</v>
      </c>
      <c r="C640" t="s">
        <v>1431</v>
      </c>
      <c r="D640" t="s">
        <v>919</v>
      </c>
      <c r="E640" s="19">
        <v>971553110110</v>
      </c>
      <c r="F640" t="s">
        <v>1429</v>
      </c>
      <c r="G640" t="s">
        <v>839</v>
      </c>
    </row>
    <row r="641" spans="1:7" x14ac:dyDescent="0.25">
      <c r="A641" t="s">
        <v>1499</v>
      </c>
      <c r="B641" t="s">
        <v>1500</v>
      </c>
      <c r="C641" t="s">
        <v>1501</v>
      </c>
      <c r="D641" t="s">
        <v>919</v>
      </c>
      <c r="E641" s="19">
        <v>971506589179</v>
      </c>
      <c r="F641" t="s">
        <v>1499</v>
      </c>
      <c r="G641" t="s">
        <v>839</v>
      </c>
    </row>
    <row r="642" spans="1:7" x14ac:dyDescent="0.25">
      <c r="A642" t="s">
        <v>1259</v>
      </c>
      <c r="B642" t="s">
        <v>1403</v>
      </c>
      <c r="C642" t="s">
        <v>1328</v>
      </c>
      <c r="D642" t="s">
        <v>919</v>
      </c>
      <c r="E642" s="19">
        <v>97317536092</v>
      </c>
      <c r="F642" t="s">
        <v>1259</v>
      </c>
      <c r="G642" t="s">
        <v>839</v>
      </c>
    </row>
    <row r="643" spans="1:7" x14ac:dyDescent="0.25">
      <c r="A643" t="s">
        <v>1494</v>
      </c>
      <c r="B643" t="s">
        <v>1495</v>
      </c>
      <c r="C643" t="s">
        <v>1496</v>
      </c>
      <c r="D643" t="s">
        <v>919</v>
      </c>
      <c r="E643" s="19">
        <v>971569469764</v>
      </c>
      <c r="F643" t="s">
        <v>1494</v>
      </c>
      <c r="G643" t="s">
        <v>836</v>
      </c>
    </row>
    <row r="644" spans="1:7" x14ac:dyDescent="0.25">
      <c r="A644" t="s">
        <v>1559</v>
      </c>
      <c r="B644" t="s">
        <v>1560</v>
      </c>
      <c r="C644" t="s">
        <v>1561</v>
      </c>
      <c r="D644" t="s">
        <v>919</v>
      </c>
      <c r="E644" s="19">
        <v>971508711922</v>
      </c>
      <c r="F644" t="s">
        <v>1559</v>
      </c>
      <c r="G644" t="s">
        <v>839</v>
      </c>
    </row>
    <row r="645" spans="1:7" x14ac:dyDescent="0.25">
      <c r="A645" t="s">
        <v>1574</v>
      </c>
      <c r="B645" t="s">
        <v>1575</v>
      </c>
      <c r="C645" t="s">
        <v>1576</v>
      </c>
      <c r="D645" t="s">
        <v>786</v>
      </c>
      <c r="F645" t="s">
        <v>1574</v>
      </c>
      <c r="G645" t="s">
        <v>844</v>
      </c>
    </row>
    <row r="646" spans="1:7" x14ac:dyDescent="0.25">
      <c r="A646" t="s">
        <v>1388</v>
      </c>
      <c r="B646" t="s">
        <v>1389</v>
      </c>
      <c r="C646" t="s">
        <v>1120</v>
      </c>
      <c r="D646" t="s">
        <v>919</v>
      </c>
      <c r="E646" s="19">
        <v>97143860337</v>
      </c>
      <c r="F646" t="s">
        <v>1388</v>
      </c>
      <c r="G646" t="s">
        <v>841</v>
      </c>
    </row>
    <row r="647" spans="1:7" x14ac:dyDescent="0.25">
      <c r="A647" t="s">
        <v>1562</v>
      </c>
      <c r="B647" t="s">
        <v>1355</v>
      </c>
      <c r="C647" t="s">
        <v>1563</v>
      </c>
      <c r="D647" t="s">
        <v>919</v>
      </c>
      <c r="E647" s="19">
        <v>971552231788</v>
      </c>
      <c r="F647" t="s">
        <v>1562</v>
      </c>
      <c r="G647" t="s">
        <v>836</v>
      </c>
    </row>
    <row r="648" spans="1:7" x14ac:dyDescent="0.25">
      <c r="A648" t="s">
        <v>1589</v>
      </c>
      <c r="B648" t="s">
        <v>1590</v>
      </c>
      <c r="C648" t="s">
        <v>1591</v>
      </c>
      <c r="D648" t="s">
        <v>919</v>
      </c>
      <c r="E648" s="19">
        <v>971504634773</v>
      </c>
      <c r="F648" t="s">
        <v>1589</v>
      </c>
      <c r="G648" t="s">
        <v>1365</v>
      </c>
    </row>
    <row r="649" spans="1:7" x14ac:dyDescent="0.25">
      <c r="A649" t="s">
        <v>1580</v>
      </c>
      <c r="B649" t="s">
        <v>1581</v>
      </c>
      <c r="C649" t="s">
        <v>1582</v>
      </c>
      <c r="D649" t="s">
        <v>919</v>
      </c>
      <c r="E649" s="19">
        <v>971507652853</v>
      </c>
      <c r="F649" t="s">
        <v>1580</v>
      </c>
      <c r="G649" t="s">
        <v>872</v>
      </c>
    </row>
    <row r="650" spans="1:7" x14ac:dyDescent="0.25">
      <c r="A650" t="s">
        <v>1592</v>
      </c>
      <c r="B650" t="s">
        <v>1593</v>
      </c>
      <c r="C650" t="s">
        <v>1594</v>
      </c>
      <c r="D650" t="s">
        <v>919</v>
      </c>
      <c r="E650" s="19">
        <v>97155856023</v>
      </c>
      <c r="F650" t="s">
        <v>1592</v>
      </c>
      <c r="G650" t="s">
        <v>1382</v>
      </c>
    </row>
    <row r="651" spans="1:7" x14ac:dyDescent="0.25">
      <c r="A651" t="s">
        <v>1448</v>
      </c>
      <c r="B651" t="s">
        <v>1449</v>
      </c>
      <c r="C651" t="s">
        <v>1450</v>
      </c>
      <c r="D651" t="s">
        <v>919</v>
      </c>
      <c r="E651" s="19">
        <v>971503513112</v>
      </c>
      <c r="F651" t="s">
        <v>1448</v>
      </c>
      <c r="G651" t="s">
        <v>845</v>
      </c>
    </row>
    <row r="652" spans="1:7" x14ac:dyDescent="0.25">
      <c r="A652" t="s">
        <v>1615</v>
      </c>
      <c r="B652" t="s">
        <v>1616</v>
      </c>
      <c r="C652" t="s">
        <v>1617</v>
      </c>
      <c r="D652" t="s">
        <v>919</v>
      </c>
      <c r="E652" s="19">
        <v>971509434947</v>
      </c>
      <c r="F652" t="s">
        <v>1615</v>
      </c>
      <c r="G652" t="s">
        <v>838</v>
      </c>
    </row>
    <row r="653" spans="1:7" x14ac:dyDescent="0.25">
      <c r="A653" t="s">
        <v>1644</v>
      </c>
      <c r="B653" t="s">
        <v>1645</v>
      </c>
      <c r="C653" t="s">
        <v>1646</v>
      </c>
      <c r="D653" t="s">
        <v>919</v>
      </c>
      <c r="E653" s="19">
        <v>97143431441</v>
      </c>
      <c r="F653" t="s">
        <v>1644</v>
      </c>
      <c r="G653" t="s">
        <v>858</v>
      </c>
    </row>
    <row r="654" spans="1:7" x14ac:dyDescent="0.25">
      <c r="A654" t="s">
        <v>1634</v>
      </c>
      <c r="B654" t="s">
        <v>1635</v>
      </c>
      <c r="C654" t="s">
        <v>1636</v>
      </c>
      <c r="D654" t="s">
        <v>919</v>
      </c>
      <c r="E654" s="19">
        <v>971506709277</v>
      </c>
      <c r="F654" t="s">
        <v>1634</v>
      </c>
      <c r="G654" t="s">
        <v>839</v>
      </c>
    </row>
    <row r="655" spans="1:7" x14ac:dyDescent="0.25">
      <c r="A655" t="s">
        <v>1628</v>
      </c>
      <c r="B655" t="s">
        <v>1629</v>
      </c>
      <c r="C655" t="s">
        <v>1630</v>
      </c>
      <c r="D655" t="s">
        <v>919</v>
      </c>
      <c r="E655" s="19">
        <v>971528137779</v>
      </c>
      <c r="F655" t="s">
        <v>1628</v>
      </c>
      <c r="G655" t="s">
        <v>839</v>
      </c>
    </row>
    <row r="656" spans="1:7" x14ac:dyDescent="0.25">
      <c r="A656" t="s">
        <v>1598</v>
      </c>
      <c r="B656" t="s">
        <v>1368</v>
      </c>
      <c r="C656" t="s">
        <v>2134</v>
      </c>
      <c r="D656" t="s">
        <v>919</v>
      </c>
      <c r="E656" s="19">
        <v>971558224436</v>
      </c>
      <c r="F656" t="s">
        <v>1598</v>
      </c>
      <c r="G656" t="s">
        <v>839</v>
      </c>
    </row>
    <row r="657" spans="1:7" x14ac:dyDescent="0.25">
      <c r="A657" t="s">
        <v>1675</v>
      </c>
      <c r="B657" t="s">
        <v>1676</v>
      </c>
      <c r="C657" t="s">
        <v>1677</v>
      </c>
      <c r="D657" t="s">
        <v>919</v>
      </c>
      <c r="E657" s="19">
        <v>971522034567</v>
      </c>
      <c r="F657" t="s">
        <v>1675</v>
      </c>
      <c r="G657" t="s">
        <v>836</v>
      </c>
    </row>
    <row r="658" spans="1:7" x14ac:dyDescent="0.25">
      <c r="A658" t="s">
        <v>1305</v>
      </c>
      <c r="B658" t="s">
        <v>1359</v>
      </c>
      <c r="C658" t="s">
        <v>1339</v>
      </c>
      <c r="D658" t="s">
        <v>919</v>
      </c>
      <c r="E658" s="19">
        <v>0</v>
      </c>
      <c r="F658" t="s">
        <v>1305</v>
      </c>
      <c r="G658" t="s">
        <v>836</v>
      </c>
    </row>
    <row r="659" spans="1:7" x14ac:dyDescent="0.25">
      <c r="A659" t="s">
        <v>1667</v>
      </c>
      <c r="B659" t="s">
        <v>1363</v>
      </c>
      <c r="C659" t="s">
        <v>9067</v>
      </c>
      <c r="D659" t="s">
        <v>919</v>
      </c>
      <c r="E659" s="19">
        <v>971508402275</v>
      </c>
      <c r="F659" t="s">
        <v>1667</v>
      </c>
      <c r="G659" t="s">
        <v>841</v>
      </c>
    </row>
    <row r="660" spans="1:7" x14ac:dyDescent="0.25">
      <c r="A660" t="s">
        <v>1669</v>
      </c>
      <c r="B660" t="s">
        <v>1670</v>
      </c>
      <c r="C660" t="s">
        <v>1671</v>
      </c>
      <c r="D660" t="s">
        <v>919</v>
      </c>
      <c r="E660" s="19">
        <v>971559829008</v>
      </c>
      <c r="F660" t="s">
        <v>1669</v>
      </c>
      <c r="G660" t="s">
        <v>839</v>
      </c>
    </row>
    <row r="661" spans="1:7" x14ac:dyDescent="0.25">
      <c r="A661" t="s">
        <v>1306</v>
      </c>
      <c r="B661" t="s">
        <v>1411</v>
      </c>
      <c r="C661" t="s">
        <v>1340</v>
      </c>
      <c r="D661" t="s">
        <v>919</v>
      </c>
      <c r="E661" s="19">
        <v>971509100909</v>
      </c>
      <c r="F661" t="s">
        <v>1306</v>
      </c>
      <c r="G661" t="s">
        <v>842</v>
      </c>
    </row>
    <row r="662" spans="1:7" x14ac:dyDescent="0.25">
      <c r="A662" t="s">
        <v>1665</v>
      </c>
      <c r="B662" t="s">
        <v>1666</v>
      </c>
      <c r="C662" t="s">
        <v>9381</v>
      </c>
      <c r="D662" t="s">
        <v>919</v>
      </c>
      <c r="E662" s="19">
        <v>971508497506</v>
      </c>
      <c r="F662" t="s">
        <v>1665</v>
      </c>
      <c r="G662" t="s">
        <v>836</v>
      </c>
    </row>
    <row r="663" spans="1:7" x14ac:dyDescent="0.25">
      <c r="A663" t="s">
        <v>1700</v>
      </c>
      <c r="B663" t="s">
        <v>1701</v>
      </c>
      <c r="C663" t="s">
        <v>1702</v>
      </c>
      <c r="D663" t="s">
        <v>919</v>
      </c>
      <c r="E663" s="19">
        <v>905413374110</v>
      </c>
      <c r="F663" t="s">
        <v>1700</v>
      </c>
      <c r="G663" t="s">
        <v>838</v>
      </c>
    </row>
    <row r="664" spans="1:7" x14ac:dyDescent="0.25">
      <c r="A664" t="s">
        <v>1708</v>
      </c>
      <c r="B664" t="s">
        <v>1709</v>
      </c>
      <c r="C664" t="s">
        <v>1710</v>
      </c>
      <c r="D664" t="s">
        <v>919</v>
      </c>
      <c r="E664" s="19">
        <v>97145547965</v>
      </c>
      <c r="F664" t="s">
        <v>1708</v>
      </c>
      <c r="G664" t="s">
        <v>839</v>
      </c>
    </row>
    <row r="665" spans="1:7" x14ac:dyDescent="0.25">
      <c r="A665" t="s">
        <v>1685</v>
      </c>
      <c r="B665" t="s">
        <v>1686</v>
      </c>
      <c r="C665" t="s">
        <v>1687</v>
      </c>
      <c r="D665" t="s">
        <v>919</v>
      </c>
      <c r="E665" s="19">
        <v>971506561977</v>
      </c>
      <c r="F665" t="s">
        <v>1685</v>
      </c>
      <c r="G665" t="s">
        <v>1382</v>
      </c>
    </row>
    <row r="666" spans="1:7" x14ac:dyDescent="0.25">
      <c r="A666" t="s">
        <v>1694</v>
      </c>
      <c r="B666" t="s">
        <v>1695</v>
      </c>
      <c r="C666" t="s">
        <v>1696</v>
      </c>
      <c r="D666" t="s">
        <v>919</v>
      </c>
      <c r="E666" s="19">
        <v>971564546784</v>
      </c>
      <c r="F666" t="s">
        <v>1694</v>
      </c>
      <c r="G666" t="s">
        <v>837</v>
      </c>
    </row>
    <row r="667" spans="1:7" x14ac:dyDescent="0.25">
      <c r="A667" t="s">
        <v>1697</v>
      </c>
      <c r="B667" t="s">
        <v>1698</v>
      </c>
      <c r="C667" t="s">
        <v>1699</v>
      </c>
      <c r="D667" t="s">
        <v>919</v>
      </c>
      <c r="E667" s="19">
        <v>971504903416</v>
      </c>
      <c r="F667" t="s">
        <v>1697</v>
      </c>
      <c r="G667" t="s">
        <v>854</v>
      </c>
    </row>
    <row r="668" spans="1:7" x14ac:dyDescent="0.25">
      <c r="A668" t="s">
        <v>1683</v>
      </c>
      <c r="B668" t="s">
        <v>1367</v>
      </c>
      <c r="C668" t="s">
        <v>1684</v>
      </c>
      <c r="D668" t="s">
        <v>919</v>
      </c>
      <c r="E668" s="19">
        <v>971529102925</v>
      </c>
      <c r="F668" t="s">
        <v>1683</v>
      </c>
      <c r="G668" t="s">
        <v>841</v>
      </c>
    </row>
    <row r="669" spans="1:7" x14ac:dyDescent="0.25">
      <c r="A669" t="s">
        <v>1714</v>
      </c>
      <c r="B669" t="s">
        <v>1361</v>
      </c>
      <c r="C669" t="s">
        <v>1715</v>
      </c>
      <c r="D669" t="s">
        <v>919</v>
      </c>
      <c r="E669" s="19">
        <v>971561149349</v>
      </c>
      <c r="F669" t="s">
        <v>1714</v>
      </c>
      <c r="G669" t="s">
        <v>839</v>
      </c>
    </row>
    <row r="670" spans="1:7" x14ac:dyDescent="0.25">
      <c r="A670" t="s">
        <v>1706</v>
      </c>
      <c r="B670" t="s">
        <v>1356</v>
      </c>
      <c r="C670" t="s">
        <v>1707</v>
      </c>
      <c r="D670" t="s">
        <v>919</v>
      </c>
      <c r="E670" s="19">
        <v>971553150362</v>
      </c>
      <c r="F670" t="s">
        <v>1706</v>
      </c>
      <c r="G670" t="s">
        <v>837</v>
      </c>
    </row>
    <row r="671" spans="1:7" x14ac:dyDescent="0.25">
      <c r="A671" t="s">
        <v>1703</v>
      </c>
      <c r="B671" t="s">
        <v>1704</v>
      </c>
      <c r="C671" t="s">
        <v>1705</v>
      </c>
      <c r="D671" t="s">
        <v>919</v>
      </c>
      <c r="E671" s="19">
        <v>97143883454</v>
      </c>
      <c r="F671" t="s">
        <v>1703</v>
      </c>
      <c r="G671" t="s">
        <v>836</v>
      </c>
    </row>
    <row r="672" spans="1:7" x14ac:dyDescent="0.25">
      <c r="A672" t="s">
        <v>1724</v>
      </c>
      <c r="B672" t="s">
        <v>1725</v>
      </c>
      <c r="C672" t="s">
        <v>1726</v>
      </c>
      <c r="D672" t="s">
        <v>919</v>
      </c>
      <c r="E672" s="19">
        <v>971507647054</v>
      </c>
      <c r="F672" t="s">
        <v>1724</v>
      </c>
      <c r="G672" t="s">
        <v>839</v>
      </c>
    </row>
    <row r="673" spans="1:7" x14ac:dyDescent="0.25">
      <c r="A673" t="s">
        <v>1711</v>
      </c>
      <c r="B673" t="s">
        <v>1712</v>
      </c>
      <c r="C673" t="s">
        <v>1713</v>
      </c>
      <c r="D673" t="s">
        <v>919</v>
      </c>
      <c r="E673" s="19">
        <v>97142271064</v>
      </c>
      <c r="F673" t="s">
        <v>1711</v>
      </c>
      <c r="G673" t="s">
        <v>836</v>
      </c>
    </row>
    <row r="674" spans="1:7" x14ac:dyDescent="0.25">
      <c r="A674" t="s">
        <v>1758</v>
      </c>
      <c r="B674" t="s">
        <v>1759</v>
      </c>
      <c r="C674" t="s">
        <v>1760</v>
      </c>
      <c r="D674" t="s">
        <v>786</v>
      </c>
      <c r="E674" s="19">
        <v>971561149349</v>
      </c>
      <c r="F674" t="s">
        <v>1758</v>
      </c>
      <c r="G674" t="s">
        <v>844</v>
      </c>
    </row>
    <row r="675" spans="1:7" x14ac:dyDescent="0.25">
      <c r="A675" t="s">
        <v>1716</v>
      </c>
      <c r="B675" t="s">
        <v>1717</v>
      </c>
      <c r="C675" t="s">
        <v>1715</v>
      </c>
      <c r="D675" t="s">
        <v>919</v>
      </c>
      <c r="E675" s="19">
        <v>971508756138</v>
      </c>
      <c r="F675" t="s">
        <v>1716</v>
      </c>
      <c r="G675" t="s">
        <v>839</v>
      </c>
    </row>
    <row r="676" spans="1:7" x14ac:dyDescent="0.25">
      <c r="A676" t="s">
        <v>1688</v>
      </c>
      <c r="B676" t="s">
        <v>1689</v>
      </c>
      <c r="C676" t="s">
        <v>1690</v>
      </c>
      <c r="D676" t="s">
        <v>919</v>
      </c>
      <c r="E676" s="19">
        <v>9791555486946</v>
      </c>
      <c r="F676" t="s">
        <v>1688</v>
      </c>
      <c r="G676" t="s">
        <v>841</v>
      </c>
    </row>
    <row r="677" spans="1:7" x14ac:dyDescent="0.25">
      <c r="A677" t="s">
        <v>1771</v>
      </c>
      <c r="B677" t="s">
        <v>1772</v>
      </c>
      <c r="C677" t="s">
        <v>1773</v>
      </c>
      <c r="D677" t="s">
        <v>786</v>
      </c>
      <c r="E677" s="19">
        <v>966533869135</v>
      </c>
      <c r="F677" t="s">
        <v>1771</v>
      </c>
      <c r="G677" t="s">
        <v>844</v>
      </c>
    </row>
    <row r="678" spans="1:7" x14ac:dyDescent="0.25">
      <c r="A678" t="s">
        <v>1799</v>
      </c>
      <c r="B678" t="s">
        <v>1800</v>
      </c>
      <c r="C678" t="s">
        <v>1801</v>
      </c>
      <c r="D678" t="s">
        <v>919</v>
      </c>
      <c r="E678" s="19">
        <v>9710566512161</v>
      </c>
      <c r="F678" t="s">
        <v>1799</v>
      </c>
      <c r="G678" t="s">
        <v>858</v>
      </c>
    </row>
    <row r="679" spans="1:7" x14ac:dyDescent="0.25">
      <c r="A679" t="s">
        <v>1802</v>
      </c>
      <c r="B679" t="s">
        <v>1803</v>
      </c>
      <c r="C679" t="s">
        <v>1804</v>
      </c>
      <c r="D679" t="s">
        <v>919</v>
      </c>
      <c r="E679" s="19">
        <v>971564018062</v>
      </c>
      <c r="F679" t="s">
        <v>1802</v>
      </c>
      <c r="G679" t="s">
        <v>839</v>
      </c>
    </row>
    <row r="680" spans="1:7" x14ac:dyDescent="0.25">
      <c r="A680" t="s">
        <v>1805</v>
      </c>
      <c r="B680" t="s">
        <v>1806</v>
      </c>
      <c r="C680" t="s">
        <v>1807</v>
      </c>
      <c r="D680" t="s">
        <v>919</v>
      </c>
      <c r="E680" s="19">
        <v>971562013006</v>
      </c>
      <c r="F680" t="s">
        <v>1805</v>
      </c>
      <c r="G680" t="s">
        <v>1365</v>
      </c>
    </row>
    <row r="681" spans="1:7" x14ac:dyDescent="0.25">
      <c r="A681" t="s">
        <v>1808</v>
      </c>
      <c r="B681" t="s">
        <v>1809</v>
      </c>
      <c r="C681" t="s">
        <v>1810</v>
      </c>
      <c r="D681" t="s">
        <v>919</v>
      </c>
      <c r="E681" s="19" t="s">
        <v>1811</v>
      </c>
      <c r="F681" t="s">
        <v>1808</v>
      </c>
      <c r="G681" t="s">
        <v>858</v>
      </c>
    </row>
    <row r="682" spans="1:7" x14ac:dyDescent="0.25">
      <c r="A682" t="s">
        <v>1812</v>
      </c>
      <c r="B682" t="s">
        <v>1813</v>
      </c>
      <c r="C682" t="s">
        <v>1814</v>
      </c>
      <c r="D682" t="s">
        <v>919</v>
      </c>
      <c r="E682" s="19">
        <v>971525483193</v>
      </c>
      <c r="F682" t="s">
        <v>1812</v>
      </c>
      <c r="G682" t="s">
        <v>837</v>
      </c>
    </row>
    <row r="683" spans="1:7" x14ac:dyDescent="0.25">
      <c r="A683" t="s">
        <v>1819</v>
      </c>
      <c r="B683" t="s">
        <v>1820</v>
      </c>
      <c r="C683" t="s">
        <v>1821</v>
      </c>
      <c r="D683" t="s">
        <v>919</v>
      </c>
      <c r="E683" s="19">
        <v>971561930109</v>
      </c>
      <c r="F683" t="s">
        <v>1819</v>
      </c>
      <c r="G683" t="s">
        <v>839</v>
      </c>
    </row>
    <row r="684" spans="1:7" x14ac:dyDescent="0.25">
      <c r="A684" t="s">
        <v>1822</v>
      </c>
      <c r="B684" t="s">
        <v>1823</v>
      </c>
      <c r="C684" t="s">
        <v>1824</v>
      </c>
      <c r="D684" t="s">
        <v>919</v>
      </c>
      <c r="E684" s="19">
        <v>971553433148</v>
      </c>
      <c r="F684" t="s">
        <v>1822</v>
      </c>
      <c r="G684" t="s">
        <v>842</v>
      </c>
    </row>
    <row r="685" spans="1:7" x14ac:dyDescent="0.25">
      <c r="A685" t="s">
        <v>1828</v>
      </c>
      <c r="B685" t="s">
        <v>1829</v>
      </c>
      <c r="C685" t="s">
        <v>1830</v>
      </c>
      <c r="D685" t="s">
        <v>919</v>
      </c>
      <c r="E685" s="19">
        <v>971557862766</v>
      </c>
      <c r="F685" t="s">
        <v>1828</v>
      </c>
      <c r="G685" t="s">
        <v>836</v>
      </c>
    </row>
    <row r="686" spans="1:7" x14ac:dyDescent="0.25">
      <c r="A686" t="s">
        <v>1831</v>
      </c>
      <c r="B686" t="s">
        <v>1832</v>
      </c>
      <c r="C686" t="s">
        <v>1833</v>
      </c>
      <c r="D686" t="s">
        <v>786</v>
      </c>
      <c r="E686" s="19">
        <v>971561779496</v>
      </c>
      <c r="F686" t="s">
        <v>1831</v>
      </c>
      <c r="G686" t="s">
        <v>844</v>
      </c>
    </row>
    <row r="687" spans="1:7" x14ac:dyDescent="0.25">
      <c r="A687" t="s">
        <v>1834</v>
      </c>
      <c r="B687" t="s">
        <v>1835</v>
      </c>
      <c r="C687" t="s">
        <v>1836</v>
      </c>
      <c r="D687" t="s">
        <v>919</v>
      </c>
      <c r="E687" s="19">
        <v>971506560528</v>
      </c>
      <c r="F687" t="s">
        <v>1834</v>
      </c>
      <c r="G687" t="s">
        <v>850</v>
      </c>
    </row>
    <row r="688" spans="1:7" x14ac:dyDescent="0.25">
      <c r="A688" t="s">
        <v>1837</v>
      </c>
      <c r="B688" t="s">
        <v>1838</v>
      </c>
      <c r="C688" t="s">
        <v>9133</v>
      </c>
      <c r="D688" t="s">
        <v>919</v>
      </c>
      <c r="E688" s="19">
        <v>971559332142</v>
      </c>
      <c r="F688" t="s">
        <v>1837</v>
      </c>
      <c r="G688" t="s">
        <v>850</v>
      </c>
    </row>
    <row r="689" spans="1:7" x14ac:dyDescent="0.25">
      <c r="A689" t="s">
        <v>1839</v>
      </c>
      <c r="B689" t="s">
        <v>1840</v>
      </c>
      <c r="C689" t="s">
        <v>1841</v>
      </c>
      <c r="D689" t="s">
        <v>919</v>
      </c>
      <c r="E689" s="19">
        <v>971551012290</v>
      </c>
      <c r="F689" t="s">
        <v>1839</v>
      </c>
      <c r="G689" t="s">
        <v>839</v>
      </c>
    </row>
    <row r="690" spans="1:7" x14ac:dyDescent="0.25">
      <c r="A690" t="s">
        <v>1842</v>
      </c>
      <c r="B690" t="s">
        <v>1843</v>
      </c>
      <c r="C690" t="s">
        <v>1844</v>
      </c>
      <c r="D690" t="s">
        <v>919</v>
      </c>
      <c r="E690" s="19">
        <v>971558903632</v>
      </c>
      <c r="F690" t="s">
        <v>1842</v>
      </c>
      <c r="G690" t="s">
        <v>839</v>
      </c>
    </row>
    <row r="691" spans="1:7" x14ac:dyDescent="0.25">
      <c r="A691" t="s">
        <v>1845</v>
      </c>
      <c r="B691" t="s">
        <v>1846</v>
      </c>
      <c r="C691" t="s">
        <v>1844</v>
      </c>
      <c r="D691" t="s">
        <v>919</v>
      </c>
      <c r="E691" s="19">
        <v>971558903632</v>
      </c>
      <c r="F691" t="s">
        <v>1845</v>
      </c>
      <c r="G691" t="s">
        <v>839</v>
      </c>
    </row>
    <row r="692" spans="1:7" x14ac:dyDescent="0.25">
      <c r="A692" t="s">
        <v>1847</v>
      </c>
      <c r="B692" t="s">
        <v>1848</v>
      </c>
      <c r="C692" t="s">
        <v>1849</v>
      </c>
      <c r="D692" t="s">
        <v>919</v>
      </c>
      <c r="E692" s="19">
        <v>971558680760</v>
      </c>
      <c r="F692" t="s">
        <v>1847</v>
      </c>
      <c r="G692" t="s">
        <v>850</v>
      </c>
    </row>
    <row r="693" spans="1:7" x14ac:dyDescent="0.25">
      <c r="A693" t="s">
        <v>1850</v>
      </c>
      <c r="B693" t="s">
        <v>1851</v>
      </c>
      <c r="C693" t="s">
        <v>1852</v>
      </c>
      <c r="D693" t="s">
        <v>919</v>
      </c>
      <c r="E693" s="19">
        <v>971504505615</v>
      </c>
      <c r="F693" t="s">
        <v>1850</v>
      </c>
      <c r="G693" t="s">
        <v>850</v>
      </c>
    </row>
    <row r="694" spans="1:7" x14ac:dyDescent="0.25">
      <c r="A694" t="s">
        <v>1853</v>
      </c>
      <c r="B694" t="s">
        <v>1854</v>
      </c>
      <c r="C694" t="s">
        <v>1852</v>
      </c>
      <c r="D694" t="s">
        <v>919</v>
      </c>
      <c r="E694" s="19">
        <v>971504505615</v>
      </c>
      <c r="F694" t="s">
        <v>1853</v>
      </c>
      <c r="G694" t="s">
        <v>850</v>
      </c>
    </row>
    <row r="695" spans="1:7" x14ac:dyDescent="0.25">
      <c r="A695" t="s">
        <v>1384</v>
      </c>
      <c r="B695" t="s">
        <v>1385</v>
      </c>
      <c r="C695" t="s">
        <v>1072</v>
      </c>
      <c r="D695" t="s">
        <v>919</v>
      </c>
      <c r="E695" s="19">
        <v>971551081179</v>
      </c>
      <c r="F695" t="s">
        <v>1384</v>
      </c>
      <c r="G695" t="s">
        <v>841</v>
      </c>
    </row>
    <row r="696" spans="1:7" x14ac:dyDescent="0.25">
      <c r="A696" t="s">
        <v>1855</v>
      </c>
      <c r="B696" t="s">
        <v>1856</v>
      </c>
      <c r="C696" t="s">
        <v>1857</v>
      </c>
      <c r="D696" t="s">
        <v>786</v>
      </c>
      <c r="E696" s="19" t="s">
        <v>1858</v>
      </c>
      <c r="F696" t="s">
        <v>1855</v>
      </c>
      <c r="G696" t="s">
        <v>844</v>
      </c>
    </row>
    <row r="697" spans="1:7" x14ac:dyDescent="0.25">
      <c r="A697" t="s">
        <v>1875</v>
      </c>
      <c r="B697" t="s">
        <v>1876</v>
      </c>
      <c r="C697" t="s">
        <v>1877</v>
      </c>
      <c r="D697" t="s">
        <v>919</v>
      </c>
      <c r="E697" s="19">
        <v>971526095517</v>
      </c>
      <c r="F697" t="s">
        <v>1875</v>
      </c>
      <c r="G697" t="s">
        <v>838</v>
      </c>
    </row>
    <row r="698" spans="1:7" x14ac:dyDescent="0.25">
      <c r="A698" t="s">
        <v>1375</v>
      </c>
      <c r="B698" t="s">
        <v>1376</v>
      </c>
      <c r="C698" t="s">
        <v>1008</v>
      </c>
      <c r="D698" t="s">
        <v>919</v>
      </c>
      <c r="E698" s="19">
        <v>971504507542</v>
      </c>
      <c r="F698" t="s">
        <v>1375</v>
      </c>
      <c r="G698" t="s">
        <v>839</v>
      </c>
    </row>
    <row r="699" spans="1:7" x14ac:dyDescent="0.25">
      <c r="A699" t="s">
        <v>1889</v>
      </c>
      <c r="B699" t="s">
        <v>1370</v>
      </c>
      <c r="C699" t="s">
        <v>1890</v>
      </c>
      <c r="D699" t="s">
        <v>919</v>
      </c>
      <c r="E699" s="19">
        <v>971564015654</v>
      </c>
      <c r="F699" t="s">
        <v>1889</v>
      </c>
      <c r="G699" t="s">
        <v>838</v>
      </c>
    </row>
    <row r="700" spans="1:7" x14ac:dyDescent="0.25">
      <c r="A700" t="s">
        <v>1913</v>
      </c>
      <c r="B700" t="s">
        <v>1914</v>
      </c>
      <c r="C700" t="s">
        <v>1915</v>
      </c>
      <c r="D700" t="s">
        <v>919</v>
      </c>
      <c r="E700" s="19">
        <v>971551063203</v>
      </c>
      <c r="F700" t="s">
        <v>1913</v>
      </c>
      <c r="G700" t="s">
        <v>2131</v>
      </c>
    </row>
    <row r="701" spans="1:7" x14ac:dyDescent="0.25">
      <c r="A701" t="s">
        <v>1916</v>
      </c>
      <c r="B701" t="s">
        <v>1917</v>
      </c>
      <c r="C701" t="s">
        <v>1918</v>
      </c>
      <c r="D701" t="s">
        <v>919</v>
      </c>
      <c r="E701" s="19">
        <v>971502595677</v>
      </c>
      <c r="F701" t="s">
        <v>1916</v>
      </c>
      <c r="G701" t="s">
        <v>841</v>
      </c>
    </row>
    <row r="702" spans="1:7" x14ac:dyDescent="0.25">
      <c r="A702" t="s">
        <v>1919</v>
      </c>
      <c r="B702" t="s">
        <v>1920</v>
      </c>
      <c r="C702" t="s">
        <v>1921</v>
      </c>
      <c r="D702" t="s">
        <v>919</v>
      </c>
      <c r="E702" s="19">
        <v>971502877062</v>
      </c>
      <c r="F702" t="s">
        <v>1919</v>
      </c>
      <c r="G702" t="s">
        <v>850</v>
      </c>
    </row>
    <row r="703" spans="1:7" x14ac:dyDescent="0.25">
      <c r="A703" t="s">
        <v>1922</v>
      </c>
      <c r="B703" t="s">
        <v>1923</v>
      </c>
      <c r="C703" t="s">
        <v>1921</v>
      </c>
      <c r="D703" t="s">
        <v>919</v>
      </c>
      <c r="E703" s="19">
        <v>971502877062</v>
      </c>
      <c r="F703" t="s">
        <v>1922</v>
      </c>
      <c r="G703" t="s">
        <v>850</v>
      </c>
    </row>
    <row r="704" spans="1:7" x14ac:dyDescent="0.25">
      <c r="A704" t="s">
        <v>1929</v>
      </c>
      <c r="B704" t="s">
        <v>1930</v>
      </c>
      <c r="C704" t="s">
        <v>1931</v>
      </c>
      <c r="D704" t="s">
        <v>919</v>
      </c>
      <c r="E704" s="19">
        <v>971558037667</v>
      </c>
      <c r="F704" t="s">
        <v>1929</v>
      </c>
      <c r="G704" t="s">
        <v>836</v>
      </c>
    </row>
    <row r="705" spans="1:7" x14ac:dyDescent="0.25">
      <c r="A705" t="s">
        <v>1941</v>
      </c>
      <c r="B705" t="s">
        <v>1942</v>
      </c>
      <c r="C705" t="s">
        <v>1943</v>
      </c>
      <c r="D705" t="s">
        <v>919</v>
      </c>
      <c r="E705" s="19">
        <v>971562120327</v>
      </c>
      <c r="F705" t="s">
        <v>1941</v>
      </c>
      <c r="G705" t="s">
        <v>836</v>
      </c>
    </row>
    <row r="706" spans="1:7" x14ac:dyDescent="0.25">
      <c r="A706" t="s">
        <v>1956</v>
      </c>
      <c r="B706" t="s">
        <v>1957</v>
      </c>
      <c r="C706" t="s">
        <v>1958</v>
      </c>
      <c r="D706" t="s">
        <v>919</v>
      </c>
      <c r="E706" s="19">
        <v>971526449421</v>
      </c>
      <c r="F706" t="s">
        <v>1956</v>
      </c>
      <c r="G706" t="s">
        <v>1865</v>
      </c>
    </row>
    <row r="707" spans="1:7" x14ac:dyDescent="0.25">
      <c r="A707" t="s">
        <v>828</v>
      </c>
      <c r="B707" t="s">
        <v>1980</v>
      </c>
      <c r="C707" t="s">
        <v>1981</v>
      </c>
      <c r="D707" t="s">
        <v>919</v>
      </c>
      <c r="E707" s="19">
        <v>971558052397</v>
      </c>
      <c r="F707" t="s">
        <v>828</v>
      </c>
      <c r="G707" t="s">
        <v>836</v>
      </c>
    </row>
    <row r="708" spans="1:7" x14ac:dyDescent="0.25">
      <c r="A708" t="s">
        <v>1985</v>
      </c>
      <c r="B708" t="s">
        <v>1986</v>
      </c>
      <c r="C708" t="s">
        <v>1987</v>
      </c>
      <c r="D708" t="s">
        <v>919</v>
      </c>
      <c r="E708" s="19">
        <v>971563196774</v>
      </c>
      <c r="F708" t="s">
        <v>1985</v>
      </c>
      <c r="G708" t="s">
        <v>839</v>
      </c>
    </row>
    <row r="709" spans="1:7" x14ac:dyDescent="0.25">
      <c r="A709" t="s">
        <v>1991</v>
      </c>
      <c r="B709" t="s">
        <v>1992</v>
      </c>
      <c r="C709" t="s">
        <v>1993</v>
      </c>
      <c r="D709" t="s">
        <v>919</v>
      </c>
      <c r="E709" s="19">
        <v>971507254987</v>
      </c>
      <c r="F709" t="s">
        <v>1991</v>
      </c>
      <c r="G709" t="s">
        <v>839</v>
      </c>
    </row>
    <row r="710" spans="1:7" x14ac:dyDescent="0.25">
      <c r="A710" t="s">
        <v>1994</v>
      </c>
      <c r="B710" t="s">
        <v>1995</v>
      </c>
      <c r="C710" t="s">
        <v>1996</v>
      </c>
      <c r="D710" t="s">
        <v>919</v>
      </c>
      <c r="E710" s="19">
        <v>971506408300</v>
      </c>
      <c r="F710" t="s">
        <v>1994</v>
      </c>
      <c r="G710" t="s">
        <v>839</v>
      </c>
    </row>
    <row r="711" spans="1:7" x14ac:dyDescent="0.25">
      <c r="A711" t="s">
        <v>1997</v>
      </c>
      <c r="B711" t="s">
        <v>1998</v>
      </c>
      <c r="C711" t="s">
        <v>1999</v>
      </c>
      <c r="D711" t="s">
        <v>919</v>
      </c>
      <c r="E711" s="19">
        <v>971507573465</v>
      </c>
      <c r="F711" t="s">
        <v>1997</v>
      </c>
      <c r="G711" t="s">
        <v>2000</v>
      </c>
    </row>
    <row r="712" spans="1:7" x14ac:dyDescent="0.25">
      <c r="A712" t="s">
        <v>2001</v>
      </c>
      <c r="B712" t="s">
        <v>2002</v>
      </c>
      <c r="C712" t="s">
        <v>2003</v>
      </c>
      <c r="D712" t="s">
        <v>919</v>
      </c>
      <c r="E712" s="19">
        <v>971555531006</v>
      </c>
      <c r="F712" t="s">
        <v>2001</v>
      </c>
      <c r="G712" t="s">
        <v>839</v>
      </c>
    </row>
    <row r="713" spans="1:7" x14ac:dyDescent="0.25">
      <c r="A713" t="s">
        <v>827</v>
      </c>
      <c r="B713" t="s">
        <v>2011</v>
      </c>
      <c r="C713" t="s">
        <v>2012</v>
      </c>
      <c r="D713" t="s">
        <v>919</v>
      </c>
      <c r="E713" s="19">
        <v>971502024575</v>
      </c>
      <c r="F713" t="s">
        <v>827</v>
      </c>
      <c r="G713" t="s">
        <v>1387</v>
      </c>
    </row>
    <row r="714" spans="1:7" x14ac:dyDescent="0.25">
      <c r="A714" t="s">
        <v>2013</v>
      </c>
      <c r="B714" t="s">
        <v>2014</v>
      </c>
      <c r="C714" t="s">
        <v>2015</v>
      </c>
      <c r="D714" t="s">
        <v>786</v>
      </c>
      <c r="E714" s="19">
        <v>971508926629</v>
      </c>
      <c r="F714" t="s">
        <v>2013</v>
      </c>
      <c r="G714" t="s">
        <v>844</v>
      </c>
    </row>
    <row r="715" spans="1:7" x14ac:dyDescent="0.25">
      <c r="A715" t="s">
        <v>2016</v>
      </c>
      <c r="B715" t="s">
        <v>2017</v>
      </c>
      <c r="C715" t="s">
        <v>2018</v>
      </c>
      <c r="D715" t="s">
        <v>919</v>
      </c>
      <c r="E715" s="19">
        <v>971553744929</v>
      </c>
      <c r="F715" t="s">
        <v>2016</v>
      </c>
      <c r="G715" t="s">
        <v>837</v>
      </c>
    </row>
    <row r="716" spans="1:7" x14ac:dyDescent="0.25">
      <c r="A716" t="s">
        <v>2031</v>
      </c>
      <c r="B716" t="s">
        <v>2032</v>
      </c>
      <c r="C716" t="s">
        <v>2033</v>
      </c>
      <c r="D716" t="s">
        <v>919</v>
      </c>
      <c r="E716" s="19">
        <v>971526991213</v>
      </c>
      <c r="F716" t="s">
        <v>2031</v>
      </c>
      <c r="G716" t="s">
        <v>2347</v>
      </c>
    </row>
    <row r="717" spans="1:7" x14ac:dyDescent="0.25">
      <c r="A717" t="s">
        <v>2034</v>
      </c>
      <c r="B717" t="s">
        <v>2035</v>
      </c>
      <c r="C717" t="s">
        <v>2036</v>
      </c>
      <c r="D717" t="s">
        <v>919</v>
      </c>
      <c r="E717" s="19">
        <v>971504587085</v>
      </c>
      <c r="F717" t="s">
        <v>2034</v>
      </c>
      <c r="G717" t="s">
        <v>841</v>
      </c>
    </row>
    <row r="718" spans="1:7" x14ac:dyDescent="0.25">
      <c r="A718" t="s">
        <v>2037</v>
      </c>
      <c r="B718" t="s">
        <v>1364</v>
      </c>
      <c r="C718" t="s">
        <v>2036</v>
      </c>
      <c r="D718" t="s">
        <v>919</v>
      </c>
      <c r="E718" s="19">
        <v>971504587085</v>
      </c>
      <c r="F718" t="s">
        <v>2037</v>
      </c>
      <c r="G718" t="s">
        <v>872</v>
      </c>
    </row>
    <row r="719" spans="1:7" x14ac:dyDescent="0.25">
      <c r="A719" t="s">
        <v>2135</v>
      </c>
      <c r="B719" t="s">
        <v>2136</v>
      </c>
      <c r="C719" t="s">
        <v>2137</v>
      </c>
      <c r="D719" t="s">
        <v>919</v>
      </c>
      <c r="E719" s="19">
        <v>971528926896</v>
      </c>
      <c r="F719" t="s">
        <v>2135</v>
      </c>
      <c r="G719" t="s">
        <v>838</v>
      </c>
    </row>
    <row r="720" spans="1:7" x14ac:dyDescent="0.25">
      <c r="A720" t="s">
        <v>2138</v>
      </c>
      <c r="B720" t="s">
        <v>2139</v>
      </c>
      <c r="C720" t="s">
        <v>2140</v>
      </c>
      <c r="D720" t="s">
        <v>919</v>
      </c>
      <c r="E720" s="19">
        <v>9710554741321</v>
      </c>
      <c r="F720" t="s">
        <v>2138</v>
      </c>
      <c r="G720" t="s">
        <v>2141</v>
      </c>
    </row>
    <row r="721" spans="1:7" x14ac:dyDescent="0.25">
      <c r="A721" t="s">
        <v>2142</v>
      </c>
      <c r="B721" t="s">
        <v>2143</v>
      </c>
      <c r="C721" t="s">
        <v>2144</v>
      </c>
      <c r="D721" t="s">
        <v>919</v>
      </c>
      <c r="E721" s="19">
        <v>971508743037</v>
      </c>
      <c r="F721" t="s">
        <v>2142</v>
      </c>
      <c r="G721" t="s">
        <v>842</v>
      </c>
    </row>
    <row r="722" spans="1:7" x14ac:dyDescent="0.25">
      <c r="A722" t="s">
        <v>2256</v>
      </c>
      <c r="B722" t="s">
        <v>2145</v>
      </c>
      <c r="C722" t="s">
        <v>2146</v>
      </c>
      <c r="D722" t="s">
        <v>919</v>
      </c>
      <c r="E722" s="19">
        <v>971971556024237</v>
      </c>
      <c r="F722" t="s">
        <v>2256</v>
      </c>
      <c r="G722" t="s">
        <v>839</v>
      </c>
    </row>
    <row r="723" spans="1:7" x14ac:dyDescent="0.25">
      <c r="A723" t="s">
        <v>2147</v>
      </c>
      <c r="B723" t="s">
        <v>2148</v>
      </c>
      <c r="C723" t="s">
        <v>2149</v>
      </c>
      <c r="D723" t="s">
        <v>919</v>
      </c>
      <c r="E723" s="19">
        <v>971522191551</v>
      </c>
      <c r="F723" t="s">
        <v>2147</v>
      </c>
      <c r="G723" t="s">
        <v>838</v>
      </c>
    </row>
    <row r="724" spans="1:7" x14ac:dyDescent="0.25">
      <c r="A724" t="s">
        <v>2348</v>
      </c>
      <c r="B724" t="s">
        <v>2349</v>
      </c>
      <c r="C724" t="s">
        <v>2149</v>
      </c>
      <c r="D724" t="s">
        <v>919</v>
      </c>
      <c r="E724" s="19">
        <v>971522191551</v>
      </c>
      <c r="F724" t="s">
        <v>2348</v>
      </c>
      <c r="G724" t="s">
        <v>838</v>
      </c>
    </row>
    <row r="725" spans="1:7" x14ac:dyDescent="0.25">
      <c r="A725" t="s">
        <v>2150</v>
      </c>
      <c r="B725" t="s">
        <v>2151</v>
      </c>
      <c r="C725" t="s">
        <v>2152</v>
      </c>
      <c r="D725" t="s">
        <v>919</v>
      </c>
      <c r="E725" s="19">
        <v>971567281428</v>
      </c>
      <c r="F725" t="s">
        <v>2150</v>
      </c>
      <c r="G725" t="s">
        <v>839</v>
      </c>
    </row>
    <row r="726" spans="1:7" x14ac:dyDescent="0.25">
      <c r="A726" t="s">
        <v>2153</v>
      </c>
      <c r="B726" t="s">
        <v>2154</v>
      </c>
      <c r="C726" t="s">
        <v>2155</v>
      </c>
      <c r="D726" t="s">
        <v>786</v>
      </c>
      <c r="E726" s="19">
        <v>971504950525</v>
      </c>
      <c r="F726" t="s">
        <v>2153</v>
      </c>
      <c r="G726" t="s">
        <v>844</v>
      </c>
    </row>
    <row r="727" spans="1:7" x14ac:dyDescent="0.25">
      <c r="A727" t="s">
        <v>2156</v>
      </c>
      <c r="B727" t="s">
        <v>2157</v>
      </c>
      <c r="C727" t="s">
        <v>2158</v>
      </c>
      <c r="D727" t="s">
        <v>919</v>
      </c>
      <c r="E727" s="19">
        <v>971503519032</v>
      </c>
      <c r="F727" t="s">
        <v>2156</v>
      </c>
      <c r="G727" t="s">
        <v>842</v>
      </c>
    </row>
    <row r="728" spans="1:7" x14ac:dyDescent="0.25">
      <c r="A728" t="s">
        <v>2159</v>
      </c>
      <c r="B728" t="s">
        <v>2160</v>
      </c>
      <c r="C728" t="s">
        <v>2161</v>
      </c>
      <c r="D728" t="s">
        <v>919</v>
      </c>
      <c r="E728" s="19">
        <v>919820048484</v>
      </c>
      <c r="F728" t="s">
        <v>2159</v>
      </c>
      <c r="G728" t="s">
        <v>837</v>
      </c>
    </row>
    <row r="729" spans="1:7" x14ac:dyDescent="0.25">
      <c r="A729" t="s">
        <v>2162</v>
      </c>
      <c r="B729" t="s">
        <v>2163</v>
      </c>
      <c r="C729" t="s">
        <v>2164</v>
      </c>
      <c r="D729" t="s">
        <v>919</v>
      </c>
      <c r="E729" s="19">
        <v>971567984001</v>
      </c>
      <c r="F729" t="s">
        <v>2162</v>
      </c>
      <c r="G729" t="s">
        <v>1387</v>
      </c>
    </row>
    <row r="730" spans="1:7" x14ac:dyDescent="0.25">
      <c r="A730" t="s">
        <v>2165</v>
      </c>
      <c r="B730" t="s">
        <v>2166</v>
      </c>
      <c r="C730" t="s">
        <v>2167</v>
      </c>
      <c r="D730" t="s">
        <v>919</v>
      </c>
      <c r="E730" s="19">
        <v>971551804420</v>
      </c>
      <c r="F730" t="s">
        <v>2165</v>
      </c>
      <c r="G730" t="s">
        <v>1383</v>
      </c>
    </row>
    <row r="731" spans="1:7" x14ac:dyDescent="0.25">
      <c r="A731" t="s">
        <v>2168</v>
      </c>
      <c r="B731" t="s">
        <v>2169</v>
      </c>
      <c r="C731" t="s">
        <v>2170</v>
      </c>
      <c r="D731" t="s">
        <v>919</v>
      </c>
      <c r="E731" s="19">
        <v>971502111351</v>
      </c>
      <c r="F731" t="s">
        <v>2168</v>
      </c>
      <c r="G731" t="s">
        <v>839</v>
      </c>
    </row>
    <row r="732" spans="1:7" x14ac:dyDescent="0.25">
      <c r="A732" t="s">
        <v>2171</v>
      </c>
      <c r="B732" t="s">
        <v>2172</v>
      </c>
      <c r="C732" t="s">
        <v>2173</v>
      </c>
      <c r="D732" t="s">
        <v>786</v>
      </c>
      <c r="E732" s="19">
        <v>971557580630</v>
      </c>
      <c r="F732" t="s">
        <v>2171</v>
      </c>
      <c r="G732" t="s">
        <v>844</v>
      </c>
    </row>
    <row r="733" spans="1:7" x14ac:dyDescent="0.25">
      <c r="A733" t="s">
        <v>2174</v>
      </c>
      <c r="B733" t="s">
        <v>2175</v>
      </c>
      <c r="C733" t="s">
        <v>2176</v>
      </c>
      <c r="D733" t="s">
        <v>919</v>
      </c>
      <c r="E733" s="19">
        <v>971556115182</v>
      </c>
      <c r="F733" t="s">
        <v>2174</v>
      </c>
      <c r="G733" t="s">
        <v>839</v>
      </c>
    </row>
    <row r="734" spans="1:7" x14ac:dyDescent="0.25">
      <c r="A734" t="s">
        <v>2177</v>
      </c>
      <c r="B734" t="s">
        <v>2178</v>
      </c>
      <c r="C734" t="s">
        <v>2179</v>
      </c>
      <c r="D734" t="s">
        <v>919</v>
      </c>
      <c r="E734" s="19">
        <v>971555426121</v>
      </c>
      <c r="F734" t="s">
        <v>2177</v>
      </c>
      <c r="G734" t="s">
        <v>2000</v>
      </c>
    </row>
    <row r="735" spans="1:7" x14ac:dyDescent="0.25">
      <c r="A735" t="s">
        <v>2180</v>
      </c>
      <c r="B735" t="s">
        <v>2181</v>
      </c>
      <c r="C735" t="s">
        <v>2182</v>
      </c>
      <c r="D735" t="s">
        <v>919</v>
      </c>
      <c r="E735" s="19">
        <v>971568742842</v>
      </c>
      <c r="F735" t="s">
        <v>2180</v>
      </c>
      <c r="G735" t="s">
        <v>839</v>
      </c>
    </row>
    <row r="736" spans="1:7" x14ac:dyDescent="0.25">
      <c r="A736" t="s">
        <v>2183</v>
      </c>
      <c r="B736" t="s">
        <v>2184</v>
      </c>
      <c r="C736" t="s">
        <v>2185</v>
      </c>
      <c r="D736" t="s">
        <v>786</v>
      </c>
      <c r="E736" s="19">
        <v>971561138297</v>
      </c>
      <c r="F736" t="s">
        <v>2183</v>
      </c>
      <c r="G736" t="s">
        <v>844</v>
      </c>
    </row>
    <row r="737" spans="1:7" x14ac:dyDescent="0.25">
      <c r="A737" t="s">
        <v>2186</v>
      </c>
      <c r="B737" t="s">
        <v>2187</v>
      </c>
      <c r="C737" t="s">
        <v>2188</v>
      </c>
      <c r="D737" t="s">
        <v>786</v>
      </c>
      <c r="E737" s="19">
        <v>971509659251</v>
      </c>
      <c r="F737" t="s">
        <v>2186</v>
      </c>
      <c r="G737" t="s">
        <v>844</v>
      </c>
    </row>
    <row r="738" spans="1:7" x14ac:dyDescent="0.25">
      <c r="A738" t="s">
        <v>2189</v>
      </c>
      <c r="B738" t="s">
        <v>2190</v>
      </c>
      <c r="C738" t="s">
        <v>2191</v>
      </c>
      <c r="D738" t="s">
        <v>919</v>
      </c>
      <c r="E738" s="19">
        <v>971559147444</v>
      </c>
      <c r="F738" t="s">
        <v>2189</v>
      </c>
      <c r="G738" t="s">
        <v>839</v>
      </c>
    </row>
    <row r="739" spans="1:7" x14ac:dyDescent="0.25">
      <c r="A739" t="s">
        <v>2192</v>
      </c>
      <c r="B739" t="s">
        <v>2193</v>
      </c>
      <c r="C739" t="s">
        <v>2194</v>
      </c>
      <c r="D739" t="s">
        <v>919</v>
      </c>
      <c r="E739" s="19">
        <v>9710561930109</v>
      </c>
      <c r="F739" t="s">
        <v>2192</v>
      </c>
      <c r="G739" t="s">
        <v>895</v>
      </c>
    </row>
    <row r="740" spans="1:7" x14ac:dyDescent="0.25">
      <c r="A740" t="s">
        <v>2195</v>
      </c>
      <c r="B740" t="s">
        <v>2196</v>
      </c>
      <c r="C740" t="s">
        <v>2197</v>
      </c>
      <c r="D740" t="s">
        <v>919</v>
      </c>
      <c r="E740" s="19">
        <v>971529878204</v>
      </c>
      <c r="F740" t="s">
        <v>2195</v>
      </c>
      <c r="G740" t="s">
        <v>872</v>
      </c>
    </row>
    <row r="741" spans="1:7" x14ac:dyDescent="0.25">
      <c r="A741" t="s">
        <v>2198</v>
      </c>
      <c r="B741" t="s">
        <v>2199</v>
      </c>
      <c r="C741" t="s">
        <v>2200</v>
      </c>
      <c r="D741" t="s">
        <v>919</v>
      </c>
      <c r="E741" s="19">
        <v>971558806425</v>
      </c>
      <c r="F741" t="s">
        <v>2198</v>
      </c>
      <c r="G741" t="s">
        <v>842</v>
      </c>
    </row>
    <row r="742" spans="1:7" x14ac:dyDescent="0.25">
      <c r="A742" t="s">
        <v>2201</v>
      </c>
      <c r="B742" t="s">
        <v>2202</v>
      </c>
      <c r="C742" t="s">
        <v>2203</v>
      </c>
      <c r="D742" t="s">
        <v>919</v>
      </c>
      <c r="E742" s="19">
        <v>971551085834</v>
      </c>
      <c r="F742" t="s">
        <v>2201</v>
      </c>
      <c r="G742" t="s">
        <v>836</v>
      </c>
    </row>
    <row r="743" spans="1:7" x14ac:dyDescent="0.25">
      <c r="A743" t="s">
        <v>2204</v>
      </c>
      <c r="B743" t="s">
        <v>2205</v>
      </c>
      <c r="C743" t="s">
        <v>2206</v>
      </c>
      <c r="D743" t="s">
        <v>786</v>
      </c>
      <c r="E743" s="19">
        <v>971507126688</v>
      </c>
      <c r="F743" t="s">
        <v>2204</v>
      </c>
      <c r="G743" t="s">
        <v>844</v>
      </c>
    </row>
    <row r="744" spans="1:7" x14ac:dyDescent="0.25">
      <c r="A744" t="s">
        <v>2207</v>
      </c>
      <c r="B744" t="s">
        <v>2208</v>
      </c>
      <c r="C744" t="s">
        <v>2209</v>
      </c>
      <c r="D744" t="s">
        <v>786</v>
      </c>
      <c r="E744" s="19">
        <v>971527450935</v>
      </c>
      <c r="F744" t="s">
        <v>2207</v>
      </c>
      <c r="G744" t="s">
        <v>844</v>
      </c>
    </row>
    <row r="745" spans="1:7" x14ac:dyDescent="0.25">
      <c r="A745" t="s">
        <v>2210</v>
      </c>
      <c r="B745" t="s">
        <v>2211</v>
      </c>
      <c r="C745" t="s">
        <v>2212</v>
      </c>
      <c r="D745" t="s">
        <v>919</v>
      </c>
      <c r="E745" s="19">
        <v>971506245259</v>
      </c>
      <c r="F745" t="s">
        <v>2210</v>
      </c>
      <c r="G745" t="s">
        <v>839</v>
      </c>
    </row>
    <row r="746" spans="1:7" x14ac:dyDescent="0.25">
      <c r="A746" t="s">
        <v>2213</v>
      </c>
      <c r="B746" t="s">
        <v>2214</v>
      </c>
      <c r="C746" t="s">
        <v>2215</v>
      </c>
      <c r="D746" t="s">
        <v>919</v>
      </c>
      <c r="E746" s="19">
        <v>97143965011</v>
      </c>
      <c r="F746" t="s">
        <v>2213</v>
      </c>
      <c r="G746" t="s">
        <v>838</v>
      </c>
    </row>
    <row r="747" spans="1:7" x14ac:dyDescent="0.25">
      <c r="A747" t="s">
        <v>2216</v>
      </c>
      <c r="B747" t="s">
        <v>2217</v>
      </c>
      <c r="C747" t="s">
        <v>2182</v>
      </c>
      <c r="D747" t="s">
        <v>786</v>
      </c>
      <c r="E747" s="19">
        <v>971508710730</v>
      </c>
      <c r="F747" t="s">
        <v>2216</v>
      </c>
      <c r="G747" t="s">
        <v>844</v>
      </c>
    </row>
    <row r="748" spans="1:7" x14ac:dyDescent="0.25">
      <c r="A748" t="s">
        <v>2218</v>
      </c>
      <c r="B748" t="s">
        <v>2219</v>
      </c>
      <c r="C748" t="s">
        <v>2220</v>
      </c>
      <c r="D748" t="s">
        <v>919</v>
      </c>
      <c r="E748" s="19">
        <v>9710566884570</v>
      </c>
      <c r="F748" t="s">
        <v>2218</v>
      </c>
      <c r="G748" t="s">
        <v>837</v>
      </c>
    </row>
    <row r="749" spans="1:7" x14ac:dyDescent="0.25">
      <c r="A749" t="s">
        <v>2258</v>
      </c>
      <c r="B749" t="s">
        <v>2221</v>
      </c>
      <c r="C749" t="s">
        <v>2222</v>
      </c>
      <c r="D749" t="s">
        <v>919</v>
      </c>
      <c r="E749" s="19">
        <v>971509248847</v>
      </c>
      <c r="F749" t="s">
        <v>2258</v>
      </c>
      <c r="G749" t="s">
        <v>839</v>
      </c>
    </row>
    <row r="750" spans="1:7" x14ac:dyDescent="0.25">
      <c r="A750" t="s">
        <v>2223</v>
      </c>
      <c r="B750" t="s">
        <v>2224</v>
      </c>
      <c r="C750" t="s">
        <v>2225</v>
      </c>
      <c r="D750" t="s">
        <v>919</v>
      </c>
      <c r="E750" s="19">
        <v>971552575164</v>
      </c>
      <c r="F750" t="s">
        <v>2223</v>
      </c>
      <c r="G750" t="s">
        <v>838</v>
      </c>
    </row>
    <row r="751" spans="1:7" x14ac:dyDescent="0.25">
      <c r="A751" t="s">
        <v>2226</v>
      </c>
      <c r="B751" t="s">
        <v>2227</v>
      </c>
      <c r="C751" t="s">
        <v>2228</v>
      </c>
      <c r="D751" t="s">
        <v>919</v>
      </c>
      <c r="E751" s="19">
        <v>971566218094</v>
      </c>
      <c r="F751" t="s">
        <v>2226</v>
      </c>
      <c r="G751" t="s">
        <v>837</v>
      </c>
    </row>
    <row r="752" spans="1:7" x14ac:dyDescent="0.25">
      <c r="A752" t="s">
        <v>2229</v>
      </c>
      <c r="B752" t="s">
        <v>2230</v>
      </c>
      <c r="C752" t="s">
        <v>2231</v>
      </c>
      <c r="D752" t="s">
        <v>919</v>
      </c>
      <c r="E752" s="19">
        <v>9710558479797</v>
      </c>
      <c r="F752" t="s">
        <v>2229</v>
      </c>
      <c r="G752" t="s">
        <v>1865</v>
      </c>
    </row>
    <row r="753" spans="1:7" x14ac:dyDescent="0.25">
      <c r="A753" t="s">
        <v>2232</v>
      </c>
      <c r="B753" t="s">
        <v>2233</v>
      </c>
      <c r="C753" t="s">
        <v>2234</v>
      </c>
      <c r="D753" t="s">
        <v>919</v>
      </c>
      <c r="E753" s="19">
        <v>966504147470</v>
      </c>
      <c r="F753" t="s">
        <v>2232</v>
      </c>
      <c r="G753" t="s">
        <v>839</v>
      </c>
    </row>
    <row r="754" spans="1:7" x14ac:dyDescent="0.25">
      <c r="A754" t="s">
        <v>2235</v>
      </c>
      <c r="B754" t="s">
        <v>2236</v>
      </c>
      <c r="C754" t="s">
        <v>2234</v>
      </c>
      <c r="D754" t="s">
        <v>919</v>
      </c>
      <c r="E754" s="19">
        <v>966504147470</v>
      </c>
      <c r="F754" t="s">
        <v>2235</v>
      </c>
      <c r="G754" t="s">
        <v>839</v>
      </c>
    </row>
    <row r="755" spans="1:7" x14ac:dyDescent="0.25">
      <c r="A755" t="s">
        <v>2237</v>
      </c>
      <c r="B755" t="s">
        <v>2238</v>
      </c>
      <c r="C755" t="s">
        <v>2239</v>
      </c>
      <c r="D755" t="s">
        <v>919</v>
      </c>
      <c r="E755" s="19">
        <v>971528742493</v>
      </c>
      <c r="F755" t="s">
        <v>2237</v>
      </c>
      <c r="G755" t="s">
        <v>842</v>
      </c>
    </row>
    <row r="756" spans="1:7" x14ac:dyDescent="0.25">
      <c r="A756" t="s">
        <v>2240</v>
      </c>
      <c r="B756" t="s">
        <v>2241</v>
      </c>
      <c r="C756" t="s">
        <v>2242</v>
      </c>
      <c r="D756" t="s">
        <v>919</v>
      </c>
      <c r="E756" s="19">
        <v>9665579434551</v>
      </c>
      <c r="F756" t="s">
        <v>2240</v>
      </c>
      <c r="G756" t="s">
        <v>838</v>
      </c>
    </row>
    <row r="757" spans="1:7" x14ac:dyDescent="0.25">
      <c r="A757" t="s">
        <v>2243</v>
      </c>
      <c r="B757" t="s">
        <v>2244</v>
      </c>
      <c r="C757" t="s">
        <v>2245</v>
      </c>
      <c r="D757" t="s">
        <v>919</v>
      </c>
      <c r="E757" s="19">
        <v>9710502131137</v>
      </c>
      <c r="F757" t="s">
        <v>2243</v>
      </c>
      <c r="G757" t="s">
        <v>845</v>
      </c>
    </row>
    <row r="758" spans="1:7" x14ac:dyDescent="0.25">
      <c r="A758" t="s">
        <v>2246</v>
      </c>
      <c r="B758" t="s">
        <v>2247</v>
      </c>
      <c r="C758" t="s">
        <v>2248</v>
      </c>
      <c r="D758" t="s">
        <v>919</v>
      </c>
      <c r="E758" s="19">
        <v>9710559386688</v>
      </c>
      <c r="F758" t="s">
        <v>2246</v>
      </c>
      <c r="G758" t="s">
        <v>854</v>
      </c>
    </row>
    <row r="759" spans="1:7" x14ac:dyDescent="0.25">
      <c r="A759" t="s">
        <v>2249</v>
      </c>
      <c r="B759" t="s">
        <v>2250</v>
      </c>
      <c r="C759" t="s">
        <v>2251</v>
      </c>
      <c r="D759" t="s">
        <v>919</v>
      </c>
      <c r="E759" s="19">
        <v>9710509029185</v>
      </c>
      <c r="F759" t="s">
        <v>2249</v>
      </c>
      <c r="G759" t="s">
        <v>858</v>
      </c>
    </row>
    <row r="760" spans="1:7" x14ac:dyDescent="0.25">
      <c r="A760" t="s">
        <v>1595</v>
      </c>
      <c r="B760" t="s">
        <v>2252</v>
      </c>
      <c r="C760" t="s">
        <v>1597</v>
      </c>
      <c r="D760" t="s">
        <v>919</v>
      </c>
      <c r="E760" s="19">
        <v>966557021451</v>
      </c>
      <c r="F760" t="s">
        <v>1595</v>
      </c>
      <c r="G760" t="s">
        <v>872</v>
      </c>
    </row>
    <row r="761" spans="1:7" x14ac:dyDescent="0.25">
      <c r="A761" t="s">
        <v>2253</v>
      </c>
      <c r="B761" t="s">
        <v>2254</v>
      </c>
      <c r="C761" t="s">
        <v>2255</v>
      </c>
      <c r="D761" t="s">
        <v>919</v>
      </c>
      <c r="E761" s="19">
        <v>966500197882</v>
      </c>
      <c r="F761" t="s">
        <v>2253</v>
      </c>
      <c r="G761" t="s">
        <v>845</v>
      </c>
    </row>
    <row r="762" spans="1:7" x14ac:dyDescent="0.25">
      <c r="A762" t="s">
        <v>2261</v>
      </c>
      <c r="B762" t="s">
        <v>2262</v>
      </c>
      <c r="C762" t="s">
        <v>2263</v>
      </c>
      <c r="D762" t="s">
        <v>919</v>
      </c>
      <c r="E762" s="19">
        <v>966561187515</v>
      </c>
      <c r="F762" t="s">
        <v>2261</v>
      </c>
      <c r="G762" t="s">
        <v>839</v>
      </c>
    </row>
    <row r="763" spans="1:7" x14ac:dyDescent="0.25">
      <c r="A763" t="s">
        <v>2264</v>
      </c>
      <c r="B763" t="s">
        <v>2265</v>
      </c>
      <c r="C763" t="s">
        <v>2266</v>
      </c>
      <c r="D763" t="s">
        <v>919</v>
      </c>
      <c r="E763" s="19">
        <v>9660532450571</v>
      </c>
      <c r="F763" t="s">
        <v>2264</v>
      </c>
      <c r="G763" t="s">
        <v>1881</v>
      </c>
    </row>
    <row r="764" spans="1:7" x14ac:dyDescent="0.25">
      <c r="A764" t="s">
        <v>2267</v>
      </c>
      <c r="B764" t="s">
        <v>2268</v>
      </c>
      <c r="C764" t="s">
        <v>2269</v>
      </c>
      <c r="D764" t="s">
        <v>919</v>
      </c>
      <c r="E764" s="19">
        <v>971503576186</v>
      </c>
      <c r="F764" t="s">
        <v>2267</v>
      </c>
      <c r="G764" t="s">
        <v>839</v>
      </c>
    </row>
    <row r="765" spans="1:7" x14ac:dyDescent="0.25">
      <c r="A765" t="s">
        <v>2270</v>
      </c>
      <c r="B765" t="s">
        <v>2271</v>
      </c>
      <c r="C765" t="s">
        <v>2272</v>
      </c>
      <c r="D765" t="s">
        <v>919</v>
      </c>
      <c r="E765" s="19">
        <v>966534509603</v>
      </c>
      <c r="F765" t="s">
        <v>2270</v>
      </c>
      <c r="G765" t="s">
        <v>845</v>
      </c>
    </row>
    <row r="766" spans="1:7" x14ac:dyDescent="0.25">
      <c r="A766" t="s">
        <v>2273</v>
      </c>
      <c r="B766" t="s">
        <v>2274</v>
      </c>
      <c r="C766" t="s">
        <v>2275</v>
      </c>
      <c r="D766" t="s">
        <v>786</v>
      </c>
      <c r="E766" s="19">
        <v>971502192859</v>
      </c>
      <c r="F766" t="s">
        <v>2273</v>
      </c>
      <c r="G766" t="s">
        <v>844</v>
      </c>
    </row>
    <row r="767" spans="1:7" x14ac:dyDescent="0.25">
      <c r="A767" t="s">
        <v>2276</v>
      </c>
      <c r="B767" t="s">
        <v>2277</v>
      </c>
      <c r="C767" t="s">
        <v>2278</v>
      </c>
      <c r="D767" t="s">
        <v>919</v>
      </c>
      <c r="E767" s="19">
        <v>966556838000</v>
      </c>
      <c r="F767" t="s">
        <v>2276</v>
      </c>
      <c r="G767" t="s">
        <v>845</v>
      </c>
    </row>
    <row r="768" spans="1:7" x14ac:dyDescent="0.25">
      <c r="A768" t="s">
        <v>2279</v>
      </c>
      <c r="B768" t="s">
        <v>2280</v>
      </c>
      <c r="C768" t="s">
        <v>2278</v>
      </c>
      <c r="D768" t="s">
        <v>919</v>
      </c>
      <c r="E768" s="19">
        <v>966556838000</v>
      </c>
      <c r="F768" t="s">
        <v>2279</v>
      </c>
      <c r="G768" t="s">
        <v>839</v>
      </c>
    </row>
    <row r="769" spans="1:7" x14ac:dyDescent="0.25">
      <c r="A769" t="s">
        <v>2281</v>
      </c>
      <c r="B769" t="s">
        <v>2282</v>
      </c>
      <c r="C769" t="s">
        <v>2283</v>
      </c>
      <c r="D769" t="s">
        <v>919</v>
      </c>
      <c r="E769" s="19">
        <v>9660543117671</v>
      </c>
      <c r="F769" t="s">
        <v>2281</v>
      </c>
      <c r="G769" t="s">
        <v>839</v>
      </c>
    </row>
    <row r="770" spans="1:7" x14ac:dyDescent="0.25">
      <c r="A770" t="s">
        <v>2284</v>
      </c>
      <c r="B770" t="s">
        <v>2285</v>
      </c>
      <c r="C770" t="s">
        <v>2286</v>
      </c>
      <c r="D770" t="s">
        <v>919</v>
      </c>
      <c r="E770" s="19">
        <v>9660537394683</v>
      </c>
      <c r="F770" t="s">
        <v>2284</v>
      </c>
      <c r="G770" t="s">
        <v>1881</v>
      </c>
    </row>
    <row r="771" spans="1:7" x14ac:dyDescent="0.25">
      <c r="A771" t="s">
        <v>2287</v>
      </c>
      <c r="B771" t="s">
        <v>2288</v>
      </c>
      <c r="C771" t="s">
        <v>2289</v>
      </c>
      <c r="D771" t="s">
        <v>919</v>
      </c>
      <c r="E771" s="19">
        <v>971555522053</v>
      </c>
      <c r="F771" t="s">
        <v>2287</v>
      </c>
      <c r="G771" t="s">
        <v>3156</v>
      </c>
    </row>
    <row r="772" spans="1:7" x14ac:dyDescent="0.25">
      <c r="A772" t="s">
        <v>2290</v>
      </c>
      <c r="B772" t="s">
        <v>2291</v>
      </c>
      <c r="C772" t="s">
        <v>2292</v>
      </c>
      <c r="D772" t="s">
        <v>919</v>
      </c>
      <c r="E772" s="19">
        <v>971557687678</v>
      </c>
      <c r="F772" t="s">
        <v>2290</v>
      </c>
      <c r="G772" t="s">
        <v>1383</v>
      </c>
    </row>
    <row r="773" spans="1:7" x14ac:dyDescent="0.25">
      <c r="A773" t="s">
        <v>2293</v>
      </c>
      <c r="B773" t="s">
        <v>2294</v>
      </c>
      <c r="C773" t="s">
        <v>2295</v>
      </c>
      <c r="D773" t="s">
        <v>919</v>
      </c>
      <c r="E773" s="19">
        <v>966503113328</v>
      </c>
      <c r="F773" t="s">
        <v>2293</v>
      </c>
      <c r="G773" t="s">
        <v>2296</v>
      </c>
    </row>
    <row r="774" spans="1:7" x14ac:dyDescent="0.25">
      <c r="A774" t="s">
        <v>2297</v>
      </c>
      <c r="B774" t="s">
        <v>2298</v>
      </c>
      <c r="C774" t="s">
        <v>2299</v>
      </c>
      <c r="D774" t="s">
        <v>919</v>
      </c>
      <c r="E774" s="19">
        <v>966542442628</v>
      </c>
      <c r="F774" t="s">
        <v>2297</v>
      </c>
      <c r="G774" t="s">
        <v>839</v>
      </c>
    </row>
    <row r="775" spans="1:7" x14ac:dyDescent="0.25">
      <c r="A775" t="s">
        <v>2300</v>
      </c>
      <c r="B775" t="s">
        <v>2301</v>
      </c>
      <c r="C775" t="s">
        <v>2302</v>
      </c>
      <c r="D775" t="s">
        <v>919</v>
      </c>
      <c r="E775" s="19">
        <v>9660564371377</v>
      </c>
      <c r="F775" t="s">
        <v>2300</v>
      </c>
      <c r="G775" t="s">
        <v>839</v>
      </c>
    </row>
    <row r="776" spans="1:7" x14ac:dyDescent="0.25">
      <c r="A776" t="s">
        <v>2303</v>
      </c>
      <c r="B776" t="s">
        <v>2304</v>
      </c>
      <c r="C776" t="s">
        <v>2305</v>
      </c>
      <c r="D776" t="s">
        <v>919</v>
      </c>
      <c r="E776" s="19">
        <v>966555591914</v>
      </c>
      <c r="F776" t="s">
        <v>2303</v>
      </c>
      <c r="G776" t="s">
        <v>839</v>
      </c>
    </row>
    <row r="777" spans="1:7" x14ac:dyDescent="0.25">
      <c r="A777" t="s">
        <v>2306</v>
      </c>
      <c r="B777" t="s">
        <v>2307</v>
      </c>
      <c r="C777" t="s">
        <v>2308</v>
      </c>
      <c r="D777" t="s">
        <v>786</v>
      </c>
      <c r="F777" t="s">
        <v>2306</v>
      </c>
      <c r="G777" t="s">
        <v>844</v>
      </c>
    </row>
    <row r="778" spans="1:7" x14ac:dyDescent="0.25">
      <c r="A778" t="s">
        <v>2309</v>
      </c>
      <c r="B778" t="s">
        <v>2310</v>
      </c>
      <c r="C778" t="s">
        <v>2311</v>
      </c>
      <c r="D778" t="s">
        <v>919</v>
      </c>
      <c r="E778" s="19">
        <v>966562173714</v>
      </c>
      <c r="F778" t="s">
        <v>2309</v>
      </c>
      <c r="G778" t="s">
        <v>851</v>
      </c>
    </row>
    <row r="779" spans="1:7" x14ac:dyDescent="0.25">
      <c r="A779" t="s">
        <v>2312</v>
      </c>
      <c r="B779" t="s">
        <v>2313</v>
      </c>
      <c r="C779" t="s">
        <v>2314</v>
      </c>
      <c r="D779" t="s">
        <v>919</v>
      </c>
      <c r="E779" s="19">
        <v>966541006711</v>
      </c>
      <c r="F779" t="s">
        <v>2312</v>
      </c>
      <c r="G779" t="s">
        <v>1865</v>
      </c>
    </row>
    <row r="780" spans="1:7" x14ac:dyDescent="0.25">
      <c r="A780" t="s">
        <v>2315</v>
      </c>
      <c r="B780" t="s">
        <v>2316</v>
      </c>
      <c r="C780" t="s">
        <v>1899</v>
      </c>
      <c r="D780" t="s">
        <v>919</v>
      </c>
      <c r="E780" s="19">
        <v>966555779456</v>
      </c>
      <c r="F780" t="s">
        <v>2315</v>
      </c>
      <c r="G780" t="s">
        <v>1865</v>
      </c>
    </row>
    <row r="781" spans="1:7" x14ac:dyDescent="0.25">
      <c r="A781" t="s">
        <v>2317</v>
      </c>
      <c r="B781" t="s">
        <v>2318</v>
      </c>
      <c r="C781" t="s">
        <v>2319</v>
      </c>
      <c r="D781" t="s">
        <v>919</v>
      </c>
      <c r="E781" s="19">
        <v>971559303937</v>
      </c>
      <c r="F781" t="s">
        <v>2317</v>
      </c>
      <c r="G781" t="s">
        <v>854</v>
      </c>
    </row>
    <row r="782" spans="1:7" x14ac:dyDescent="0.25">
      <c r="A782" t="s">
        <v>2320</v>
      </c>
      <c r="B782" t="s">
        <v>2321</v>
      </c>
      <c r="C782" t="s">
        <v>2322</v>
      </c>
      <c r="D782" t="s">
        <v>919</v>
      </c>
      <c r="E782" s="19">
        <v>971502280192</v>
      </c>
      <c r="F782" t="s">
        <v>2320</v>
      </c>
      <c r="G782" t="s">
        <v>839</v>
      </c>
    </row>
    <row r="783" spans="1:7" x14ac:dyDescent="0.25">
      <c r="A783" t="s">
        <v>2323</v>
      </c>
      <c r="B783" t="s">
        <v>2324</v>
      </c>
      <c r="C783" t="s">
        <v>2325</v>
      </c>
      <c r="D783" t="s">
        <v>919</v>
      </c>
      <c r="E783" s="19">
        <v>966599110555</v>
      </c>
      <c r="F783" t="s">
        <v>2323</v>
      </c>
      <c r="G783" t="s">
        <v>839</v>
      </c>
    </row>
    <row r="784" spans="1:7" x14ac:dyDescent="0.25">
      <c r="A784" t="s">
        <v>2326</v>
      </c>
      <c r="B784" t="s">
        <v>2327</v>
      </c>
      <c r="C784" t="s">
        <v>2328</v>
      </c>
      <c r="D784" t="s">
        <v>919</v>
      </c>
      <c r="E784" s="19">
        <v>9660536796113</v>
      </c>
      <c r="F784" t="s">
        <v>2326</v>
      </c>
      <c r="G784" t="s">
        <v>1881</v>
      </c>
    </row>
    <row r="785" spans="1:7" x14ac:dyDescent="0.25">
      <c r="A785" t="s">
        <v>2350</v>
      </c>
      <c r="B785" t="s">
        <v>2351</v>
      </c>
      <c r="C785" t="s">
        <v>2352</v>
      </c>
      <c r="D785" t="s">
        <v>786</v>
      </c>
      <c r="E785" s="19">
        <v>43496900</v>
      </c>
      <c r="F785" t="s">
        <v>2350</v>
      </c>
      <c r="G785" t="s">
        <v>844</v>
      </c>
    </row>
    <row r="786" spans="1:7" x14ac:dyDescent="0.25">
      <c r="A786" t="s">
        <v>2353</v>
      </c>
      <c r="B786" t="s">
        <v>2354</v>
      </c>
      <c r="C786" t="s">
        <v>2355</v>
      </c>
      <c r="D786" t="s">
        <v>919</v>
      </c>
      <c r="E786" s="19">
        <v>971563771935</v>
      </c>
      <c r="F786" t="s">
        <v>2353</v>
      </c>
      <c r="G786" t="s">
        <v>838</v>
      </c>
    </row>
    <row r="787" spans="1:7" x14ac:dyDescent="0.25">
      <c r="A787" t="s">
        <v>2356</v>
      </c>
      <c r="B787" t="s">
        <v>2337</v>
      </c>
      <c r="C787" t="s">
        <v>2357</v>
      </c>
      <c r="D787" t="s">
        <v>919</v>
      </c>
      <c r="E787" s="19">
        <v>971507082779</v>
      </c>
      <c r="F787" t="s">
        <v>2356</v>
      </c>
      <c r="G787" t="s">
        <v>872</v>
      </c>
    </row>
    <row r="788" spans="1:7" x14ac:dyDescent="0.25">
      <c r="A788" t="s">
        <v>2358</v>
      </c>
      <c r="B788" t="s">
        <v>2341</v>
      </c>
      <c r="C788" t="s">
        <v>2359</v>
      </c>
      <c r="D788" t="s">
        <v>919</v>
      </c>
      <c r="E788" s="19">
        <v>971508543939</v>
      </c>
      <c r="F788" t="s">
        <v>2358</v>
      </c>
      <c r="G788" t="s">
        <v>854</v>
      </c>
    </row>
    <row r="789" spans="1:7" x14ac:dyDescent="0.25">
      <c r="A789" t="s">
        <v>2360</v>
      </c>
      <c r="B789" t="s">
        <v>2361</v>
      </c>
      <c r="C789" t="s">
        <v>2362</v>
      </c>
      <c r="D789" t="s">
        <v>919</v>
      </c>
      <c r="E789" s="19">
        <v>971554966233</v>
      </c>
      <c r="F789" t="s">
        <v>2360</v>
      </c>
      <c r="G789" t="s">
        <v>1382</v>
      </c>
    </row>
    <row r="790" spans="1:7" x14ac:dyDescent="0.25">
      <c r="A790" t="s">
        <v>2363</v>
      </c>
      <c r="B790" t="s">
        <v>2364</v>
      </c>
      <c r="C790" t="s">
        <v>2365</v>
      </c>
      <c r="D790" t="s">
        <v>919</v>
      </c>
      <c r="E790" s="19">
        <v>9660502547470</v>
      </c>
      <c r="F790" t="s">
        <v>2363</v>
      </c>
      <c r="G790" t="s">
        <v>839</v>
      </c>
    </row>
    <row r="791" spans="1:7" x14ac:dyDescent="0.25">
      <c r="A791" t="s">
        <v>2366</v>
      </c>
      <c r="B791" t="s">
        <v>2367</v>
      </c>
      <c r="C791" t="s">
        <v>2368</v>
      </c>
      <c r="D791" t="s">
        <v>919</v>
      </c>
      <c r="E791" s="19">
        <v>971553377210</v>
      </c>
      <c r="F791" t="s">
        <v>2366</v>
      </c>
      <c r="G791" t="s">
        <v>2369</v>
      </c>
    </row>
    <row r="792" spans="1:7" x14ac:dyDescent="0.25">
      <c r="A792" t="s">
        <v>2370</v>
      </c>
      <c r="B792" t="s">
        <v>2371</v>
      </c>
      <c r="C792" t="s">
        <v>3039</v>
      </c>
      <c r="D792" t="s">
        <v>919</v>
      </c>
      <c r="E792" s="19">
        <v>971568992384</v>
      </c>
      <c r="F792" t="s">
        <v>2370</v>
      </c>
      <c r="G792" t="s">
        <v>1382</v>
      </c>
    </row>
    <row r="793" spans="1:7" x14ac:dyDescent="0.25">
      <c r="A793" t="s">
        <v>2372</v>
      </c>
      <c r="B793" t="s">
        <v>2373</v>
      </c>
      <c r="C793" t="s">
        <v>2374</v>
      </c>
      <c r="D793" t="s">
        <v>919</v>
      </c>
      <c r="E793" s="19">
        <v>966540371644</v>
      </c>
      <c r="F793" t="s">
        <v>2372</v>
      </c>
      <c r="G793" t="s">
        <v>845</v>
      </c>
    </row>
    <row r="794" spans="1:7" x14ac:dyDescent="0.25">
      <c r="A794" t="s">
        <v>2375</v>
      </c>
      <c r="B794" t="s">
        <v>2376</v>
      </c>
      <c r="C794" t="s">
        <v>2377</v>
      </c>
      <c r="D794" t="s">
        <v>919</v>
      </c>
      <c r="E794" s="19">
        <v>966500446280</v>
      </c>
      <c r="F794" t="s">
        <v>2375</v>
      </c>
      <c r="G794" t="s">
        <v>838</v>
      </c>
    </row>
    <row r="795" spans="1:7" x14ac:dyDescent="0.25">
      <c r="A795" t="s">
        <v>2378</v>
      </c>
      <c r="B795" t="s">
        <v>2379</v>
      </c>
      <c r="C795" t="s">
        <v>2380</v>
      </c>
      <c r="D795" t="s">
        <v>919</v>
      </c>
      <c r="E795" s="19">
        <v>966507026941</v>
      </c>
      <c r="F795" t="s">
        <v>2378</v>
      </c>
      <c r="G795" t="s">
        <v>845</v>
      </c>
    </row>
    <row r="796" spans="1:7" x14ac:dyDescent="0.25">
      <c r="A796" t="s">
        <v>2381</v>
      </c>
      <c r="B796" t="s">
        <v>2382</v>
      </c>
      <c r="C796" t="s">
        <v>2383</v>
      </c>
      <c r="D796" t="s">
        <v>919</v>
      </c>
      <c r="E796" s="19">
        <v>966543380089</v>
      </c>
      <c r="F796" t="s">
        <v>2381</v>
      </c>
      <c r="G796" t="s">
        <v>838</v>
      </c>
    </row>
    <row r="797" spans="1:7" x14ac:dyDescent="0.25">
      <c r="A797" t="s">
        <v>2384</v>
      </c>
      <c r="B797" t="s">
        <v>2385</v>
      </c>
      <c r="C797" t="s">
        <v>2386</v>
      </c>
      <c r="D797" t="s">
        <v>919</v>
      </c>
      <c r="E797" s="19">
        <v>966539194758</v>
      </c>
      <c r="F797" t="s">
        <v>2384</v>
      </c>
      <c r="G797" t="s">
        <v>845</v>
      </c>
    </row>
    <row r="798" spans="1:7" x14ac:dyDescent="0.25">
      <c r="A798" t="s">
        <v>8376</v>
      </c>
      <c r="B798" t="s">
        <v>2387</v>
      </c>
      <c r="C798" t="s">
        <v>2388</v>
      </c>
      <c r="D798" t="s">
        <v>919</v>
      </c>
      <c r="E798" s="19">
        <v>966595444616</v>
      </c>
      <c r="F798" t="s">
        <v>8376</v>
      </c>
      <c r="G798" t="s">
        <v>839</v>
      </c>
    </row>
    <row r="799" spans="1:7" x14ac:dyDescent="0.25">
      <c r="A799" t="s">
        <v>2389</v>
      </c>
      <c r="B799" t="s">
        <v>2390</v>
      </c>
      <c r="C799" t="s">
        <v>2391</v>
      </c>
      <c r="D799" t="s">
        <v>919</v>
      </c>
      <c r="E799" s="19" t="s">
        <v>2392</v>
      </c>
      <c r="F799" t="s">
        <v>2389</v>
      </c>
      <c r="G799" t="s">
        <v>838</v>
      </c>
    </row>
    <row r="800" spans="1:7" x14ac:dyDescent="0.25">
      <c r="A800" t="s">
        <v>2393</v>
      </c>
      <c r="B800" t="s">
        <v>2394</v>
      </c>
      <c r="C800" t="s">
        <v>2395</v>
      </c>
      <c r="D800" t="s">
        <v>919</v>
      </c>
      <c r="E800" s="19" t="s">
        <v>2392</v>
      </c>
      <c r="F800" t="s">
        <v>2393</v>
      </c>
      <c r="G800" t="s">
        <v>2396</v>
      </c>
    </row>
    <row r="801" spans="1:7" x14ac:dyDescent="0.25">
      <c r="A801" t="s">
        <v>2397</v>
      </c>
      <c r="B801" t="s">
        <v>2398</v>
      </c>
      <c r="C801" t="s">
        <v>9066</v>
      </c>
      <c r="D801" t="s">
        <v>919</v>
      </c>
      <c r="E801" s="19">
        <v>966537913931</v>
      </c>
      <c r="F801" t="s">
        <v>2397</v>
      </c>
      <c r="G801" t="s">
        <v>839</v>
      </c>
    </row>
    <row r="802" spans="1:7" x14ac:dyDescent="0.25">
      <c r="A802" t="s">
        <v>2475</v>
      </c>
      <c r="B802" t="s">
        <v>2476</v>
      </c>
      <c r="C802" t="s">
        <v>9066</v>
      </c>
      <c r="D802" t="s">
        <v>919</v>
      </c>
      <c r="E802" s="19">
        <v>966537913931</v>
      </c>
      <c r="F802" t="s">
        <v>2475</v>
      </c>
      <c r="G802" t="s">
        <v>838</v>
      </c>
    </row>
    <row r="803" spans="1:7" x14ac:dyDescent="0.25">
      <c r="A803" t="s">
        <v>2399</v>
      </c>
      <c r="B803" t="s">
        <v>2400</v>
      </c>
      <c r="C803" t="s">
        <v>2401</v>
      </c>
      <c r="D803" t="s">
        <v>919</v>
      </c>
      <c r="E803" s="19">
        <v>971553860129</v>
      </c>
      <c r="F803" t="s">
        <v>2399</v>
      </c>
      <c r="G803" t="s">
        <v>1881</v>
      </c>
    </row>
    <row r="804" spans="1:7" x14ac:dyDescent="0.25">
      <c r="A804" t="s">
        <v>2402</v>
      </c>
      <c r="B804" t="s">
        <v>2403</v>
      </c>
      <c r="C804" t="s">
        <v>2401</v>
      </c>
      <c r="D804" t="s">
        <v>919</v>
      </c>
      <c r="E804" s="19">
        <v>971553860129</v>
      </c>
      <c r="F804" t="s">
        <v>2402</v>
      </c>
      <c r="G804" t="s">
        <v>841</v>
      </c>
    </row>
    <row r="805" spans="1:7" x14ac:dyDescent="0.25">
      <c r="A805" t="s">
        <v>2404</v>
      </c>
      <c r="B805" t="s">
        <v>2405</v>
      </c>
      <c r="C805" t="s">
        <v>1668</v>
      </c>
      <c r="D805" t="s">
        <v>919</v>
      </c>
      <c r="E805" s="19">
        <v>972000000000</v>
      </c>
      <c r="F805" t="s">
        <v>2404</v>
      </c>
      <c r="G805" t="s">
        <v>841</v>
      </c>
    </row>
    <row r="806" spans="1:7" x14ac:dyDescent="0.25">
      <c r="A806" t="s">
        <v>2406</v>
      </c>
      <c r="B806" t="s">
        <v>2407</v>
      </c>
      <c r="C806" t="s">
        <v>1331</v>
      </c>
      <c r="D806" t="s">
        <v>919</v>
      </c>
      <c r="E806" s="19">
        <v>9710000000000</v>
      </c>
      <c r="F806" t="s">
        <v>2406</v>
      </c>
      <c r="G806" t="s">
        <v>838</v>
      </c>
    </row>
    <row r="807" spans="1:7" x14ac:dyDescent="0.25">
      <c r="A807" t="s">
        <v>2408</v>
      </c>
      <c r="B807" t="s">
        <v>2409</v>
      </c>
      <c r="C807" t="s">
        <v>1078</v>
      </c>
      <c r="D807" t="s">
        <v>919</v>
      </c>
      <c r="E807" s="19">
        <v>972000000000</v>
      </c>
      <c r="F807" t="s">
        <v>2408</v>
      </c>
      <c r="G807" t="s">
        <v>839</v>
      </c>
    </row>
    <row r="808" spans="1:7" x14ac:dyDescent="0.25">
      <c r="A808" t="s">
        <v>2410</v>
      </c>
      <c r="B808" t="s">
        <v>2411</v>
      </c>
      <c r="C808" t="s">
        <v>2269</v>
      </c>
      <c r="D808" t="s">
        <v>919</v>
      </c>
      <c r="E808" s="19">
        <v>972000000000</v>
      </c>
      <c r="F808" t="s">
        <v>2410</v>
      </c>
      <c r="G808" t="s">
        <v>839</v>
      </c>
    </row>
    <row r="809" spans="1:7" x14ac:dyDescent="0.25">
      <c r="A809" t="s">
        <v>2412</v>
      </c>
      <c r="B809" t="s">
        <v>2413</v>
      </c>
      <c r="C809" t="s">
        <v>1715</v>
      </c>
      <c r="D809" t="s">
        <v>919</v>
      </c>
      <c r="E809" s="19">
        <v>971508756138</v>
      </c>
      <c r="F809" t="s">
        <v>2412</v>
      </c>
      <c r="G809" t="s">
        <v>839</v>
      </c>
    </row>
    <row r="810" spans="1:7" x14ac:dyDescent="0.25">
      <c r="A810" t="s">
        <v>2414</v>
      </c>
      <c r="B810" t="s">
        <v>2415</v>
      </c>
      <c r="C810" t="s">
        <v>1133</v>
      </c>
      <c r="D810" t="s">
        <v>919</v>
      </c>
      <c r="E810" s="19">
        <v>556341606</v>
      </c>
      <c r="F810" t="s">
        <v>2414</v>
      </c>
      <c r="G810" t="s">
        <v>837</v>
      </c>
    </row>
    <row r="811" spans="1:7" x14ac:dyDescent="0.25">
      <c r="A811" t="s">
        <v>2416</v>
      </c>
      <c r="B811" t="s">
        <v>2417</v>
      </c>
      <c r="C811" t="s">
        <v>1116</v>
      </c>
      <c r="D811" t="s">
        <v>919</v>
      </c>
      <c r="E811" s="19">
        <v>971529291166</v>
      </c>
      <c r="F811" t="s">
        <v>2416</v>
      </c>
      <c r="G811" t="s">
        <v>838</v>
      </c>
    </row>
    <row r="812" spans="1:7" x14ac:dyDescent="0.25">
      <c r="A812" t="s">
        <v>2418</v>
      </c>
      <c r="B812" t="s">
        <v>2419</v>
      </c>
      <c r="C812" t="s">
        <v>1275</v>
      </c>
      <c r="D812" t="s">
        <v>919</v>
      </c>
      <c r="E812" s="19">
        <v>971553860038</v>
      </c>
      <c r="F812" t="s">
        <v>2418</v>
      </c>
      <c r="G812" t="s">
        <v>839</v>
      </c>
    </row>
    <row r="813" spans="1:7" x14ac:dyDescent="0.25">
      <c r="A813" t="s">
        <v>2420</v>
      </c>
      <c r="B813" t="s">
        <v>2421</v>
      </c>
      <c r="C813" t="s">
        <v>1713</v>
      </c>
      <c r="D813" t="s">
        <v>919</v>
      </c>
      <c r="E813" s="19">
        <v>971506562956</v>
      </c>
      <c r="F813" t="s">
        <v>2420</v>
      </c>
      <c r="G813" t="s">
        <v>836</v>
      </c>
    </row>
    <row r="814" spans="1:7" x14ac:dyDescent="0.25">
      <c r="A814" t="s">
        <v>2422</v>
      </c>
      <c r="B814" t="s">
        <v>2423</v>
      </c>
      <c r="C814" t="s">
        <v>2424</v>
      </c>
      <c r="D814" t="s">
        <v>919</v>
      </c>
      <c r="E814" s="19">
        <v>966542342121</v>
      </c>
      <c r="F814" t="s">
        <v>2422</v>
      </c>
      <c r="G814" t="s">
        <v>1865</v>
      </c>
    </row>
    <row r="815" spans="1:7" x14ac:dyDescent="0.25">
      <c r="A815" t="s">
        <v>2425</v>
      </c>
      <c r="B815" t="s">
        <v>2426</v>
      </c>
      <c r="C815" t="s">
        <v>2427</v>
      </c>
      <c r="D815" t="s">
        <v>919</v>
      </c>
      <c r="E815" s="19">
        <v>966536204006</v>
      </c>
      <c r="F815" t="s">
        <v>2425</v>
      </c>
      <c r="G815" t="s">
        <v>838</v>
      </c>
    </row>
    <row r="816" spans="1:7" x14ac:dyDescent="0.25">
      <c r="A816" t="s">
        <v>2428</v>
      </c>
      <c r="B816" t="s">
        <v>2429</v>
      </c>
      <c r="C816" t="s">
        <v>2430</v>
      </c>
      <c r="D816" t="s">
        <v>919</v>
      </c>
      <c r="E816" s="19">
        <v>966505112600</v>
      </c>
      <c r="F816" t="s">
        <v>2428</v>
      </c>
      <c r="G816" t="s">
        <v>850</v>
      </c>
    </row>
    <row r="817" spans="1:7" x14ac:dyDescent="0.25">
      <c r="A817" t="s">
        <v>2431</v>
      </c>
      <c r="B817" t="s">
        <v>2432</v>
      </c>
      <c r="C817" t="s">
        <v>2433</v>
      </c>
      <c r="D817" t="s">
        <v>786</v>
      </c>
      <c r="F817" t="s">
        <v>2431</v>
      </c>
      <c r="G817" t="s">
        <v>844</v>
      </c>
    </row>
    <row r="818" spans="1:7" x14ac:dyDescent="0.25">
      <c r="A818" t="s">
        <v>2434</v>
      </c>
      <c r="B818" t="s">
        <v>2435</v>
      </c>
      <c r="C818" t="s">
        <v>2436</v>
      </c>
      <c r="D818" t="s">
        <v>919</v>
      </c>
      <c r="E818" s="19">
        <v>971504549855</v>
      </c>
      <c r="F818" t="s">
        <v>2434</v>
      </c>
      <c r="G818" t="s">
        <v>872</v>
      </c>
    </row>
    <row r="819" spans="1:7" x14ac:dyDescent="0.25">
      <c r="A819" t="s">
        <v>2437</v>
      </c>
      <c r="B819" t="s">
        <v>2438</v>
      </c>
      <c r="C819" t="s">
        <v>2439</v>
      </c>
      <c r="D819" t="s">
        <v>919</v>
      </c>
      <c r="E819" s="19">
        <v>966541442375</v>
      </c>
      <c r="F819" t="s">
        <v>2437</v>
      </c>
      <c r="G819" t="s">
        <v>838</v>
      </c>
    </row>
    <row r="820" spans="1:7" x14ac:dyDescent="0.25">
      <c r="A820" t="s">
        <v>2600</v>
      </c>
      <c r="B820" t="s">
        <v>2601</v>
      </c>
      <c r="C820" t="s">
        <v>2439</v>
      </c>
      <c r="D820" t="s">
        <v>919</v>
      </c>
      <c r="E820" s="19">
        <v>966541442375</v>
      </c>
      <c r="F820" t="s">
        <v>2600</v>
      </c>
      <c r="G820" t="s">
        <v>838</v>
      </c>
    </row>
    <row r="821" spans="1:7" x14ac:dyDescent="0.25">
      <c r="A821" t="s">
        <v>2440</v>
      </c>
      <c r="B821" t="s">
        <v>2441</v>
      </c>
      <c r="C821" t="s">
        <v>2442</v>
      </c>
      <c r="D821" t="s">
        <v>919</v>
      </c>
      <c r="E821" s="19">
        <v>966555030828</v>
      </c>
      <c r="F821" t="s">
        <v>2440</v>
      </c>
      <c r="G821" t="s">
        <v>838</v>
      </c>
    </row>
    <row r="822" spans="1:7" x14ac:dyDescent="0.25">
      <c r="A822" t="s">
        <v>2443</v>
      </c>
      <c r="B822" t="s">
        <v>2444</v>
      </c>
      <c r="C822" t="s">
        <v>2445</v>
      </c>
      <c r="D822" t="s">
        <v>919</v>
      </c>
      <c r="E822" s="19">
        <v>971507770778</v>
      </c>
      <c r="F822" t="s">
        <v>2443</v>
      </c>
      <c r="G822" t="s">
        <v>872</v>
      </c>
    </row>
    <row r="823" spans="1:7" x14ac:dyDescent="0.25">
      <c r="A823" t="s">
        <v>2446</v>
      </c>
      <c r="B823" t="s">
        <v>2447</v>
      </c>
      <c r="C823" t="s">
        <v>2448</v>
      </c>
      <c r="D823" t="s">
        <v>919</v>
      </c>
      <c r="E823" s="19">
        <v>9665212596050</v>
      </c>
      <c r="F823" t="s">
        <v>2446</v>
      </c>
      <c r="G823" t="s">
        <v>839</v>
      </c>
    </row>
    <row r="824" spans="1:7" x14ac:dyDescent="0.25">
      <c r="A824" t="s">
        <v>2449</v>
      </c>
      <c r="B824" t="s">
        <v>2450</v>
      </c>
      <c r="C824" t="s">
        <v>2451</v>
      </c>
      <c r="D824" t="s">
        <v>919</v>
      </c>
      <c r="E824" s="19">
        <v>966557976446</v>
      </c>
      <c r="F824" t="s">
        <v>2449</v>
      </c>
      <c r="G824" t="s">
        <v>1382</v>
      </c>
    </row>
    <row r="825" spans="1:7" x14ac:dyDescent="0.25">
      <c r="A825" t="s">
        <v>2452</v>
      </c>
      <c r="B825" t="s">
        <v>2453</v>
      </c>
      <c r="C825" t="s">
        <v>2454</v>
      </c>
      <c r="D825" t="s">
        <v>919</v>
      </c>
      <c r="E825" s="19">
        <v>971566586165</v>
      </c>
      <c r="F825" t="s">
        <v>2452</v>
      </c>
      <c r="G825" t="s">
        <v>1382</v>
      </c>
    </row>
    <row r="826" spans="1:7" x14ac:dyDescent="0.25">
      <c r="A826" t="s">
        <v>2455</v>
      </c>
      <c r="B826" t="s">
        <v>2456</v>
      </c>
      <c r="C826" t="s">
        <v>2457</v>
      </c>
      <c r="D826" t="s">
        <v>919</v>
      </c>
      <c r="E826" s="19">
        <v>966558481414</v>
      </c>
      <c r="F826" t="s">
        <v>2455</v>
      </c>
      <c r="G826" t="s">
        <v>836</v>
      </c>
    </row>
    <row r="827" spans="1:7" x14ac:dyDescent="0.25">
      <c r="A827" t="s">
        <v>2458</v>
      </c>
      <c r="B827" t="s">
        <v>2459</v>
      </c>
      <c r="C827" t="s">
        <v>2460</v>
      </c>
      <c r="D827" t="s">
        <v>919</v>
      </c>
      <c r="E827" s="19">
        <v>966562211223</v>
      </c>
      <c r="F827" t="s">
        <v>2458</v>
      </c>
      <c r="G827" t="s">
        <v>838</v>
      </c>
    </row>
    <row r="828" spans="1:7" x14ac:dyDescent="0.25">
      <c r="A828" t="s">
        <v>2461</v>
      </c>
      <c r="B828" t="s">
        <v>2462</v>
      </c>
      <c r="C828" t="s">
        <v>2463</v>
      </c>
      <c r="D828" t="s">
        <v>919</v>
      </c>
      <c r="E828" s="19">
        <v>966544941902</v>
      </c>
      <c r="F828" t="s">
        <v>2461</v>
      </c>
      <c r="G828" t="s">
        <v>849</v>
      </c>
    </row>
    <row r="829" spans="1:7" x14ac:dyDescent="0.25">
      <c r="A829" t="s">
        <v>2464</v>
      </c>
      <c r="B829" t="s">
        <v>2465</v>
      </c>
      <c r="C829" t="s">
        <v>2466</v>
      </c>
      <c r="D829" t="s">
        <v>919</v>
      </c>
      <c r="E829" s="19">
        <v>966556666016</v>
      </c>
      <c r="F829" t="s">
        <v>2464</v>
      </c>
      <c r="G829" t="s">
        <v>853</v>
      </c>
    </row>
    <row r="830" spans="1:7" x14ac:dyDescent="0.25">
      <c r="A830" t="s">
        <v>2467</v>
      </c>
      <c r="B830" t="s">
        <v>2468</v>
      </c>
      <c r="C830" t="s">
        <v>1214</v>
      </c>
      <c r="D830" t="s">
        <v>919</v>
      </c>
      <c r="E830" s="19">
        <v>966566667704</v>
      </c>
      <c r="F830" t="s">
        <v>2467</v>
      </c>
      <c r="G830" t="s">
        <v>1163</v>
      </c>
    </row>
    <row r="831" spans="1:7" x14ac:dyDescent="0.25">
      <c r="A831" t="s">
        <v>2469</v>
      </c>
      <c r="B831" t="s">
        <v>2470</v>
      </c>
      <c r="C831" t="s">
        <v>2471</v>
      </c>
      <c r="D831" t="s">
        <v>919</v>
      </c>
      <c r="E831" s="19">
        <v>966560216297</v>
      </c>
      <c r="F831" t="s">
        <v>2469</v>
      </c>
      <c r="G831" t="s">
        <v>838</v>
      </c>
    </row>
    <row r="832" spans="1:7" x14ac:dyDescent="0.25">
      <c r="A832" t="s">
        <v>2477</v>
      </c>
      <c r="B832" t="s">
        <v>2478</v>
      </c>
      <c r="C832" t="s">
        <v>2479</v>
      </c>
      <c r="D832" t="s">
        <v>919</v>
      </c>
      <c r="E832" s="19">
        <v>966533303633</v>
      </c>
      <c r="F832" t="s">
        <v>2477</v>
      </c>
      <c r="G832" t="s">
        <v>2480</v>
      </c>
    </row>
    <row r="833" spans="1:7" x14ac:dyDescent="0.25">
      <c r="A833" t="s">
        <v>1460</v>
      </c>
      <c r="B833" t="s">
        <v>2481</v>
      </c>
      <c r="C833" t="s">
        <v>2482</v>
      </c>
      <c r="D833" t="s">
        <v>786</v>
      </c>
      <c r="E833" s="19">
        <v>966580290504</v>
      </c>
      <c r="F833" t="s">
        <v>1460</v>
      </c>
      <c r="G833" t="s">
        <v>844</v>
      </c>
    </row>
    <row r="834" spans="1:7" x14ac:dyDescent="0.25">
      <c r="A834" t="s">
        <v>2483</v>
      </c>
      <c r="B834" t="s">
        <v>2484</v>
      </c>
      <c r="C834" t="s">
        <v>2485</v>
      </c>
      <c r="D834" t="s">
        <v>919</v>
      </c>
      <c r="E834" s="19">
        <v>966569427477</v>
      </c>
      <c r="F834" t="s">
        <v>2483</v>
      </c>
      <c r="G834" t="s">
        <v>839</v>
      </c>
    </row>
    <row r="835" spans="1:7" x14ac:dyDescent="0.25">
      <c r="A835" t="s">
        <v>2486</v>
      </c>
      <c r="B835" t="s">
        <v>2487</v>
      </c>
      <c r="C835" t="s">
        <v>2485</v>
      </c>
      <c r="D835" t="s">
        <v>919</v>
      </c>
      <c r="E835" s="19">
        <v>966569427477</v>
      </c>
      <c r="F835" t="s">
        <v>2486</v>
      </c>
      <c r="G835" t="s">
        <v>839</v>
      </c>
    </row>
    <row r="836" spans="1:7" x14ac:dyDescent="0.25">
      <c r="A836" t="s">
        <v>2488</v>
      </c>
      <c r="B836" t="s">
        <v>2489</v>
      </c>
      <c r="C836" t="s">
        <v>2490</v>
      </c>
      <c r="D836" t="s">
        <v>919</v>
      </c>
      <c r="E836" s="19">
        <v>9661257209596</v>
      </c>
      <c r="F836" t="s">
        <v>2488</v>
      </c>
      <c r="G836" t="s">
        <v>838</v>
      </c>
    </row>
    <row r="837" spans="1:7" x14ac:dyDescent="0.25">
      <c r="A837" t="s">
        <v>2491</v>
      </c>
      <c r="B837" t="s">
        <v>2492</v>
      </c>
      <c r="C837" t="s">
        <v>2493</v>
      </c>
      <c r="D837" t="s">
        <v>919</v>
      </c>
      <c r="E837" s="19">
        <v>971522256658</v>
      </c>
      <c r="F837" t="s">
        <v>2491</v>
      </c>
      <c r="G837" t="s">
        <v>872</v>
      </c>
    </row>
    <row r="838" spans="1:7" x14ac:dyDescent="0.25">
      <c r="A838" t="s">
        <v>2494</v>
      </c>
      <c r="B838" t="s">
        <v>2495</v>
      </c>
      <c r="C838" t="s">
        <v>2496</v>
      </c>
      <c r="D838" t="s">
        <v>919</v>
      </c>
      <c r="E838" s="19">
        <v>971555800895</v>
      </c>
      <c r="F838" t="s">
        <v>2494</v>
      </c>
      <c r="G838" t="s">
        <v>854</v>
      </c>
    </row>
    <row r="839" spans="1:7" x14ac:dyDescent="0.25">
      <c r="A839" t="s">
        <v>2497</v>
      </c>
      <c r="B839" t="s">
        <v>2498</v>
      </c>
      <c r="C839" t="s">
        <v>2499</v>
      </c>
      <c r="D839" t="s">
        <v>786</v>
      </c>
      <c r="E839" s="19">
        <v>971558688684</v>
      </c>
      <c r="F839" t="s">
        <v>2497</v>
      </c>
      <c r="G839" t="s">
        <v>844</v>
      </c>
    </row>
    <row r="840" spans="1:7" x14ac:dyDescent="0.25">
      <c r="A840" t="s">
        <v>2500</v>
      </c>
      <c r="B840" t="s">
        <v>2501</v>
      </c>
      <c r="C840" t="s">
        <v>2502</v>
      </c>
      <c r="D840" t="s">
        <v>919</v>
      </c>
      <c r="E840" s="19">
        <v>966547804547</v>
      </c>
      <c r="F840" t="s">
        <v>2500</v>
      </c>
      <c r="G840" t="s">
        <v>837</v>
      </c>
    </row>
    <row r="841" spans="1:7" x14ac:dyDescent="0.25">
      <c r="A841" t="s">
        <v>2503</v>
      </c>
      <c r="B841" t="s">
        <v>2504</v>
      </c>
      <c r="C841" t="s">
        <v>2505</v>
      </c>
      <c r="D841" t="s">
        <v>919</v>
      </c>
      <c r="E841" s="19">
        <v>966566867487</v>
      </c>
      <c r="F841" t="s">
        <v>2503</v>
      </c>
      <c r="G841" t="s">
        <v>838</v>
      </c>
    </row>
    <row r="842" spans="1:7" x14ac:dyDescent="0.25">
      <c r="A842" t="s">
        <v>2506</v>
      </c>
      <c r="B842" t="s">
        <v>2507</v>
      </c>
      <c r="C842" t="s">
        <v>2508</v>
      </c>
      <c r="D842" t="s">
        <v>919</v>
      </c>
      <c r="E842" s="19">
        <v>966532964814</v>
      </c>
      <c r="F842" t="s">
        <v>2506</v>
      </c>
      <c r="G842" t="s">
        <v>1865</v>
      </c>
    </row>
    <row r="843" spans="1:7" x14ac:dyDescent="0.25">
      <c r="A843" t="s">
        <v>2509</v>
      </c>
      <c r="B843" t="s">
        <v>2510</v>
      </c>
      <c r="C843" t="s">
        <v>2511</v>
      </c>
      <c r="D843" t="s">
        <v>919</v>
      </c>
      <c r="E843" s="19">
        <v>971563381855</v>
      </c>
      <c r="F843" t="s">
        <v>2509</v>
      </c>
      <c r="G843" t="s">
        <v>841</v>
      </c>
    </row>
    <row r="844" spans="1:7" x14ac:dyDescent="0.25">
      <c r="A844" t="s">
        <v>2512</v>
      </c>
      <c r="B844" t="s">
        <v>2513</v>
      </c>
      <c r="C844" t="s">
        <v>2511</v>
      </c>
      <c r="D844" t="s">
        <v>919</v>
      </c>
      <c r="E844" s="19">
        <v>971563381855</v>
      </c>
      <c r="F844" t="s">
        <v>2512</v>
      </c>
      <c r="G844" t="s">
        <v>841</v>
      </c>
    </row>
    <row r="845" spans="1:7" x14ac:dyDescent="0.25">
      <c r="A845" t="s">
        <v>2517</v>
      </c>
      <c r="B845" t="s">
        <v>2518</v>
      </c>
      <c r="C845" t="s">
        <v>2519</v>
      </c>
      <c r="D845" t="s">
        <v>919</v>
      </c>
      <c r="E845" s="19">
        <v>971554745256</v>
      </c>
      <c r="F845" t="s">
        <v>2517</v>
      </c>
      <c r="G845" t="s">
        <v>2520</v>
      </c>
    </row>
    <row r="846" spans="1:7" x14ac:dyDescent="0.25">
      <c r="A846" t="s">
        <v>2523</v>
      </c>
      <c r="B846" t="s">
        <v>2524</v>
      </c>
      <c r="C846" t="s">
        <v>2525</v>
      </c>
      <c r="D846" t="s">
        <v>919</v>
      </c>
      <c r="E846" s="19">
        <v>966565328535</v>
      </c>
      <c r="F846" t="s">
        <v>2523</v>
      </c>
      <c r="G846" t="s">
        <v>839</v>
      </c>
    </row>
    <row r="847" spans="1:7" x14ac:dyDescent="0.25">
      <c r="A847" t="s">
        <v>2526</v>
      </c>
      <c r="B847" t="s">
        <v>2527</v>
      </c>
      <c r="C847" t="s">
        <v>2528</v>
      </c>
      <c r="D847" t="s">
        <v>786</v>
      </c>
      <c r="F847" t="s">
        <v>2526</v>
      </c>
      <c r="G847" t="s">
        <v>844</v>
      </c>
    </row>
    <row r="848" spans="1:7" x14ac:dyDescent="0.25">
      <c r="A848" t="s">
        <v>2529</v>
      </c>
      <c r="B848" t="s">
        <v>2530</v>
      </c>
      <c r="C848" t="s">
        <v>2531</v>
      </c>
      <c r="D848" t="s">
        <v>919</v>
      </c>
      <c r="E848" s="19">
        <v>966569980781</v>
      </c>
      <c r="F848" t="s">
        <v>2529</v>
      </c>
      <c r="G848" t="s">
        <v>1865</v>
      </c>
    </row>
    <row r="849" spans="1:7" x14ac:dyDescent="0.25">
      <c r="A849" t="s">
        <v>2532</v>
      </c>
      <c r="B849" t="s">
        <v>2533</v>
      </c>
      <c r="C849" t="s">
        <v>2534</v>
      </c>
      <c r="D849" t="s">
        <v>919</v>
      </c>
      <c r="E849" s="19">
        <v>966114984444</v>
      </c>
      <c r="F849" t="s">
        <v>2532</v>
      </c>
      <c r="G849" t="s">
        <v>839</v>
      </c>
    </row>
    <row r="850" spans="1:7" x14ac:dyDescent="0.25">
      <c r="A850" t="s">
        <v>2535</v>
      </c>
      <c r="B850" t="s">
        <v>2536</v>
      </c>
      <c r="C850" t="s">
        <v>2537</v>
      </c>
      <c r="D850" t="s">
        <v>919</v>
      </c>
      <c r="E850" s="19">
        <v>971544119957</v>
      </c>
      <c r="F850" t="s">
        <v>2535</v>
      </c>
      <c r="G850" t="s">
        <v>838</v>
      </c>
    </row>
    <row r="851" spans="1:7" x14ac:dyDescent="0.25">
      <c r="A851" t="s">
        <v>2538</v>
      </c>
      <c r="B851" t="s">
        <v>2539</v>
      </c>
      <c r="C851" t="s">
        <v>2537</v>
      </c>
      <c r="D851" t="s">
        <v>919</v>
      </c>
      <c r="E851" s="19">
        <v>971544119957</v>
      </c>
      <c r="F851" t="s">
        <v>2538</v>
      </c>
      <c r="G851" t="s">
        <v>838</v>
      </c>
    </row>
    <row r="852" spans="1:7" x14ac:dyDescent="0.25">
      <c r="A852" t="s">
        <v>2540</v>
      </c>
      <c r="B852" t="s">
        <v>2541</v>
      </c>
      <c r="C852" t="s">
        <v>2542</v>
      </c>
      <c r="D852" t="s">
        <v>919</v>
      </c>
      <c r="E852" s="19">
        <v>971504585245</v>
      </c>
      <c r="F852" t="s">
        <v>2540</v>
      </c>
      <c r="G852" t="s">
        <v>854</v>
      </c>
    </row>
    <row r="853" spans="1:7" x14ac:dyDescent="0.25">
      <c r="A853" t="s">
        <v>2543</v>
      </c>
      <c r="B853" t="s">
        <v>2544</v>
      </c>
      <c r="C853" t="s">
        <v>2545</v>
      </c>
      <c r="D853" t="s">
        <v>919</v>
      </c>
      <c r="E853" s="19">
        <v>966553197007</v>
      </c>
      <c r="F853" t="s">
        <v>2543</v>
      </c>
      <c r="G853" t="s">
        <v>838</v>
      </c>
    </row>
    <row r="854" spans="1:7" x14ac:dyDescent="0.25">
      <c r="A854" t="s">
        <v>2546</v>
      </c>
      <c r="B854" t="s">
        <v>2547</v>
      </c>
      <c r="C854" t="s">
        <v>2545</v>
      </c>
      <c r="D854" t="s">
        <v>919</v>
      </c>
      <c r="E854" s="19">
        <v>966553197007</v>
      </c>
      <c r="F854" t="s">
        <v>2546</v>
      </c>
      <c r="G854" t="s">
        <v>838</v>
      </c>
    </row>
    <row r="855" spans="1:7" x14ac:dyDescent="0.25">
      <c r="A855" t="s">
        <v>2548</v>
      </c>
      <c r="B855" t="s">
        <v>2549</v>
      </c>
      <c r="C855" t="s">
        <v>2550</v>
      </c>
      <c r="D855" t="s">
        <v>919</v>
      </c>
      <c r="E855" s="19">
        <v>971556220735</v>
      </c>
      <c r="F855" t="s">
        <v>2548</v>
      </c>
      <c r="G855" t="s">
        <v>839</v>
      </c>
    </row>
    <row r="856" spans="1:7" x14ac:dyDescent="0.25">
      <c r="A856" t="s">
        <v>2573</v>
      </c>
      <c r="B856" t="s">
        <v>2574</v>
      </c>
      <c r="C856" t="s">
        <v>2550</v>
      </c>
      <c r="D856" t="s">
        <v>919</v>
      </c>
      <c r="E856" s="19">
        <v>971556220735</v>
      </c>
      <c r="F856" t="s">
        <v>2573</v>
      </c>
      <c r="G856" t="s">
        <v>839</v>
      </c>
    </row>
    <row r="857" spans="1:7" x14ac:dyDescent="0.25">
      <c r="A857" t="s">
        <v>2551</v>
      </c>
      <c r="B857" t="s">
        <v>2552</v>
      </c>
      <c r="C857" t="s">
        <v>2553</v>
      </c>
      <c r="D857" t="s">
        <v>786</v>
      </c>
      <c r="E857" s="19">
        <v>971555289747</v>
      </c>
      <c r="F857" t="s">
        <v>2551</v>
      </c>
      <c r="G857" t="s">
        <v>844</v>
      </c>
    </row>
    <row r="858" spans="1:7" x14ac:dyDescent="0.25">
      <c r="A858" t="s">
        <v>2554</v>
      </c>
      <c r="B858" t="s">
        <v>2555</v>
      </c>
      <c r="C858" t="s">
        <v>2553</v>
      </c>
      <c r="D858" t="s">
        <v>919</v>
      </c>
      <c r="E858" s="19">
        <v>971555289747</v>
      </c>
      <c r="F858" t="s">
        <v>2554</v>
      </c>
      <c r="G858" t="s">
        <v>838</v>
      </c>
    </row>
    <row r="859" spans="1:7" x14ac:dyDescent="0.25">
      <c r="A859" t="s">
        <v>2558</v>
      </c>
      <c r="B859" t="s">
        <v>2559</v>
      </c>
      <c r="C859" t="s">
        <v>2560</v>
      </c>
      <c r="D859" t="s">
        <v>919</v>
      </c>
      <c r="E859" s="19">
        <v>966508410448</v>
      </c>
      <c r="F859" t="s">
        <v>2558</v>
      </c>
      <c r="G859" t="s">
        <v>1865</v>
      </c>
    </row>
    <row r="860" spans="1:7" x14ac:dyDescent="0.25">
      <c r="A860" t="s">
        <v>2561</v>
      </c>
      <c r="B860" t="s">
        <v>2562</v>
      </c>
      <c r="C860" t="s">
        <v>2563</v>
      </c>
      <c r="D860" t="s">
        <v>919</v>
      </c>
      <c r="E860" s="19">
        <v>966556411189</v>
      </c>
      <c r="F860" t="s">
        <v>2561</v>
      </c>
      <c r="G860" t="s">
        <v>839</v>
      </c>
    </row>
    <row r="861" spans="1:7" x14ac:dyDescent="0.25">
      <c r="A861" t="s">
        <v>2564</v>
      </c>
      <c r="B861" t="s">
        <v>2565</v>
      </c>
      <c r="C861" t="s">
        <v>2566</v>
      </c>
      <c r="D861" t="s">
        <v>919</v>
      </c>
      <c r="E861" s="19">
        <v>966555958212</v>
      </c>
      <c r="F861" t="s">
        <v>2564</v>
      </c>
      <c r="G861" t="s">
        <v>838</v>
      </c>
    </row>
    <row r="862" spans="1:7" x14ac:dyDescent="0.25">
      <c r="A862" t="s">
        <v>2567</v>
      </c>
      <c r="B862" t="s">
        <v>2568</v>
      </c>
      <c r="C862" t="s">
        <v>2569</v>
      </c>
      <c r="D862" t="s">
        <v>919</v>
      </c>
      <c r="E862" s="19">
        <v>971501486148</v>
      </c>
      <c r="F862" t="s">
        <v>2567</v>
      </c>
      <c r="G862" t="s">
        <v>839</v>
      </c>
    </row>
    <row r="863" spans="1:7" x14ac:dyDescent="0.25">
      <c r="A863" t="s">
        <v>2570</v>
      </c>
      <c r="B863" t="s">
        <v>2571</v>
      </c>
      <c r="C863" t="s">
        <v>2572</v>
      </c>
      <c r="D863" t="s">
        <v>919</v>
      </c>
      <c r="E863" s="19">
        <v>966509170349</v>
      </c>
      <c r="F863" t="s">
        <v>2570</v>
      </c>
      <c r="G863" t="s">
        <v>838</v>
      </c>
    </row>
    <row r="864" spans="1:7" x14ac:dyDescent="0.25">
      <c r="A864" t="s">
        <v>2575</v>
      </c>
      <c r="B864" t="s">
        <v>2576</v>
      </c>
      <c r="C864" t="s">
        <v>2577</v>
      </c>
      <c r="D864" t="s">
        <v>919</v>
      </c>
      <c r="E864" s="19">
        <v>966532071984</v>
      </c>
      <c r="F864" t="s">
        <v>2575</v>
      </c>
      <c r="G864" t="s">
        <v>838</v>
      </c>
    </row>
    <row r="865" spans="1:7" x14ac:dyDescent="0.25">
      <c r="A865" t="s">
        <v>2578</v>
      </c>
      <c r="B865" t="s">
        <v>2579</v>
      </c>
      <c r="C865" t="s">
        <v>2580</v>
      </c>
      <c r="D865" t="s">
        <v>919</v>
      </c>
      <c r="E865" s="19">
        <v>966567920000</v>
      </c>
      <c r="F865" t="s">
        <v>2578</v>
      </c>
      <c r="G865" t="s">
        <v>850</v>
      </c>
    </row>
    <row r="866" spans="1:7" x14ac:dyDescent="0.25">
      <c r="A866" t="s">
        <v>2581</v>
      </c>
      <c r="B866" t="s">
        <v>2582</v>
      </c>
      <c r="C866" t="s">
        <v>2583</v>
      </c>
      <c r="D866" t="s">
        <v>786</v>
      </c>
      <c r="E866" s="19" t="s">
        <v>2584</v>
      </c>
      <c r="F866" t="s">
        <v>2581</v>
      </c>
      <c r="G866" t="s">
        <v>844</v>
      </c>
    </row>
    <row r="867" spans="1:7" x14ac:dyDescent="0.25">
      <c r="A867" t="s">
        <v>2585</v>
      </c>
      <c r="B867" t="s">
        <v>2586</v>
      </c>
      <c r="C867" t="s">
        <v>9038</v>
      </c>
      <c r="D867" t="s">
        <v>919</v>
      </c>
      <c r="E867" s="19">
        <v>971561977055</v>
      </c>
      <c r="F867" t="s">
        <v>2585</v>
      </c>
      <c r="G867" t="s">
        <v>841</v>
      </c>
    </row>
    <row r="868" spans="1:7" x14ac:dyDescent="0.25">
      <c r="A868" t="s">
        <v>2587</v>
      </c>
      <c r="B868" t="s">
        <v>2588</v>
      </c>
      <c r="C868" t="s">
        <v>2589</v>
      </c>
      <c r="D868" t="s">
        <v>919</v>
      </c>
      <c r="E868" s="19">
        <v>971522190630</v>
      </c>
      <c r="F868" t="s">
        <v>2587</v>
      </c>
      <c r="G868" t="s">
        <v>849</v>
      </c>
    </row>
    <row r="869" spans="1:7" x14ac:dyDescent="0.25">
      <c r="A869" t="s">
        <v>2590</v>
      </c>
      <c r="B869" t="s">
        <v>2591</v>
      </c>
      <c r="C869" t="s">
        <v>2589</v>
      </c>
      <c r="D869" t="s">
        <v>919</v>
      </c>
      <c r="E869" s="19">
        <v>971522190630</v>
      </c>
      <c r="F869" t="s">
        <v>2590</v>
      </c>
      <c r="G869" t="s">
        <v>849</v>
      </c>
    </row>
    <row r="870" spans="1:7" x14ac:dyDescent="0.25">
      <c r="A870" t="s">
        <v>2592</v>
      </c>
      <c r="B870" t="s">
        <v>2593</v>
      </c>
      <c r="C870" t="s">
        <v>2594</v>
      </c>
      <c r="D870" t="s">
        <v>919</v>
      </c>
      <c r="E870" s="19">
        <v>966508716577</v>
      </c>
      <c r="F870" t="s">
        <v>2592</v>
      </c>
      <c r="G870" t="s">
        <v>839</v>
      </c>
    </row>
    <row r="871" spans="1:7" x14ac:dyDescent="0.25">
      <c r="A871" t="s">
        <v>2595</v>
      </c>
      <c r="B871" t="s">
        <v>2596</v>
      </c>
      <c r="C871" t="s">
        <v>2594</v>
      </c>
      <c r="D871" t="s">
        <v>919</v>
      </c>
      <c r="E871" s="19">
        <v>966508716577</v>
      </c>
      <c r="F871" t="s">
        <v>2595</v>
      </c>
      <c r="G871" t="s">
        <v>839</v>
      </c>
    </row>
    <row r="872" spans="1:7" x14ac:dyDescent="0.25">
      <c r="A872" t="s">
        <v>2597</v>
      </c>
      <c r="B872" t="s">
        <v>2598</v>
      </c>
      <c r="C872" t="s">
        <v>2599</v>
      </c>
      <c r="D872" t="s">
        <v>919</v>
      </c>
      <c r="E872" s="19">
        <v>971565267696</v>
      </c>
      <c r="F872" t="s">
        <v>2597</v>
      </c>
      <c r="G872" t="s">
        <v>836</v>
      </c>
    </row>
    <row r="873" spans="1:7" x14ac:dyDescent="0.25">
      <c r="A873" t="s">
        <v>2602</v>
      </c>
      <c r="B873" t="s">
        <v>2603</v>
      </c>
      <c r="C873" t="s">
        <v>2604</v>
      </c>
      <c r="D873" t="s">
        <v>919</v>
      </c>
      <c r="E873" s="19">
        <v>971568287799</v>
      </c>
      <c r="F873" t="s">
        <v>2602</v>
      </c>
      <c r="G873" t="s">
        <v>839</v>
      </c>
    </row>
    <row r="874" spans="1:7" x14ac:dyDescent="0.25">
      <c r="A874" t="s">
        <v>2605</v>
      </c>
      <c r="B874" t="s">
        <v>2606</v>
      </c>
      <c r="C874" t="s">
        <v>2607</v>
      </c>
      <c r="D874" t="s">
        <v>919</v>
      </c>
      <c r="E874" s="19">
        <v>971504203750</v>
      </c>
      <c r="F874" t="s">
        <v>2605</v>
      </c>
      <c r="G874" t="s">
        <v>1365</v>
      </c>
    </row>
    <row r="875" spans="1:7" x14ac:dyDescent="0.25">
      <c r="A875" t="s">
        <v>2608</v>
      </c>
      <c r="B875" t="s">
        <v>2609</v>
      </c>
      <c r="C875" t="s">
        <v>2610</v>
      </c>
      <c r="D875" t="s">
        <v>919</v>
      </c>
      <c r="E875" s="19">
        <v>971529250791</v>
      </c>
      <c r="F875" t="s">
        <v>2608</v>
      </c>
      <c r="G875" t="s">
        <v>838</v>
      </c>
    </row>
    <row r="876" spans="1:7" x14ac:dyDescent="0.25">
      <c r="A876" t="s">
        <v>2611</v>
      </c>
      <c r="B876" t="s">
        <v>2612</v>
      </c>
      <c r="C876" t="s">
        <v>2613</v>
      </c>
      <c r="D876" t="s">
        <v>919</v>
      </c>
      <c r="E876" s="19">
        <v>971556519797</v>
      </c>
      <c r="F876" t="s">
        <v>2611</v>
      </c>
      <c r="G876" t="s">
        <v>841</v>
      </c>
    </row>
    <row r="877" spans="1:7" x14ac:dyDescent="0.25">
      <c r="A877" t="s">
        <v>2614</v>
      </c>
      <c r="B877" t="s">
        <v>2615</v>
      </c>
      <c r="C877" t="s">
        <v>2616</v>
      </c>
      <c r="D877" t="s">
        <v>919</v>
      </c>
      <c r="E877" s="19">
        <v>971506513724</v>
      </c>
      <c r="F877" t="s">
        <v>2614</v>
      </c>
      <c r="G877" t="s">
        <v>854</v>
      </c>
    </row>
    <row r="878" spans="1:7" x14ac:dyDescent="0.25">
      <c r="A878" t="s">
        <v>2617</v>
      </c>
      <c r="B878" t="s">
        <v>2618</v>
      </c>
      <c r="C878" t="s">
        <v>2619</v>
      </c>
      <c r="D878" t="s">
        <v>919</v>
      </c>
      <c r="E878" s="19">
        <v>971558314263</v>
      </c>
      <c r="F878" t="s">
        <v>2617</v>
      </c>
      <c r="G878" t="s">
        <v>841</v>
      </c>
    </row>
    <row r="879" spans="1:7" x14ac:dyDescent="0.25">
      <c r="A879" t="s">
        <v>2620</v>
      </c>
      <c r="B879" t="s">
        <v>2621</v>
      </c>
      <c r="C879" t="s">
        <v>2619</v>
      </c>
      <c r="D879" t="s">
        <v>919</v>
      </c>
      <c r="E879" s="19">
        <v>971558314263</v>
      </c>
      <c r="F879" t="s">
        <v>2620</v>
      </c>
      <c r="G879" t="s">
        <v>841</v>
      </c>
    </row>
    <row r="880" spans="1:7" x14ac:dyDescent="0.25">
      <c r="A880" t="s">
        <v>2622</v>
      </c>
      <c r="B880" t="s">
        <v>2623</v>
      </c>
      <c r="C880" t="s">
        <v>2624</v>
      </c>
      <c r="D880" t="s">
        <v>919</v>
      </c>
      <c r="E880" s="19">
        <v>966556841660</v>
      </c>
      <c r="F880" t="s">
        <v>2622</v>
      </c>
      <c r="G880" t="s">
        <v>838</v>
      </c>
    </row>
    <row r="881" spans="1:7" x14ac:dyDescent="0.25">
      <c r="A881" t="s">
        <v>2625</v>
      </c>
      <c r="B881" t="s">
        <v>2626</v>
      </c>
      <c r="C881" t="s">
        <v>2627</v>
      </c>
      <c r="D881" t="s">
        <v>919</v>
      </c>
      <c r="E881" s="19">
        <v>966555558200</v>
      </c>
      <c r="F881" t="s">
        <v>2625</v>
      </c>
      <c r="G881" t="s">
        <v>839</v>
      </c>
    </row>
    <row r="882" spans="1:7" x14ac:dyDescent="0.25">
      <c r="A882" t="s">
        <v>2628</v>
      </c>
      <c r="B882" t="s">
        <v>2629</v>
      </c>
      <c r="C882" t="s">
        <v>2627</v>
      </c>
      <c r="D882" t="s">
        <v>919</v>
      </c>
      <c r="E882" s="19">
        <v>966555558200</v>
      </c>
      <c r="F882" t="s">
        <v>2628</v>
      </c>
      <c r="G882" t="s">
        <v>839</v>
      </c>
    </row>
    <row r="883" spans="1:7" x14ac:dyDescent="0.25">
      <c r="A883" t="s">
        <v>2630</v>
      </c>
      <c r="B883" t="s">
        <v>2631</v>
      </c>
      <c r="C883" t="s">
        <v>2632</v>
      </c>
      <c r="D883" t="s">
        <v>786</v>
      </c>
      <c r="E883" s="19">
        <v>966596403744</v>
      </c>
      <c r="F883" t="s">
        <v>2630</v>
      </c>
      <c r="G883" t="s">
        <v>844</v>
      </c>
    </row>
    <row r="884" spans="1:7" x14ac:dyDescent="0.25">
      <c r="A884" t="s">
        <v>2633</v>
      </c>
      <c r="B884" t="s">
        <v>2634</v>
      </c>
      <c r="C884" t="s">
        <v>2635</v>
      </c>
      <c r="D884" t="s">
        <v>786</v>
      </c>
      <c r="E884" s="19">
        <v>966530827613</v>
      </c>
      <c r="F884" t="s">
        <v>2633</v>
      </c>
      <c r="G884" t="s">
        <v>844</v>
      </c>
    </row>
    <row r="885" spans="1:7" x14ac:dyDescent="0.25">
      <c r="A885" t="s">
        <v>2636</v>
      </c>
      <c r="B885" t="s">
        <v>2637</v>
      </c>
      <c r="C885" t="s">
        <v>2638</v>
      </c>
      <c r="D885" t="s">
        <v>919</v>
      </c>
      <c r="E885" s="19">
        <v>966582777714</v>
      </c>
      <c r="F885" t="s">
        <v>2636</v>
      </c>
      <c r="G885" t="s">
        <v>838</v>
      </c>
    </row>
    <row r="886" spans="1:7" x14ac:dyDescent="0.25">
      <c r="A886" t="s">
        <v>2639</v>
      </c>
      <c r="B886" t="s">
        <v>2640</v>
      </c>
      <c r="C886" t="s">
        <v>2641</v>
      </c>
      <c r="D886" t="s">
        <v>919</v>
      </c>
      <c r="E886" s="19">
        <v>966581415666</v>
      </c>
      <c r="F886" t="s">
        <v>2639</v>
      </c>
      <c r="G886" t="s">
        <v>2642</v>
      </c>
    </row>
    <row r="887" spans="1:7" x14ac:dyDescent="0.25">
      <c r="A887" t="s">
        <v>2643</v>
      </c>
      <c r="B887" t="s">
        <v>2644</v>
      </c>
      <c r="C887" t="s">
        <v>2645</v>
      </c>
      <c r="D887" t="s">
        <v>919</v>
      </c>
      <c r="E887" s="19">
        <v>971504499776</v>
      </c>
      <c r="F887" t="s">
        <v>2643</v>
      </c>
      <c r="G887" t="s">
        <v>2646</v>
      </c>
    </row>
    <row r="888" spans="1:7" x14ac:dyDescent="0.25">
      <c r="A888" t="s">
        <v>2647</v>
      </c>
      <c r="B888" t="s">
        <v>2648</v>
      </c>
      <c r="C888" t="s">
        <v>2645</v>
      </c>
      <c r="D888" t="s">
        <v>919</v>
      </c>
      <c r="E888" s="19">
        <v>971504499776</v>
      </c>
      <c r="F888" t="s">
        <v>2647</v>
      </c>
      <c r="G888" t="s">
        <v>2646</v>
      </c>
    </row>
    <row r="889" spans="1:7" x14ac:dyDescent="0.25">
      <c r="A889" t="s">
        <v>2649</v>
      </c>
      <c r="B889" t="s">
        <v>2650</v>
      </c>
      <c r="C889" t="s">
        <v>2651</v>
      </c>
      <c r="D889" t="s">
        <v>919</v>
      </c>
      <c r="E889" s="19">
        <v>971566008186</v>
      </c>
      <c r="F889" t="s">
        <v>2649</v>
      </c>
      <c r="G889" t="s">
        <v>1382</v>
      </c>
    </row>
    <row r="890" spans="1:7" x14ac:dyDescent="0.25">
      <c r="A890" t="s">
        <v>2652</v>
      </c>
      <c r="B890" t="s">
        <v>2653</v>
      </c>
      <c r="C890" t="s">
        <v>2654</v>
      </c>
      <c r="D890" t="s">
        <v>786</v>
      </c>
      <c r="E890" s="19">
        <v>971502118978</v>
      </c>
      <c r="F890" t="s">
        <v>2652</v>
      </c>
      <c r="G890" t="s">
        <v>844</v>
      </c>
    </row>
    <row r="891" spans="1:7" x14ac:dyDescent="0.25">
      <c r="A891" t="s">
        <v>2655</v>
      </c>
      <c r="B891" t="s">
        <v>2656</v>
      </c>
      <c r="C891" t="s">
        <v>2657</v>
      </c>
      <c r="D891" t="s">
        <v>919</v>
      </c>
      <c r="E891" s="19">
        <v>966555059542</v>
      </c>
      <c r="F891" t="s">
        <v>2655</v>
      </c>
      <c r="G891" t="s">
        <v>838</v>
      </c>
    </row>
    <row r="892" spans="1:7" x14ac:dyDescent="0.25">
      <c r="A892" t="s">
        <v>2658</v>
      </c>
      <c r="B892" t="s">
        <v>2659</v>
      </c>
      <c r="C892" t="s">
        <v>2660</v>
      </c>
      <c r="D892" t="s">
        <v>919</v>
      </c>
      <c r="E892" s="19">
        <v>9710521228275</v>
      </c>
      <c r="F892" t="s">
        <v>2658</v>
      </c>
      <c r="G892" t="s">
        <v>1382</v>
      </c>
    </row>
    <row r="893" spans="1:7" x14ac:dyDescent="0.25">
      <c r="A893" t="s">
        <v>2661</v>
      </c>
      <c r="B893" t="s">
        <v>2662</v>
      </c>
      <c r="C893" t="s">
        <v>2663</v>
      </c>
      <c r="D893" t="s">
        <v>919</v>
      </c>
      <c r="E893" s="19">
        <v>966544991793</v>
      </c>
      <c r="F893" t="s">
        <v>2661</v>
      </c>
      <c r="G893" t="s">
        <v>849</v>
      </c>
    </row>
    <row r="894" spans="1:7" x14ac:dyDescent="0.25">
      <c r="A894" t="s">
        <v>2664</v>
      </c>
      <c r="B894" t="s">
        <v>2665</v>
      </c>
      <c r="C894" t="s">
        <v>2663</v>
      </c>
      <c r="D894" t="s">
        <v>919</v>
      </c>
      <c r="E894" s="19">
        <v>966544991793</v>
      </c>
      <c r="F894" t="s">
        <v>2664</v>
      </c>
      <c r="G894" t="s">
        <v>849</v>
      </c>
    </row>
    <row r="895" spans="1:7" x14ac:dyDescent="0.25">
      <c r="A895" t="s">
        <v>2666</v>
      </c>
      <c r="B895" t="s">
        <v>2667</v>
      </c>
      <c r="C895" t="s">
        <v>2668</v>
      </c>
      <c r="D895" t="s">
        <v>919</v>
      </c>
      <c r="E895" s="19">
        <v>966504306512</v>
      </c>
      <c r="F895" t="s">
        <v>2666</v>
      </c>
      <c r="G895" t="s">
        <v>839</v>
      </c>
    </row>
    <row r="896" spans="1:7" x14ac:dyDescent="0.25">
      <c r="A896" t="s">
        <v>2669</v>
      </c>
      <c r="B896" t="s">
        <v>2670</v>
      </c>
      <c r="C896" t="s">
        <v>2671</v>
      </c>
      <c r="D896" t="s">
        <v>919</v>
      </c>
      <c r="E896" s="19">
        <v>966503570259</v>
      </c>
      <c r="F896" t="s">
        <v>2669</v>
      </c>
      <c r="G896" t="s">
        <v>839</v>
      </c>
    </row>
    <row r="897" spans="1:7" x14ac:dyDescent="0.25">
      <c r="A897" t="s">
        <v>2672</v>
      </c>
      <c r="B897" t="s">
        <v>2673</v>
      </c>
      <c r="C897" t="s">
        <v>2674</v>
      </c>
      <c r="D897" t="s">
        <v>919</v>
      </c>
      <c r="E897" s="19">
        <v>966594323996</v>
      </c>
      <c r="F897" t="s">
        <v>2672</v>
      </c>
      <c r="G897" t="s">
        <v>850</v>
      </c>
    </row>
    <row r="898" spans="1:7" x14ac:dyDescent="0.25">
      <c r="A898" t="s">
        <v>2675</v>
      </c>
      <c r="B898" t="s">
        <v>2676</v>
      </c>
      <c r="C898" t="s">
        <v>2677</v>
      </c>
      <c r="D898" t="s">
        <v>919</v>
      </c>
      <c r="E898" s="19">
        <v>971506569731</v>
      </c>
      <c r="F898" t="s">
        <v>2675</v>
      </c>
      <c r="G898" t="s">
        <v>841</v>
      </c>
    </row>
    <row r="899" spans="1:7" x14ac:dyDescent="0.25">
      <c r="A899" t="s">
        <v>2678</v>
      </c>
      <c r="B899" t="s">
        <v>2679</v>
      </c>
      <c r="C899" t="s">
        <v>2677</v>
      </c>
      <c r="D899" t="s">
        <v>919</v>
      </c>
      <c r="E899" s="19">
        <v>971506569731</v>
      </c>
      <c r="F899" t="s">
        <v>2678</v>
      </c>
      <c r="G899" t="s">
        <v>841</v>
      </c>
    </row>
    <row r="900" spans="1:7" x14ac:dyDescent="0.25">
      <c r="A900" t="s">
        <v>2680</v>
      </c>
      <c r="B900" t="s">
        <v>2681</v>
      </c>
      <c r="C900" t="s">
        <v>2682</v>
      </c>
      <c r="D900" t="s">
        <v>919</v>
      </c>
      <c r="E900" s="19">
        <v>966558882707</v>
      </c>
      <c r="F900" t="s">
        <v>2680</v>
      </c>
      <c r="G900" t="s">
        <v>1865</v>
      </c>
    </row>
    <row r="901" spans="1:7" x14ac:dyDescent="0.25">
      <c r="A901" t="s">
        <v>2683</v>
      </c>
      <c r="B901" t="s">
        <v>2684</v>
      </c>
      <c r="C901" t="s">
        <v>2685</v>
      </c>
      <c r="D901" t="s">
        <v>919</v>
      </c>
      <c r="E901" s="19">
        <v>966503730801</v>
      </c>
      <c r="F901" t="s">
        <v>2683</v>
      </c>
      <c r="G901" t="s">
        <v>837</v>
      </c>
    </row>
    <row r="902" spans="1:7" x14ac:dyDescent="0.25">
      <c r="A902" t="s">
        <v>2686</v>
      </c>
      <c r="B902" t="s">
        <v>2687</v>
      </c>
      <c r="C902" t="s">
        <v>2688</v>
      </c>
      <c r="D902" t="s">
        <v>919</v>
      </c>
      <c r="E902" s="19">
        <v>966561303388</v>
      </c>
      <c r="F902" t="s">
        <v>2686</v>
      </c>
      <c r="G902" t="s">
        <v>838</v>
      </c>
    </row>
    <row r="903" spans="1:7" x14ac:dyDescent="0.25">
      <c r="A903" t="s">
        <v>2689</v>
      </c>
      <c r="B903" t="s">
        <v>2690</v>
      </c>
      <c r="C903" s="28" t="s">
        <v>10216</v>
      </c>
      <c r="D903" t="s">
        <v>919</v>
      </c>
      <c r="E903" s="19">
        <v>971525704368</v>
      </c>
      <c r="F903" t="s">
        <v>2689</v>
      </c>
      <c r="G903" t="s">
        <v>872</v>
      </c>
    </row>
    <row r="904" spans="1:7" x14ac:dyDescent="0.25">
      <c r="A904" t="s">
        <v>2691</v>
      </c>
      <c r="B904" t="s">
        <v>2692</v>
      </c>
      <c r="C904" t="s">
        <v>2693</v>
      </c>
      <c r="D904" t="s">
        <v>786</v>
      </c>
      <c r="E904" s="19">
        <v>971558448616</v>
      </c>
      <c r="F904" t="s">
        <v>2691</v>
      </c>
      <c r="G904" t="s">
        <v>844</v>
      </c>
    </row>
    <row r="905" spans="1:7" x14ac:dyDescent="0.25">
      <c r="A905" t="s">
        <v>2694</v>
      </c>
      <c r="B905" t="s">
        <v>2695</v>
      </c>
      <c r="C905" t="s">
        <v>2696</v>
      </c>
      <c r="D905" t="s">
        <v>919</v>
      </c>
      <c r="E905" s="19">
        <v>966531208227</v>
      </c>
      <c r="F905" t="s">
        <v>2694</v>
      </c>
      <c r="G905" t="s">
        <v>839</v>
      </c>
    </row>
    <row r="906" spans="1:7" x14ac:dyDescent="0.25">
      <c r="A906" t="s">
        <v>2697</v>
      </c>
      <c r="B906" t="s">
        <v>2698</v>
      </c>
      <c r="C906" t="s">
        <v>2699</v>
      </c>
      <c r="D906" t="s">
        <v>919</v>
      </c>
      <c r="E906" s="19">
        <v>966567210430</v>
      </c>
      <c r="F906" t="s">
        <v>2697</v>
      </c>
      <c r="G906" t="s">
        <v>839</v>
      </c>
    </row>
    <row r="907" spans="1:7" x14ac:dyDescent="0.25">
      <c r="A907" t="s">
        <v>2700</v>
      </c>
      <c r="B907" t="s">
        <v>2701</v>
      </c>
      <c r="C907" t="s">
        <v>2699</v>
      </c>
      <c r="D907" t="s">
        <v>919</v>
      </c>
      <c r="E907" s="19">
        <v>966567210430</v>
      </c>
      <c r="F907" t="s">
        <v>2700</v>
      </c>
      <c r="G907" t="s">
        <v>839</v>
      </c>
    </row>
    <row r="908" spans="1:7" x14ac:dyDescent="0.25">
      <c r="A908" t="s">
        <v>2702</v>
      </c>
      <c r="B908" t="s">
        <v>2703</v>
      </c>
      <c r="C908" t="s">
        <v>2704</v>
      </c>
      <c r="D908" t="s">
        <v>919</v>
      </c>
      <c r="E908" s="19">
        <v>973559090084</v>
      </c>
      <c r="F908" t="s">
        <v>2702</v>
      </c>
      <c r="G908" t="s">
        <v>837</v>
      </c>
    </row>
    <row r="909" spans="1:7" x14ac:dyDescent="0.25">
      <c r="A909" t="s">
        <v>2705</v>
      </c>
      <c r="B909" t="s">
        <v>2706</v>
      </c>
      <c r="C909" t="s">
        <v>2707</v>
      </c>
      <c r="D909" t="s">
        <v>786</v>
      </c>
      <c r="E909" s="19">
        <v>97143263080</v>
      </c>
      <c r="F909" t="s">
        <v>2705</v>
      </c>
      <c r="G909" t="s">
        <v>844</v>
      </c>
    </row>
    <row r="910" spans="1:7" x14ac:dyDescent="0.25">
      <c r="A910" t="s">
        <v>2708</v>
      </c>
      <c r="B910" t="s">
        <v>2709</v>
      </c>
      <c r="C910" t="s">
        <v>2710</v>
      </c>
      <c r="D910" t="s">
        <v>919</v>
      </c>
      <c r="E910" s="19">
        <v>966500669077</v>
      </c>
      <c r="F910" t="s">
        <v>2708</v>
      </c>
      <c r="G910" t="s">
        <v>838</v>
      </c>
    </row>
    <row r="911" spans="1:7" x14ac:dyDescent="0.25">
      <c r="A911" t="s">
        <v>2711</v>
      </c>
      <c r="B911" t="s">
        <v>2712</v>
      </c>
      <c r="C911" t="s">
        <v>2713</v>
      </c>
      <c r="D911" t="s">
        <v>786</v>
      </c>
      <c r="E911" s="19">
        <v>9715573774072</v>
      </c>
      <c r="F911" t="s">
        <v>2711</v>
      </c>
      <c r="G911" t="s">
        <v>844</v>
      </c>
    </row>
    <row r="912" spans="1:7" x14ac:dyDescent="0.25">
      <c r="A912" t="s">
        <v>9368</v>
      </c>
      <c r="B912" t="s">
        <v>2714</v>
      </c>
      <c r="C912" t="s">
        <v>10106</v>
      </c>
      <c r="D912" t="s">
        <v>919</v>
      </c>
      <c r="E912" s="19">
        <v>971552597354</v>
      </c>
      <c r="F912" t="s">
        <v>9368</v>
      </c>
      <c r="G912" t="s">
        <v>1865</v>
      </c>
    </row>
    <row r="913" spans="1:7" x14ac:dyDescent="0.25">
      <c r="A913" t="s">
        <v>2716</v>
      </c>
      <c r="B913" t="s">
        <v>2717</v>
      </c>
      <c r="C913" t="s">
        <v>2718</v>
      </c>
      <c r="D913" t="s">
        <v>919</v>
      </c>
      <c r="E913" s="19">
        <v>966534930916</v>
      </c>
      <c r="F913" t="s">
        <v>2716</v>
      </c>
      <c r="G913" t="s">
        <v>839</v>
      </c>
    </row>
    <row r="914" spans="1:7" x14ac:dyDescent="0.25">
      <c r="A914" t="s">
        <v>2719</v>
      </c>
      <c r="B914" t="s">
        <v>2720</v>
      </c>
      <c r="C914" t="s">
        <v>2721</v>
      </c>
      <c r="D914" t="s">
        <v>919</v>
      </c>
      <c r="E914" s="19">
        <v>966505461621</v>
      </c>
      <c r="F914" t="s">
        <v>2719</v>
      </c>
      <c r="G914" t="s">
        <v>839</v>
      </c>
    </row>
    <row r="915" spans="1:7" x14ac:dyDescent="0.25">
      <c r="A915" t="s">
        <v>2722</v>
      </c>
      <c r="B915" t="s">
        <v>2723</v>
      </c>
      <c r="C915" t="s">
        <v>2721</v>
      </c>
      <c r="D915" t="s">
        <v>919</v>
      </c>
      <c r="E915" s="19">
        <v>966505461621</v>
      </c>
      <c r="F915" t="s">
        <v>2722</v>
      </c>
      <c r="G915" t="s">
        <v>839</v>
      </c>
    </row>
    <row r="916" spans="1:7" x14ac:dyDescent="0.25">
      <c r="A916" t="s">
        <v>2724</v>
      </c>
      <c r="B916" t="s">
        <v>2725</v>
      </c>
      <c r="C916" t="s">
        <v>2726</v>
      </c>
      <c r="D916" t="s">
        <v>919</v>
      </c>
      <c r="E916" s="19">
        <v>966596373393</v>
      </c>
      <c r="F916" t="s">
        <v>2724</v>
      </c>
      <c r="G916" t="s">
        <v>839</v>
      </c>
    </row>
    <row r="917" spans="1:7" x14ac:dyDescent="0.25">
      <c r="A917" t="s">
        <v>2727</v>
      </c>
      <c r="B917" t="s">
        <v>2728</v>
      </c>
      <c r="C917" t="s">
        <v>2726</v>
      </c>
      <c r="D917" t="s">
        <v>919</v>
      </c>
      <c r="E917" s="19">
        <v>966596373393</v>
      </c>
      <c r="F917" t="s">
        <v>2727</v>
      </c>
      <c r="G917" t="s">
        <v>839</v>
      </c>
    </row>
    <row r="918" spans="1:7" x14ac:dyDescent="0.25">
      <c r="A918" t="s">
        <v>2729</v>
      </c>
      <c r="B918" t="s">
        <v>2730</v>
      </c>
      <c r="C918" t="s">
        <v>2731</v>
      </c>
      <c r="D918" t="s">
        <v>919</v>
      </c>
      <c r="E918" s="19">
        <v>966563254199</v>
      </c>
      <c r="F918" t="s">
        <v>2729</v>
      </c>
      <c r="G918" t="s">
        <v>2732</v>
      </c>
    </row>
    <row r="919" spans="1:7" x14ac:dyDescent="0.25">
      <c r="A919" t="s">
        <v>2733</v>
      </c>
      <c r="B919" t="s">
        <v>2741</v>
      </c>
      <c r="C919" t="s">
        <v>2734</v>
      </c>
      <c r="D919" t="s">
        <v>919</v>
      </c>
      <c r="E919" s="19">
        <v>971558004403</v>
      </c>
      <c r="F919" t="s">
        <v>2733</v>
      </c>
      <c r="G919" t="s">
        <v>872</v>
      </c>
    </row>
    <row r="920" spans="1:7" x14ac:dyDescent="0.25">
      <c r="A920" t="s">
        <v>2735</v>
      </c>
      <c r="B920" t="s">
        <v>2742</v>
      </c>
      <c r="C920" t="s">
        <v>2736</v>
      </c>
      <c r="D920" t="s">
        <v>786</v>
      </c>
      <c r="E920" s="19">
        <v>971552449243</v>
      </c>
      <c r="F920" t="s">
        <v>2735</v>
      </c>
      <c r="G920" t="s">
        <v>844</v>
      </c>
    </row>
    <row r="921" spans="1:7" x14ac:dyDescent="0.25">
      <c r="A921" t="s">
        <v>2737</v>
      </c>
      <c r="B921" t="s">
        <v>2738</v>
      </c>
      <c r="C921" t="s">
        <v>2739</v>
      </c>
      <c r="D921" t="s">
        <v>919</v>
      </c>
      <c r="E921" s="19">
        <v>966531084445</v>
      </c>
      <c r="F921" t="s">
        <v>2737</v>
      </c>
      <c r="G921" t="s">
        <v>838</v>
      </c>
    </row>
    <row r="922" spans="1:7" x14ac:dyDescent="0.25">
      <c r="A922" t="s">
        <v>2743</v>
      </c>
      <c r="B922" t="s">
        <v>2744</v>
      </c>
      <c r="C922" t="s">
        <v>2745</v>
      </c>
      <c r="D922" t="s">
        <v>786</v>
      </c>
      <c r="E922" s="19">
        <v>971526403701</v>
      </c>
      <c r="F922" t="s">
        <v>2743</v>
      </c>
      <c r="G922" t="s">
        <v>844</v>
      </c>
    </row>
    <row r="923" spans="1:7" x14ac:dyDescent="0.25">
      <c r="A923" t="s">
        <v>2746</v>
      </c>
      <c r="B923" t="s">
        <v>2747</v>
      </c>
      <c r="C923" t="s">
        <v>2748</v>
      </c>
      <c r="D923" t="s">
        <v>919</v>
      </c>
      <c r="E923" s="19">
        <v>966545635889</v>
      </c>
      <c r="F923" t="s">
        <v>2746</v>
      </c>
      <c r="G923" t="s">
        <v>2732</v>
      </c>
    </row>
    <row r="924" spans="1:7" x14ac:dyDescent="0.25">
      <c r="A924" t="s">
        <v>2749</v>
      </c>
      <c r="B924" t="s">
        <v>2750</v>
      </c>
      <c r="C924" t="s">
        <v>2748</v>
      </c>
      <c r="D924" t="s">
        <v>786</v>
      </c>
      <c r="E924" s="19">
        <v>966545635889</v>
      </c>
      <c r="F924" t="s">
        <v>2749</v>
      </c>
      <c r="G924" t="s">
        <v>844</v>
      </c>
    </row>
    <row r="925" spans="1:7" x14ac:dyDescent="0.25">
      <c r="A925" t="s">
        <v>2751</v>
      </c>
      <c r="B925" t="s">
        <v>2752</v>
      </c>
      <c r="C925" t="s">
        <v>2753</v>
      </c>
      <c r="D925" t="s">
        <v>786</v>
      </c>
      <c r="E925" s="19">
        <v>97142263006</v>
      </c>
      <c r="F925" t="s">
        <v>2751</v>
      </c>
      <c r="G925" t="s">
        <v>844</v>
      </c>
    </row>
    <row r="926" spans="1:7" x14ac:dyDescent="0.25">
      <c r="A926" t="s">
        <v>2754</v>
      </c>
      <c r="B926" t="s">
        <v>2755</v>
      </c>
      <c r="C926" t="s">
        <v>2707</v>
      </c>
      <c r="D926" t="s">
        <v>786</v>
      </c>
      <c r="E926" s="19">
        <v>971507083971</v>
      </c>
      <c r="F926" t="s">
        <v>2754</v>
      </c>
      <c r="G926" t="s">
        <v>844</v>
      </c>
    </row>
    <row r="927" spans="1:7" x14ac:dyDescent="0.25">
      <c r="A927" t="s">
        <v>2756</v>
      </c>
      <c r="B927" t="s">
        <v>2757</v>
      </c>
      <c r="C927" t="s">
        <v>2519</v>
      </c>
      <c r="D927" t="s">
        <v>919</v>
      </c>
      <c r="E927" s="19">
        <v>971554745256</v>
      </c>
      <c r="F927" t="s">
        <v>2756</v>
      </c>
      <c r="G927" t="s">
        <v>2520</v>
      </c>
    </row>
    <row r="928" spans="1:7" x14ac:dyDescent="0.25">
      <c r="A928" t="s">
        <v>2758</v>
      </c>
      <c r="B928" t="s">
        <v>2759</v>
      </c>
      <c r="C928" t="s">
        <v>2715</v>
      </c>
      <c r="D928" t="s">
        <v>786</v>
      </c>
      <c r="E928" s="19">
        <v>971552597354</v>
      </c>
      <c r="F928" t="s">
        <v>2758</v>
      </c>
      <c r="G928" t="s">
        <v>844</v>
      </c>
    </row>
    <row r="929" spans="1:7" x14ac:dyDescent="0.25">
      <c r="A929" t="s">
        <v>2760</v>
      </c>
      <c r="B929" t="s">
        <v>2761</v>
      </c>
      <c r="C929" t="s">
        <v>2550</v>
      </c>
      <c r="D929" t="s">
        <v>919</v>
      </c>
      <c r="E929" s="19">
        <v>971556220735</v>
      </c>
      <c r="F929" t="s">
        <v>2760</v>
      </c>
      <c r="G929" t="s">
        <v>839</v>
      </c>
    </row>
    <row r="930" spans="1:7" x14ac:dyDescent="0.25">
      <c r="A930" t="s">
        <v>2762</v>
      </c>
      <c r="B930" t="s">
        <v>2763</v>
      </c>
      <c r="C930" t="s">
        <v>2583</v>
      </c>
      <c r="D930" t="s">
        <v>786</v>
      </c>
      <c r="E930" s="19">
        <v>97143232500</v>
      </c>
      <c r="F930" t="s">
        <v>2762</v>
      </c>
      <c r="G930" t="s">
        <v>844</v>
      </c>
    </row>
    <row r="931" spans="1:7" x14ac:dyDescent="0.25">
      <c r="A931" t="s">
        <v>2764</v>
      </c>
      <c r="B931" t="s">
        <v>2765</v>
      </c>
      <c r="C931" t="s">
        <v>2713</v>
      </c>
      <c r="D931" t="s">
        <v>786</v>
      </c>
      <c r="E931" s="19">
        <v>9715573774072</v>
      </c>
      <c r="F931" t="s">
        <v>2764</v>
      </c>
      <c r="G931" t="s">
        <v>844</v>
      </c>
    </row>
    <row r="932" spans="1:7" x14ac:dyDescent="0.25">
      <c r="A932" t="s">
        <v>2766</v>
      </c>
      <c r="B932" t="s">
        <v>2767</v>
      </c>
      <c r="C932" t="s">
        <v>2753</v>
      </c>
      <c r="D932" t="s">
        <v>786</v>
      </c>
      <c r="E932" s="19">
        <v>97142263006</v>
      </c>
      <c r="F932" t="s">
        <v>2766</v>
      </c>
      <c r="G932" t="s">
        <v>844</v>
      </c>
    </row>
    <row r="933" spans="1:7" x14ac:dyDescent="0.25">
      <c r="A933" t="s">
        <v>2769</v>
      </c>
      <c r="B933" t="s">
        <v>2770</v>
      </c>
      <c r="C933" t="s">
        <v>2771</v>
      </c>
      <c r="D933" t="s">
        <v>919</v>
      </c>
      <c r="E933" s="19">
        <v>971544778596</v>
      </c>
      <c r="F933" t="s">
        <v>2769</v>
      </c>
      <c r="G933" t="s">
        <v>2396</v>
      </c>
    </row>
    <row r="934" spans="1:7" x14ac:dyDescent="0.25">
      <c r="A934" t="s">
        <v>2772</v>
      </c>
      <c r="B934" t="s">
        <v>2773</v>
      </c>
      <c r="C934" t="s">
        <v>2774</v>
      </c>
      <c r="D934" t="s">
        <v>919</v>
      </c>
      <c r="E934" s="19">
        <v>971555682945</v>
      </c>
      <c r="F934" t="s">
        <v>2772</v>
      </c>
      <c r="G934" t="s">
        <v>841</v>
      </c>
    </row>
    <row r="935" spans="1:7" x14ac:dyDescent="0.25">
      <c r="A935" t="s">
        <v>2775</v>
      </c>
      <c r="B935" t="s">
        <v>2776</v>
      </c>
      <c r="C935" t="s">
        <v>2774</v>
      </c>
      <c r="D935" t="s">
        <v>919</v>
      </c>
      <c r="E935" s="19">
        <v>971555682945</v>
      </c>
      <c r="F935" t="s">
        <v>2775</v>
      </c>
      <c r="G935" t="s">
        <v>841</v>
      </c>
    </row>
    <row r="936" spans="1:7" x14ac:dyDescent="0.25">
      <c r="A936" t="s">
        <v>2777</v>
      </c>
      <c r="B936" t="s">
        <v>2778</v>
      </c>
      <c r="C936" t="s">
        <v>2779</v>
      </c>
      <c r="D936" t="s">
        <v>919</v>
      </c>
      <c r="E936" s="19">
        <v>9710528790936</v>
      </c>
      <c r="F936" t="s">
        <v>2777</v>
      </c>
      <c r="G936" t="s">
        <v>837</v>
      </c>
    </row>
    <row r="937" spans="1:7" x14ac:dyDescent="0.25">
      <c r="A937" t="s">
        <v>2780</v>
      </c>
      <c r="B937" t="s">
        <v>2781</v>
      </c>
      <c r="C937" t="s">
        <v>2782</v>
      </c>
      <c r="D937" t="s">
        <v>919</v>
      </c>
      <c r="E937" s="19">
        <v>966500892298</v>
      </c>
      <c r="F937" t="s">
        <v>2780</v>
      </c>
      <c r="G937" t="s">
        <v>838</v>
      </c>
    </row>
    <row r="938" spans="1:7" x14ac:dyDescent="0.25">
      <c r="A938" t="s">
        <v>2783</v>
      </c>
      <c r="B938" t="s">
        <v>2784</v>
      </c>
      <c r="C938" t="s">
        <v>2785</v>
      </c>
      <c r="D938" t="s">
        <v>919</v>
      </c>
      <c r="E938" s="19">
        <v>971558679422</v>
      </c>
      <c r="F938" t="s">
        <v>2783</v>
      </c>
      <c r="G938" t="s">
        <v>850</v>
      </c>
    </row>
    <row r="939" spans="1:7" x14ac:dyDescent="0.25">
      <c r="A939" t="s">
        <v>2786</v>
      </c>
      <c r="B939" t="s">
        <v>2787</v>
      </c>
      <c r="C939" t="s">
        <v>1456</v>
      </c>
      <c r="D939" t="s">
        <v>919</v>
      </c>
      <c r="E939" s="19">
        <v>9714267888</v>
      </c>
      <c r="F939" t="s">
        <v>2786</v>
      </c>
      <c r="G939" t="s">
        <v>839</v>
      </c>
    </row>
    <row r="940" spans="1:7" x14ac:dyDescent="0.25">
      <c r="A940" t="s">
        <v>2788</v>
      </c>
      <c r="B940" t="s">
        <v>2789</v>
      </c>
      <c r="C940" t="s">
        <v>2790</v>
      </c>
      <c r="D940" t="s">
        <v>919</v>
      </c>
      <c r="E940" s="19">
        <v>966553173030</v>
      </c>
      <c r="F940" t="s">
        <v>2788</v>
      </c>
      <c r="G940" t="s">
        <v>838</v>
      </c>
    </row>
    <row r="941" spans="1:7" x14ac:dyDescent="0.25">
      <c r="A941" t="s">
        <v>2791</v>
      </c>
      <c r="B941" t="s">
        <v>2792</v>
      </c>
      <c r="C941" t="s">
        <v>2793</v>
      </c>
      <c r="D941" t="s">
        <v>919</v>
      </c>
      <c r="E941" s="19">
        <v>971563628894</v>
      </c>
      <c r="F941" t="s">
        <v>2791</v>
      </c>
      <c r="G941" t="s">
        <v>2000</v>
      </c>
    </row>
    <row r="942" spans="1:7" x14ac:dyDescent="0.25">
      <c r="A942" t="s">
        <v>2794</v>
      </c>
      <c r="B942" t="s">
        <v>2795</v>
      </c>
      <c r="C942" t="s">
        <v>2796</v>
      </c>
      <c r="D942" t="s">
        <v>919</v>
      </c>
      <c r="E942" s="19">
        <v>971555524640</v>
      </c>
      <c r="F942" t="s">
        <v>2794</v>
      </c>
      <c r="G942" t="s">
        <v>872</v>
      </c>
    </row>
    <row r="943" spans="1:7" x14ac:dyDescent="0.25">
      <c r="A943" t="s">
        <v>2797</v>
      </c>
      <c r="B943" t="s">
        <v>2798</v>
      </c>
      <c r="C943" t="s">
        <v>2799</v>
      </c>
      <c r="D943" t="s">
        <v>919</v>
      </c>
      <c r="E943" s="19">
        <v>971563206111</v>
      </c>
      <c r="F943" t="s">
        <v>2797</v>
      </c>
      <c r="G943" t="s">
        <v>838</v>
      </c>
    </row>
    <row r="944" spans="1:7" x14ac:dyDescent="0.25">
      <c r="A944" t="s">
        <v>2800</v>
      </c>
      <c r="B944" t="s">
        <v>2801</v>
      </c>
      <c r="C944" t="s">
        <v>2802</v>
      </c>
      <c r="D944" t="s">
        <v>919</v>
      </c>
      <c r="E944" s="19">
        <v>971505538575</v>
      </c>
      <c r="F944" t="s">
        <v>2800</v>
      </c>
      <c r="G944" t="s">
        <v>837</v>
      </c>
    </row>
    <row r="945" spans="1:7" x14ac:dyDescent="0.25">
      <c r="A945" t="s">
        <v>2803</v>
      </c>
      <c r="B945" t="s">
        <v>2804</v>
      </c>
      <c r="C945" t="s">
        <v>2805</v>
      </c>
      <c r="D945" t="s">
        <v>919</v>
      </c>
      <c r="E945" s="19">
        <v>971505353175</v>
      </c>
      <c r="F945" t="s">
        <v>2803</v>
      </c>
      <c r="G945" t="s">
        <v>838</v>
      </c>
    </row>
    <row r="946" spans="1:7" x14ac:dyDescent="0.25">
      <c r="A946" t="s">
        <v>2806</v>
      </c>
      <c r="B946" t="s">
        <v>2807</v>
      </c>
      <c r="C946" t="s">
        <v>2805</v>
      </c>
      <c r="D946" t="s">
        <v>919</v>
      </c>
      <c r="E946" s="19">
        <v>971505353175</v>
      </c>
      <c r="F946" t="s">
        <v>2806</v>
      </c>
      <c r="G946" t="s">
        <v>838</v>
      </c>
    </row>
    <row r="947" spans="1:7" x14ac:dyDescent="0.25">
      <c r="A947" t="s">
        <v>2808</v>
      </c>
      <c r="B947" t="s">
        <v>2809</v>
      </c>
      <c r="C947" t="s">
        <v>2342</v>
      </c>
      <c r="D947" t="s">
        <v>919</v>
      </c>
      <c r="E947" s="19">
        <v>971561603536</v>
      </c>
      <c r="F947" t="s">
        <v>2808</v>
      </c>
      <c r="G947" t="s">
        <v>841</v>
      </c>
    </row>
    <row r="948" spans="1:7" x14ac:dyDescent="0.25">
      <c r="A948" t="s">
        <v>2810</v>
      </c>
      <c r="B948" t="s">
        <v>2811</v>
      </c>
      <c r="C948" t="s">
        <v>2812</v>
      </c>
      <c r="D948" t="s">
        <v>919</v>
      </c>
      <c r="E948" s="19">
        <v>971505742080</v>
      </c>
      <c r="F948" t="s">
        <v>2810</v>
      </c>
      <c r="G948" t="s">
        <v>841</v>
      </c>
    </row>
    <row r="949" spans="1:7" x14ac:dyDescent="0.25">
      <c r="A949" t="s">
        <v>2813</v>
      </c>
      <c r="B949" t="s">
        <v>2814</v>
      </c>
      <c r="C949" t="s">
        <v>2815</v>
      </c>
      <c r="D949" t="s">
        <v>919</v>
      </c>
      <c r="E949" s="19">
        <v>966504100291</v>
      </c>
      <c r="F949" t="s">
        <v>2813</v>
      </c>
      <c r="G949" t="s">
        <v>838</v>
      </c>
    </row>
    <row r="950" spans="1:7" x14ac:dyDescent="0.25">
      <c r="A950" t="s">
        <v>2816</v>
      </c>
      <c r="B950" t="s">
        <v>2817</v>
      </c>
      <c r="C950" t="s">
        <v>2815</v>
      </c>
      <c r="D950" t="s">
        <v>919</v>
      </c>
      <c r="E950" s="19">
        <v>966504100291</v>
      </c>
      <c r="F950" t="s">
        <v>2816</v>
      </c>
      <c r="G950" t="s">
        <v>838</v>
      </c>
    </row>
    <row r="951" spans="1:7" x14ac:dyDescent="0.25">
      <c r="A951" t="s">
        <v>2818</v>
      </c>
      <c r="B951" t="s">
        <v>2819</v>
      </c>
      <c r="C951" t="s">
        <v>2820</v>
      </c>
      <c r="D951" t="s">
        <v>786</v>
      </c>
      <c r="E951" s="19">
        <v>97143966558</v>
      </c>
      <c r="F951" t="s">
        <v>2818</v>
      </c>
      <c r="G951" t="s">
        <v>844</v>
      </c>
    </row>
    <row r="952" spans="1:7" x14ac:dyDescent="0.25">
      <c r="A952" t="s">
        <v>2821</v>
      </c>
      <c r="B952" t="s">
        <v>2822</v>
      </c>
      <c r="C952" t="s">
        <v>2823</v>
      </c>
      <c r="D952" t="s">
        <v>786</v>
      </c>
      <c r="E952" s="19" t="s">
        <v>2824</v>
      </c>
      <c r="F952" t="s">
        <v>2821</v>
      </c>
      <c r="G952" t="s">
        <v>844</v>
      </c>
    </row>
    <row r="953" spans="1:7" x14ac:dyDescent="0.25">
      <c r="A953" t="s">
        <v>2825</v>
      </c>
      <c r="B953" t="s">
        <v>2826</v>
      </c>
      <c r="C953" t="s">
        <v>2827</v>
      </c>
      <c r="D953" t="s">
        <v>919</v>
      </c>
      <c r="E953" s="19">
        <v>966539100996</v>
      </c>
      <c r="F953" t="s">
        <v>2825</v>
      </c>
      <c r="G953" t="s">
        <v>838</v>
      </c>
    </row>
    <row r="954" spans="1:7" x14ac:dyDescent="0.25">
      <c r="A954" t="s">
        <v>2829</v>
      </c>
      <c r="B954" t="s">
        <v>2830</v>
      </c>
      <c r="C954" t="s">
        <v>752</v>
      </c>
      <c r="D954" t="s">
        <v>919</v>
      </c>
      <c r="E954" s="19">
        <v>966564060530</v>
      </c>
      <c r="F954" t="s">
        <v>2829</v>
      </c>
      <c r="G954" t="s">
        <v>845</v>
      </c>
    </row>
    <row r="955" spans="1:7" x14ac:dyDescent="0.25">
      <c r="A955" t="s">
        <v>2831</v>
      </c>
      <c r="B955" t="s">
        <v>2832</v>
      </c>
      <c r="C955" t="s">
        <v>2833</v>
      </c>
      <c r="D955" t="s">
        <v>919</v>
      </c>
      <c r="E955" s="19">
        <v>966507190035</v>
      </c>
      <c r="F955" t="s">
        <v>2831</v>
      </c>
      <c r="G955" t="s">
        <v>838</v>
      </c>
    </row>
    <row r="956" spans="1:7" x14ac:dyDescent="0.25">
      <c r="A956" t="s">
        <v>2834</v>
      </c>
      <c r="B956" t="s">
        <v>2835</v>
      </c>
      <c r="C956" t="s">
        <v>2836</v>
      </c>
      <c r="D956" t="s">
        <v>919</v>
      </c>
      <c r="E956" s="19">
        <v>966505488140</v>
      </c>
      <c r="F956" t="s">
        <v>2834</v>
      </c>
      <c r="G956" t="s">
        <v>845</v>
      </c>
    </row>
    <row r="957" spans="1:7" x14ac:dyDescent="0.25">
      <c r="A957" t="s">
        <v>2837</v>
      </c>
      <c r="B957" t="s">
        <v>2838</v>
      </c>
      <c r="C957" t="s">
        <v>2839</v>
      </c>
      <c r="D957" t="s">
        <v>919</v>
      </c>
      <c r="E957" s="19">
        <v>966565808101</v>
      </c>
      <c r="F957" t="s">
        <v>2837</v>
      </c>
      <c r="G957" t="s">
        <v>838</v>
      </c>
    </row>
    <row r="958" spans="1:7" x14ac:dyDescent="0.25">
      <c r="A958" t="s">
        <v>2840</v>
      </c>
      <c r="B958" t="s">
        <v>2841</v>
      </c>
      <c r="C958" t="s">
        <v>2842</v>
      </c>
      <c r="D958" t="s">
        <v>919</v>
      </c>
      <c r="E958" s="19">
        <v>966535822587</v>
      </c>
      <c r="F958" t="s">
        <v>2840</v>
      </c>
      <c r="G958" t="s">
        <v>845</v>
      </c>
    </row>
    <row r="959" spans="1:7" x14ac:dyDescent="0.25">
      <c r="A959" t="s">
        <v>2843</v>
      </c>
      <c r="B959" t="s">
        <v>2844</v>
      </c>
      <c r="C959" t="s">
        <v>2845</v>
      </c>
      <c r="D959" t="s">
        <v>786</v>
      </c>
      <c r="E959" s="19">
        <v>17022633507</v>
      </c>
      <c r="F959" t="s">
        <v>2843</v>
      </c>
      <c r="G959" t="s">
        <v>844</v>
      </c>
    </row>
    <row r="960" spans="1:7" x14ac:dyDescent="0.25">
      <c r="A960" t="s">
        <v>1711</v>
      </c>
      <c r="B960" t="s">
        <v>2846</v>
      </c>
      <c r="C960" t="s">
        <v>1713</v>
      </c>
      <c r="D960" t="s">
        <v>919</v>
      </c>
      <c r="E960" s="19">
        <v>97142271064</v>
      </c>
      <c r="F960" t="s">
        <v>1711</v>
      </c>
      <c r="G960" t="s">
        <v>2847</v>
      </c>
    </row>
    <row r="961" spans="1:7" x14ac:dyDescent="0.25">
      <c r="A961" t="s">
        <v>2848</v>
      </c>
      <c r="B961" t="s">
        <v>2849</v>
      </c>
      <c r="C961" t="s">
        <v>2850</v>
      </c>
      <c r="D961" t="s">
        <v>919</v>
      </c>
      <c r="E961" s="19">
        <v>971552219474</v>
      </c>
      <c r="F961" t="s">
        <v>2848</v>
      </c>
      <c r="G961" t="s">
        <v>841</v>
      </c>
    </row>
    <row r="962" spans="1:7" x14ac:dyDescent="0.25">
      <c r="A962" t="s">
        <v>2851</v>
      </c>
      <c r="B962" t="s">
        <v>2852</v>
      </c>
      <c r="C962" t="s">
        <v>2850</v>
      </c>
      <c r="D962" t="s">
        <v>919</v>
      </c>
      <c r="E962" s="19">
        <v>971552219474</v>
      </c>
      <c r="F962" t="s">
        <v>2851</v>
      </c>
      <c r="G962" t="s">
        <v>841</v>
      </c>
    </row>
    <row r="963" spans="1:7" x14ac:dyDescent="0.25">
      <c r="A963" t="s">
        <v>2853</v>
      </c>
      <c r="B963" t="s">
        <v>2854</v>
      </c>
      <c r="C963" t="s">
        <v>2855</v>
      </c>
      <c r="D963" t="s">
        <v>919</v>
      </c>
      <c r="E963" s="19">
        <v>971507705946</v>
      </c>
      <c r="F963" t="s">
        <v>2853</v>
      </c>
      <c r="G963" t="s">
        <v>839</v>
      </c>
    </row>
    <row r="964" spans="1:7" x14ac:dyDescent="0.25">
      <c r="A964" t="s">
        <v>2856</v>
      </c>
      <c r="B964" t="s">
        <v>2857</v>
      </c>
      <c r="C964" t="s">
        <v>2855</v>
      </c>
      <c r="D964" t="s">
        <v>919</v>
      </c>
      <c r="E964" s="19">
        <v>971507705946</v>
      </c>
      <c r="F964" t="s">
        <v>2856</v>
      </c>
      <c r="G964" t="s">
        <v>839</v>
      </c>
    </row>
    <row r="965" spans="1:7" x14ac:dyDescent="0.25">
      <c r="A965" t="s">
        <v>2858</v>
      </c>
      <c r="B965" t="s">
        <v>2859</v>
      </c>
      <c r="C965" t="s">
        <v>2860</v>
      </c>
      <c r="D965" t="s">
        <v>919</v>
      </c>
      <c r="E965" s="19">
        <v>971555390719</v>
      </c>
      <c r="F965" t="s">
        <v>2858</v>
      </c>
      <c r="G965" t="s">
        <v>839</v>
      </c>
    </row>
    <row r="966" spans="1:7" x14ac:dyDescent="0.25">
      <c r="A966" t="s">
        <v>2861</v>
      </c>
      <c r="B966" t="s">
        <v>2928</v>
      </c>
      <c r="C966" t="s">
        <v>2863</v>
      </c>
      <c r="D966" t="s">
        <v>786</v>
      </c>
      <c r="E966" s="19" t="s">
        <v>2824</v>
      </c>
      <c r="F966" t="s">
        <v>2861</v>
      </c>
      <c r="G966" t="s">
        <v>844</v>
      </c>
    </row>
    <row r="967" spans="1:7" x14ac:dyDescent="0.25">
      <c r="A967" t="s">
        <v>2864</v>
      </c>
      <c r="B967" t="s">
        <v>2865</v>
      </c>
      <c r="C967" t="s">
        <v>2866</v>
      </c>
      <c r="D967" t="s">
        <v>919</v>
      </c>
      <c r="E967" s="19">
        <v>966558003883</v>
      </c>
      <c r="F967" t="s">
        <v>2864</v>
      </c>
      <c r="G967" t="s">
        <v>850</v>
      </c>
    </row>
    <row r="968" spans="1:7" x14ac:dyDescent="0.25">
      <c r="A968" t="s">
        <v>2867</v>
      </c>
      <c r="B968" t="s">
        <v>2862</v>
      </c>
      <c r="C968" t="s">
        <v>2868</v>
      </c>
      <c r="D968" t="s">
        <v>919</v>
      </c>
      <c r="E968" s="19">
        <v>966568317801</v>
      </c>
      <c r="F968" t="s">
        <v>2867</v>
      </c>
      <c r="G968" t="s">
        <v>839</v>
      </c>
    </row>
    <row r="969" spans="1:7" x14ac:dyDescent="0.25">
      <c r="A969" t="s">
        <v>1711</v>
      </c>
      <c r="B969" t="s">
        <v>2869</v>
      </c>
      <c r="C969" t="s">
        <v>1713</v>
      </c>
      <c r="D969" t="s">
        <v>919</v>
      </c>
      <c r="E969" s="19">
        <v>97142271064</v>
      </c>
      <c r="F969" t="s">
        <v>1711</v>
      </c>
      <c r="G969" t="s">
        <v>836</v>
      </c>
    </row>
    <row r="970" spans="1:7" x14ac:dyDescent="0.25">
      <c r="A970" t="s">
        <v>2192</v>
      </c>
      <c r="B970" t="s">
        <v>2870</v>
      </c>
      <c r="C970" t="s">
        <v>2194</v>
      </c>
      <c r="D970" t="s">
        <v>919</v>
      </c>
      <c r="E970" s="19">
        <v>9710561930109</v>
      </c>
      <c r="F970" t="s">
        <v>2192</v>
      </c>
      <c r="G970" t="s">
        <v>839</v>
      </c>
    </row>
    <row r="971" spans="1:7" x14ac:dyDescent="0.25">
      <c r="A971" t="s">
        <v>2871</v>
      </c>
      <c r="B971" t="s">
        <v>2872</v>
      </c>
      <c r="C971" t="s">
        <v>2873</v>
      </c>
      <c r="D971" t="s">
        <v>919</v>
      </c>
      <c r="E971" s="19">
        <v>966506400464</v>
      </c>
      <c r="F971" t="s">
        <v>2871</v>
      </c>
      <c r="G971" t="s">
        <v>854</v>
      </c>
    </row>
    <row r="972" spans="1:7" x14ac:dyDescent="0.25">
      <c r="A972" t="s">
        <v>2874</v>
      </c>
      <c r="B972" t="s">
        <v>2875</v>
      </c>
      <c r="C972" t="s">
        <v>2873</v>
      </c>
      <c r="D972" t="s">
        <v>919</v>
      </c>
      <c r="E972" s="19">
        <v>966506400464</v>
      </c>
      <c r="F972" t="s">
        <v>2874</v>
      </c>
      <c r="G972" t="s">
        <v>854</v>
      </c>
    </row>
    <row r="973" spans="1:7" x14ac:dyDescent="0.25">
      <c r="A973" t="s">
        <v>2876</v>
      </c>
      <c r="B973" t="s">
        <v>2877</v>
      </c>
      <c r="C973" t="s">
        <v>9068</v>
      </c>
      <c r="D973" t="s">
        <v>919</v>
      </c>
      <c r="E973" s="19">
        <v>971529293288</v>
      </c>
      <c r="F973" t="s">
        <v>2876</v>
      </c>
      <c r="G973" t="s">
        <v>2000</v>
      </c>
    </row>
    <row r="974" spans="1:7" x14ac:dyDescent="0.25">
      <c r="A974" t="s">
        <v>2878</v>
      </c>
      <c r="B974" t="s">
        <v>2879</v>
      </c>
      <c r="C974" t="s">
        <v>2880</v>
      </c>
      <c r="D974" t="s">
        <v>919</v>
      </c>
      <c r="E974" s="19">
        <v>966505971575</v>
      </c>
      <c r="F974" t="s">
        <v>2878</v>
      </c>
      <c r="G974" t="s">
        <v>838</v>
      </c>
    </row>
    <row r="975" spans="1:7" x14ac:dyDescent="0.25">
      <c r="A975" t="s">
        <v>2881</v>
      </c>
      <c r="B975" t="s">
        <v>2882</v>
      </c>
      <c r="C975" t="s">
        <v>2883</v>
      </c>
      <c r="D975" t="s">
        <v>786</v>
      </c>
      <c r="E975" s="19">
        <v>9665502148358</v>
      </c>
      <c r="F975" t="s">
        <v>2881</v>
      </c>
      <c r="G975" t="s">
        <v>844</v>
      </c>
    </row>
    <row r="976" spans="1:7" x14ac:dyDescent="0.25">
      <c r="A976" t="s">
        <v>2884</v>
      </c>
      <c r="B976" t="s">
        <v>2906</v>
      </c>
      <c r="C976" t="s">
        <v>2885</v>
      </c>
      <c r="D976" t="s">
        <v>919</v>
      </c>
      <c r="E976" s="19">
        <v>971553339234</v>
      </c>
      <c r="F976" t="s">
        <v>2884</v>
      </c>
      <c r="G976" t="s">
        <v>839</v>
      </c>
    </row>
    <row r="977" spans="1:7" x14ac:dyDescent="0.25">
      <c r="A977" t="s">
        <v>2886</v>
      </c>
      <c r="B977" t="s">
        <v>2887</v>
      </c>
      <c r="C977" t="s">
        <v>2888</v>
      </c>
      <c r="D977" t="s">
        <v>919</v>
      </c>
      <c r="E977" s="19">
        <v>966546666011</v>
      </c>
      <c r="F977" t="s">
        <v>2886</v>
      </c>
      <c r="G977" t="s">
        <v>838</v>
      </c>
    </row>
    <row r="978" spans="1:7" x14ac:dyDescent="0.25">
      <c r="A978" t="s">
        <v>2889</v>
      </c>
      <c r="B978" t="s">
        <v>2907</v>
      </c>
      <c r="C978" t="s">
        <v>2890</v>
      </c>
      <c r="D978" t="s">
        <v>919</v>
      </c>
      <c r="E978" s="19">
        <v>971552775588</v>
      </c>
      <c r="F978" t="s">
        <v>2889</v>
      </c>
      <c r="G978" t="s">
        <v>839</v>
      </c>
    </row>
    <row r="979" spans="1:7" x14ac:dyDescent="0.25">
      <c r="A979" t="s">
        <v>2891</v>
      </c>
      <c r="B979" t="s">
        <v>2892</v>
      </c>
      <c r="C979" t="s">
        <v>2893</v>
      </c>
      <c r="D979" t="s">
        <v>786</v>
      </c>
      <c r="E979" s="19">
        <v>112168898</v>
      </c>
      <c r="F979" t="s">
        <v>2891</v>
      </c>
      <c r="G979" t="s">
        <v>844</v>
      </c>
    </row>
    <row r="980" spans="1:7" x14ac:dyDescent="0.25">
      <c r="A980" t="s">
        <v>2894</v>
      </c>
      <c r="B980" t="s">
        <v>2895</v>
      </c>
      <c r="C980" t="s">
        <v>2896</v>
      </c>
      <c r="D980" t="s">
        <v>786</v>
      </c>
      <c r="E980" s="19">
        <v>114627765</v>
      </c>
      <c r="F980" t="s">
        <v>2894</v>
      </c>
      <c r="G980" t="s">
        <v>844</v>
      </c>
    </row>
    <row r="981" spans="1:7" x14ac:dyDescent="0.25">
      <c r="A981" t="s">
        <v>539</v>
      </c>
      <c r="B981" t="s">
        <v>2897</v>
      </c>
      <c r="C981" t="s">
        <v>2898</v>
      </c>
      <c r="D981" t="s">
        <v>786</v>
      </c>
      <c r="E981" s="19">
        <v>115101550</v>
      </c>
      <c r="F981" t="s">
        <v>539</v>
      </c>
      <c r="G981" t="s">
        <v>844</v>
      </c>
    </row>
    <row r="982" spans="1:7" x14ac:dyDescent="0.25">
      <c r="A982" t="s">
        <v>226</v>
      </c>
      <c r="B982" t="s">
        <v>2899</v>
      </c>
      <c r="C982" t="s">
        <v>2900</v>
      </c>
      <c r="D982" t="s">
        <v>786</v>
      </c>
      <c r="E982" s="19">
        <v>8003010000</v>
      </c>
      <c r="F982" t="s">
        <v>226</v>
      </c>
      <c r="G982" t="s">
        <v>844</v>
      </c>
    </row>
    <row r="983" spans="1:7" x14ac:dyDescent="0.25">
      <c r="A983" t="s">
        <v>2901</v>
      </c>
      <c r="B983" t="s">
        <v>2902</v>
      </c>
      <c r="C983" t="s">
        <v>2898</v>
      </c>
      <c r="D983" t="s">
        <v>786</v>
      </c>
      <c r="E983" s="19">
        <v>112111585</v>
      </c>
      <c r="F983" t="s">
        <v>2901</v>
      </c>
      <c r="G983" t="s">
        <v>844</v>
      </c>
    </row>
    <row r="984" spans="1:7" x14ac:dyDescent="0.25">
      <c r="A984" t="s">
        <v>2903</v>
      </c>
      <c r="B984" t="s">
        <v>2904</v>
      </c>
      <c r="C984" t="s">
        <v>2905</v>
      </c>
      <c r="D984" t="s">
        <v>786</v>
      </c>
      <c r="E984" s="19">
        <v>114641013</v>
      </c>
      <c r="F984" t="s">
        <v>2903</v>
      </c>
      <c r="G984" t="s">
        <v>844</v>
      </c>
    </row>
    <row r="985" spans="1:7" x14ac:dyDescent="0.25">
      <c r="A985" t="s">
        <v>2908</v>
      </c>
      <c r="B985" t="s">
        <v>2909</v>
      </c>
      <c r="C985" t="s">
        <v>2910</v>
      </c>
      <c r="D985" t="s">
        <v>919</v>
      </c>
      <c r="E985" s="19">
        <v>966582171819</v>
      </c>
      <c r="F985" t="s">
        <v>2908</v>
      </c>
      <c r="G985" t="s">
        <v>839</v>
      </c>
    </row>
    <row r="986" spans="1:7" x14ac:dyDescent="0.25">
      <c r="A986" t="s">
        <v>2223</v>
      </c>
      <c r="B986" t="s">
        <v>2911</v>
      </c>
      <c r="C986" t="s">
        <v>2225</v>
      </c>
      <c r="D986" t="s">
        <v>919</v>
      </c>
      <c r="E986" s="19">
        <v>971552575164</v>
      </c>
      <c r="F986" t="s">
        <v>2223</v>
      </c>
      <c r="G986" t="s">
        <v>838</v>
      </c>
    </row>
    <row r="987" spans="1:7" x14ac:dyDescent="0.25">
      <c r="A987" t="s">
        <v>2912</v>
      </c>
      <c r="B987" t="s">
        <v>2913</v>
      </c>
      <c r="C987" t="s">
        <v>2914</v>
      </c>
      <c r="D987" t="s">
        <v>919</v>
      </c>
      <c r="E987" s="19">
        <v>966535620012</v>
      </c>
      <c r="F987" t="s">
        <v>2912</v>
      </c>
      <c r="G987" t="s">
        <v>838</v>
      </c>
    </row>
    <row r="988" spans="1:7" x14ac:dyDescent="0.25">
      <c r="A988" t="s">
        <v>2915</v>
      </c>
      <c r="B988" t="s">
        <v>2916</v>
      </c>
      <c r="C988" t="s">
        <v>2917</v>
      </c>
      <c r="D988" t="s">
        <v>919</v>
      </c>
      <c r="E988" s="19">
        <v>966505450684</v>
      </c>
      <c r="F988" t="s">
        <v>2915</v>
      </c>
      <c r="G988" t="s">
        <v>838</v>
      </c>
    </row>
    <row r="989" spans="1:7" x14ac:dyDescent="0.25">
      <c r="A989" t="s">
        <v>2918</v>
      </c>
      <c r="B989" t="s">
        <v>2919</v>
      </c>
      <c r="C989" t="s">
        <v>2917</v>
      </c>
      <c r="D989" t="s">
        <v>919</v>
      </c>
      <c r="E989" s="19">
        <v>966505450684</v>
      </c>
      <c r="F989" t="s">
        <v>2918</v>
      </c>
      <c r="G989" t="s">
        <v>839</v>
      </c>
    </row>
    <row r="990" spans="1:7" x14ac:dyDescent="0.25">
      <c r="A990" t="s">
        <v>2920</v>
      </c>
      <c r="B990" t="s">
        <v>2921</v>
      </c>
      <c r="C990" t="s">
        <v>2922</v>
      </c>
      <c r="D990" t="s">
        <v>919</v>
      </c>
      <c r="E990" s="19">
        <v>971509808947</v>
      </c>
      <c r="F990" t="s">
        <v>2920</v>
      </c>
      <c r="G990" t="s">
        <v>845</v>
      </c>
    </row>
    <row r="991" spans="1:7" x14ac:dyDescent="0.25">
      <c r="A991" t="s">
        <v>2923</v>
      </c>
      <c r="B991" t="s">
        <v>2924</v>
      </c>
      <c r="C991" t="s">
        <v>2925</v>
      </c>
      <c r="D991" t="s">
        <v>919</v>
      </c>
      <c r="E991" s="19">
        <v>971558412008</v>
      </c>
      <c r="F991" t="s">
        <v>2923</v>
      </c>
      <c r="G991" t="s">
        <v>845</v>
      </c>
    </row>
    <row r="992" spans="1:7" x14ac:dyDescent="0.25">
      <c r="A992" t="s">
        <v>2926</v>
      </c>
      <c r="B992" t="s">
        <v>2927</v>
      </c>
      <c r="C992" t="s">
        <v>1339</v>
      </c>
      <c r="D992" t="s">
        <v>919</v>
      </c>
      <c r="E992" s="19">
        <v>0</v>
      </c>
      <c r="F992" t="s">
        <v>2926</v>
      </c>
      <c r="G992" t="s">
        <v>836</v>
      </c>
    </row>
    <row r="993" spans="1:7" x14ac:dyDescent="0.25">
      <c r="A993" t="s">
        <v>2929</v>
      </c>
      <c r="B993" t="s">
        <v>2930</v>
      </c>
      <c r="C993" t="s">
        <v>2931</v>
      </c>
      <c r="D993" t="s">
        <v>919</v>
      </c>
      <c r="E993" s="19">
        <v>971526905295</v>
      </c>
      <c r="F993" t="s">
        <v>2929</v>
      </c>
      <c r="G993" t="s">
        <v>850</v>
      </c>
    </row>
    <row r="994" spans="1:7" x14ac:dyDescent="0.25">
      <c r="A994" t="s">
        <v>2932</v>
      </c>
      <c r="B994" t="s">
        <v>2933</v>
      </c>
      <c r="C994" t="s">
        <v>2934</v>
      </c>
      <c r="D994" t="s">
        <v>919</v>
      </c>
      <c r="E994" s="19">
        <v>971521044456</v>
      </c>
      <c r="F994" t="s">
        <v>2932</v>
      </c>
      <c r="G994" t="s">
        <v>872</v>
      </c>
    </row>
    <row r="995" spans="1:7" x14ac:dyDescent="0.25">
      <c r="A995" t="s">
        <v>2935</v>
      </c>
      <c r="B995" t="s">
        <v>2936</v>
      </c>
      <c r="C995" t="s">
        <v>2937</v>
      </c>
      <c r="D995" t="s">
        <v>786</v>
      </c>
      <c r="E995" s="19">
        <v>966553290537</v>
      </c>
      <c r="F995" t="s">
        <v>2935</v>
      </c>
      <c r="G995" t="s">
        <v>844</v>
      </c>
    </row>
    <row r="996" spans="1:7" x14ac:dyDescent="0.25">
      <c r="A996" t="s">
        <v>2938</v>
      </c>
      <c r="B996" t="s">
        <v>2939</v>
      </c>
      <c r="C996" t="s">
        <v>2940</v>
      </c>
      <c r="D996" t="s">
        <v>919</v>
      </c>
      <c r="E996" s="19">
        <v>966533114888</v>
      </c>
      <c r="F996" t="s">
        <v>2938</v>
      </c>
      <c r="G996" t="s">
        <v>848</v>
      </c>
    </row>
    <row r="997" spans="1:7" x14ac:dyDescent="0.25">
      <c r="A997" t="s">
        <v>2941</v>
      </c>
      <c r="B997" t="s">
        <v>2942</v>
      </c>
      <c r="C997" t="s">
        <v>2943</v>
      </c>
      <c r="D997" t="s">
        <v>919</v>
      </c>
      <c r="E997" s="19">
        <v>966561913974</v>
      </c>
      <c r="F997" t="s">
        <v>2941</v>
      </c>
      <c r="G997" t="s">
        <v>851</v>
      </c>
    </row>
    <row r="998" spans="1:7" x14ac:dyDescent="0.25">
      <c r="A998" t="s">
        <v>2944</v>
      </c>
      <c r="B998" t="s">
        <v>2945</v>
      </c>
      <c r="C998" t="s">
        <v>2946</v>
      </c>
      <c r="D998" t="s">
        <v>919</v>
      </c>
      <c r="E998" s="19">
        <v>966535342409</v>
      </c>
      <c r="F998" t="s">
        <v>2944</v>
      </c>
      <c r="G998" t="s">
        <v>839</v>
      </c>
    </row>
    <row r="999" spans="1:7" x14ac:dyDescent="0.25">
      <c r="A999" t="s">
        <v>2947</v>
      </c>
      <c r="B999" t="s">
        <v>2948</v>
      </c>
      <c r="C999" t="s">
        <v>2946</v>
      </c>
      <c r="D999" t="s">
        <v>919</v>
      </c>
      <c r="E999" s="19">
        <v>966535342409</v>
      </c>
      <c r="F999" t="s">
        <v>2947</v>
      </c>
      <c r="G999" t="s">
        <v>839</v>
      </c>
    </row>
    <row r="1000" spans="1:7" x14ac:dyDescent="0.25">
      <c r="A1000" t="s">
        <v>2949</v>
      </c>
      <c r="B1000" t="s">
        <v>2950</v>
      </c>
      <c r="C1000" t="s">
        <v>2951</v>
      </c>
      <c r="D1000" t="s">
        <v>919</v>
      </c>
      <c r="E1000" s="19">
        <v>966566977670</v>
      </c>
      <c r="F1000" t="s">
        <v>2949</v>
      </c>
      <c r="G1000" t="s">
        <v>838</v>
      </c>
    </row>
    <row r="1001" spans="1:7" x14ac:dyDescent="0.25">
      <c r="A1001" t="s">
        <v>2952</v>
      </c>
      <c r="B1001" t="s">
        <v>2953</v>
      </c>
      <c r="C1001" t="s">
        <v>2954</v>
      </c>
      <c r="E1001" s="19">
        <v>966565489999</v>
      </c>
      <c r="F1001" t="s">
        <v>2952</v>
      </c>
      <c r="G1001" t="s">
        <v>2732</v>
      </c>
    </row>
    <row r="1002" spans="1:7" x14ac:dyDescent="0.25">
      <c r="A1002" t="s">
        <v>2955</v>
      </c>
      <c r="B1002" t="s">
        <v>2956</v>
      </c>
      <c r="C1002" t="s">
        <v>2957</v>
      </c>
      <c r="E1002" s="19">
        <v>971504321935</v>
      </c>
      <c r="F1002" t="s">
        <v>2955</v>
      </c>
      <c r="G1002" t="s">
        <v>838</v>
      </c>
    </row>
    <row r="1003" spans="1:7" x14ac:dyDescent="0.25">
      <c r="A1003" t="s">
        <v>3013</v>
      </c>
      <c r="B1003" t="s">
        <v>3014</v>
      </c>
      <c r="C1003" t="s">
        <v>1117</v>
      </c>
      <c r="E1003" s="19">
        <v>97142343999</v>
      </c>
      <c r="F1003" t="s">
        <v>3013</v>
      </c>
      <c r="G1003" t="s">
        <v>2396</v>
      </c>
    </row>
    <row r="1004" spans="1:7" x14ac:dyDescent="0.25">
      <c r="A1004" t="s">
        <v>3018</v>
      </c>
      <c r="B1004" t="s">
        <v>3019</v>
      </c>
      <c r="C1004" t="s">
        <v>3020</v>
      </c>
      <c r="E1004" s="19">
        <v>966537283333</v>
      </c>
      <c r="F1004" t="s">
        <v>3018</v>
      </c>
      <c r="G1004" t="s">
        <v>838</v>
      </c>
    </row>
    <row r="1005" spans="1:7" x14ac:dyDescent="0.25">
      <c r="A1005" t="s">
        <v>3021</v>
      </c>
      <c r="B1005" t="s">
        <v>3022</v>
      </c>
      <c r="C1005" t="s">
        <v>3023</v>
      </c>
      <c r="E1005" s="19">
        <v>971504822004</v>
      </c>
      <c r="F1005" t="s">
        <v>3021</v>
      </c>
      <c r="G1005" t="s">
        <v>838</v>
      </c>
    </row>
    <row r="1006" spans="1:7" x14ac:dyDescent="0.25">
      <c r="A1006" t="s">
        <v>3024</v>
      </c>
      <c r="B1006" t="s">
        <v>3025</v>
      </c>
      <c r="C1006" t="s">
        <v>3026</v>
      </c>
      <c r="E1006" s="19">
        <v>966505858918</v>
      </c>
      <c r="F1006" t="s">
        <v>3024</v>
      </c>
      <c r="G1006" t="s">
        <v>3027</v>
      </c>
    </row>
    <row r="1007" spans="1:7" x14ac:dyDescent="0.25">
      <c r="A1007" t="s">
        <v>3028</v>
      </c>
      <c r="B1007" t="s">
        <v>3029</v>
      </c>
      <c r="C1007" t="s">
        <v>3030</v>
      </c>
      <c r="E1007" s="19">
        <v>966544337070</v>
      </c>
      <c r="F1007" t="s">
        <v>3028</v>
      </c>
      <c r="G1007" t="s">
        <v>3031</v>
      </c>
    </row>
    <row r="1008" spans="1:7" x14ac:dyDescent="0.25">
      <c r="A1008" t="s">
        <v>3032</v>
      </c>
      <c r="B1008" t="s">
        <v>3033</v>
      </c>
      <c r="C1008" t="s">
        <v>3034</v>
      </c>
      <c r="E1008" s="19">
        <v>966542141546</v>
      </c>
      <c r="F1008" t="s">
        <v>3032</v>
      </c>
      <c r="G1008" t="s">
        <v>838</v>
      </c>
    </row>
    <row r="1009" spans="1:7" x14ac:dyDescent="0.25">
      <c r="A1009" t="s">
        <v>3035</v>
      </c>
      <c r="B1009" t="s">
        <v>3036</v>
      </c>
      <c r="C1009" t="s">
        <v>3034</v>
      </c>
      <c r="E1009" s="19">
        <v>966542141546</v>
      </c>
      <c r="F1009" t="s">
        <v>3035</v>
      </c>
      <c r="G1009" t="s">
        <v>838</v>
      </c>
    </row>
    <row r="1010" spans="1:7" x14ac:dyDescent="0.25">
      <c r="A1010" t="s">
        <v>3040</v>
      </c>
      <c r="B1010" t="s">
        <v>3041</v>
      </c>
      <c r="C1010" t="s">
        <v>3042</v>
      </c>
      <c r="E1010" s="19">
        <v>966566611801</v>
      </c>
      <c r="F1010" t="s">
        <v>3040</v>
      </c>
      <c r="G1010" t="s">
        <v>839</v>
      </c>
    </row>
    <row r="1011" spans="1:7" x14ac:dyDescent="0.25">
      <c r="A1011" t="s">
        <v>3043</v>
      </c>
      <c r="B1011" t="s">
        <v>3044</v>
      </c>
      <c r="C1011" t="s">
        <v>3042</v>
      </c>
      <c r="E1011" s="19">
        <v>966566611801</v>
      </c>
      <c r="F1011" t="s">
        <v>3043</v>
      </c>
      <c r="G1011" t="s">
        <v>839</v>
      </c>
    </row>
    <row r="1012" spans="1:7" x14ac:dyDescent="0.25">
      <c r="A1012" t="s">
        <v>3045</v>
      </c>
      <c r="B1012" t="s">
        <v>3155</v>
      </c>
      <c r="C1012" t="s">
        <v>3047</v>
      </c>
      <c r="E1012" s="19">
        <v>971556676405</v>
      </c>
      <c r="F1012" t="s">
        <v>3045</v>
      </c>
      <c r="G1012" t="s">
        <v>839</v>
      </c>
    </row>
    <row r="1013" spans="1:7" x14ac:dyDescent="0.25">
      <c r="A1013" t="s">
        <v>3048</v>
      </c>
      <c r="B1013" t="s">
        <v>3046</v>
      </c>
      <c r="C1013" t="s">
        <v>3049</v>
      </c>
      <c r="E1013" s="19">
        <v>4915145188662</v>
      </c>
      <c r="F1013" t="s">
        <v>3048</v>
      </c>
      <c r="G1013" t="s">
        <v>839</v>
      </c>
    </row>
    <row r="1014" spans="1:7" x14ac:dyDescent="0.25">
      <c r="A1014" t="s">
        <v>3050</v>
      </c>
      <c r="B1014" t="s">
        <v>3051</v>
      </c>
      <c r="C1014" t="s">
        <v>3052</v>
      </c>
      <c r="E1014" s="19">
        <v>966538451408</v>
      </c>
      <c r="F1014" t="s">
        <v>3050</v>
      </c>
      <c r="G1014" t="s">
        <v>844</v>
      </c>
    </row>
    <row r="1015" spans="1:7" x14ac:dyDescent="0.25">
      <c r="A1015" t="s">
        <v>3053</v>
      </c>
      <c r="B1015" t="s">
        <v>3054</v>
      </c>
      <c r="C1015" t="s">
        <v>1058</v>
      </c>
      <c r="E1015" s="19">
        <v>971554264190</v>
      </c>
      <c r="F1015" t="s">
        <v>3053</v>
      </c>
      <c r="G1015" t="s">
        <v>849</v>
      </c>
    </row>
    <row r="1016" spans="1:7" x14ac:dyDescent="0.25">
      <c r="A1016" t="s">
        <v>3055</v>
      </c>
      <c r="B1016" t="s">
        <v>3057</v>
      </c>
      <c r="C1016" t="s">
        <v>2225</v>
      </c>
      <c r="E1016" s="19">
        <v>971552575164</v>
      </c>
      <c r="F1016" t="s">
        <v>3055</v>
      </c>
      <c r="G1016" t="s">
        <v>849</v>
      </c>
    </row>
    <row r="1017" spans="1:7" x14ac:dyDescent="0.25">
      <c r="A1017" t="s">
        <v>3056</v>
      </c>
      <c r="B1017" t="s">
        <v>3058</v>
      </c>
      <c r="C1017" t="s">
        <v>2589</v>
      </c>
      <c r="E1017" s="19">
        <v>971522190630</v>
      </c>
      <c r="F1017" t="s">
        <v>3056</v>
      </c>
      <c r="G1017" t="s">
        <v>849</v>
      </c>
    </row>
    <row r="1018" spans="1:7" x14ac:dyDescent="0.25">
      <c r="A1018" t="s">
        <v>3059</v>
      </c>
      <c r="B1018" t="s">
        <v>3060</v>
      </c>
      <c r="C1018" t="s">
        <v>3061</v>
      </c>
      <c r="E1018" s="19">
        <v>97142398855</v>
      </c>
      <c r="F1018" t="s">
        <v>3059</v>
      </c>
      <c r="G1018" t="s">
        <v>857</v>
      </c>
    </row>
    <row r="1019" spans="1:7" x14ac:dyDescent="0.25">
      <c r="A1019" t="s">
        <v>3062</v>
      </c>
      <c r="B1019" t="s">
        <v>3063</v>
      </c>
      <c r="C1019" t="s">
        <v>3064</v>
      </c>
      <c r="E1019" s="19">
        <v>966551884255</v>
      </c>
      <c r="F1019" t="s">
        <v>3062</v>
      </c>
      <c r="G1019" t="s">
        <v>2732</v>
      </c>
    </row>
    <row r="1020" spans="1:7" x14ac:dyDescent="0.25">
      <c r="A1020" t="s">
        <v>3065</v>
      </c>
      <c r="B1020" t="s">
        <v>3066</v>
      </c>
      <c r="C1020" t="s">
        <v>3067</v>
      </c>
      <c r="E1020" s="19">
        <v>966564444973</v>
      </c>
      <c r="F1020" t="s">
        <v>3065</v>
      </c>
      <c r="G1020" t="s">
        <v>2732</v>
      </c>
    </row>
    <row r="1021" spans="1:7" x14ac:dyDescent="0.25">
      <c r="A1021" t="s">
        <v>3068</v>
      </c>
      <c r="B1021" t="s">
        <v>3069</v>
      </c>
      <c r="C1021" t="s">
        <v>3070</v>
      </c>
      <c r="E1021" s="19">
        <v>966552417392</v>
      </c>
      <c r="F1021" t="s">
        <v>3068</v>
      </c>
      <c r="G1021" t="s">
        <v>838</v>
      </c>
    </row>
    <row r="1022" spans="1:7" x14ac:dyDescent="0.25">
      <c r="A1022" t="s">
        <v>3071</v>
      </c>
      <c r="B1022" t="s">
        <v>3072</v>
      </c>
      <c r="C1022" t="s">
        <v>3073</v>
      </c>
      <c r="E1022" s="19">
        <v>966504696970</v>
      </c>
      <c r="F1022" t="s">
        <v>3071</v>
      </c>
      <c r="G1022" t="s">
        <v>838</v>
      </c>
    </row>
    <row r="1023" spans="1:7" x14ac:dyDescent="0.25">
      <c r="A1023" t="s">
        <v>3074</v>
      </c>
      <c r="B1023" t="s">
        <v>3075</v>
      </c>
      <c r="C1023" t="s">
        <v>3076</v>
      </c>
      <c r="E1023" s="19">
        <v>33784022303</v>
      </c>
      <c r="F1023" t="s">
        <v>3074</v>
      </c>
      <c r="G1023" t="s">
        <v>850</v>
      </c>
    </row>
    <row r="1024" spans="1:7" x14ac:dyDescent="0.25">
      <c r="A1024" t="s">
        <v>3077</v>
      </c>
      <c r="B1024" t="s">
        <v>3078</v>
      </c>
      <c r="C1024" t="s">
        <v>3079</v>
      </c>
      <c r="E1024" s="19">
        <v>966500234604</v>
      </c>
      <c r="F1024" t="s">
        <v>3077</v>
      </c>
      <c r="G1024" t="s">
        <v>838</v>
      </c>
    </row>
    <row r="1025" spans="1:7" x14ac:dyDescent="0.25">
      <c r="A1025" t="s">
        <v>3080</v>
      </c>
      <c r="B1025" t="s">
        <v>3081</v>
      </c>
      <c r="C1025" t="s">
        <v>3082</v>
      </c>
      <c r="E1025" s="19">
        <v>966532084232</v>
      </c>
      <c r="F1025" t="s">
        <v>3080</v>
      </c>
      <c r="G1025" t="s">
        <v>839</v>
      </c>
    </row>
    <row r="1026" spans="1:7" x14ac:dyDescent="0.25">
      <c r="A1026" t="s">
        <v>3083</v>
      </c>
      <c r="B1026" t="s">
        <v>3084</v>
      </c>
      <c r="C1026" t="s">
        <v>3085</v>
      </c>
      <c r="E1026" s="19">
        <v>966549494911</v>
      </c>
      <c r="F1026" t="s">
        <v>3083</v>
      </c>
      <c r="G1026" t="s">
        <v>844</v>
      </c>
    </row>
    <row r="1027" spans="1:7" x14ac:dyDescent="0.25">
      <c r="A1027" t="s">
        <v>3087</v>
      </c>
      <c r="B1027" t="s">
        <v>3088</v>
      </c>
      <c r="C1027" t="s">
        <v>3073</v>
      </c>
      <c r="E1027" s="19">
        <v>966504696970</v>
      </c>
      <c r="F1027" t="s">
        <v>3087</v>
      </c>
      <c r="G1027" t="s">
        <v>838</v>
      </c>
    </row>
    <row r="1028" spans="1:7" x14ac:dyDescent="0.25">
      <c r="A1028" t="s">
        <v>9468</v>
      </c>
      <c r="B1028" t="s">
        <v>3089</v>
      </c>
      <c r="C1028" t="s">
        <v>1488</v>
      </c>
      <c r="E1028" s="19">
        <v>0</v>
      </c>
      <c r="F1028" t="s">
        <v>9468</v>
      </c>
      <c r="G1028" t="s">
        <v>853</v>
      </c>
    </row>
    <row r="1029" spans="1:7" x14ac:dyDescent="0.25">
      <c r="A1029" t="s">
        <v>3090</v>
      </c>
      <c r="B1029" t="s">
        <v>3091</v>
      </c>
      <c r="C1029" t="s">
        <v>3092</v>
      </c>
      <c r="E1029" s="19">
        <v>966596666790</v>
      </c>
      <c r="F1029" t="s">
        <v>3090</v>
      </c>
      <c r="G1029" t="s">
        <v>838</v>
      </c>
    </row>
    <row r="1030" spans="1:7" x14ac:dyDescent="0.25">
      <c r="A1030" t="s">
        <v>3093</v>
      </c>
      <c r="B1030" t="s">
        <v>3094</v>
      </c>
      <c r="C1030" t="s">
        <v>3095</v>
      </c>
      <c r="E1030" s="19">
        <v>966534759573</v>
      </c>
      <c r="F1030" t="s">
        <v>3093</v>
      </c>
      <c r="G1030" t="s">
        <v>840</v>
      </c>
    </row>
    <row r="1031" spans="1:7" x14ac:dyDescent="0.25">
      <c r="A1031" t="s">
        <v>3096</v>
      </c>
      <c r="B1031" t="s">
        <v>3097</v>
      </c>
      <c r="C1031" t="s">
        <v>3098</v>
      </c>
      <c r="E1031" s="19">
        <v>971507296104</v>
      </c>
      <c r="F1031" t="s">
        <v>3096</v>
      </c>
      <c r="G1031" t="s">
        <v>839</v>
      </c>
    </row>
    <row r="1032" spans="1:7" x14ac:dyDescent="0.25">
      <c r="A1032" t="s">
        <v>3099</v>
      </c>
      <c r="B1032" t="s">
        <v>3100</v>
      </c>
      <c r="C1032" t="s">
        <v>3101</v>
      </c>
      <c r="E1032" s="19">
        <v>966505190125</v>
      </c>
      <c r="F1032" t="s">
        <v>3099</v>
      </c>
      <c r="G1032" t="s">
        <v>1881</v>
      </c>
    </row>
    <row r="1033" spans="1:7" x14ac:dyDescent="0.25">
      <c r="A1033" t="s">
        <v>3102</v>
      </c>
      <c r="B1033" t="s">
        <v>3103</v>
      </c>
      <c r="C1033" t="s">
        <v>3101</v>
      </c>
      <c r="E1033" s="19">
        <v>966505190125</v>
      </c>
      <c r="F1033" t="s">
        <v>3102</v>
      </c>
      <c r="G1033" t="s">
        <v>1881</v>
      </c>
    </row>
    <row r="1034" spans="1:7" x14ac:dyDescent="0.25">
      <c r="A1034" t="s">
        <v>3104</v>
      </c>
      <c r="B1034" t="s">
        <v>3105</v>
      </c>
      <c r="C1034" t="s">
        <v>3106</v>
      </c>
      <c r="E1034" s="19">
        <v>966533334959</v>
      </c>
      <c r="F1034" t="s">
        <v>3104</v>
      </c>
      <c r="G1034" t="s">
        <v>838</v>
      </c>
    </row>
    <row r="1035" spans="1:7" x14ac:dyDescent="0.25">
      <c r="A1035" t="s">
        <v>3107</v>
      </c>
      <c r="B1035" t="s">
        <v>3108</v>
      </c>
      <c r="C1035" t="s">
        <v>3106</v>
      </c>
      <c r="E1035" s="19">
        <v>966533334959</v>
      </c>
      <c r="F1035" t="s">
        <v>3107</v>
      </c>
      <c r="G1035" t="s">
        <v>838</v>
      </c>
    </row>
    <row r="1036" spans="1:7" x14ac:dyDescent="0.25">
      <c r="A1036" t="s">
        <v>3109</v>
      </c>
      <c r="B1036" t="s">
        <v>3110</v>
      </c>
      <c r="C1036" t="s">
        <v>3111</v>
      </c>
      <c r="E1036" s="19">
        <v>966557167469</v>
      </c>
      <c r="F1036" t="s">
        <v>3109</v>
      </c>
      <c r="G1036" t="s">
        <v>840</v>
      </c>
    </row>
    <row r="1037" spans="1:7" x14ac:dyDescent="0.25">
      <c r="A1037" t="s">
        <v>3112</v>
      </c>
      <c r="B1037" t="s">
        <v>3113</v>
      </c>
      <c r="C1037" t="s">
        <v>3114</v>
      </c>
      <c r="E1037" s="19">
        <v>966558480229</v>
      </c>
      <c r="F1037" t="s">
        <v>3112</v>
      </c>
      <c r="G1037" t="s">
        <v>838</v>
      </c>
    </row>
    <row r="1038" spans="1:7" x14ac:dyDescent="0.25">
      <c r="A1038" t="s">
        <v>3115</v>
      </c>
      <c r="B1038" t="s">
        <v>3116</v>
      </c>
      <c r="C1038" t="s">
        <v>3117</v>
      </c>
      <c r="E1038" s="19">
        <v>966581488344</v>
      </c>
      <c r="F1038" t="s">
        <v>3115</v>
      </c>
      <c r="G1038" t="s">
        <v>838</v>
      </c>
    </row>
    <row r="1039" spans="1:7" x14ac:dyDescent="0.25">
      <c r="A1039" t="s">
        <v>3118</v>
      </c>
      <c r="B1039" t="s">
        <v>3119</v>
      </c>
      <c r="C1039" t="s">
        <v>3120</v>
      </c>
      <c r="E1039" s="19">
        <v>966504171766</v>
      </c>
      <c r="F1039" t="s">
        <v>3118</v>
      </c>
      <c r="G1039" t="s">
        <v>840</v>
      </c>
    </row>
    <row r="1040" spans="1:7" x14ac:dyDescent="0.25">
      <c r="A1040" t="s">
        <v>3121</v>
      </c>
      <c r="B1040" t="s">
        <v>3122</v>
      </c>
      <c r="C1040" t="s">
        <v>3123</v>
      </c>
      <c r="E1040" s="19">
        <v>966544203000</v>
      </c>
      <c r="F1040" t="s">
        <v>3121</v>
      </c>
      <c r="G1040" t="s">
        <v>838</v>
      </c>
    </row>
    <row r="1041" spans="1:7" x14ac:dyDescent="0.25">
      <c r="A1041" t="s">
        <v>3124</v>
      </c>
      <c r="B1041" t="s">
        <v>3125</v>
      </c>
      <c r="C1041" t="s">
        <v>3126</v>
      </c>
      <c r="E1041" s="19">
        <v>971557953336</v>
      </c>
      <c r="F1041" t="s">
        <v>3124</v>
      </c>
      <c r="G1041" t="s">
        <v>839</v>
      </c>
    </row>
    <row r="1042" spans="1:7" x14ac:dyDescent="0.25">
      <c r="A1042" t="s">
        <v>3127</v>
      </c>
      <c r="B1042" t="s">
        <v>3128</v>
      </c>
      <c r="C1042" t="s">
        <v>3129</v>
      </c>
      <c r="E1042" s="19">
        <v>966591497798</v>
      </c>
      <c r="F1042" t="s">
        <v>3127</v>
      </c>
      <c r="G1042" t="s">
        <v>839</v>
      </c>
    </row>
    <row r="1043" spans="1:7" x14ac:dyDescent="0.25">
      <c r="A1043" t="s">
        <v>3130</v>
      </c>
      <c r="B1043" t="s">
        <v>3131</v>
      </c>
      <c r="C1043" t="s">
        <v>3129</v>
      </c>
      <c r="E1043" s="19">
        <v>966591497798</v>
      </c>
      <c r="F1043" t="s">
        <v>3130</v>
      </c>
      <c r="G1043" t="s">
        <v>839</v>
      </c>
    </row>
    <row r="1044" spans="1:7" x14ac:dyDescent="0.25">
      <c r="A1044" t="s">
        <v>3132</v>
      </c>
      <c r="B1044" t="s">
        <v>3133</v>
      </c>
      <c r="C1044" t="s">
        <v>3134</v>
      </c>
      <c r="E1044" s="19">
        <v>966566429332</v>
      </c>
      <c r="F1044" t="s">
        <v>3132</v>
      </c>
      <c r="G1044" t="s">
        <v>850</v>
      </c>
    </row>
    <row r="1045" spans="1:7" x14ac:dyDescent="0.25">
      <c r="A1045" t="s">
        <v>3135</v>
      </c>
      <c r="B1045" t="s">
        <v>3136</v>
      </c>
      <c r="C1045" t="s">
        <v>3137</v>
      </c>
      <c r="E1045" s="19">
        <v>966565413316</v>
      </c>
      <c r="F1045" t="s">
        <v>3135</v>
      </c>
      <c r="G1045" t="s">
        <v>839</v>
      </c>
    </row>
    <row r="1046" spans="1:7" x14ac:dyDescent="0.25">
      <c r="A1046" t="s">
        <v>3138</v>
      </c>
      <c r="B1046" t="s">
        <v>3139</v>
      </c>
      <c r="C1046" t="s">
        <v>3137</v>
      </c>
      <c r="E1046" s="19">
        <v>966565413316</v>
      </c>
      <c r="F1046" t="s">
        <v>3138</v>
      </c>
      <c r="G1046" t="s">
        <v>839</v>
      </c>
    </row>
    <row r="1047" spans="1:7" x14ac:dyDescent="0.25">
      <c r="A1047" t="s">
        <v>3140</v>
      </c>
      <c r="B1047" t="s">
        <v>3141</v>
      </c>
      <c r="C1047" t="s">
        <v>3142</v>
      </c>
      <c r="E1047" s="19">
        <v>966599915022</v>
      </c>
      <c r="F1047" t="s">
        <v>3140</v>
      </c>
      <c r="G1047" t="s">
        <v>1881</v>
      </c>
    </row>
    <row r="1048" spans="1:7" x14ac:dyDescent="0.25">
      <c r="A1048" t="s">
        <v>3143</v>
      </c>
      <c r="B1048" t="s">
        <v>3144</v>
      </c>
      <c r="C1048" t="s">
        <v>3145</v>
      </c>
      <c r="E1048" s="19">
        <v>966543953887</v>
      </c>
      <c r="F1048" t="s">
        <v>3143</v>
      </c>
      <c r="G1048" t="s">
        <v>838</v>
      </c>
    </row>
    <row r="1049" spans="1:7" x14ac:dyDescent="0.25">
      <c r="A1049" t="s">
        <v>3146</v>
      </c>
      <c r="B1049" t="s">
        <v>3147</v>
      </c>
      <c r="C1049" t="s">
        <v>3148</v>
      </c>
      <c r="E1049" s="19">
        <v>966542208169</v>
      </c>
      <c r="F1049" t="s">
        <v>3146</v>
      </c>
      <c r="G1049" t="s">
        <v>2646</v>
      </c>
    </row>
    <row r="1050" spans="1:7" x14ac:dyDescent="0.25">
      <c r="A1050" t="s">
        <v>3149</v>
      </c>
      <c r="B1050" t="s">
        <v>3150</v>
      </c>
      <c r="C1050" t="s">
        <v>3151</v>
      </c>
      <c r="E1050" s="19">
        <v>966505485773</v>
      </c>
      <c r="F1050" t="s">
        <v>3149</v>
      </c>
      <c r="G1050" t="s">
        <v>838</v>
      </c>
    </row>
    <row r="1051" spans="1:7" x14ac:dyDescent="0.25">
      <c r="A1051" t="s">
        <v>3152</v>
      </c>
      <c r="B1051" t="s">
        <v>3153</v>
      </c>
      <c r="C1051" t="s">
        <v>3154</v>
      </c>
      <c r="E1051" s="19">
        <v>971503436751</v>
      </c>
      <c r="F1051" t="s">
        <v>3152</v>
      </c>
      <c r="G1051" t="s">
        <v>850</v>
      </c>
    </row>
    <row r="1052" spans="1:7" x14ac:dyDescent="0.25">
      <c r="A1052" t="s">
        <v>4699</v>
      </c>
      <c r="B1052" t="s">
        <v>4700</v>
      </c>
      <c r="C1052" t="s">
        <v>4701</v>
      </c>
      <c r="E1052" s="19">
        <v>966551405801</v>
      </c>
      <c r="F1052" t="s">
        <v>4699</v>
      </c>
      <c r="G1052" t="s">
        <v>838</v>
      </c>
    </row>
    <row r="1053" spans="1:7" x14ac:dyDescent="0.25">
      <c r="A1053" t="s">
        <v>4702</v>
      </c>
      <c r="B1053" t="s">
        <v>4703</v>
      </c>
      <c r="C1053" t="s">
        <v>4704</v>
      </c>
      <c r="E1053" s="19">
        <v>966591151033</v>
      </c>
      <c r="F1053" t="s">
        <v>4702</v>
      </c>
      <c r="G1053" t="s">
        <v>841</v>
      </c>
    </row>
    <row r="1054" spans="1:7" x14ac:dyDescent="0.25">
      <c r="A1054" t="s">
        <v>4705</v>
      </c>
      <c r="B1054" t="s">
        <v>4706</v>
      </c>
      <c r="C1054" t="s">
        <v>4707</v>
      </c>
      <c r="E1054" s="19">
        <v>966506946505</v>
      </c>
      <c r="F1054" t="s">
        <v>4705</v>
      </c>
      <c r="G1054" t="s">
        <v>838</v>
      </c>
    </row>
    <row r="1055" spans="1:7" x14ac:dyDescent="0.25">
      <c r="A1055" t="s">
        <v>4708</v>
      </c>
      <c r="B1055" t="s">
        <v>4709</v>
      </c>
      <c r="C1055" t="s">
        <v>4710</v>
      </c>
      <c r="E1055" s="19">
        <v>966505120488</v>
      </c>
      <c r="F1055" t="s">
        <v>4708</v>
      </c>
      <c r="G1055" t="s">
        <v>840</v>
      </c>
    </row>
    <row r="1056" spans="1:7" x14ac:dyDescent="0.25">
      <c r="A1056" t="s">
        <v>2702</v>
      </c>
      <c r="B1056" t="s">
        <v>4711</v>
      </c>
      <c r="C1056" t="s">
        <v>4712</v>
      </c>
      <c r="E1056" s="19">
        <v>966501042818</v>
      </c>
      <c r="F1056" t="s">
        <v>2702</v>
      </c>
      <c r="G1056" t="s">
        <v>839</v>
      </c>
    </row>
    <row r="1057" spans="1:7" x14ac:dyDescent="0.25">
      <c r="A1057" t="s">
        <v>4713</v>
      </c>
      <c r="B1057" t="s">
        <v>4714</v>
      </c>
      <c r="C1057" t="s">
        <v>4712</v>
      </c>
      <c r="E1057" s="19">
        <v>966501042818</v>
      </c>
      <c r="F1057" t="s">
        <v>4713</v>
      </c>
      <c r="G1057" t="s">
        <v>839</v>
      </c>
    </row>
    <row r="1058" spans="1:7" x14ac:dyDescent="0.25">
      <c r="A1058" t="s">
        <v>4715</v>
      </c>
      <c r="B1058" t="s">
        <v>4716</v>
      </c>
      <c r="C1058" t="s">
        <v>4717</v>
      </c>
      <c r="E1058" s="19">
        <v>966591388827</v>
      </c>
      <c r="F1058" t="s">
        <v>4715</v>
      </c>
      <c r="G1058" t="s">
        <v>838</v>
      </c>
    </row>
    <row r="1059" spans="1:7" x14ac:dyDescent="0.25">
      <c r="A1059" t="s">
        <v>4718</v>
      </c>
      <c r="B1059" t="s">
        <v>4719</v>
      </c>
      <c r="C1059" t="s">
        <v>4720</v>
      </c>
      <c r="E1059" s="19">
        <v>971566677749</v>
      </c>
      <c r="F1059" t="s">
        <v>4718</v>
      </c>
      <c r="G1059" t="s">
        <v>1365</v>
      </c>
    </row>
    <row r="1060" spans="1:7" x14ac:dyDescent="0.25">
      <c r="A1060" t="s">
        <v>4721</v>
      </c>
      <c r="B1060" t="s">
        <v>4722</v>
      </c>
      <c r="C1060" t="s">
        <v>4723</v>
      </c>
      <c r="E1060" s="19">
        <v>966503117517</v>
      </c>
      <c r="F1060" t="s">
        <v>4721</v>
      </c>
      <c r="G1060" t="s">
        <v>839</v>
      </c>
    </row>
    <row r="1061" spans="1:7" x14ac:dyDescent="0.25">
      <c r="A1061" t="s">
        <v>4724</v>
      </c>
      <c r="B1061" t="s">
        <v>4725</v>
      </c>
      <c r="C1061" t="s">
        <v>8377</v>
      </c>
      <c r="E1061" s="19">
        <v>971507705946</v>
      </c>
      <c r="F1061" t="s">
        <v>4724</v>
      </c>
      <c r="G1061" t="s">
        <v>858</v>
      </c>
    </row>
    <row r="1062" spans="1:7" x14ac:dyDescent="0.25">
      <c r="A1062" t="s">
        <v>4726</v>
      </c>
      <c r="B1062" t="s">
        <v>4727</v>
      </c>
      <c r="C1062" t="s">
        <v>1652</v>
      </c>
      <c r="E1062" s="19">
        <v>966593966016</v>
      </c>
      <c r="F1062" t="s">
        <v>4726</v>
      </c>
      <c r="G1062" t="s">
        <v>853</v>
      </c>
    </row>
    <row r="1063" spans="1:7" x14ac:dyDescent="0.25">
      <c r="A1063" t="s">
        <v>4728</v>
      </c>
      <c r="B1063" t="s">
        <v>4729</v>
      </c>
      <c r="C1063" t="s">
        <v>4730</v>
      </c>
      <c r="E1063" s="19">
        <v>971588238647</v>
      </c>
      <c r="F1063" t="s">
        <v>4728</v>
      </c>
      <c r="G1063" t="s">
        <v>850</v>
      </c>
    </row>
    <row r="1064" spans="1:7" x14ac:dyDescent="0.25">
      <c r="A1064" t="s">
        <v>4731</v>
      </c>
      <c r="B1064" t="s">
        <v>4732</v>
      </c>
      <c r="C1064" t="s">
        <v>4733</v>
      </c>
      <c r="E1064" s="19">
        <v>966552500584</v>
      </c>
      <c r="F1064" t="s">
        <v>4731</v>
      </c>
      <c r="G1064" t="s">
        <v>838</v>
      </c>
    </row>
    <row r="1065" spans="1:7" x14ac:dyDescent="0.25">
      <c r="A1065" t="s">
        <v>4734</v>
      </c>
      <c r="B1065" t="s">
        <v>4735</v>
      </c>
      <c r="C1065" t="s">
        <v>4733</v>
      </c>
      <c r="E1065" s="19">
        <v>966552500584</v>
      </c>
      <c r="F1065" t="s">
        <v>4734</v>
      </c>
      <c r="G1065" t="s">
        <v>838</v>
      </c>
    </row>
    <row r="1066" spans="1:7" x14ac:dyDescent="0.25">
      <c r="A1066" t="s">
        <v>7856</v>
      </c>
      <c r="B1066" t="s">
        <v>7857</v>
      </c>
      <c r="C1066" t="s">
        <v>7858</v>
      </c>
      <c r="E1066" s="19">
        <v>971567920853</v>
      </c>
      <c r="F1066" t="s">
        <v>7856</v>
      </c>
      <c r="G1066" t="s">
        <v>839</v>
      </c>
    </row>
    <row r="1067" spans="1:7" x14ac:dyDescent="0.25">
      <c r="A1067" t="s">
        <v>7859</v>
      </c>
      <c r="B1067" t="s">
        <v>7860</v>
      </c>
      <c r="C1067" t="s">
        <v>7861</v>
      </c>
      <c r="E1067" s="19">
        <v>966566758222</v>
      </c>
      <c r="F1067" t="s">
        <v>7859</v>
      </c>
      <c r="G1067" t="s">
        <v>838</v>
      </c>
    </row>
    <row r="1068" spans="1:7" x14ac:dyDescent="0.25">
      <c r="A1068" t="s">
        <v>7862</v>
      </c>
      <c r="B1068" t="s">
        <v>7863</v>
      </c>
      <c r="C1068" t="s">
        <v>7864</v>
      </c>
      <c r="E1068" s="19">
        <v>966550660692</v>
      </c>
      <c r="F1068" t="s">
        <v>7862</v>
      </c>
      <c r="G1068" t="s">
        <v>838</v>
      </c>
    </row>
    <row r="1069" spans="1:7" x14ac:dyDescent="0.25">
      <c r="A1069" t="s">
        <v>7865</v>
      </c>
      <c r="B1069" t="s">
        <v>7866</v>
      </c>
      <c r="C1069" t="s">
        <v>7867</v>
      </c>
      <c r="E1069" s="19">
        <v>971501653989</v>
      </c>
      <c r="F1069" t="s">
        <v>7865</v>
      </c>
      <c r="G1069" t="s">
        <v>858</v>
      </c>
    </row>
    <row r="1070" spans="1:7" x14ac:dyDescent="0.25">
      <c r="A1070" t="s">
        <v>7868</v>
      </c>
      <c r="B1070" t="s">
        <v>7869</v>
      </c>
      <c r="C1070" t="s">
        <v>7870</v>
      </c>
      <c r="E1070" s="19">
        <v>966557861834</v>
      </c>
      <c r="F1070" t="s">
        <v>7868</v>
      </c>
      <c r="G1070" t="s">
        <v>841</v>
      </c>
    </row>
    <row r="1071" spans="1:7" x14ac:dyDescent="0.25">
      <c r="A1071" t="s">
        <v>7871</v>
      </c>
      <c r="B1071" t="s">
        <v>7872</v>
      </c>
      <c r="C1071" t="s">
        <v>7873</v>
      </c>
      <c r="E1071" s="19">
        <v>9660535119824</v>
      </c>
      <c r="F1071" t="s">
        <v>7871</v>
      </c>
      <c r="G1071" t="s">
        <v>838</v>
      </c>
    </row>
    <row r="1072" spans="1:7" x14ac:dyDescent="0.25">
      <c r="A1072" t="s">
        <v>7874</v>
      </c>
      <c r="B1072" t="s">
        <v>7875</v>
      </c>
      <c r="C1072" t="s">
        <v>7876</v>
      </c>
      <c r="E1072" s="19">
        <v>966568886599</v>
      </c>
      <c r="F1072" t="s">
        <v>7874</v>
      </c>
      <c r="G1072" t="s">
        <v>840</v>
      </c>
    </row>
    <row r="1073" spans="1:7" x14ac:dyDescent="0.25">
      <c r="A1073" t="s">
        <v>7877</v>
      </c>
      <c r="B1073" t="s">
        <v>7878</v>
      </c>
      <c r="C1073" t="s">
        <v>7879</v>
      </c>
      <c r="E1073" s="19">
        <v>966594233027</v>
      </c>
      <c r="F1073" t="s">
        <v>7877</v>
      </c>
      <c r="G1073" t="s">
        <v>838</v>
      </c>
    </row>
    <row r="1074" spans="1:7" x14ac:dyDescent="0.25">
      <c r="A1074" t="s">
        <v>7880</v>
      </c>
      <c r="B1074" t="s">
        <v>7881</v>
      </c>
      <c r="C1074" t="s">
        <v>7882</v>
      </c>
      <c r="E1074" s="19">
        <v>966501884167</v>
      </c>
      <c r="F1074" t="s">
        <v>7880</v>
      </c>
      <c r="G1074" t="s">
        <v>840</v>
      </c>
    </row>
    <row r="1075" spans="1:7" x14ac:dyDescent="0.25">
      <c r="A1075" t="s">
        <v>7883</v>
      </c>
      <c r="B1075" t="s">
        <v>7884</v>
      </c>
      <c r="C1075" t="s">
        <v>7885</v>
      </c>
      <c r="E1075" s="19">
        <v>966504122951</v>
      </c>
      <c r="F1075" t="s">
        <v>7883</v>
      </c>
      <c r="G1075" t="s">
        <v>839</v>
      </c>
    </row>
    <row r="1076" spans="1:7" x14ac:dyDescent="0.25">
      <c r="A1076" t="s">
        <v>7886</v>
      </c>
      <c r="B1076" t="s">
        <v>7887</v>
      </c>
      <c r="C1076" t="s">
        <v>7888</v>
      </c>
      <c r="E1076" s="19">
        <v>966564153099</v>
      </c>
      <c r="F1076" t="s">
        <v>7886</v>
      </c>
      <c r="G1076" t="s">
        <v>838</v>
      </c>
    </row>
    <row r="1077" spans="1:7" x14ac:dyDescent="0.25">
      <c r="A1077" t="s">
        <v>7889</v>
      </c>
      <c r="B1077" t="s">
        <v>7890</v>
      </c>
      <c r="C1077" t="s">
        <v>7891</v>
      </c>
      <c r="E1077" s="19">
        <v>966564820903</v>
      </c>
      <c r="F1077" t="s">
        <v>7889</v>
      </c>
      <c r="G1077" t="s">
        <v>838</v>
      </c>
    </row>
    <row r="1078" spans="1:7" x14ac:dyDescent="0.25">
      <c r="A1078" t="s">
        <v>7892</v>
      </c>
      <c r="B1078" t="s">
        <v>7893</v>
      </c>
      <c r="C1078" t="s">
        <v>7894</v>
      </c>
      <c r="E1078" s="19">
        <v>966566678714</v>
      </c>
      <c r="F1078" t="s">
        <v>7892</v>
      </c>
      <c r="G1078" t="s">
        <v>850</v>
      </c>
    </row>
    <row r="1079" spans="1:7" x14ac:dyDescent="0.25">
      <c r="A1079" t="s">
        <v>7895</v>
      </c>
      <c r="B1079" t="s">
        <v>7896</v>
      </c>
      <c r="C1079" t="s">
        <v>7897</v>
      </c>
      <c r="E1079" s="19">
        <v>966564007700</v>
      </c>
      <c r="F1079" t="s">
        <v>7895</v>
      </c>
      <c r="G1079" t="s">
        <v>838</v>
      </c>
    </row>
    <row r="1080" spans="1:7" x14ac:dyDescent="0.25">
      <c r="A1080" t="s">
        <v>7898</v>
      </c>
      <c r="B1080" t="s">
        <v>7899</v>
      </c>
      <c r="C1080" t="s">
        <v>7900</v>
      </c>
      <c r="E1080" s="19">
        <v>966503877605</v>
      </c>
      <c r="F1080" t="s">
        <v>7898</v>
      </c>
      <c r="G1080" t="s">
        <v>838</v>
      </c>
    </row>
    <row r="1081" spans="1:7" x14ac:dyDescent="0.25">
      <c r="A1081" t="s">
        <v>7901</v>
      </c>
      <c r="B1081" t="s">
        <v>7902</v>
      </c>
      <c r="C1081" t="s">
        <v>7903</v>
      </c>
      <c r="E1081" s="19">
        <v>966565149039</v>
      </c>
      <c r="F1081" t="s">
        <v>7901</v>
      </c>
      <c r="G1081" t="s">
        <v>839</v>
      </c>
    </row>
    <row r="1082" spans="1:7" x14ac:dyDescent="0.25">
      <c r="A1082" t="s">
        <v>7904</v>
      </c>
      <c r="B1082" t="s">
        <v>7905</v>
      </c>
      <c r="C1082" t="s">
        <v>7906</v>
      </c>
      <c r="E1082" s="19">
        <v>966530556611</v>
      </c>
      <c r="F1082" t="s">
        <v>7904</v>
      </c>
      <c r="G1082" t="s">
        <v>2732</v>
      </c>
    </row>
    <row r="1083" spans="1:7" x14ac:dyDescent="0.25">
      <c r="A1083" t="s">
        <v>7907</v>
      </c>
      <c r="B1083" t="s">
        <v>7908</v>
      </c>
      <c r="C1083" t="s">
        <v>7909</v>
      </c>
      <c r="E1083" s="19">
        <v>966564518961</v>
      </c>
      <c r="F1083" t="s">
        <v>7907</v>
      </c>
      <c r="G1083" t="s">
        <v>2732</v>
      </c>
    </row>
    <row r="1084" spans="1:7" x14ac:dyDescent="0.25">
      <c r="A1084" t="s">
        <v>7910</v>
      </c>
      <c r="B1084" t="s">
        <v>7911</v>
      </c>
      <c r="C1084" t="s">
        <v>7912</v>
      </c>
      <c r="E1084" s="19">
        <v>966555757402</v>
      </c>
      <c r="F1084" t="s">
        <v>7910</v>
      </c>
      <c r="G1084" t="s">
        <v>838</v>
      </c>
    </row>
    <row r="1085" spans="1:7" x14ac:dyDescent="0.25">
      <c r="A1085" t="s">
        <v>7913</v>
      </c>
      <c r="B1085" t="s">
        <v>7914</v>
      </c>
      <c r="C1085" t="s">
        <v>7915</v>
      </c>
      <c r="E1085" s="19">
        <v>966548844404</v>
      </c>
      <c r="F1085" t="s">
        <v>7913</v>
      </c>
      <c r="G1085" t="s">
        <v>2732</v>
      </c>
    </row>
    <row r="1086" spans="1:7" x14ac:dyDescent="0.25">
      <c r="A1086" t="s">
        <v>7916</v>
      </c>
      <c r="B1086" t="s">
        <v>7917</v>
      </c>
      <c r="C1086" t="s">
        <v>7918</v>
      </c>
      <c r="E1086" s="19">
        <v>966547544177</v>
      </c>
      <c r="F1086" t="s">
        <v>7916</v>
      </c>
      <c r="G1086" t="s">
        <v>840</v>
      </c>
    </row>
    <row r="1087" spans="1:7" x14ac:dyDescent="0.25">
      <c r="A1087" t="s">
        <v>7919</v>
      </c>
      <c r="B1087" t="s">
        <v>7920</v>
      </c>
      <c r="C1087" t="s">
        <v>7921</v>
      </c>
      <c r="E1087" s="19">
        <v>966544623312</v>
      </c>
      <c r="F1087" t="s">
        <v>7919</v>
      </c>
      <c r="G1087" t="s">
        <v>839</v>
      </c>
    </row>
    <row r="1088" spans="1:7" x14ac:dyDescent="0.25">
      <c r="A1088" t="s">
        <v>7922</v>
      </c>
      <c r="B1088" t="s">
        <v>7923</v>
      </c>
      <c r="C1088" t="s">
        <v>7924</v>
      </c>
      <c r="E1088" s="19">
        <v>966582423305</v>
      </c>
      <c r="F1088" t="s">
        <v>7922</v>
      </c>
      <c r="G1088" t="s">
        <v>838</v>
      </c>
    </row>
    <row r="1089" spans="1:7" x14ac:dyDescent="0.25">
      <c r="A1089" t="s">
        <v>7925</v>
      </c>
      <c r="B1089" t="s">
        <v>7926</v>
      </c>
      <c r="C1089" t="s">
        <v>7927</v>
      </c>
      <c r="E1089" s="19">
        <v>966536113343</v>
      </c>
      <c r="F1089" t="s">
        <v>7925</v>
      </c>
      <c r="G1089" t="s">
        <v>839</v>
      </c>
    </row>
    <row r="1090" spans="1:7" x14ac:dyDescent="0.25">
      <c r="A1090" t="s">
        <v>7928</v>
      </c>
      <c r="B1090" t="s">
        <v>7929</v>
      </c>
      <c r="C1090" t="s">
        <v>7930</v>
      </c>
      <c r="E1090" s="19">
        <v>966500990283</v>
      </c>
      <c r="F1090" t="s">
        <v>7928</v>
      </c>
      <c r="G1090" t="s">
        <v>840</v>
      </c>
    </row>
    <row r="1091" spans="1:7" x14ac:dyDescent="0.25">
      <c r="A1091" t="s">
        <v>7931</v>
      </c>
      <c r="B1091" t="s">
        <v>7932</v>
      </c>
      <c r="C1091" t="s">
        <v>7930</v>
      </c>
      <c r="E1091" s="19">
        <v>966500990283</v>
      </c>
      <c r="F1091" t="s">
        <v>7931</v>
      </c>
      <c r="G1091" t="s">
        <v>840</v>
      </c>
    </row>
    <row r="1092" spans="1:7" x14ac:dyDescent="0.25">
      <c r="A1092" t="s">
        <v>7933</v>
      </c>
      <c r="B1092" t="s">
        <v>7934</v>
      </c>
      <c r="C1092" t="s">
        <v>7935</v>
      </c>
      <c r="E1092" s="19">
        <v>966505564444</v>
      </c>
      <c r="F1092" t="s">
        <v>7933</v>
      </c>
      <c r="G1092" t="s">
        <v>840</v>
      </c>
    </row>
    <row r="1093" spans="1:7" x14ac:dyDescent="0.25">
      <c r="A1093" t="s">
        <v>7936</v>
      </c>
      <c r="B1093" t="s">
        <v>7937</v>
      </c>
      <c r="C1093" t="s">
        <v>7938</v>
      </c>
      <c r="E1093" s="19">
        <v>966559659978</v>
      </c>
      <c r="F1093" t="s">
        <v>7936</v>
      </c>
      <c r="G1093" t="s">
        <v>840</v>
      </c>
    </row>
    <row r="1094" spans="1:7" x14ac:dyDescent="0.25">
      <c r="A1094" t="s">
        <v>7939</v>
      </c>
      <c r="B1094" t="s">
        <v>7940</v>
      </c>
      <c r="C1094" t="s">
        <v>7938</v>
      </c>
      <c r="E1094" s="19">
        <v>966559659978</v>
      </c>
      <c r="F1094" t="s">
        <v>7939</v>
      </c>
      <c r="G1094" t="s">
        <v>840</v>
      </c>
    </row>
    <row r="1095" spans="1:7" x14ac:dyDescent="0.25">
      <c r="A1095" t="s">
        <v>7941</v>
      </c>
      <c r="B1095" t="s">
        <v>7942</v>
      </c>
      <c r="C1095" t="s">
        <v>7943</v>
      </c>
      <c r="E1095" s="19">
        <v>971551130512</v>
      </c>
      <c r="F1095" t="s">
        <v>7941</v>
      </c>
      <c r="G1095" t="s">
        <v>837</v>
      </c>
    </row>
    <row r="1096" spans="1:7" x14ac:dyDescent="0.25">
      <c r="A1096" t="s">
        <v>7944</v>
      </c>
      <c r="B1096" t="s">
        <v>7945</v>
      </c>
      <c r="C1096" t="s">
        <v>7946</v>
      </c>
      <c r="E1096" s="19">
        <v>966564916576</v>
      </c>
      <c r="F1096" t="s">
        <v>7944</v>
      </c>
      <c r="G1096" t="s">
        <v>840</v>
      </c>
    </row>
    <row r="1097" spans="1:7" x14ac:dyDescent="0.25">
      <c r="A1097" t="s">
        <v>7947</v>
      </c>
      <c r="B1097" t="s">
        <v>7948</v>
      </c>
      <c r="C1097" t="s">
        <v>7949</v>
      </c>
      <c r="E1097" s="19">
        <v>966555257895</v>
      </c>
      <c r="F1097" t="s">
        <v>7947</v>
      </c>
      <c r="G1097" t="s">
        <v>840</v>
      </c>
    </row>
    <row r="1098" spans="1:7" x14ac:dyDescent="0.25">
      <c r="A1098" t="s">
        <v>7950</v>
      </c>
      <c r="B1098" t="s">
        <v>7951</v>
      </c>
      <c r="C1098" t="s">
        <v>7952</v>
      </c>
      <c r="E1098" s="19">
        <v>971551084148</v>
      </c>
      <c r="F1098" t="s">
        <v>7950</v>
      </c>
      <c r="G1098" t="s">
        <v>858</v>
      </c>
    </row>
    <row r="1099" spans="1:7" x14ac:dyDescent="0.25">
      <c r="A1099" t="s">
        <v>7953</v>
      </c>
      <c r="B1099" t="s">
        <v>7954</v>
      </c>
      <c r="C1099" t="s">
        <v>7955</v>
      </c>
      <c r="E1099" s="19">
        <v>966500488487</v>
      </c>
      <c r="F1099" t="s">
        <v>7953</v>
      </c>
      <c r="G1099" t="s">
        <v>839</v>
      </c>
    </row>
    <row r="1100" spans="1:7" x14ac:dyDescent="0.25">
      <c r="A1100" t="s">
        <v>7956</v>
      </c>
      <c r="B1100" t="s">
        <v>7957</v>
      </c>
      <c r="C1100" t="s">
        <v>7958</v>
      </c>
      <c r="E1100" s="19">
        <v>966549090390</v>
      </c>
      <c r="F1100" t="s">
        <v>7956</v>
      </c>
      <c r="G1100" t="s">
        <v>840</v>
      </c>
    </row>
    <row r="1101" spans="1:7" x14ac:dyDescent="0.25">
      <c r="A1101" t="s">
        <v>7959</v>
      </c>
      <c r="B1101" t="s">
        <v>7960</v>
      </c>
      <c r="C1101" t="s">
        <v>7961</v>
      </c>
      <c r="E1101" s="19">
        <v>966569407096</v>
      </c>
      <c r="F1101" t="s">
        <v>7959</v>
      </c>
      <c r="G1101" t="s">
        <v>7962</v>
      </c>
    </row>
    <row r="1102" spans="1:7" x14ac:dyDescent="0.25">
      <c r="A1102" t="s">
        <v>7963</v>
      </c>
      <c r="B1102" t="s">
        <v>7964</v>
      </c>
      <c r="C1102" t="s">
        <v>7961</v>
      </c>
      <c r="E1102" s="19">
        <v>966569407096</v>
      </c>
      <c r="F1102" t="s">
        <v>7963</v>
      </c>
      <c r="G1102" t="s">
        <v>7962</v>
      </c>
    </row>
    <row r="1103" spans="1:7" x14ac:dyDescent="0.25">
      <c r="A1103" t="s">
        <v>7965</v>
      </c>
      <c r="B1103" t="s">
        <v>7966</v>
      </c>
      <c r="C1103" t="s">
        <v>7967</v>
      </c>
      <c r="E1103" s="19">
        <v>966508264145</v>
      </c>
      <c r="F1103" t="s">
        <v>7965</v>
      </c>
      <c r="G1103" t="s">
        <v>838</v>
      </c>
    </row>
    <row r="1104" spans="1:7" x14ac:dyDescent="0.25">
      <c r="A1104" t="s">
        <v>7968</v>
      </c>
      <c r="B1104" t="s">
        <v>7969</v>
      </c>
      <c r="C1104" t="s">
        <v>7970</v>
      </c>
      <c r="E1104" s="19">
        <v>971501949408</v>
      </c>
      <c r="F1104" t="s">
        <v>7968</v>
      </c>
      <c r="G1104" t="s">
        <v>858</v>
      </c>
    </row>
    <row r="1105" spans="1:7" x14ac:dyDescent="0.25">
      <c r="A1105" t="s">
        <v>7971</v>
      </c>
      <c r="B1105" t="s">
        <v>7972</v>
      </c>
      <c r="C1105" t="s">
        <v>7973</v>
      </c>
      <c r="E1105" s="19">
        <v>971564225345</v>
      </c>
      <c r="F1105" t="s">
        <v>7971</v>
      </c>
      <c r="G1105" t="s">
        <v>839</v>
      </c>
    </row>
    <row r="1106" spans="1:7" x14ac:dyDescent="0.25">
      <c r="A1106" t="s">
        <v>7974</v>
      </c>
      <c r="B1106" t="s">
        <v>7975</v>
      </c>
      <c r="C1106" t="s">
        <v>7976</v>
      </c>
      <c r="E1106" s="19">
        <v>966555618064</v>
      </c>
      <c r="F1106" t="s">
        <v>7974</v>
      </c>
      <c r="G1106" t="s">
        <v>838</v>
      </c>
    </row>
    <row r="1107" spans="1:7" x14ac:dyDescent="0.25">
      <c r="A1107" t="s">
        <v>7977</v>
      </c>
      <c r="B1107" t="s">
        <v>7978</v>
      </c>
      <c r="C1107" t="s">
        <v>7979</v>
      </c>
      <c r="E1107" s="19">
        <v>971555179666</v>
      </c>
      <c r="F1107" t="s">
        <v>7977</v>
      </c>
      <c r="G1107" t="s">
        <v>858</v>
      </c>
    </row>
    <row r="1108" spans="1:7" x14ac:dyDescent="0.25">
      <c r="A1108" t="s">
        <v>7980</v>
      </c>
      <c r="B1108" t="s">
        <v>7981</v>
      </c>
      <c r="C1108" t="s">
        <v>7982</v>
      </c>
      <c r="E1108" s="19">
        <v>966504128080</v>
      </c>
      <c r="F1108" t="s">
        <v>7980</v>
      </c>
      <c r="G1108" t="s">
        <v>7983</v>
      </c>
    </row>
    <row r="1109" spans="1:7" x14ac:dyDescent="0.25">
      <c r="A1109" t="s">
        <v>7984</v>
      </c>
      <c r="B1109" t="s">
        <v>7985</v>
      </c>
      <c r="C1109" t="s">
        <v>7982</v>
      </c>
      <c r="E1109" s="19">
        <v>966504128080</v>
      </c>
      <c r="F1109" t="s">
        <v>7984</v>
      </c>
      <c r="G1109" t="s">
        <v>7983</v>
      </c>
    </row>
    <row r="1110" spans="1:7" x14ac:dyDescent="0.25">
      <c r="A1110" t="s">
        <v>7986</v>
      </c>
      <c r="B1110" t="s">
        <v>7987</v>
      </c>
      <c r="C1110" t="s">
        <v>7988</v>
      </c>
      <c r="E1110" s="19">
        <v>966552610363</v>
      </c>
      <c r="F1110" t="s">
        <v>7986</v>
      </c>
      <c r="G1110" t="s">
        <v>840</v>
      </c>
    </row>
    <row r="1111" spans="1:7" x14ac:dyDescent="0.25">
      <c r="A1111" t="s">
        <v>7989</v>
      </c>
      <c r="B1111" t="s">
        <v>7990</v>
      </c>
      <c r="C1111" t="s">
        <v>7991</v>
      </c>
      <c r="E1111" s="19">
        <v>966581119459</v>
      </c>
      <c r="F1111" t="s">
        <v>7989</v>
      </c>
      <c r="G1111" t="s">
        <v>840</v>
      </c>
    </row>
    <row r="1112" spans="1:7" x14ac:dyDescent="0.25">
      <c r="A1112" t="s">
        <v>7992</v>
      </c>
      <c r="B1112" t="s">
        <v>7993</v>
      </c>
      <c r="C1112" t="s">
        <v>7994</v>
      </c>
      <c r="E1112" s="19">
        <v>966580132843</v>
      </c>
      <c r="F1112" t="s">
        <v>7992</v>
      </c>
      <c r="G1112" t="s">
        <v>840</v>
      </c>
    </row>
    <row r="1113" spans="1:7" x14ac:dyDescent="0.25">
      <c r="A1113" t="s">
        <v>7995</v>
      </c>
      <c r="B1113" t="s">
        <v>7996</v>
      </c>
      <c r="C1113" t="s">
        <v>355</v>
      </c>
      <c r="F1113" t="s">
        <v>7995</v>
      </c>
      <c r="G1113" t="s">
        <v>844</v>
      </c>
    </row>
    <row r="1114" spans="1:7" x14ac:dyDescent="0.25">
      <c r="A1114" t="s">
        <v>7997</v>
      </c>
      <c r="B1114" t="s">
        <v>7998</v>
      </c>
      <c r="C1114" t="s">
        <v>355</v>
      </c>
      <c r="F1114" t="s">
        <v>7997</v>
      </c>
      <c r="G1114" t="s">
        <v>844</v>
      </c>
    </row>
    <row r="1115" spans="1:7" x14ac:dyDescent="0.25">
      <c r="A1115" t="s">
        <v>7999</v>
      </c>
      <c r="B1115" t="s">
        <v>8000</v>
      </c>
      <c r="C1115" t="s">
        <v>355</v>
      </c>
      <c r="F1115" t="s">
        <v>7999</v>
      </c>
      <c r="G1115" t="s">
        <v>844</v>
      </c>
    </row>
    <row r="1116" spans="1:7" x14ac:dyDescent="0.25">
      <c r="A1116" t="s">
        <v>8001</v>
      </c>
      <c r="B1116" t="s">
        <v>8002</v>
      </c>
      <c r="C1116" t="s">
        <v>8003</v>
      </c>
      <c r="F1116" t="s">
        <v>8001</v>
      </c>
      <c r="G1116" t="s">
        <v>844</v>
      </c>
    </row>
    <row r="1117" spans="1:7" x14ac:dyDescent="0.25">
      <c r="A1117" t="s">
        <v>8004</v>
      </c>
      <c r="B1117" t="s">
        <v>8005</v>
      </c>
      <c r="C1117" t="s">
        <v>8003</v>
      </c>
      <c r="F1117" t="s">
        <v>8004</v>
      </c>
      <c r="G1117" t="s">
        <v>844</v>
      </c>
    </row>
    <row r="1118" spans="1:7" x14ac:dyDescent="0.25">
      <c r="A1118" t="s">
        <v>8006</v>
      </c>
      <c r="B1118" t="s">
        <v>8007</v>
      </c>
      <c r="C1118" t="s">
        <v>8003</v>
      </c>
      <c r="F1118" t="s">
        <v>8006</v>
      </c>
      <c r="G1118" t="s">
        <v>844</v>
      </c>
    </row>
    <row r="1119" spans="1:7" x14ac:dyDescent="0.25">
      <c r="A1119" t="s">
        <v>8008</v>
      </c>
      <c r="B1119" t="s">
        <v>8009</v>
      </c>
      <c r="C1119" t="s">
        <v>8010</v>
      </c>
      <c r="F1119" t="s">
        <v>8008</v>
      </c>
      <c r="G1119" t="s">
        <v>844</v>
      </c>
    </row>
    <row r="1120" spans="1:7" x14ac:dyDescent="0.25">
      <c r="A1120" t="s">
        <v>8011</v>
      </c>
      <c r="B1120" t="s">
        <v>8012</v>
      </c>
      <c r="C1120" t="s">
        <v>8010</v>
      </c>
      <c r="F1120" t="s">
        <v>8011</v>
      </c>
      <c r="G1120" t="s">
        <v>844</v>
      </c>
    </row>
    <row r="1121" spans="1:7" x14ac:dyDescent="0.25">
      <c r="A1121" t="s">
        <v>8013</v>
      </c>
      <c r="B1121" t="s">
        <v>8014</v>
      </c>
      <c r="C1121" t="s">
        <v>8015</v>
      </c>
      <c r="E1121" s="19">
        <v>971523489687</v>
      </c>
      <c r="F1121" t="s">
        <v>8013</v>
      </c>
      <c r="G1121" t="s">
        <v>839</v>
      </c>
    </row>
    <row r="1122" spans="1:7" x14ac:dyDescent="0.25">
      <c r="A1122" t="s">
        <v>8016</v>
      </c>
      <c r="B1122" t="s">
        <v>8017</v>
      </c>
      <c r="C1122" t="s">
        <v>8018</v>
      </c>
      <c r="E1122" s="19">
        <v>966562827665</v>
      </c>
      <c r="F1122" t="s">
        <v>8016</v>
      </c>
      <c r="G1122" t="s">
        <v>838</v>
      </c>
    </row>
    <row r="1123" spans="1:7" x14ac:dyDescent="0.25">
      <c r="A1123" t="s">
        <v>8019</v>
      </c>
      <c r="B1123" t="s">
        <v>8020</v>
      </c>
      <c r="C1123" t="s">
        <v>8021</v>
      </c>
      <c r="E1123" s="19">
        <v>971565354975</v>
      </c>
      <c r="F1123" t="s">
        <v>8019</v>
      </c>
      <c r="G1123" t="s">
        <v>1387</v>
      </c>
    </row>
    <row r="1124" spans="1:7" x14ac:dyDescent="0.25">
      <c r="A1124" t="s">
        <v>8022</v>
      </c>
      <c r="B1124" t="s">
        <v>8023</v>
      </c>
      <c r="C1124" t="s">
        <v>8024</v>
      </c>
      <c r="E1124" s="19">
        <v>13475102340</v>
      </c>
      <c r="F1124" t="s">
        <v>8022</v>
      </c>
      <c r="G1124" t="s">
        <v>841</v>
      </c>
    </row>
    <row r="1125" spans="1:7" x14ac:dyDescent="0.25">
      <c r="A1125" t="s">
        <v>8025</v>
      </c>
      <c r="B1125" t="s">
        <v>8026</v>
      </c>
      <c r="C1125" t="s">
        <v>8027</v>
      </c>
      <c r="E1125" s="19">
        <v>919810403933</v>
      </c>
      <c r="F1125" t="s">
        <v>8025</v>
      </c>
      <c r="G1125" t="s">
        <v>841</v>
      </c>
    </row>
    <row r="1126" spans="1:7" x14ac:dyDescent="0.25">
      <c r="A1126" t="s">
        <v>8028</v>
      </c>
      <c r="B1126" t="s">
        <v>8029</v>
      </c>
      <c r="C1126" t="s">
        <v>8030</v>
      </c>
      <c r="E1126" s="19">
        <v>971528691561</v>
      </c>
      <c r="F1126" t="s">
        <v>8028</v>
      </c>
      <c r="G1126" t="s">
        <v>839</v>
      </c>
    </row>
    <row r="1127" spans="1:7" x14ac:dyDescent="0.25">
      <c r="A1127" t="s">
        <v>8031</v>
      </c>
      <c r="B1127" t="s">
        <v>8032</v>
      </c>
      <c r="C1127" t="s">
        <v>8033</v>
      </c>
      <c r="E1127" s="19" t="s">
        <v>8034</v>
      </c>
      <c r="F1127" t="s">
        <v>8031</v>
      </c>
      <c r="G1127" t="s">
        <v>838</v>
      </c>
    </row>
    <row r="1128" spans="1:7" x14ac:dyDescent="0.25">
      <c r="A1128" t="s">
        <v>8035</v>
      </c>
      <c r="B1128" t="s">
        <v>8036</v>
      </c>
      <c r="C1128" t="s">
        <v>8024</v>
      </c>
      <c r="E1128" s="19">
        <v>13475102340</v>
      </c>
      <c r="F1128" t="s">
        <v>8035</v>
      </c>
      <c r="G1128" t="s">
        <v>837</v>
      </c>
    </row>
    <row r="1129" spans="1:7" x14ac:dyDescent="0.25">
      <c r="A1129" t="s">
        <v>8037</v>
      </c>
      <c r="B1129" t="s">
        <v>8038</v>
      </c>
      <c r="C1129" t="s">
        <v>8039</v>
      </c>
      <c r="E1129" s="19">
        <v>966548296170</v>
      </c>
      <c r="F1129" t="s">
        <v>8037</v>
      </c>
      <c r="G1129" t="s">
        <v>838</v>
      </c>
    </row>
    <row r="1130" spans="1:7" x14ac:dyDescent="0.25">
      <c r="A1130" t="s">
        <v>8040</v>
      </c>
      <c r="B1130" t="s">
        <v>8041</v>
      </c>
      <c r="C1130" t="s">
        <v>8042</v>
      </c>
      <c r="E1130" s="19">
        <v>966598436597</v>
      </c>
      <c r="F1130" t="s">
        <v>8040</v>
      </c>
      <c r="G1130" t="s">
        <v>838</v>
      </c>
    </row>
    <row r="1131" spans="1:7" x14ac:dyDescent="0.25">
      <c r="A1131" t="s">
        <v>8043</v>
      </c>
      <c r="B1131" t="s">
        <v>8044</v>
      </c>
      <c r="C1131" t="s">
        <v>8045</v>
      </c>
      <c r="E1131" s="19">
        <v>971504550115</v>
      </c>
      <c r="F1131" t="s">
        <v>8043</v>
      </c>
      <c r="G1131" t="s">
        <v>854</v>
      </c>
    </row>
    <row r="1132" spans="1:7" x14ac:dyDescent="0.25">
      <c r="A1132" t="s">
        <v>8046</v>
      </c>
      <c r="B1132" t="s">
        <v>8047</v>
      </c>
      <c r="C1132" t="s">
        <v>8048</v>
      </c>
      <c r="E1132" s="19">
        <v>971566651670</v>
      </c>
      <c r="F1132" t="s">
        <v>8046</v>
      </c>
      <c r="G1132" t="s">
        <v>837</v>
      </c>
    </row>
    <row r="1133" spans="1:7" x14ac:dyDescent="0.25">
      <c r="A1133" t="s">
        <v>8049</v>
      </c>
      <c r="B1133" t="s">
        <v>8050</v>
      </c>
      <c r="C1133" t="s">
        <v>8051</v>
      </c>
      <c r="E1133" s="19">
        <v>971522510277</v>
      </c>
      <c r="F1133" t="s">
        <v>8049</v>
      </c>
      <c r="G1133" t="s">
        <v>854</v>
      </c>
    </row>
    <row r="1134" spans="1:7" x14ac:dyDescent="0.25">
      <c r="A1134" t="s">
        <v>8052</v>
      </c>
      <c r="B1134" t="s">
        <v>8053</v>
      </c>
      <c r="C1134" t="s">
        <v>8054</v>
      </c>
      <c r="E1134" s="19">
        <v>9710565003504</v>
      </c>
      <c r="F1134" t="s">
        <v>8052</v>
      </c>
      <c r="G1134" t="s">
        <v>872</v>
      </c>
    </row>
    <row r="1135" spans="1:7" x14ac:dyDescent="0.25">
      <c r="A1135" t="s">
        <v>8055</v>
      </c>
      <c r="B1135" t="s">
        <v>8056</v>
      </c>
      <c r="C1135" t="s">
        <v>8057</v>
      </c>
      <c r="E1135" s="19">
        <v>561521913</v>
      </c>
      <c r="F1135" t="s">
        <v>8055</v>
      </c>
      <c r="G1135" t="s">
        <v>844</v>
      </c>
    </row>
    <row r="1136" spans="1:7" x14ac:dyDescent="0.25">
      <c r="A1136" t="s">
        <v>8058</v>
      </c>
      <c r="B1136" t="s">
        <v>8059</v>
      </c>
      <c r="C1136" t="s">
        <v>8060</v>
      </c>
      <c r="E1136" s="19">
        <v>971568696366</v>
      </c>
      <c r="F1136" t="s">
        <v>8058</v>
      </c>
      <c r="G1136" t="s">
        <v>3156</v>
      </c>
    </row>
    <row r="1137" spans="1:7" x14ac:dyDescent="0.25">
      <c r="A1137" t="s">
        <v>8061</v>
      </c>
      <c r="B1137" t="s">
        <v>8062</v>
      </c>
      <c r="C1137" t="s">
        <v>8060</v>
      </c>
      <c r="E1137" s="19">
        <v>971568696366</v>
      </c>
      <c r="F1137" t="s">
        <v>8061</v>
      </c>
      <c r="G1137" t="s">
        <v>3156</v>
      </c>
    </row>
    <row r="1138" spans="1:7" x14ac:dyDescent="0.25">
      <c r="A1138" t="s">
        <v>8063</v>
      </c>
      <c r="B1138" t="s">
        <v>8064</v>
      </c>
      <c r="C1138" t="s">
        <v>8065</v>
      </c>
      <c r="E1138" s="19">
        <v>971501444282</v>
      </c>
      <c r="F1138" t="s">
        <v>8063</v>
      </c>
      <c r="G1138" t="s">
        <v>842</v>
      </c>
    </row>
    <row r="1139" spans="1:7" x14ac:dyDescent="0.25">
      <c r="A1139" t="s">
        <v>8066</v>
      </c>
      <c r="B1139" t="s">
        <v>8067</v>
      </c>
      <c r="C1139" t="s">
        <v>8068</v>
      </c>
      <c r="E1139" s="19">
        <v>971558005681</v>
      </c>
      <c r="F1139" t="s">
        <v>8066</v>
      </c>
      <c r="G1139" t="s">
        <v>1382</v>
      </c>
    </row>
    <row r="1140" spans="1:7" x14ac:dyDescent="0.25">
      <c r="A1140" t="s">
        <v>8069</v>
      </c>
      <c r="B1140" t="s">
        <v>8070</v>
      </c>
      <c r="C1140" t="s">
        <v>8071</v>
      </c>
      <c r="E1140" s="19">
        <v>971504618414</v>
      </c>
      <c r="F1140" t="s">
        <v>8069</v>
      </c>
      <c r="G1140" t="s">
        <v>872</v>
      </c>
    </row>
    <row r="1141" spans="1:7" x14ac:dyDescent="0.25">
      <c r="A1141" t="s">
        <v>8072</v>
      </c>
      <c r="B1141" t="s">
        <v>8073</v>
      </c>
      <c r="C1141" t="s">
        <v>8074</v>
      </c>
      <c r="E1141" s="19">
        <v>966507970425</v>
      </c>
      <c r="F1141" t="s">
        <v>8072</v>
      </c>
      <c r="G1141" t="s">
        <v>841</v>
      </c>
    </row>
    <row r="1142" spans="1:7" x14ac:dyDescent="0.25">
      <c r="A1142" t="s">
        <v>8075</v>
      </c>
      <c r="B1142" t="s">
        <v>8076</v>
      </c>
      <c r="C1142" t="s">
        <v>8074</v>
      </c>
      <c r="E1142" s="19">
        <v>966507970425</v>
      </c>
      <c r="F1142" t="s">
        <v>8075</v>
      </c>
      <c r="G1142" t="s">
        <v>841</v>
      </c>
    </row>
    <row r="1143" spans="1:7" x14ac:dyDescent="0.25">
      <c r="A1143" t="s">
        <v>8077</v>
      </c>
      <c r="B1143" t="s">
        <v>8094</v>
      </c>
      <c r="C1143" t="s">
        <v>8078</v>
      </c>
      <c r="F1143" t="s">
        <v>8077</v>
      </c>
      <c r="G1143" t="s">
        <v>844</v>
      </c>
    </row>
    <row r="1144" spans="1:7" x14ac:dyDescent="0.25">
      <c r="A1144" t="s">
        <v>8079</v>
      </c>
      <c r="B1144" t="s">
        <v>8080</v>
      </c>
      <c r="C1144" t="s">
        <v>8045</v>
      </c>
      <c r="E1144" s="19">
        <v>971504550115</v>
      </c>
      <c r="F1144" t="s">
        <v>8079</v>
      </c>
      <c r="G1144" t="s">
        <v>854</v>
      </c>
    </row>
    <row r="1145" spans="1:7" x14ac:dyDescent="0.25">
      <c r="A1145" t="s">
        <v>8081</v>
      </c>
      <c r="B1145" t="s">
        <v>8082</v>
      </c>
      <c r="C1145" t="s">
        <v>8083</v>
      </c>
      <c r="E1145" s="19">
        <v>966566688452</v>
      </c>
      <c r="F1145" t="s">
        <v>8081</v>
      </c>
      <c r="G1145" t="s">
        <v>839</v>
      </c>
    </row>
    <row r="1146" spans="1:7" x14ac:dyDescent="0.25">
      <c r="A1146" t="s">
        <v>8084</v>
      </c>
      <c r="B1146" t="s">
        <v>8085</v>
      </c>
      <c r="C1146" t="s">
        <v>8083</v>
      </c>
      <c r="E1146" s="19">
        <v>966566688452</v>
      </c>
      <c r="F1146" t="s">
        <v>8084</v>
      </c>
      <c r="G1146" t="s">
        <v>839</v>
      </c>
    </row>
    <row r="1147" spans="1:7" x14ac:dyDescent="0.25">
      <c r="A1147" t="s">
        <v>8086</v>
      </c>
      <c r="B1147" t="s">
        <v>8087</v>
      </c>
      <c r="C1147" t="s">
        <v>8088</v>
      </c>
      <c r="E1147" s="19">
        <v>966554134499</v>
      </c>
      <c r="F1147" t="s">
        <v>8086</v>
      </c>
      <c r="G1147" t="s">
        <v>872</v>
      </c>
    </row>
    <row r="1148" spans="1:7" x14ac:dyDescent="0.25">
      <c r="A1148" t="s">
        <v>8089</v>
      </c>
      <c r="B1148" t="s">
        <v>8090</v>
      </c>
      <c r="C1148" t="s">
        <v>8091</v>
      </c>
      <c r="E1148" s="19">
        <v>966540000393</v>
      </c>
      <c r="F1148" t="s">
        <v>8089</v>
      </c>
      <c r="G1148" t="s">
        <v>841</v>
      </c>
    </row>
    <row r="1149" spans="1:7" x14ac:dyDescent="0.25">
      <c r="A1149" t="s">
        <v>8092</v>
      </c>
      <c r="B1149" t="s">
        <v>8093</v>
      </c>
      <c r="C1149" t="s">
        <v>8091</v>
      </c>
      <c r="E1149" s="19">
        <v>966540000393</v>
      </c>
      <c r="F1149" t="s">
        <v>8092</v>
      </c>
      <c r="G1149" t="s">
        <v>841</v>
      </c>
    </row>
    <row r="1150" spans="1:7" x14ac:dyDescent="0.25">
      <c r="A1150" t="s">
        <v>8095</v>
      </c>
      <c r="B1150" t="s">
        <v>8096</v>
      </c>
      <c r="C1150" t="s">
        <v>8097</v>
      </c>
      <c r="E1150" s="19">
        <v>966544337345</v>
      </c>
      <c r="F1150" t="s">
        <v>8095</v>
      </c>
      <c r="G1150" t="s">
        <v>838</v>
      </c>
    </row>
    <row r="1151" spans="1:7" x14ac:dyDescent="0.25">
      <c r="A1151" t="s">
        <v>8098</v>
      </c>
      <c r="B1151" t="s">
        <v>8099</v>
      </c>
      <c r="C1151" t="s">
        <v>8100</v>
      </c>
      <c r="E1151" s="19">
        <v>966544478984</v>
      </c>
      <c r="F1151" t="s">
        <v>8098</v>
      </c>
      <c r="G1151" t="s">
        <v>8101</v>
      </c>
    </row>
    <row r="1152" spans="1:7" x14ac:dyDescent="0.25">
      <c r="A1152" t="s">
        <v>8102</v>
      </c>
      <c r="B1152" t="s">
        <v>8103</v>
      </c>
      <c r="C1152" t="s">
        <v>8104</v>
      </c>
      <c r="E1152" s="19">
        <v>966551370269</v>
      </c>
      <c r="F1152" t="s">
        <v>8102</v>
      </c>
      <c r="G1152" t="s">
        <v>839</v>
      </c>
    </row>
    <row r="1153" spans="1:7" x14ac:dyDescent="0.25">
      <c r="A1153" t="s">
        <v>8105</v>
      </c>
      <c r="B1153" t="s">
        <v>8106</v>
      </c>
      <c r="C1153" t="s">
        <v>8104</v>
      </c>
      <c r="E1153" s="19">
        <v>966551370269</v>
      </c>
      <c r="F1153" t="s">
        <v>8105</v>
      </c>
      <c r="G1153" t="s">
        <v>839</v>
      </c>
    </row>
    <row r="1154" spans="1:7" x14ac:dyDescent="0.25">
      <c r="A1154" t="s">
        <v>8107</v>
      </c>
      <c r="B1154" t="s">
        <v>8108</v>
      </c>
      <c r="C1154" t="s">
        <v>8109</v>
      </c>
      <c r="E1154" s="19">
        <v>966552277610</v>
      </c>
      <c r="F1154" t="s">
        <v>8107</v>
      </c>
      <c r="G1154" t="s">
        <v>839</v>
      </c>
    </row>
    <row r="1155" spans="1:7" x14ac:dyDescent="0.25">
      <c r="A1155" t="s">
        <v>8110</v>
      </c>
      <c r="B1155" t="s">
        <v>8111</v>
      </c>
      <c r="C1155" t="s">
        <v>8109</v>
      </c>
      <c r="E1155" s="19">
        <v>966552277610</v>
      </c>
      <c r="F1155" t="s">
        <v>8110</v>
      </c>
      <c r="G1155" t="s">
        <v>839</v>
      </c>
    </row>
    <row r="1156" spans="1:7" x14ac:dyDescent="0.25">
      <c r="A1156" t="s">
        <v>8112</v>
      </c>
      <c r="B1156" t="s">
        <v>8113</v>
      </c>
      <c r="C1156" t="s">
        <v>8114</v>
      </c>
      <c r="E1156" s="19">
        <v>966544178399</v>
      </c>
      <c r="F1156" t="s">
        <v>8112</v>
      </c>
      <c r="G1156" t="s">
        <v>844</v>
      </c>
    </row>
    <row r="1157" spans="1:7" x14ac:dyDescent="0.25">
      <c r="A1157" t="s">
        <v>8115</v>
      </c>
      <c r="B1157" t="s">
        <v>8116</v>
      </c>
      <c r="C1157" t="s">
        <v>8117</v>
      </c>
      <c r="E1157" s="19">
        <v>971504583936</v>
      </c>
      <c r="F1157" t="s">
        <v>8115</v>
      </c>
      <c r="G1157" t="s">
        <v>841</v>
      </c>
    </row>
    <row r="1158" spans="1:7" x14ac:dyDescent="0.25">
      <c r="A1158" t="s">
        <v>8118</v>
      </c>
      <c r="B1158" t="s">
        <v>8119</v>
      </c>
      <c r="C1158" t="s">
        <v>8120</v>
      </c>
      <c r="E1158" s="19">
        <v>966556625874</v>
      </c>
      <c r="F1158" t="s">
        <v>8118</v>
      </c>
      <c r="G1158" t="s">
        <v>2732</v>
      </c>
    </row>
    <row r="1159" spans="1:7" x14ac:dyDescent="0.25">
      <c r="A1159" t="s">
        <v>8121</v>
      </c>
      <c r="B1159" t="s">
        <v>8122</v>
      </c>
      <c r="C1159" t="s">
        <v>8120</v>
      </c>
      <c r="E1159" s="19">
        <v>966556625874</v>
      </c>
      <c r="F1159" t="s">
        <v>8121</v>
      </c>
      <c r="G1159" t="s">
        <v>2732</v>
      </c>
    </row>
    <row r="1160" spans="1:7" x14ac:dyDescent="0.25">
      <c r="A1160" t="s">
        <v>8123</v>
      </c>
      <c r="B1160" t="s">
        <v>8124</v>
      </c>
      <c r="C1160" t="s">
        <v>8125</v>
      </c>
      <c r="E1160" s="19">
        <v>966556464946</v>
      </c>
      <c r="F1160" t="s">
        <v>8123</v>
      </c>
      <c r="G1160" t="s">
        <v>839</v>
      </c>
    </row>
    <row r="1161" spans="1:7" x14ac:dyDescent="0.25">
      <c r="A1161" t="s">
        <v>8126</v>
      </c>
      <c r="B1161" t="s">
        <v>8127</v>
      </c>
      <c r="C1161" t="s">
        <v>8128</v>
      </c>
      <c r="E1161" s="19">
        <v>966508001238</v>
      </c>
      <c r="F1161" t="s">
        <v>8126</v>
      </c>
      <c r="G1161" t="s">
        <v>839</v>
      </c>
    </row>
    <row r="1162" spans="1:7" x14ac:dyDescent="0.25">
      <c r="A1162" t="s">
        <v>8129</v>
      </c>
      <c r="B1162" t="s">
        <v>8130</v>
      </c>
      <c r="C1162" t="s">
        <v>8131</v>
      </c>
      <c r="E1162" s="19">
        <v>966593144448</v>
      </c>
      <c r="F1162" t="s">
        <v>8129</v>
      </c>
      <c r="G1162" t="s">
        <v>838</v>
      </c>
    </row>
    <row r="1163" spans="1:7" x14ac:dyDescent="0.25">
      <c r="A1163" t="s">
        <v>8132</v>
      </c>
      <c r="B1163" t="s">
        <v>8133</v>
      </c>
      <c r="C1163" t="s">
        <v>8134</v>
      </c>
      <c r="E1163" s="19">
        <v>971501695507</v>
      </c>
      <c r="F1163" t="s">
        <v>8132</v>
      </c>
      <c r="G1163" t="s">
        <v>838</v>
      </c>
    </row>
    <row r="1164" spans="1:7" x14ac:dyDescent="0.25">
      <c r="A1164" t="s">
        <v>8135</v>
      </c>
      <c r="B1164" t="s">
        <v>8136</v>
      </c>
      <c r="C1164" t="s">
        <v>8137</v>
      </c>
      <c r="E1164" s="19">
        <v>966556669404</v>
      </c>
      <c r="F1164" t="s">
        <v>8135</v>
      </c>
      <c r="G1164" t="s">
        <v>840</v>
      </c>
    </row>
    <row r="1165" spans="1:7" x14ac:dyDescent="0.25">
      <c r="A1165" t="s">
        <v>8138</v>
      </c>
      <c r="B1165" t="s">
        <v>8139</v>
      </c>
      <c r="C1165" t="s">
        <v>8140</v>
      </c>
      <c r="E1165" s="19">
        <v>966504989584</v>
      </c>
      <c r="F1165" t="s">
        <v>8138</v>
      </c>
      <c r="G1165" t="s">
        <v>838</v>
      </c>
    </row>
    <row r="1166" spans="1:7" x14ac:dyDescent="0.25">
      <c r="A1166" t="s">
        <v>8141</v>
      </c>
      <c r="B1166" t="s">
        <v>8142</v>
      </c>
      <c r="C1166" t="s">
        <v>8143</v>
      </c>
      <c r="E1166" s="19">
        <v>966534005519</v>
      </c>
      <c r="F1166" t="s">
        <v>8141</v>
      </c>
      <c r="G1166" t="s">
        <v>839</v>
      </c>
    </row>
    <row r="1167" spans="1:7" x14ac:dyDescent="0.25">
      <c r="A1167" t="s">
        <v>8144</v>
      </c>
      <c r="B1167" t="s">
        <v>8145</v>
      </c>
      <c r="C1167" t="s">
        <v>8146</v>
      </c>
      <c r="E1167" s="19">
        <v>966505239255</v>
      </c>
      <c r="F1167" t="s">
        <v>8144</v>
      </c>
      <c r="G1167" t="s">
        <v>838</v>
      </c>
    </row>
    <row r="1168" spans="1:7" x14ac:dyDescent="0.25">
      <c r="A1168" t="s">
        <v>8147</v>
      </c>
      <c r="B1168" t="s">
        <v>8148</v>
      </c>
      <c r="C1168" t="s">
        <v>8146</v>
      </c>
      <c r="E1168" s="19">
        <v>966505239255</v>
      </c>
      <c r="F1168" t="s">
        <v>8147</v>
      </c>
      <c r="G1168" t="s">
        <v>838</v>
      </c>
    </row>
    <row r="1169" spans="1:7" x14ac:dyDescent="0.25">
      <c r="A1169" t="s">
        <v>8149</v>
      </c>
      <c r="B1169" t="s">
        <v>8150</v>
      </c>
      <c r="C1169" t="s">
        <v>8151</v>
      </c>
      <c r="E1169" s="19">
        <v>971504975198</v>
      </c>
      <c r="F1169" t="s">
        <v>8149</v>
      </c>
      <c r="G1169" t="s">
        <v>838</v>
      </c>
    </row>
    <row r="1170" spans="1:7" x14ac:dyDescent="0.25">
      <c r="A1170" t="s">
        <v>8152</v>
      </c>
      <c r="B1170" t="s">
        <v>8153</v>
      </c>
      <c r="C1170" t="s">
        <v>8154</v>
      </c>
      <c r="E1170" s="19">
        <v>966545933579</v>
      </c>
      <c r="F1170" t="s">
        <v>8152</v>
      </c>
      <c r="G1170" t="s">
        <v>872</v>
      </c>
    </row>
    <row r="1171" spans="1:7" x14ac:dyDescent="0.25">
      <c r="A1171" t="s">
        <v>8155</v>
      </c>
      <c r="B1171" t="s">
        <v>8156</v>
      </c>
      <c r="C1171" t="s">
        <v>8157</v>
      </c>
      <c r="E1171" s="19">
        <v>966507937095</v>
      </c>
      <c r="F1171" t="s">
        <v>8155</v>
      </c>
      <c r="G1171" t="s">
        <v>839</v>
      </c>
    </row>
    <row r="1172" spans="1:7" x14ac:dyDescent="0.25">
      <c r="A1172" t="s">
        <v>8158</v>
      </c>
      <c r="B1172" t="s">
        <v>8159</v>
      </c>
      <c r="C1172" t="s">
        <v>8160</v>
      </c>
      <c r="E1172" s="19">
        <v>966567011937</v>
      </c>
      <c r="F1172" t="s">
        <v>8158</v>
      </c>
      <c r="G1172" t="s">
        <v>838</v>
      </c>
    </row>
    <row r="1173" spans="1:7" x14ac:dyDescent="0.25">
      <c r="A1173" t="s">
        <v>8161</v>
      </c>
      <c r="B1173" t="s">
        <v>8162</v>
      </c>
      <c r="C1173" t="s">
        <v>8163</v>
      </c>
      <c r="E1173" s="19">
        <v>966505660508</v>
      </c>
      <c r="F1173" t="s">
        <v>8161</v>
      </c>
      <c r="G1173" t="s">
        <v>840</v>
      </c>
    </row>
    <row r="1174" spans="1:7" x14ac:dyDescent="0.25">
      <c r="A1174" t="s">
        <v>8164</v>
      </c>
      <c r="B1174" t="s">
        <v>8165</v>
      </c>
      <c r="C1174" t="s">
        <v>8166</v>
      </c>
      <c r="E1174" s="19">
        <v>966530153653</v>
      </c>
      <c r="F1174" t="s">
        <v>8164</v>
      </c>
      <c r="G1174" t="s">
        <v>838</v>
      </c>
    </row>
    <row r="1175" spans="1:7" x14ac:dyDescent="0.25">
      <c r="A1175" t="s">
        <v>8167</v>
      </c>
      <c r="B1175" t="s">
        <v>8168</v>
      </c>
      <c r="C1175" t="s">
        <v>8169</v>
      </c>
      <c r="E1175" s="19">
        <v>966562704494</v>
      </c>
      <c r="F1175" t="s">
        <v>8167</v>
      </c>
      <c r="G1175" t="s">
        <v>838</v>
      </c>
    </row>
    <row r="1176" spans="1:7" x14ac:dyDescent="0.25">
      <c r="A1176" t="s">
        <v>8170</v>
      </c>
      <c r="B1176" t="s">
        <v>8171</v>
      </c>
      <c r="C1176" t="s">
        <v>8172</v>
      </c>
      <c r="E1176" s="19">
        <v>966593700988</v>
      </c>
      <c r="F1176" t="s">
        <v>8170</v>
      </c>
      <c r="G1176" t="s">
        <v>838</v>
      </c>
    </row>
    <row r="1177" spans="1:7" x14ac:dyDescent="0.25">
      <c r="A1177" t="s">
        <v>8173</v>
      </c>
      <c r="B1177" t="s">
        <v>8174</v>
      </c>
      <c r="C1177" t="s">
        <v>8175</v>
      </c>
      <c r="E1177" s="19">
        <v>966544528500</v>
      </c>
      <c r="F1177" t="s">
        <v>8173</v>
      </c>
      <c r="G1177" t="s">
        <v>838</v>
      </c>
    </row>
    <row r="1178" spans="1:7" x14ac:dyDescent="0.25">
      <c r="A1178" t="s">
        <v>8176</v>
      </c>
      <c r="B1178" t="s">
        <v>8177</v>
      </c>
      <c r="C1178" t="s">
        <v>8178</v>
      </c>
      <c r="E1178" s="19">
        <v>966503604777</v>
      </c>
      <c r="F1178" t="s">
        <v>8176</v>
      </c>
      <c r="G1178" t="s">
        <v>840</v>
      </c>
    </row>
    <row r="1179" spans="1:7" x14ac:dyDescent="0.25">
      <c r="A1179" t="s">
        <v>8179</v>
      </c>
      <c r="B1179" t="s">
        <v>8180</v>
      </c>
      <c r="C1179" t="s">
        <v>8181</v>
      </c>
      <c r="E1179" s="19">
        <v>966502935727</v>
      </c>
      <c r="F1179" t="s">
        <v>8179</v>
      </c>
      <c r="G1179" t="s">
        <v>838</v>
      </c>
    </row>
    <row r="1180" spans="1:7" x14ac:dyDescent="0.25">
      <c r="A1180" t="s">
        <v>8182</v>
      </c>
      <c r="B1180" t="s">
        <v>8183</v>
      </c>
      <c r="C1180" t="s">
        <v>8184</v>
      </c>
      <c r="E1180" s="19">
        <v>966531111508</v>
      </c>
      <c r="F1180" t="s">
        <v>8182</v>
      </c>
      <c r="G1180" t="s">
        <v>872</v>
      </c>
    </row>
    <row r="1181" spans="1:7" x14ac:dyDescent="0.25">
      <c r="A1181" t="s">
        <v>8185</v>
      </c>
      <c r="B1181" t="s">
        <v>8186</v>
      </c>
      <c r="C1181" t="s">
        <v>8187</v>
      </c>
      <c r="E1181" s="19">
        <v>966508788386</v>
      </c>
      <c r="F1181" t="s">
        <v>8185</v>
      </c>
      <c r="G1181" t="s">
        <v>839</v>
      </c>
    </row>
    <row r="1182" spans="1:7" x14ac:dyDescent="0.25">
      <c r="A1182" t="s">
        <v>8188</v>
      </c>
      <c r="B1182" t="s">
        <v>8189</v>
      </c>
      <c r="C1182" t="s">
        <v>8187</v>
      </c>
      <c r="E1182" s="19">
        <v>966508788386</v>
      </c>
      <c r="F1182" t="s">
        <v>8188</v>
      </c>
      <c r="G1182" t="s">
        <v>839</v>
      </c>
    </row>
    <row r="1183" spans="1:7" x14ac:dyDescent="0.25">
      <c r="A1183" t="s">
        <v>8190</v>
      </c>
      <c r="B1183" t="s">
        <v>8191</v>
      </c>
      <c r="C1183" t="s">
        <v>8192</v>
      </c>
      <c r="E1183" s="19">
        <v>971529235735</v>
      </c>
      <c r="F1183" t="s">
        <v>8190</v>
      </c>
      <c r="G1183" t="s">
        <v>1516</v>
      </c>
    </row>
    <row r="1184" spans="1:7" x14ac:dyDescent="0.25">
      <c r="A1184" t="s">
        <v>8193</v>
      </c>
      <c r="B1184" t="s">
        <v>8194</v>
      </c>
      <c r="C1184" t="s">
        <v>8195</v>
      </c>
      <c r="E1184" s="19">
        <v>966547150997</v>
      </c>
      <c r="F1184" t="s">
        <v>8193</v>
      </c>
      <c r="G1184" t="s">
        <v>840</v>
      </c>
    </row>
    <row r="1185" spans="1:7" x14ac:dyDescent="0.25">
      <c r="A1185" t="s">
        <v>8196</v>
      </c>
      <c r="B1185" t="s">
        <v>8197</v>
      </c>
      <c r="C1185" t="s">
        <v>8195</v>
      </c>
      <c r="E1185" s="19">
        <v>966547150997</v>
      </c>
      <c r="F1185" t="s">
        <v>8196</v>
      </c>
      <c r="G1185" t="s">
        <v>840</v>
      </c>
    </row>
    <row r="1186" spans="1:7" x14ac:dyDescent="0.25">
      <c r="A1186" t="s">
        <v>8198</v>
      </c>
      <c r="B1186" t="s">
        <v>8199</v>
      </c>
      <c r="C1186" t="s">
        <v>8200</v>
      </c>
      <c r="E1186" s="19">
        <v>966535002253</v>
      </c>
      <c r="F1186" t="s">
        <v>8198</v>
      </c>
      <c r="G1186" t="s">
        <v>838</v>
      </c>
    </row>
    <row r="1187" spans="1:7" x14ac:dyDescent="0.25">
      <c r="A1187" t="s">
        <v>8201</v>
      </c>
      <c r="B1187" t="s">
        <v>8202</v>
      </c>
      <c r="C1187" t="s">
        <v>8203</v>
      </c>
      <c r="E1187" s="19">
        <v>966532378127</v>
      </c>
      <c r="F1187" t="s">
        <v>8201</v>
      </c>
      <c r="G1187" t="s">
        <v>839</v>
      </c>
    </row>
    <row r="1188" spans="1:7" x14ac:dyDescent="0.25">
      <c r="A1188" t="s">
        <v>8204</v>
      </c>
      <c r="B1188" t="s">
        <v>8205</v>
      </c>
      <c r="C1188" t="s">
        <v>8203</v>
      </c>
      <c r="E1188" s="19">
        <v>966532378127</v>
      </c>
      <c r="F1188" t="s">
        <v>8204</v>
      </c>
      <c r="G1188" t="s">
        <v>839</v>
      </c>
    </row>
    <row r="1189" spans="1:7" x14ac:dyDescent="0.25">
      <c r="A1189" t="s">
        <v>8206</v>
      </c>
      <c r="B1189" t="s">
        <v>8207</v>
      </c>
      <c r="C1189" t="s">
        <v>8068</v>
      </c>
      <c r="E1189" s="19">
        <v>971558005681</v>
      </c>
      <c r="F1189" t="s">
        <v>8206</v>
      </c>
      <c r="G1189" t="s">
        <v>1382</v>
      </c>
    </row>
    <row r="1190" spans="1:7" x14ac:dyDescent="0.25">
      <c r="A1190" t="s">
        <v>8208</v>
      </c>
      <c r="B1190" t="s">
        <v>8218</v>
      </c>
      <c r="C1190" t="s">
        <v>8117</v>
      </c>
      <c r="E1190" s="19">
        <v>971504583936</v>
      </c>
      <c r="F1190" t="s">
        <v>8208</v>
      </c>
      <c r="G1190" t="s">
        <v>841</v>
      </c>
    </row>
    <row r="1191" spans="1:7" x14ac:dyDescent="0.25">
      <c r="A1191" t="s">
        <v>8210</v>
      </c>
      <c r="B1191" t="s">
        <v>8211</v>
      </c>
      <c r="C1191" t="s">
        <v>8212</v>
      </c>
      <c r="E1191" s="19">
        <v>966501769204</v>
      </c>
      <c r="F1191" t="s">
        <v>8210</v>
      </c>
      <c r="G1191" t="s">
        <v>838</v>
      </c>
    </row>
    <row r="1192" spans="1:7" x14ac:dyDescent="0.25">
      <c r="A1192" t="s">
        <v>8213</v>
      </c>
      <c r="B1192" t="s">
        <v>8214</v>
      </c>
      <c r="C1192" t="s">
        <v>8215</v>
      </c>
      <c r="E1192" s="19">
        <v>966507724004</v>
      </c>
      <c r="F1192" t="s">
        <v>8213</v>
      </c>
      <c r="G1192" t="s">
        <v>838</v>
      </c>
    </row>
    <row r="1193" spans="1:7" x14ac:dyDescent="0.25">
      <c r="A1193" t="s">
        <v>8216</v>
      </c>
      <c r="B1193" t="s">
        <v>8209</v>
      </c>
      <c r="C1193" t="s">
        <v>8217</v>
      </c>
      <c r="E1193" s="19">
        <v>966550099947</v>
      </c>
      <c r="F1193" t="s">
        <v>8216</v>
      </c>
      <c r="G1193" t="s">
        <v>838</v>
      </c>
    </row>
    <row r="1194" spans="1:7" x14ac:dyDescent="0.25">
      <c r="A1194" t="s">
        <v>8219</v>
      </c>
      <c r="B1194" t="s">
        <v>8220</v>
      </c>
      <c r="C1194" t="s">
        <v>8221</v>
      </c>
      <c r="E1194" s="19">
        <v>966598668334</v>
      </c>
      <c r="F1194" t="s">
        <v>8219</v>
      </c>
      <c r="G1194" t="s">
        <v>838</v>
      </c>
    </row>
    <row r="1195" spans="1:7" x14ac:dyDescent="0.25">
      <c r="A1195" t="s">
        <v>8222</v>
      </c>
      <c r="B1195" t="s">
        <v>8223</v>
      </c>
      <c r="C1195" t="s">
        <v>8224</v>
      </c>
      <c r="E1195" s="19">
        <v>966505998329</v>
      </c>
      <c r="F1195" t="s">
        <v>8222</v>
      </c>
      <c r="G1195" t="s">
        <v>838</v>
      </c>
    </row>
    <row r="1196" spans="1:7" x14ac:dyDescent="0.25">
      <c r="A1196" t="s">
        <v>8225</v>
      </c>
      <c r="B1196" t="s">
        <v>8226</v>
      </c>
      <c r="C1196" t="s">
        <v>8227</v>
      </c>
      <c r="E1196" s="19">
        <v>966533006672</v>
      </c>
      <c r="F1196" t="s">
        <v>8225</v>
      </c>
      <c r="G1196" t="s">
        <v>838</v>
      </c>
    </row>
    <row r="1197" spans="1:7" x14ac:dyDescent="0.25">
      <c r="A1197" t="s">
        <v>8228</v>
      </c>
      <c r="B1197" t="s">
        <v>8229</v>
      </c>
      <c r="C1197" t="s">
        <v>8230</v>
      </c>
      <c r="E1197" s="19">
        <v>966538153242</v>
      </c>
      <c r="F1197" t="s">
        <v>8228</v>
      </c>
      <c r="G1197" t="s">
        <v>8231</v>
      </c>
    </row>
    <row r="1198" spans="1:7" x14ac:dyDescent="0.25">
      <c r="A1198" t="s">
        <v>8232</v>
      </c>
      <c r="B1198" t="s">
        <v>8233</v>
      </c>
      <c r="C1198" t="s">
        <v>8234</v>
      </c>
      <c r="E1198" s="19">
        <v>966567279196</v>
      </c>
      <c r="F1198" t="s">
        <v>8232</v>
      </c>
      <c r="G1198" t="s">
        <v>838</v>
      </c>
    </row>
    <row r="1199" spans="1:7" x14ac:dyDescent="0.25">
      <c r="A1199" t="s">
        <v>8235</v>
      </c>
      <c r="B1199" t="s">
        <v>8236</v>
      </c>
      <c r="C1199" t="s">
        <v>8237</v>
      </c>
      <c r="E1199" s="19">
        <v>966553357200</v>
      </c>
      <c r="F1199" t="s">
        <v>8235</v>
      </c>
      <c r="G1199" t="s">
        <v>840</v>
      </c>
    </row>
    <row r="1200" spans="1:7" x14ac:dyDescent="0.25">
      <c r="A1200" t="s">
        <v>8238</v>
      </c>
      <c r="B1200" t="s">
        <v>8239</v>
      </c>
      <c r="C1200" t="s">
        <v>8237</v>
      </c>
      <c r="E1200" s="19">
        <v>966553357200</v>
      </c>
      <c r="F1200" t="s">
        <v>8238</v>
      </c>
      <c r="G1200" t="s">
        <v>840</v>
      </c>
    </row>
    <row r="1201" spans="1:7" x14ac:dyDescent="0.25">
      <c r="A1201" t="s">
        <v>8240</v>
      </c>
      <c r="B1201" t="s">
        <v>8241</v>
      </c>
      <c r="C1201" t="s">
        <v>8242</v>
      </c>
      <c r="E1201" s="19">
        <v>9660599148209</v>
      </c>
      <c r="F1201" t="s">
        <v>8240</v>
      </c>
      <c r="G1201" t="s">
        <v>844</v>
      </c>
    </row>
    <row r="1202" spans="1:7" x14ac:dyDescent="0.25">
      <c r="A1202" t="s">
        <v>8243</v>
      </c>
      <c r="B1202" t="s">
        <v>8244</v>
      </c>
      <c r="C1202" t="s">
        <v>8245</v>
      </c>
      <c r="E1202" s="19">
        <v>9660544317565</v>
      </c>
      <c r="F1202" t="s">
        <v>8243</v>
      </c>
      <c r="G1202" t="s">
        <v>841</v>
      </c>
    </row>
    <row r="1203" spans="1:7" x14ac:dyDescent="0.25">
      <c r="A1203" t="s">
        <v>8246</v>
      </c>
      <c r="B1203" t="s">
        <v>8247</v>
      </c>
      <c r="C1203" t="s">
        <v>8245</v>
      </c>
      <c r="E1203" s="19">
        <v>9660544317565</v>
      </c>
      <c r="F1203" t="s">
        <v>8246</v>
      </c>
      <c r="G1203" t="s">
        <v>841</v>
      </c>
    </row>
    <row r="1204" spans="1:7" x14ac:dyDescent="0.25">
      <c r="A1204" t="s">
        <v>8248</v>
      </c>
      <c r="B1204" t="s">
        <v>8249</v>
      </c>
      <c r="C1204" t="s">
        <v>8250</v>
      </c>
      <c r="E1204" s="19">
        <v>971506466952</v>
      </c>
      <c r="F1204" t="s">
        <v>8248</v>
      </c>
      <c r="G1204" t="s">
        <v>8231</v>
      </c>
    </row>
    <row r="1205" spans="1:7" x14ac:dyDescent="0.25">
      <c r="A1205" t="s">
        <v>8251</v>
      </c>
      <c r="B1205" t="s">
        <v>8252</v>
      </c>
      <c r="C1205" t="s">
        <v>8253</v>
      </c>
      <c r="E1205" s="19">
        <v>971506352899</v>
      </c>
      <c r="F1205" t="s">
        <v>8251</v>
      </c>
      <c r="G1205" t="s">
        <v>858</v>
      </c>
    </row>
    <row r="1206" spans="1:7" x14ac:dyDescent="0.25">
      <c r="A1206" t="s">
        <v>8254</v>
      </c>
      <c r="B1206" t="s">
        <v>8255</v>
      </c>
      <c r="C1206" t="s">
        <v>8256</v>
      </c>
      <c r="E1206" s="19">
        <v>971505210433</v>
      </c>
      <c r="F1206" t="s">
        <v>8254</v>
      </c>
      <c r="G1206" t="s">
        <v>872</v>
      </c>
    </row>
    <row r="1207" spans="1:7" x14ac:dyDescent="0.25">
      <c r="A1207" t="s">
        <v>2464</v>
      </c>
      <c r="B1207" t="s">
        <v>8257</v>
      </c>
      <c r="C1207" t="s">
        <v>8258</v>
      </c>
      <c r="E1207" s="19">
        <v>966503411259</v>
      </c>
      <c r="F1207" t="s">
        <v>2464</v>
      </c>
      <c r="G1207" t="s">
        <v>838</v>
      </c>
    </row>
    <row r="1208" spans="1:7" x14ac:dyDescent="0.25">
      <c r="A1208" t="s">
        <v>8259</v>
      </c>
      <c r="B1208" t="s">
        <v>8260</v>
      </c>
      <c r="C1208" t="s">
        <v>8261</v>
      </c>
      <c r="E1208" s="19">
        <v>966566265711</v>
      </c>
      <c r="F1208" t="s">
        <v>8259</v>
      </c>
      <c r="G1208" t="s">
        <v>838</v>
      </c>
    </row>
    <row r="1209" spans="1:7" x14ac:dyDescent="0.25">
      <c r="A1209" t="s">
        <v>8262</v>
      </c>
      <c r="B1209" t="s">
        <v>8263</v>
      </c>
      <c r="C1209" t="s">
        <v>8264</v>
      </c>
      <c r="E1209" s="19">
        <v>966502990993</v>
      </c>
      <c r="F1209" t="s">
        <v>8262</v>
      </c>
      <c r="G1209" t="s">
        <v>840</v>
      </c>
    </row>
    <row r="1210" spans="1:7" x14ac:dyDescent="0.25">
      <c r="A1210" t="s">
        <v>8265</v>
      </c>
      <c r="B1210" t="s">
        <v>8266</v>
      </c>
      <c r="C1210" t="s">
        <v>8267</v>
      </c>
      <c r="E1210" s="19">
        <v>966501633399</v>
      </c>
      <c r="F1210" t="s">
        <v>8265</v>
      </c>
      <c r="G1210" t="s">
        <v>838</v>
      </c>
    </row>
    <row r="1211" spans="1:7" x14ac:dyDescent="0.25">
      <c r="A1211" t="s">
        <v>8268</v>
      </c>
      <c r="B1211" t="s">
        <v>8269</v>
      </c>
      <c r="C1211" t="s">
        <v>8270</v>
      </c>
      <c r="E1211" s="19">
        <v>966542941918</v>
      </c>
      <c r="F1211" t="s">
        <v>8268</v>
      </c>
      <c r="G1211" t="s">
        <v>838</v>
      </c>
    </row>
    <row r="1212" spans="1:7" x14ac:dyDescent="0.25">
      <c r="A1212" t="s">
        <v>8271</v>
      </c>
      <c r="B1212" t="s">
        <v>8272</v>
      </c>
      <c r="C1212" t="s">
        <v>8273</v>
      </c>
      <c r="E1212" s="19">
        <v>966546993357</v>
      </c>
      <c r="F1212" t="s">
        <v>8271</v>
      </c>
      <c r="G1212" t="s">
        <v>838</v>
      </c>
    </row>
    <row r="1213" spans="1:7" x14ac:dyDescent="0.25">
      <c r="A1213" t="s">
        <v>8274</v>
      </c>
      <c r="B1213" t="s">
        <v>8275</v>
      </c>
      <c r="C1213" t="s">
        <v>8276</v>
      </c>
      <c r="E1213" s="19">
        <v>966555278030</v>
      </c>
      <c r="F1213" t="s">
        <v>8274</v>
      </c>
      <c r="G1213" t="s">
        <v>839</v>
      </c>
    </row>
    <row r="1214" spans="1:7" x14ac:dyDescent="0.25">
      <c r="A1214" t="s">
        <v>8277</v>
      </c>
      <c r="B1214" t="s">
        <v>8278</v>
      </c>
      <c r="C1214" t="s">
        <v>9037</v>
      </c>
      <c r="E1214" s="19">
        <v>966555030109</v>
      </c>
      <c r="F1214" t="s">
        <v>8277</v>
      </c>
      <c r="G1214" t="s">
        <v>840</v>
      </c>
    </row>
    <row r="1215" spans="1:7" x14ac:dyDescent="0.25">
      <c r="A1215" t="s">
        <v>8279</v>
      </c>
      <c r="B1215" t="s">
        <v>8280</v>
      </c>
      <c r="C1215" t="s">
        <v>8281</v>
      </c>
      <c r="E1215" s="19">
        <v>966563247873</v>
      </c>
      <c r="F1215" t="s">
        <v>8279</v>
      </c>
      <c r="G1215" t="s">
        <v>840</v>
      </c>
    </row>
    <row r="1216" spans="1:7" x14ac:dyDescent="0.25">
      <c r="A1216" t="s">
        <v>8282</v>
      </c>
      <c r="B1216" t="s">
        <v>8283</v>
      </c>
      <c r="C1216" t="s">
        <v>8281</v>
      </c>
      <c r="E1216" s="19">
        <v>966563247873</v>
      </c>
      <c r="F1216" t="s">
        <v>8282</v>
      </c>
      <c r="G1216" t="s">
        <v>840</v>
      </c>
    </row>
    <row r="1217" spans="1:7" x14ac:dyDescent="0.25">
      <c r="A1217" t="s">
        <v>8084</v>
      </c>
      <c r="B1217" t="s">
        <v>8085</v>
      </c>
      <c r="C1217" t="s">
        <v>8083</v>
      </c>
      <c r="E1217" s="19">
        <v>966566688452</v>
      </c>
      <c r="F1217" t="s">
        <v>8084</v>
      </c>
      <c r="G1217" t="s">
        <v>839</v>
      </c>
    </row>
    <row r="1218" spans="1:7" x14ac:dyDescent="0.25">
      <c r="A1218" t="s">
        <v>8284</v>
      </c>
      <c r="B1218" t="s">
        <v>8082</v>
      </c>
      <c r="C1218" t="s">
        <v>8083</v>
      </c>
      <c r="E1218" s="19">
        <v>966566688452</v>
      </c>
      <c r="F1218" t="s">
        <v>8284</v>
      </c>
      <c r="G1218" t="s">
        <v>839</v>
      </c>
    </row>
    <row r="1219" spans="1:7" x14ac:dyDescent="0.25">
      <c r="A1219" t="s">
        <v>8285</v>
      </c>
      <c r="B1219" t="s">
        <v>8286</v>
      </c>
      <c r="C1219" t="s">
        <v>8287</v>
      </c>
      <c r="E1219" s="19">
        <v>966570681359</v>
      </c>
      <c r="F1219" t="s">
        <v>8285</v>
      </c>
      <c r="G1219" t="s">
        <v>840</v>
      </c>
    </row>
    <row r="1220" spans="1:7" x14ac:dyDescent="0.25">
      <c r="A1220" t="s">
        <v>8288</v>
      </c>
      <c r="B1220" t="s">
        <v>8289</v>
      </c>
      <c r="C1220" t="s">
        <v>8287</v>
      </c>
      <c r="E1220" s="19">
        <v>966570681359</v>
      </c>
      <c r="F1220" t="s">
        <v>8288</v>
      </c>
      <c r="G1220" t="s">
        <v>840</v>
      </c>
    </row>
    <row r="1221" spans="1:7" x14ac:dyDescent="0.25">
      <c r="A1221" t="s">
        <v>8290</v>
      </c>
      <c r="B1221" t="s">
        <v>8291</v>
      </c>
      <c r="C1221" t="s">
        <v>8292</v>
      </c>
      <c r="E1221" s="19">
        <v>966506379132</v>
      </c>
      <c r="F1221" t="s">
        <v>8290</v>
      </c>
      <c r="G1221" t="s">
        <v>838</v>
      </c>
    </row>
    <row r="1222" spans="1:7" x14ac:dyDescent="0.25">
      <c r="A1222" t="s">
        <v>8293</v>
      </c>
      <c r="B1222" t="s">
        <v>8294</v>
      </c>
      <c r="C1222" t="s">
        <v>8295</v>
      </c>
      <c r="E1222" s="19">
        <v>966569091665</v>
      </c>
      <c r="F1222" t="s">
        <v>8293</v>
      </c>
      <c r="G1222" t="s">
        <v>841</v>
      </c>
    </row>
    <row r="1223" spans="1:7" x14ac:dyDescent="0.25">
      <c r="A1223" t="s">
        <v>8296</v>
      </c>
      <c r="B1223" t="s">
        <v>8297</v>
      </c>
      <c r="C1223" t="s">
        <v>8298</v>
      </c>
      <c r="E1223" s="19">
        <v>966563700128</v>
      </c>
      <c r="F1223" t="s">
        <v>8296</v>
      </c>
      <c r="G1223" t="s">
        <v>840</v>
      </c>
    </row>
    <row r="1224" spans="1:7" x14ac:dyDescent="0.25">
      <c r="A1224" t="s">
        <v>8299</v>
      </c>
      <c r="B1224" t="s">
        <v>8300</v>
      </c>
      <c r="C1224" t="s">
        <v>8298</v>
      </c>
      <c r="E1224" s="19">
        <v>966563700128</v>
      </c>
      <c r="F1224" t="s">
        <v>8299</v>
      </c>
      <c r="G1224" t="s">
        <v>840</v>
      </c>
    </row>
    <row r="1225" spans="1:7" x14ac:dyDescent="0.25">
      <c r="A1225" t="s">
        <v>8086</v>
      </c>
      <c r="B1225" t="s">
        <v>8087</v>
      </c>
      <c r="C1225" t="s">
        <v>8088</v>
      </c>
      <c r="E1225" s="19">
        <v>966554134499</v>
      </c>
      <c r="F1225" t="s">
        <v>8086</v>
      </c>
      <c r="G1225" t="s">
        <v>872</v>
      </c>
    </row>
    <row r="1226" spans="1:7" x14ac:dyDescent="0.25">
      <c r="A1226" t="s">
        <v>8092</v>
      </c>
      <c r="B1226" t="s">
        <v>8093</v>
      </c>
      <c r="C1226" t="s">
        <v>8091</v>
      </c>
      <c r="E1226" s="19">
        <v>966540000393</v>
      </c>
      <c r="F1226" t="s">
        <v>8092</v>
      </c>
      <c r="G1226" t="s">
        <v>841</v>
      </c>
    </row>
    <row r="1227" spans="1:7" x14ac:dyDescent="0.25">
      <c r="A1227" t="s">
        <v>8301</v>
      </c>
      <c r="B1227" t="s">
        <v>8090</v>
      </c>
      <c r="C1227" t="s">
        <v>8091</v>
      </c>
      <c r="E1227" s="19">
        <v>966540000393</v>
      </c>
      <c r="F1227" t="s">
        <v>8301</v>
      </c>
      <c r="G1227" t="s">
        <v>841</v>
      </c>
    </row>
    <row r="1228" spans="1:7" x14ac:dyDescent="0.25">
      <c r="A1228" t="s">
        <v>8302</v>
      </c>
      <c r="B1228" t="s">
        <v>8303</v>
      </c>
      <c r="C1228" t="s">
        <v>8304</v>
      </c>
      <c r="E1228" s="19">
        <v>966546572605</v>
      </c>
      <c r="F1228" t="s">
        <v>8302</v>
      </c>
      <c r="G1228" t="s">
        <v>840</v>
      </c>
    </row>
    <row r="1229" spans="1:7" x14ac:dyDescent="0.25">
      <c r="A1229" t="s">
        <v>8305</v>
      </c>
      <c r="B1229" t="s">
        <v>8306</v>
      </c>
      <c r="C1229" t="s">
        <v>8304</v>
      </c>
      <c r="E1229" s="19">
        <v>966546572605</v>
      </c>
      <c r="F1229" t="s">
        <v>8305</v>
      </c>
      <c r="G1229" t="s">
        <v>840</v>
      </c>
    </row>
    <row r="1230" spans="1:7" x14ac:dyDescent="0.25">
      <c r="A1230" t="s">
        <v>8307</v>
      </c>
      <c r="B1230" t="s">
        <v>8313</v>
      </c>
      <c r="C1230" t="s">
        <v>8308</v>
      </c>
      <c r="E1230" s="19">
        <v>971553546184</v>
      </c>
      <c r="F1230" t="s">
        <v>8307</v>
      </c>
      <c r="G1230" t="s">
        <v>844</v>
      </c>
    </row>
    <row r="1231" spans="1:7" x14ac:dyDescent="0.25">
      <c r="A1231" t="s">
        <v>8309</v>
      </c>
      <c r="B1231" t="s">
        <v>8314</v>
      </c>
      <c r="C1231" t="s">
        <v>8310</v>
      </c>
      <c r="E1231" s="19">
        <v>971044470405</v>
      </c>
      <c r="F1231" t="s">
        <v>8309</v>
      </c>
      <c r="G1231" t="s">
        <v>845</v>
      </c>
    </row>
    <row r="1232" spans="1:7" x14ac:dyDescent="0.25">
      <c r="A1232" t="s">
        <v>8311</v>
      </c>
      <c r="B1232" t="s">
        <v>8315</v>
      </c>
      <c r="C1232" t="s">
        <v>8312</v>
      </c>
      <c r="E1232" s="19">
        <v>971508581652</v>
      </c>
      <c r="F1232" t="s">
        <v>8311</v>
      </c>
      <c r="G1232" t="s">
        <v>845</v>
      </c>
    </row>
    <row r="1233" spans="1:7" x14ac:dyDescent="0.25">
      <c r="A1233" t="s">
        <v>8316</v>
      </c>
      <c r="B1233" t="s">
        <v>8317</v>
      </c>
      <c r="C1233" t="s">
        <v>2885</v>
      </c>
      <c r="E1233" s="19">
        <v>971553339234</v>
      </c>
      <c r="F1233" t="s">
        <v>8316</v>
      </c>
      <c r="G1233" t="s">
        <v>839</v>
      </c>
    </row>
    <row r="1234" spans="1:7" x14ac:dyDescent="0.25">
      <c r="A1234" t="s">
        <v>8318</v>
      </c>
      <c r="B1234" t="s">
        <v>8319</v>
      </c>
      <c r="C1234" t="s">
        <v>2355</v>
      </c>
      <c r="E1234" s="19">
        <v>971563771935</v>
      </c>
      <c r="F1234" t="s">
        <v>8318</v>
      </c>
      <c r="G1234" t="s">
        <v>838</v>
      </c>
    </row>
    <row r="1235" spans="1:7" x14ac:dyDescent="0.25">
      <c r="A1235" t="s">
        <v>8320</v>
      </c>
      <c r="B1235" t="s">
        <v>8321</v>
      </c>
      <c r="C1235" t="s">
        <v>8322</v>
      </c>
      <c r="E1235" s="19">
        <v>971566668990</v>
      </c>
      <c r="F1235" t="s">
        <v>8320</v>
      </c>
      <c r="G1235" t="s">
        <v>839</v>
      </c>
    </row>
    <row r="1236" spans="1:7" x14ac:dyDescent="0.25">
      <c r="A1236" t="s">
        <v>8323</v>
      </c>
      <c r="B1236" t="s">
        <v>8324</v>
      </c>
      <c r="C1236" t="s">
        <v>8325</v>
      </c>
      <c r="E1236" s="19">
        <v>966558410421</v>
      </c>
      <c r="F1236" t="s">
        <v>8323</v>
      </c>
      <c r="G1236" t="s">
        <v>840</v>
      </c>
    </row>
    <row r="1237" spans="1:7" x14ac:dyDescent="0.25">
      <c r="A1237" t="s">
        <v>8326</v>
      </c>
      <c r="B1237" t="s">
        <v>8327</v>
      </c>
      <c r="C1237" t="s">
        <v>8328</v>
      </c>
      <c r="E1237" s="19">
        <v>966531100103</v>
      </c>
      <c r="F1237" t="s">
        <v>8326</v>
      </c>
      <c r="G1237" t="s">
        <v>838</v>
      </c>
    </row>
    <row r="1238" spans="1:7" x14ac:dyDescent="0.25">
      <c r="A1238" t="s">
        <v>8329</v>
      </c>
      <c r="B1238" t="s">
        <v>8330</v>
      </c>
      <c r="C1238" t="s">
        <v>8331</v>
      </c>
      <c r="E1238" s="19">
        <v>971522294035</v>
      </c>
      <c r="F1238" t="s">
        <v>8329</v>
      </c>
      <c r="G1238" t="s">
        <v>836</v>
      </c>
    </row>
    <row r="1239" spans="1:7" x14ac:dyDescent="0.25">
      <c r="A1239" t="s">
        <v>8332</v>
      </c>
      <c r="B1239" t="s">
        <v>8333</v>
      </c>
      <c r="C1239" t="s">
        <v>8334</v>
      </c>
      <c r="E1239" s="19">
        <v>9660599290547</v>
      </c>
      <c r="F1239" t="s">
        <v>8332</v>
      </c>
      <c r="G1239" t="s">
        <v>838</v>
      </c>
    </row>
    <row r="1240" spans="1:7" x14ac:dyDescent="0.25">
      <c r="A1240" t="s">
        <v>8335</v>
      </c>
      <c r="B1240" t="s">
        <v>8336</v>
      </c>
      <c r="C1240" t="s">
        <v>8337</v>
      </c>
      <c r="E1240" s="19">
        <v>971505950388</v>
      </c>
      <c r="F1240" t="s">
        <v>8335</v>
      </c>
      <c r="G1240" t="s">
        <v>844</v>
      </c>
    </row>
    <row r="1241" spans="1:7" x14ac:dyDescent="0.25">
      <c r="A1241" t="s">
        <v>8338</v>
      </c>
      <c r="B1241" t="s">
        <v>8339</v>
      </c>
      <c r="C1241" t="s">
        <v>8340</v>
      </c>
      <c r="E1241" s="19">
        <v>966535745561</v>
      </c>
      <c r="F1241" t="s">
        <v>8338</v>
      </c>
      <c r="G1241" t="s">
        <v>8341</v>
      </c>
    </row>
    <row r="1242" spans="1:7" x14ac:dyDescent="0.25">
      <c r="A1242" t="s">
        <v>8342</v>
      </c>
      <c r="B1242" t="s">
        <v>8343</v>
      </c>
      <c r="C1242" t="s">
        <v>8340</v>
      </c>
      <c r="E1242" s="19">
        <v>966535745561</v>
      </c>
      <c r="F1242" t="s">
        <v>8342</v>
      </c>
      <c r="G1242" t="s">
        <v>8341</v>
      </c>
    </row>
    <row r="1243" spans="1:7" x14ac:dyDescent="0.25">
      <c r="A1243" t="s">
        <v>8344</v>
      </c>
      <c r="B1243" t="s">
        <v>8345</v>
      </c>
      <c r="C1243" t="s">
        <v>8346</v>
      </c>
      <c r="E1243" s="19">
        <v>966565706817</v>
      </c>
      <c r="F1243" t="s">
        <v>8344</v>
      </c>
      <c r="G1243" t="s">
        <v>10177</v>
      </c>
    </row>
    <row r="1244" spans="1:7" x14ac:dyDescent="0.25">
      <c r="A1244" t="s">
        <v>8347</v>
      </c>
      <c r="B1244" t="s">
        <v>8348</v>
      </c>
      <c r="C1244" t="s">
        <v>8349</v>
      </c>
      <c r="E1244" s="19">
        <v>966541886303</v>
      </c>
      <c r="F1244" t="s">
        <v>8347</v>
      </c>
      <c r="G1244" t="s">
        <v>839</v>
      </c>
    </row>
    <row r="1245" spans="1:7" x14ac:dyDescent="0.25">
      <c r="A1245" t="s">
        <v>8350</v>
      </c>
      <c r="B1245" t="s">
        <v>8351</v>
      </c>
      <c r="C1245" t="s">
        <v>8349</v>
      </c>
      <c r="E1245" s="19">
        <v>966541886303</v>
      </c>
      <c r="F1245" t="s">
        <v>8350</v>
      </c>
      <c r="G1245" t="s">
        <v>839</v>
      </c>
    </row>
    <row r="1246" spans="1:7" x14ac:dyDescent="0.25">
      <c r="A1246" t="s">
        <v>8352</v>
      </c>
      <c r="B1246" t="s">
        <v>8353</v>
      </c>
      <c r="C1246" t="s">
        <v>8354</v>
      </c>
      <c r="F1246" t="s">
        <v>8352</v>
      </c>
      <c r="G1246" t="s">
        <v>844</v>
      </c>
    </row>
    <row r="1247" spans="1:7" x14ac:dyDescent="0.25">
      <c r="A1247" t="s">
        <v>8355</v>
      </c>
      <c r="B1247" t="s">
        <v>8356</v>
      </c>
      <c r="C1247" t="s">
        <v>8357</v>
      </c>
      <c r="E1247" s="19">
        <v>966566113432</v>
      </c>
      <c r="F1247" t="s">
        <v>8355</v>
      </c>
      <c r="G1247" t="s">
        <v>2732</v>
      </c>
    </row>
    <row r="1248" spans="1:7" x14ac:dyDescent="0.25">
      <c r="A1248" t="s">
        <v>8358</v>
      </c>
      <c r="B1248" t="s">
        <v>8359</v>
      </c>
      <c r="C1248" t="s">
        <v>8360</v>
      </c>
      <c r="E1248" s="19">
        <v>966571157909</v>
      </c>
      <c r="F1248" t="s">
        <v>8358</v>
      </c>
      <c r="G1248" t="s">
        <v>838</v>
      </c>
    </row>
    <row r="1249" spans="1:7" x14ac:dyDescent="0.25">
      <c r="A1249" t="s">
        <v>8361</v>
      </c>
      <c r="B1249" t="s">
        <v>8362</v>
      </c>
      <c r="C1249" t="s">
        <v>8363</v>
      </c>
      <c r="E1249" s="19">
        <v>966501007953</v>
      </c>
      <c r="F1249" t="s">
        <v>8361</v>
      </c>
      <c r="G1249" t="s">
        <v>839</v>
      </c>
    </row>
    <row r="1250" spans="1:7" x14ac:dyDescent="0.25">
      <c r="A1250" t="s">
        <v>8364</v>
      </c>
      <c r="B1250" t="s">
        <v>8365</v>
      </c>
      <c r="C1250" t="s">
        <v>8366</v>
      </c>
      <c r="E1250" s="19">
        <v>966559590567</v>
      </c>
      <c r="F1250" t="s">
        <v>8364</v>
      </c>
      <c r="G1250" t="s">
        <v>838</v>
      </c>
    </row>
    <row r="1251" spans="1:7" x14ac:dyDescent="0.25">
      <c r="A1251" t="s">
        <v>8367</v>
      </c>
      <c r="B1251" t="s">
        <v>8368</v>
      </c>
      <c r="C1251" t="s">
        <v>8369</v>
      </c>
      <c r="E1251" s="19">
        <v>966555154800</v>
      </c>
      <c r="F1251" t="s">
        <v>8367</v>
      </c>
      <c r="G1251" t="s">
        <v>839</v>
      </c>
    </row>
    <row r="1252" spans="1:7" x14ac:dyDescent="0.25">
      <c r="A1252" t="s">
        <v>8370</v>
      </c>
      <c r="B1252" t="s">
        <v>8371</v>
      </c>
      <c r="C1252" t="s">
        <v>8372</v>
      </c>
      <c r="E1252" s="19">
        <v>966555326161</v>
      </c>
      <c r="F1252" t="s">
        <v>8370</v>
      </c>
      <c r="G1252" t="s">
        <v>838</v>
      </c>
    </row>
    <row r="1253" spans="1:7" x14ac:dyDescent="0.25">
      <c r="A1253" t="s">
        <v>8373</v>
      </c>
      <c r="B1253" t="s">
        <v>8374</v>
      </c>
      <c r="C1253" t="s">
        <v>8372</v>
      </c>
      <c r="E1253" s="19">
        <v>966555326161</v>
      </c>
      <c r="F1253" t="s">
        <v>8373</v>
      </c>
      <c r="G1253" t="s">
        <v>838</v>
      </c>
    </row>
    <row r="1254" spans="1:7" x14ac:dyDescent="0.25">
      <c r="A1254" t="s">
        <v>2297</v>
      </c>
      <c r="B1254" t="s">
        <v>8375</v>
      </c>
      <c r="C1254" t="s">
        <v>2299</v>
      </c>
      <c r="E1254" s="19">
        <v>966542442628</v>
      </c>
      <c r="F1254" t="s">
        <v>2297</v>
      </c>
      <c r="G1254" t="s">
        <v>837</v>
      </c>
    </row>
    <row r="1255" spans="1:7" x14ac:dyDescent="0.25">
      <c r="A1255" t="s">
        <v>8378</v>
      </c>
      <c r="B1255" t="s">
        <v>8379</v>
      </c>
      <c r="C1255" t="s">
        <v>8380</v>
      </c>
      <c r="E1255" s="19">
        <v>966569025000</v>
      </c>
      <c r="F1255" t="s">
        <v>8378</v>
      </c>
      <c r="G1255" t="s">
        <v>840</v>
      </c>
    </row>
    <row r="1256" spans="1:7" x14ac:dyDescent="0.25">
      <c r="A1256" t="s">
        <v>8381</v>
      </c>
      <c r="B1256" t="s">
        <v>8382</v>
      </c>
      <c r="C1256" t="s">
        <v>8380</v>
      </c>
      <c r="E1256" s="19">
        <v>966569025000</v>
      </c>
      <c r="F1256" t="s">
        <v>8381</v>
      </c>
      <c r="G1256" t="s">
        <v>840</v>
      </c>
    </row>
    <row r="1257" spans="1:7" x14ac:dyDescent="0.25">
      <c r="A1257" t="s">
        <v>8383</v>
      </c>
      <c r="B1257" t="s">
        <v>8384</v>
      </c>
      <c r="C1257" t="s">
        <v>8385</v>
      </c>
      <c r="E1257" s="19">
        <v>966550901639</v>
      </c>
      <c r="F1257" t="s">
        <v>8383</v>
      </c>
      <c r="G1257" t="s">
        <v>838</v>
      </c>
    </row>
    <row r="1258" spans="1:7" x14ac:dyDescent="0.25">
      <c r="A1258" t="s">
        <v>8386</v>
      </c>
      <c r="B1258" t="s">
        <v>8387</v>
      </c>
      <c r="C1258" t="s">
        <v>8388</v>
      </c>
      <c r="E1258" s="19">
        <v>971564099970</v>
      </c>
      <c r="F1258" t="s">
        <v>8386</v>
      </c>
      <c r="G1258" t="s">
        <v>872</v>
      </c>
    </row>
    <row r="1259" spans="1:7" x14ac:dyDescent="0.25">
      <c r="A1259" t="s">
        <v>8389</v>
      </c>
      <c r="B1259" t="s">
        <v>8390</v>
      </c>
      <c r="C1259" t="s">
        <v>8391</v>
      </c>
      <c r="E1259" s="19">
        <v>966549491010</v>
      </c>
      <c r="F1259" t="s">
        <v>8389</v>
      </c>
      <c r="G1259" t="s">
        <v>838</v>
      </c>
    </row>
    <row r="1260" spans="1:7" x14ac:dyDescent="0.25">
      <c r="A1260" t="s">
        <v>8392</v>
      </c>
      <c r="B1260" t="s">
        <v>8393</v>
      </c>
      <c r="C1260" t="s">
        <v>8394</v>
      </c>
      <c r="E1260" s="19">
        <v>918953540950</v>
      </c>
      <c r="F1260" t="s">
        <v>8392</v>
      </c>
      <c r="G1260" t="s">
        <v>839</v>
      </c>
    </row>
    <row r="1261" spans="1:7" x14ac:dyDescent="0.25">
      <c r="A1261" t="s">
        <v>8395</v>
      </c>
      <c r="B1261" t="s">
        <v>8396</v>
      </c>
      <c r="C1261" t="s">
        <v>2525</v>
      </c>
      <c r="E1261" s="19">
        <v>966565328535</v>
      </c>
      <c r="F1261" t="s">
        <v>8395</v>
      </c>
      <c r="G1261" t="s">
        <v>837</v>
      </c>
    </row>
    <row r="1262" spans="1:7" x14ac:dyDescent="0.25">
      <c r="A1262" t="s">
        <v>8397</v>
      </c>
      <c r="B1262" t="s">
        <v>8398</v>
      </c>
      <c r="C1262" t="s">
        <v>8399</v>
      </c>
      <c r="E1262" s="19">
        <v>966595444616</v>
      </c>
      <c r="F1262" t="s">
        <v>8397</v>
      </c>
      <c r="G1262" t="s">
        <v>839</v>
      </c>
    </row>
    <row r="1263" spans="1:7" x14ac:dyDescent="0.25">
      <c r="A1263" t="s">
        <v>2573</v>
      </c>
      <c r="B1263" t="s">
        <v>8400</v>
      </c>
      <c r="C1263" t="s">
        <v>2550</v>
      </c>
      <c r="E1263" s="19">
        <v>971556220735</v>
      </c>
      <c r="F1263" t="s">
        <v>2573</v>
      </c>
      <c r="G1263" t="s">
        <v>839</v>
      </c>
    </row>
    <row r="1264" spans="1:7" x14ac:dyDescent="0.25">
      <c r="A1264" t="s">
        <v>8401</v>
      </c>
      <c r="B1264" t="s">
        <v>8402</v>
      </c>
      <c r="C1264" t="s">
        <v>8403</v>
      </c>
      <c r="E1264" s="19">
        <v>966540325250</v>
      </c>
      <c r="F1264" t="s">
        <v>8401</v>
      </c>
      <c r="G1264" t="s">
        <v>858</v>
      </c>
    </row>
    <row r="1265" spans="1:7" x14ac:dyDescent="0.25">
      <c r="A1265" t="s">
        <v>8404</v>
      </c>
      <c r="B1265" t="s">
        <v>8405</v>
      </c>
      <c r="C1265" t="s">
        <v>8406</v>
      </c>
      <c r="E1265" s="19">
        <v>971506451372</v>
      </c>
      <c r="F1265" t="s">
        <v>8404</v>
      </c>
      <c r="G1265" t="s">
        <v>872</v>
      </c>
    </row>
    <row r="1266" spans="1:7" x14ac:dyDescent="0.25">
      <c r="A1266" t="s">
        <v>8407</v>
      </c>
      <c r="B1266" t="s">
        <v>8408</v>
      </c>
      <c r="C1266" t="s">
        <v>8409</v>
      </c>
      <c r="E1266" s="19">
        <v>971529859668</v>
      </c>
      <c r="F1266" t="s">
        <v>8407</v>
      </c>
      <c r="G1266" t="s">
        <v>850</v>
      </c>
    </row>
    <row r="1267" spans="1:7" x14ac:dyDescent="0.25">
      <c r="A1267" t="s">
        <v>8410</v>
      </c>
      <c r="B1267" t="s">
        <v>8411</v>
      </c>
      <c r="C1267" t="s">
        <v>8412</v>
      </c>
      <c r="E1267" s="19">
        <v>971564880483</v>
      </c>
      <c r="F1267" t="s">
        <v>8410</v>
      </c>
      <c r="G1267" t="s">
        <v>8413</v>
      </c>
    </row>
    <row r="1268" spans="1:7" x14ac:dyDescent="0.25">
      <c r="A1268" t="s">
        <v>8414</v>
      </c>
      <c r="B1268" t="s">
        <v>8415</v>
      </c>
      <c r="C1268" t="s">
        <v>8416</v>
      </c>
      <c r="E1268" s="19">
        <v>966563892212</v>
      </c>
      <c r="F1268" t="s">
        <v>8414</v>
      </c>
      <c r="G1268" t="s">
        <v>849</v>
      </c>
    </row>
    <row r="1269" spans="1:7" x14ac:dyDescent="0.25">
      <c r="A1269" t="s">
        <v>8417</v>
      </c>
      <c r="B1269" t="s">
        <v>8418</v>
      </c>
      <c r="C1269" t="s">
        <v>8419</v>
      </c>
      <c r="E1269" s="19">
        <v>966569933504</v>
      </c>
      <c r="F1269" t="s">
        <v>8417</v>
      </c>
      <c r="G1269" t="s">
        <v>849</v>
      </c>
    </row>
    <row r="1270" spans="1:7" x14ac:dyDescent="0.25">
      <c r="A1270" t="s">
        <v>8420</v>
      </c>
      <c r="B1270" t="s">
        <v>8421</v>
      </c>
      <c r="C1270" t="s">
        <v>8422</v>
      </c>
      <c r="E1270" s="19">
        <v>966500480959</v>
      </c>
      <c r="F1270" t="s">
        <v>8420</v>
      </c>
      <c r="G1270" t="s">
        <v>840</v>
      </c>
    </row>
    <row r="1271" spans="1:7" x14ac:dyDescent="0.25">
      <c r="A1271" t="s">
        <v>8423</v>
      </c>
      <c r="B1271" t="s">
        <v>8424</v>
      </c>
      <c r="C1271" t="s">
        <v>8422</v>
      </c>
      <c r="E1271" s="19">
        <v>966500480959</v>
      </c>
      <c r="F1271" t="s">
        <v>8423</v>
      </c>
      <c r="G1271" t="s">
        <v>840</v>
      </c>
    </row>
    <row r="1272" spans="1:7" x14ac:dyDescent="0.25">
      <c r="A1272" t="s">
        <v>8425</v>
      </c>
      <c r="B1272" t="s">
        <v>8426</v>
      </c>
      <c r="C1272" t="s">
        <v>8427</v>
      </c>
      <c r="E1272" s="19">
        <v>966532609496</v>
      </c>
      <c r="F1272" t="s">
        <v>8425</v>
      </c>
      <c r="G1272" t="s">
        <v>839</v>
      </c>
    </row>
    <row r="1273" spans="1:7" x14ac:dyDescent="0.25">
      <c r="A1273" t="s">
        <v>3093</v>
      </c>
      <c r="B1273" t="s">
        <v>8428</v>
      </c>
      <c r="C1273" t="s">
        <v>3095</v>
      </c>
      <c r="E1273" s="19">
        <v>966534759573</v>
      </c>
      <c r="F1273" t="s">
        <v>3093</v>
      </c>
      <c r="G1273" t="s">
        <v>840</v>
      </c>
    </row>
    <row r="1274" spans="1:7" x14ac:dyDescent="0.25">
      <c r="A1274" t="s">
        <v>8429</v>
      </c>
      <c r="B1274" t="s">
        <v>8430</v>
      </c>
      <c r="C1274" t="s">
        <v>2033</v>
      </c>
      <c r="E1274" s="19">
        <v>971526991213</v>
      </c>
      <c r="F1274" t="s">
        <v>8429</v>
      </c>
      <c r="G1274" t="s">
        <v>2347</v>
      </c>
    </row>
    <row r="1275" spans="1:7" x14ac:dyDescent="0.25">
      <c r="A1275" t="s">
        <v>8431</v>
      </c>
      <c r="B1275" t="s">
        <v>8432</v>
      </c>
      <c r="C1275" t="s">
        <v>8433</v>
      </c>
      <c r="E1275" s="19">
        <v>966504197677</v>
      </c>
      <c r="F1275" t="s">
        <v>8431</v>
      </c>
      <c r="G1275" t="s">
        <v>840</v>
      </c>
    </row>
    <row r="1276" spans="1:7" x14ac:dyDescent="0.25">
      <c r="A1276" t="s">
        <v>8434</v>
      </c>
      <c r="B1276" t="s">
        <v>8435</v>
      </c>
      <c r="C1276" t="s">
        <v>8433</v>
      </c>
      <c r="E1276" s="19">
        <v>966504197677</v>
      </c>
      <c r="F1276" t="s">
        <v>8434</v>
      </c>
      <c r="G1276" t="s">
        <v>840</v>
      </c>
    </row>
    <row r="1277" spans="1:7" x14ac:dyDescent="0.25">
      <c r="A1277" t="s">
        <v>8436</v>
      </c>
      <c r="B1277" t="s">
        <v>8437</v>
      </c>
      <c r="C1277" t="s">
        <v>8438</v>
      </c>
      <c r="E1277" s="19">
        <v>966550634200</v>
      </c>
      <c r="F1277" t="s">
        <v>8436</v>
      </c>
      <c r="G1277" t="s">
        <v>841</v>
      </c>
    </row>
    <row r="1278" spans="1:7" x14ac:dyDescent="0.25">
      <c r="A1278" t="s">
        <v>8439</v>
      </c>
      <c r="B1278" t="s">
        <v>8440</v>
      </c>
      <c r="C1278" t="s">
        <v>8441</v>
      </c>
      <c r="E1278" s="19">
        <v>966558188647</v>
      </c>
      <c r="F1278" t="s">
        <v>8439</v>
      </c>
      <c r="G1278" t="s">
        <v>841</v>
      </c>
    </row>
    <row r="1279" spans="1:7" x14ac:dyDescent="0.25">
      <c r="A1279" t="s">
        <v>8442</v>
      </c>
      <c r="B1279" t="s">
        <v>8443</v>
      </c>
      <c r="C1279" t="s">
        <v>8444</v>
      </c>
      <c r="E1279" s="19">
        <v>966557490330</v>
      </c>
      <c r="F1279" t="s">
        <v>8442</v>
      </c>
      <c r="G1279" t="s">
        <v>838</v>
      </c>
    </row>
    <row r="1280" spans="1:7" x14ac:dyDescent="0.25">
      <c r="A1280" t="s">
        <v>8445</v>
      </c>
      <c r="B1280" t="s">
        <v>8446</v>
      </c>
      <c r="C1280" t="s">
        <v>8447</v>
      </c>
      <c r="E1280" s="19">
        <v>966505450961</v>
      </c>
      <c r="F1280" t="s">
        <v>8445</v>
      </c>
      <c r="G1280" t="s">
        <v>840</v>
      </c>
    </row>
    <row r="1281" spans="1:7" x14ac:dyDescent="0.25">
      <c r="A1281" t="s">
        <v>8448</v>
      </c>
      <c r="B1281" t="s">
        <v>8449</v>
      </c>
      <c r="C1281" t="s">
        <v>8450</v>
      </c>
      <c r="E1281" s="19">
        <v>966530270201</v>
      </c>
      <c r="F1281" t="s">
        <v>8448</v>
      </c>
      <c r="G1281" t="s">
        <v>838</v>
      </c>
    </row>
    <row r="1282" spans="1:7" x14ac:dyDescent="0.25">
      <c r="A1282" t="s">
        <v>8451</v>
      </c>
      <c r="B1282" t="s">
        <v>8452</v>
      </c>
      <c r="C1282" t="s">
        <v>8453</v>
      </c>
      <c r="E1282" s="19">
        <v>966560006803</v>
      </c>
      <c r="F1282" t="s">
        <v>8451</v>
      </c>
      <c r="G1282" t="s">
        <v>839</v>
      </c>
    </row>
    <row r="1283" spans="1:7" x14ac:dyDescent="0.25">
      <c r="A1283" t="s">
        <v>8454</v>
      </c>
      <c r="B1283" t="s">
        <v>8455</v>
      </c>
      <c r="C1283" t="s">
        <v>8456</v>
      </c>
      <c r="E1283" s="19">
        <v>966509577169</v>
      </c>
      <c r="F1283" t="s">
        <v>8454</v>
      </c>
      <c r="G1283" t="s">
        <v>841</v>
      </c>
    </row>
    <row r="1284" spans="1:7" x14ac:dyDescent="0.25">
      <c r="A1284" t="s">
        <v>8457</v>
      </c>
      <c r="B1284" t="s">
        <v>8458</v>
      </c>
      <c r="C1284" t="s">
        <v>2885</v>
      </c>
      <c r="E1284" s="19">
        <v>971553339234</v>
      </c>
      <c r="F1284" t="s">
        <v>8457</v>
      </c>
      <c r="G1284" t="s">
        <v>839</v>
      </c>
    </row>
    <row r="1285" spans="1:7" x14ac:dyDescent="0.25">
      <c r="A1285" t="s">
        <v>8459</v>
      </c>
      <c r="B1285" t="s">
        <v>8460</v>
      </c>
      <c r="C1285" t="s">
        <v>8461</v>
      </c>
      <c r="E1285" s="19">
        <v>966549068568</v>
      </c>
      <c r="F1285" t="s">
        <v>8459</v>
      </c>
      <c r="G1285" t="s">
        <v>858</v>
      </c>
    </row>
    <row r="1286" spans="1:7" x14ac:dyDescent="0.25">
      <c r="A1286" t="s">
        <v>8462</v>
      </c>
      <c r="B1286" t="s">
        <v>8463</v>
      </c>
      <c r="C1286" t="s">
        <v>2589</v>
      </c>
      <c r="E1286" s="19">
        <v>971522190630</v>
      </c>
      <c r="F1286" t="s">
        <v>8462</v>
      </c>
      <c r="G1286" t="s">
        <v>849</v>
      </c>
    </row>
    <row r="1287" spans="1:7" x14ac:dyDescent="0.25">
      <c r="A1287" t="s">
        <v>8464</v>
      </c>
      <c r="B1287" t="s">
        <v>8465</v>
      </c>
      <c r="C1287" t="s">
        <v>8466</v>
      </c>
      <c r="E1287" s="19">
        <v>966564222223</v>
      </c>
      <c r="F1287" t="s">
        <v>8464</v>
      </c>
      <c r="G1287" t="s">
        <v>841</v>
      </c>
    </row>
    <row r="1288" spans="1:7" x14ac:dyDescent="0.25">
      <c r="A1288" t="s">
        <v>8467</v>
      </c>
      <c r="B1288" t="s">
        <v>8468</v>
      </c>
      <c r="C1288" t="s">
        <v>8469</v>
      </c>
      <c r="E1288" s="19">
        <v>966547798800</v>
      </c>
      <c r="F1288" t="s">
        <v>8467</v>
      </c>
      <c r="G1288" t="s">
        <v>841</v>
      </c>
    </row>
    <row r="1289" spans="1:7" x14ac:dyDescent="0.25">
      <c r="A1289" t="s">
        <v>8470</v>
      </c>
      <c r="B1289" t="s">
        <v>8471</v>
      </c>
      <c r="C1289" t="s">
        <v>8472</v>
      </c>
      <c r="E1289" s="19">
        <v>966506090303</v>
      </c>
      <c r="F1289" t="s">
        <v>8470</v>
      </c>
      <c r="G1289" t="s">
        <v>838</v>
      </c>
    </row>
    <row r="1290" spans="1:7" x14ac:dyDescent="0.25">
      <c r="A1290" t="s">
        <v>8473</v>
      </c>
      <c r="B1290" t="s">
        <v>8474</v>
      </c>
      <c r="C1290" t="s">
        <v>8475</v>
      </c>
      <c r="E1290" s="19">
        <v>919910033119</v>
      </c>
      <c r="F1290" t="s">
        <v>8473</v>
      </c>
      <c r="G1290" t="s">
        <v>839</v>
      </c>
    </row>
    <row r="1291" spans="1:7" x14ac:dyDescent="0.25">
      <c r="A1291" t="s">
        <v>8476</v>
      </c>
      <c r="B1291" t="s">
        <v>8477</v>
      </c>
      <c r="C1291" t="s">
        <v>8478</v>
      </c>
      <c r="E1291" s="19">
        <v>966565496687</v>
      </c>
      <c r="F1291" t="s">
        <v>8476</v>
      </c>
      <c r="G1291" t="s">
        <v>838</v>
      </c>
    </row>
    <row r="1292" spans="1:7" x14ac:dyDescent="0.25">
      <c r="A1292" t="s">
        <v>8479</v>
      </c>
      <c r="B1292" t="s">
        <v>8480</v>
      </c>
      <c r="C1292" t="s">
        <v>8478</v>
      </c>
      <c r="E1292" s="19">
        <v>966565496687</v>
      </c>
      <c r="F1292" t="s">
        <v>8479</v>
      </c>
      <c r="G1292" t="s">
        <v>838</v>
      </c>
    </row>
    <row r="1293" spans="1:7" x14ac:dyDescent="0.25">
      <c r="A1293" t="s">
        <v>8481</v>
      </c>
      <c r="B1293" t="s">
        <v>8482</v>
      </c>
      <c r="C1293" t="s">
        <v>2802</v>
      </c>
      <c r="E1293" s="19">
        <v>971505538575</v>
      </c>
      <c r="F1293" t="s">
        <v>8481</v>
      </c>
      <c r="G1293" t="s">
        <v>837</v>
      </c>
    </row>
    <row r="1294" spans="1:7" x14ac:dyDescent="0.25">
      <c r="A1294" t="s">
        <v>8483</v>
      </c>
      <c r="B1294" t="s">
        <v>8484</v>
      </c>
      <c r="C1294" t="s">
        <v>8485</v>
      </c>
      <c r="E1294" s="19">
        <v>966503425762</v>
      </c>
      <c r="F1294" t="s">
        <v>8483</v>
      </c>
      <c r="G1294" t="s">
        <v>838</v>
      </c>
    </row>
    <row r="1295" spans="1:7" x14ac:dyDescent="0.25">
      <c r="A1295" t="s">
        <v>8486</v>
      </c>
      <c r="B1295" t="s">
        <v>8487</v>
      </c>
      <c r="C1295" t="s">
        <v>8488</v>
      </c>
      <c r="E1295" s="19">
        <v>966555525869</v>
      </c>
      <c r="F1295" t="s">
        <v>8486</v>
      </c>
      <c r="G1295" t="s">
        <v>838</v>
      </c>
    </row>
    <row r="1296" spans="1:7" x14ac:dyDescent="0.25">
      <c r="A1296" t="s">
        <v>8489</v>
      </c>
      <c r="B1296" t="s">
        <v>8490</v>
      </c>
      <c r="C1296" t="s">
        <v>8491</v>
      </c>
      <c r="E1296" s="19">
        <v>966599126066</v>
      </c>
      <c r="F1296" t="s">
        <v>8489</v>
      </c>
      <c r="G1296" t="s">
        <v>838</v>
      </c>
    </row>
    <row r="1297" spans="1:7" x14ac:dyDescent="0.25">
      <c r="A1297" t="s">
        <v>8492</v>
      </c>
      <c r="B1297" t="s">
        <v>8493</v>
      </c>
      <c r="C1297" t="s">
        <v>8494</v>
      </c>
      <c r="E1297" s="19">
        <v>9660553883550</v>
      </c>
      <c r="F1297" t="s">
        <v>8492</v>
      </c>
      <c r="G1297" t="s">
        <v>841</v>
      </c>
    </row>
    <row r="1298" spans="1:7" x14ac:dyDescent="0.25">
      <c r="A1298" t="s">
        <v>8495</v>
      </c>
      <c r="B1298" t="s">
        <v>8496</v>
      </c>
      <c r="C1298" t="s">
        <v>8497</v>
      </c>
      <c r="E1298" s="19">
        <v>966554123553</v>
      </c>
      <c r="F1298" t="s">
        <v>8495</v>
      </c>
      <c r="G1298" t="s">
        <v>2732</v>
      </c>
    </row>
    <row r="1299" spans="1:7" x14ac:dyDescent="0.25">
      <c r="A1299" t="s">
        <v>8498</v>
      </c>
      <c r="B1299" t="s">
        <v>8499</v>
      </c>
      <c r="C1299" t="s">
        <v>8500</v>
      </c>
      <c r="E1299" s="19">
        <v>966553534581</v>
      </c>
      <c r="F1299" t="s">
        <v>8498</v>
      </c>
      <c r="G1299" t="s">
        <v>840</v>
      </c>
    </row>
    <row r="1300" spans="1:7" x14ac:dyDescent="0.25">
      <c r="A1300" t="s">
        <v>8501</v>
      </c>
      <c r="B1300" t="s">
        <v>8502</v>
      </c>
      <c r="C1300" t="s">
        <v>8503</v>
      </c>
      <c r="E1300" s="19" t="s">
        <v>2824</v>
      </c>
      <c r="F1300" t="s">
        <v>8501</v>
      </c>
      <c r="G1300" t="s">
        <v>841</v>
      </c>
    </row>
    <row r="1301" spans="1:7" x14ac:dyDescent="0.25">
      <c r="A1301" t="s">
        <v>8504</v>
      </c>
      <c r="B1301" t="s">
        <v>8505</v>
      </c>
      <c r="C1301" t="s">
        <v>8506</v>
      </c>
      <c r="E1301" s="19">
        <v>966568997185</v>
      </c>
      <c r="F1301" t="s">
        <v>8504</v>
      </c>
      <c r="G1301" t="s">
        <v>839</v>
      </c>
    </row>
    <row r="1302" spans="1:7" x14ac:dyDescent="0.25">
      <c r="A1302" t="s">
        <v>8507</v>
      </c>
      <c r="B1302" t="s">
        <v>8508</v>
      </c>
      <c r="C1302" t="s">
        <v>8509</v>
      </c>
      <c r="E1302" s="19">
        <v>966596400960</v>
      </c>
      <c r="F1302" t="s">
        <v>8507</v>
      </c>
      <c r="G1302" t="s">
        <v>2732</v>
      </c>
    </row>
    <row r="1303" spans="1:7" x14ac:dyDescent="0.25">
      <c r="A1303" t="s">
        <v>8510</v>
      </c>
      <c r="B1303" t="s">
        <v>8511</v>
      </c>
      <c r="C1303" t="s">
        <v>8512</v>
      </c>
      <c r="E1303" s="19">
        <v>966550007891</v>
      </c>
      <c r="F1303" t="s">
        <v>8510</v>
      </c>
      <c r="G1303" t="s">
        <v>841</v>
      </c>
    </row>
    <row r="1304" spans="1:7" x14ac:dyDescent="0.25">
      <c r="A1304" t="s">
        <v>8513</v>
      </c>
      <c r="B1304" t="s">
        <v>8514</v>
      </c>
      <c r="C1304" t="s">
        <v>8515</v>
      </c>
      <c r="E1304" s="19">
        <v>966556678094</v>
      </c>
      <c r="F1304" t="s">
        <v>8513</v>
      </c>
      <c r="G1304" t="s">
        <v>844</v>
      </c>
    </row>
    <row r="1305" spans="1:7" x14ac:dyDescent="0.25">
      <c r="A1305" t="s">
        <v>8516</v>
      </c>
      <c r="B1305" t="s">
        <v>8517</v>
      </c>
      <c r="C1305" t="s">
        <v>2388</v>
      </c>
      <c r="E1305" s="19">
        <v>966595444616</v>
      </c>
      <c r="F1305" t="s">
        <v>8516</v>
      </c>
      <c r="G1305" t="s">
        <v>839</v>
      </c>
    </row>
    <row r="1306" spans="1:7" x14ac:dyDescent="0.25">
      <c r="A1306" t="s">
        <v>8518</v>
      </c>
      <c r="B1306" t="s">
        <v>8519</v>
      </c>
      <c r="C1306" t="s">
        <v>8520</v>
      </c>
      <c r="E1306" s="19">
        <v>971555012913</v>
      </c>
      <c r="F1306" t="s">
        <v>8518</v>
      </c>
      <c r="G1306" t="s">
        <v>839</v>
      </c>
    </row>
    <row r="1307" spans="1:7" x14ac:dyDescent="0.25">
      <c r="A1307" t="s">
        <v>8521</v>
      </c>
      <c r="B1307" t="s">
        <v>8522</v>
      </c>
      <c r="C1307" t="s">
        <v>8523</v>
      </c>
      <c r="E1307" s="19">
        <v>971554398276</v>
      </c>
      <c r="F1307" t="s">
        <v>8521</v>
      </c>
      <c r="G1307" t="s">
        <v>844</v>
      </c>
    </row>
    <row r="1308" spans="1:7" x14ac:dyDescent="0.25">
      <c r="A1308" t="s">
        <v>8524</v>
      </c>
      <c r="B1308" t="s">
        <v>8525</v>
      </c>
      <c r="C1308" t="s">
        <v>8526</v>
      </c>
      <c r="E1308" s="19">
        <v>971561452910</v>
      </c>
      <c r="F1308" t="s">
        <v>8524</v>
      </c>
      <c r="G1308" t="s">
        <v>854</v>
      </c>
    </row>
    <row r="1309" spans="1:7" x14ac:dyDescent="0.25">
      <c r="A1309" t="s">
        <v>8527</v>
      </c>
      <c r="B1309" t="s">
        <v>8528</v>
      </c>
      <c r="C1309" t="s">
        <v>8529</v>
      </c>
      <c r="E1309" s="19">
        <v>8615019405423</v>
      </c>
      <c r="F1309" t="s">
        <v>8527</v>
      </c>
      <c r="G1309" t="s">
        <v>836</v>
      </c>
    </row>
    <row r="1310" spans="1:7" x14ac:dyDescent="0.25">
      <c r="A1310" t="s">
        <v>8530</v>
      </c>
      <c r="B1310" t="s">
        <v>8531</v>
      </c>
      <c r="C1310" t="s">
        <v>8399</v>
      </c>
      <c r="E1310" s="19">
        <v>966595444616</v>
      </c>
      <c r="F1310" t="s">
        <v>8530</v>
      </c>
      <c r="G1310" t="s">
        <v>838</v>
      </c>
    </row>
    <row r="1311" spans="1:7" x14ac:dyDescent="0.25">
      <c r="A1311" t="s">
        <v>8532</v>
      </c>
      <c r="B1311" t="s">
        <v>8533</v>
      </c>
      <c r="C1311" t="s">
        <v>8534</v>
      </c>
      <c r="E1311" s="19">
        <v>966533474860</v>
      </c>
      <c r="F1311" t="s">
        <v>8532</v>
      </c>
      <c r="G1311" t="s">
        <v>838</v>
      </c>
    </row>
    <row r="1312" spans="1:7" x14ac:dyDescent="0.25">
      <c r="A1312" t="s">
        <v>8535</v>
      </c>
      <c r="B1312" t="s">
        <v>8536</v>
      </c>
      <c r="C1312" t="s">
        <v>8537</v>
      </c>
      <c r="E1312" s="19">
        <v>966576744909</v>
      </c>
      <c r="F1312" t="s">
        <v>8535</v>
      </c>
      <c r="G1312" t="s">
        <v>841</v>
      </c>
    </row>
    <row r="1313" spans="1:7" x14ac:dyDescent="0.25">
      <c r="A1313" t="s">
        <v>8538</v>
      </c>
      <c r="B1313" t="s">
        <v>8539</v>
      </c>
      <c r="C1313" t="s">
        <v>8540</v>
      </c>
      <c r="E1313" s="19">
        <v>966544281730</v>
      </c>
      <c r="F1313" t="s">
        <v>8538</v>
      </c>
      <c r="G1313" t="s">
        <v>841</v>
      </c>
    </row>
    <row r="1314" spans="1:7" x14ac:dyDescent="0.25">
      <c r="A1314" t="s">
        <v>8541</v>
      </c>
      <c r="B1314" t="s">
        <v>8542</v>
      </c>
      <c r="C1314" t="s">
        <v>8543</v>
      </c>
      <c r="E1314" s="19">
        <v>966500867786</v>
      </c>
      <c r="F1314" t="s">
        <v>8541</v>
      </c>
      <c r="G1314" t="s">
        <v>839</v>
      </c>
    </row>
    <row r="1315" spans="1:7" x14ac:dyDescent="0.25">
      <c r="A1315" t="s">
        <v>8544</v>
      </c>
      <c r="B1315" t="s">
        <v>8545</v>
      </c>
      <c r="C1315" t="s">
        <v>8546</v>
      </c>
      <c r="E1315" s="19">
        <v>966551487260</v>
      </c>
      <c r="F1315" t="s">
        <v>8544</v>
      </c>
      <c r="G1315" t="s">
        <v>841</v>
      </c>
    </row>
    <row r="1316" spans="1:7" x14ac:dyDescent="0.25">
      <c r="A1316" t="s">
        <v>8547</v>
      </c>
      <c r="B1316" t="s">
        <v>8548</v>
      </c>
      <c r="C1316" t="s">
        <v>8027</v>
      </c>
      <c r="E1316" s="19">
        <v>919810403933</v>
      </c>
      <c r="F1316" t="s">
        <v>8547</v>
      </c>
      <c r="G1316" t="s">
        <v>841</v>
      </c>
    </row>
    <row r="1317" spans="1:7" x14ac:dyDescent="0.25">
      <c r="A1317" t="s">
        <v>8549</v>
      </c>
      <c r="B1317" t="s">
        <v>8550</v>
      </c>
      <c r="C1317" t="s">
        <v>8551</v>
      </c>
      <c r="E1317" s="19">
        <v>97148133893</v>
      </c>
      <c r="F1317" t="s">
        <v>8549</v>
      </c>
      <c r="G1317" t="s">
        <v>839</v>
      </c>
    </row>
    <row r="1318" spans="1:7" x14ac:dyDescent="0.25">
      <c r="A1318" t="s">
        <v>8552</v>
      </c>
      <c r="B1318" t="s">
        <v>8553</v>
      </c>
      <c r="C1318" t="s">
        <v>1147</v>
      </c>
      <c r="E1318" s="19">
        <v>971509957808</v>
      </c>
      <c r="F1318" t="s">
        <v>8552</v>
      </c>
      <c r="G1318" t="s">
        <v>849</v>
      </c>
    </row>
    <row r="1319" spans="1:7" x14ac:dyDescent="0.25">
      <c r="A1319" t="s">
        <v>8554</v>
      </c>
      <c r="B1319" t="s">
        <v>8555</v>
      </c>
      <c r="C1319" t="s">
        <v>8556</v>
      </c>
      <c r="E1319" s="19">
        <v>966546664266</v>
      </c>
      <c r="F1319" t="s">
        <v>8554</v>
      </c>
      <c r="G1319" t="s">
        <v>840</v>
      </c>
    </row>
    <row r="1320" spans="1:7" x14ac:dyDescent="0.25">
      <c r="A1320" t="s">
        <v>8557</v>
      </c>
      <c r="B1320" t="s">
        <v>8558</v>
      </c>
      <c r="C1320" t="s">
        <v>8559</v>
      </c>
      <c r="E1320" s="19">
        <v>966546922872</v>
      </c>
      <c r="F1320" t="s">
        <v>8557</v>
      </c>
      <c r="G1320" t="s">
        <v>838</v>
      </c>
    </row>
    <row r="1321" spans="1:7" x14ac:dyDescent="0.25">
      <c r="A1321" t="s">
        <v>8560</v>
      </c>
      <c r="B1321" t="s">
        <v>8561</v>
      </c>
      <c r="C1321" t="s">
        <v>8562</v>
      </c>
      <c r="E1321" s="19">
        <v>966507971259</v>
      </c>
      <c r="F1321" t="s">
        <v>8560</v>
      </c>
      <c r="G1321" t="s">
        <v>838</v>
      </c>
    </row>
    <row r="1322" spans="1:7" x14ac:dyDescent="0.25">
      <c r="A1322" t="s">
        <v>8563</v>
      </c>
      <c r="B1322" t="s">
        <v>8564</v>
      </c>
      <c r="C1322" t="s">
        <v>8565</v>
      </c>
      <c r="E1322" s="19">
        <v>966566663338</v>
      </c>
      <c r="F1322" t="s">
        <v>8563</v>
      </c>
      <c r="G1322" t="s">
        <v>872</v>
      </c>
    </row>
    <row r="1323" spans="1:7" x14ac:dyDescent="0.25">
      <c r="A1323" t="s">
        <v>8566</v>
      </c>
      <c r="B1323" t="s">
        <v>8567</v>
      </c>
      <c r="C1323" t="s">
        <v>8568</v>
      </c>
      <c r="E1323" s="19">
        <v>34973679018</v>
      </c>
      <c r="F1323" t="s">
        <v>8566</v>
      </c>
      <c r="G1323" t="s">
        <v>841</v>
      </c>
    </row>
    <row r="1324" spans="1:7" x14ac:dyDescent="0.25">
      <c r="A1324" t="s">
        <v>8569</v>
      </c>
      <c r="B1324" t="s">
        <v>8570</v>
      </c>
      <c r="C1324" t="s">
        <v>8571</v>
      </c>
      <c r="E1324" s="19">
        <v>971502219306</v>
      </c>
      <c r="F1324" t="s">
        <v>8569</v>
      </c>
      <c r="G1324" t="s">
        <v>872</v>
      </c>
    </row>
    <row r="1325" spans="1:7" x14ac:dyDescent="0.25">
      <c r="A1325" t="s">
        <v>8573</v>
      </c>
      <c r="B1325" t="s">
        <v>8574</v>
      </c>
      <c r="C1325" t="s">
        <v>8575</v>
      </c>
      <c r="E1325" s="19">
        <v>971528880192</v>
      </c>
      <c r="F1325" t="s">
        <v>8573</v>
      </c>
      <c r="G1325" t="s">
        <v>838</v>
      </c>
    </row>
    <row r="1326" spans="1:7" x14ac:dyDescent="0.25">
      <c r="A1326" t="s">
        <v>8576</v>
      </c>
      <c r="B1326" t="s">
        <v>8577</v>
      </c>
      <c r="C1326" t="s">
        <v>8575</v>
      </c>
      <c r="E1326" s="19">
        <v>971528880192</v>
      </c>
      <c r="F1326" t="s">
        <v>8576</v>
      </c>
      <c r="G1326" t="s">
        <v>838</v>
      </c>
    </row>
    <row r="1327" spans="1:7" x14ac:dyDescent="0.25">
      <c r="A1327" t="s">
        <v>8578</v>
      </c>
      <c r="B1327" t="s">
        <v>8579</v>
      </c>
      <c r="C1327" t="s">
        <v>8580</v>
      </c>
      <c r="E1327" s="19">
        <v>8613425140873</v>
      </c>
      <c r="F1327" t="s">
        <v>8578</v>
      </c>
      <c r="G1327" t="s">
        <v>836</v>
      </c>
    </row>
    <row r="1328" spans="1:7" x14ac:dyDescent="0.25">
      <c r="A1328" t="s">
        <v>8581</v>
      </c>
      <c r="B1328" t="s">
        <v>8582</v>
      </c>
      <c r="C1328" t="s">
        <v>8583</v>
      </c>
      <c r="E1328" s="19">
        <v>971554720371</v>
      </c>
      <c r="F1328" t="s">
        <v>8581</v>
      </c>
      <c r="G1328" t="s">
        <v>842</v>
      </c>
    </row>
    <row r="1329" spans="1:7" x14ac:dyDescent="0.25">
      <c r="A1329" t="s">
        <v>8585</v>
      </c>
      <c r="B1329" t="s">
        <v>8586</v>
      </c>
      <c r="C1329" t="s">
        <v>8587</v>
      </c>
      <c r="E1329" s="19">
        <v>971506247377</v>
      </c>
      <c r="F1329" t="s">
        <v>8585</v>
      </c>
      <c r="G1329" t="s">
        <v>841</v>
      </c>
    </row>
    <row r="1330" spans="1:7" x14ac:dyDescent="0.25">
      <c r="A1330" t="s">
        <v>8588</v>
      </c>
      <c r="B1330" t="s">
        <v>8589</v>
      </c>
      <c r="C1330" t="s">
        <v>8590</v>
      </c>
      <c r="E1330" s="19">
        <v>971554676963</v>
      </c>
      <c r="F1330" t="s">
        <v>8588</v>
      </c>
      <c r="G1330" t="s">
        <v>2334</v>
      </c>
    </row>
    <row r="1331" spans="1:7" x14ac:dyDescent="0.25">
      <c r="A1331" t="s">
        <v>8591</v>
      </c>
      <c r="B1331" t="s">
        <v>8592</v>
      </c>
      <c r="C1331" t="s">
        <v>8590</v>
      </c>
      <c r="E1331" s="19">
        <v>971554676963</v>
      </c>
      <c r="F1331" t="s">
        <v>8591</v>
      </c>
      <c r="G1331" t="s">
        <v>2334</v>
      </c>
    </row>
    <row r="1332" spans="1:7" x14ac:dyDescent="0.25">
      <c r="A1332" t="s">
        <v>8593</v>
      </c>
      <c r="B1332" t="s">
        <v>8594</v>
      </c>
      <c r="C1332" t="s">
        <v>8595</v>
      </c>
      <c r="E1332" s="19">
        <v>971564709977</v>
      </c>
      <c r="F1332" t="s">
        <v>8593</v>
      </c>
      <c r="G1332" t="s">
        <v>841</v>
      </c>
    </row>
    <row r="1333" spans="1:7" x14ac:dyDescent="0.25">
      <c r="A1333" t="s">
        <v>8596</v>
      </c>
      <c r="B1333" t="s">
        <v>8597</v>
      </c>
      <c r="C1333" t="s">
        <v>8962</v>
      </c>
      <c r="E1333" s="19">
        <v>971528997180</v>
      </c>
      <c r="F1333" t="s">
        <v>8596</v>
      </c>
      <c r="G1333" t="s">
        <v>839</v>
      </c>
    </row>
    <row r="1334" spans="1:7" x14ac:dyDescent="0.25">
      <c r="A1334" t="s">
        <v>8598</v>
      </c>
      <c r="B1334" t="s">
        <v>8599</v>
      </c>
      <c r="C1334" t="s">
        <v>1801</v>
      </c>
      <c r="E1334" s="19">
        <v>9710566512161</v>
      </c>
      <c r="F1334" t="s">
        <v>8598</v>
      </c>
      <c r="G1334" t="s">
        <v>858</v>
      </c>
    </row>
    <row r="1335" spans="1:7" x14ac:dyDescent="0.25">
      <c r="A1335" t="s">
        <v>8600</v>
      </c>
      <c r="B1335" t="s">
        <v>8601</v>
      </c>
      <c r="C1335" t="s">
        <v>2295</v>
      </c>
      <c r="E1335" s="19">
        <v>966503113328</v>
      </c>
      <c r="F1335" t="s">
        <v>8600</v>
      </c>
      <c r="G1335" t="s">
        <v>2296</v>
      </c>
    </row>
    <row r="1336" spans="1:7" x14ac:dyDescent="0.25">
      <c r="A1336" t="s">
        <v>8602</v>
      </c>
      <c r="B1336" t="s">
        <v>8603</v>
      </c>
      <c r="C1336" t="s">
        <v>8604</v>
      </c>
      <c r="E1336" s="19">
        <v>966532861051</v>
      </c>
      <c r="F1336" t="s">
        <v>8602</v>
      </c>
      <c r="G1336" t="s">
        <v>838</v>
      </c>
    </row>
    <row r="1337" spans="1:7" x14ac:dyDescent="0.25">
      <c r="A1337" t="s">
        <v>8605</v>
      </c>
      <c r="B1337" t="s">
        <v>8606</v>
      </c>
      <c r="C1337" t="s">
        <v>8607</v>
      </c>
      <c r="E1337" s="19">
        <v>966502737825</v>
      </c>
      <c r="F1337" t="s">
        <v>8605</v>
      </c>
      <c r="G1337" t="s">
        <v>839</v>
      </c>
    </row>
    <row r="1338" spans="1:7" x14ac:dyDescent="0.25">
      <c r="A1338" t="s">
        <v>8608</v>
      </c>
      <c r="B1338" t="s">
        <v>8609</v>
      </c>
      <c r="C1338" t="s">
        <v>8610</v>
      </c>
      <c r="E1338" s="19">
        <v>966546222207</v>
      </c>
      <c r="F1338" t="s">
        <v>8608</v>
      </c>
      <c r="G1338" t="s">
        <v>838</v>
      </c>
    </row>
    <row r="1339" spans="1:7" x14ac:dyDescent="0.25">
      <c r="A1339" t="s">
        <v>8611</v>
      </c>
      <c r="B1339" t="s">
        <v>8612</v>
      </c>
      <c r="C1339" t="s">
        <v>8613</v>
      </c>
      <c r="E1339" s="19">
        <v>966539030205</v>
      </c>
      <c r="F1339" t="s">
        <v>8611</v>
      </c>
      <c r="G1339" t="s">
        <v>838</v>
      </c>
    </row>
    <row r="1340" spans="1:7" x14ac:dyDescent="0.25">
      <c r="A1340" t="s">
        <v>8614</v>
      </c>
      <c r="B1340" t="s">
        <v>8615</v>
      </c>
      <c r="C1340" t="s">
        <v>8616</v>
      </c>
      <c r="E1340" s="19">
        <v>966508926667</v>
      </c>
      <c r="F1340" t="s">
        <v>8614</v>
      </c>
      <c r="G1340" t="s">
        <v>1624</v>
      </c>
    </row>
    <row r="1341" spans="1:7" x14ac:dyDescent="0.25">
      <c r="A1341" t="s">
        <v>8617</v>
      </c>
      <c r="B1341" t="s">
        <v>8618</v>
      </c>
      <c r="C1341" t="s">
        <v>8619</v>
      </c>
      <c r="E1341" s="19">
        <v>966504948444</v>
      </c>
      <c r="F1341" t="s">
        <v>8617</v>
      </c>
      <c r="G1341" t="s">
        <v>842</v>
      </c>
    </row>
    <row r="1342" spans="1:7" x14ac:dyDescent="0.25">
      <c r="A1342" t="s">
        <v>8620</v>
      </c>
      <c r="B1342" t="s">
        <v>8621</v>
      </c>
      <c r="C1342" t="s">
        <v>8622</v>
      </c>
      <c r="E1342" s="19">
        <v>9660598154555</v>
      </c>
      <c r="F1342" t="s">
        <v>8620</v>
      </c>
      <c r="G1342" t="s">
        <v>838</v>
      </c>
    </row>
    <row r="1343" spans="1:7" x14ac:dyDescent="0.25">
      <c r="A1343" t="s">
        <v>8623</v>
      </c>
      <c r="B1343" t="s">
        <v>8624</v>
      </c>
      <c r="C1343" t="s">
        <v>8625</v>
      </c>
      <c r="E1343" s="19">
        <v>966565754434</v>
      </c>
      <c r="F1343" t="s">
        <v>8623</v>
      </c>
      <c r="G1343" t="s">
        <v>850</v>
      </c>
    </row>
    <row r="1344" spans="1:7" x14ac:dyDescent="0.25">
      <c r="A1344" t="s">
        <v>8627</v>
      </c>
      <c r="B1344" t="s">
        <v>8628</v>
      </c>
      <c r="C1344" t="s">
        <v>2553</v>
      </c>
      <c r="E1344" s="19">
        <v>971555289747</v>
      </c>
      <c r="F1344" t="s">
        <v>8627</v>
      </c>
      <c r="G1344" t="s">
        <v>844</v>
      </c>
    </row>
    <row r="1345" spans="1:7" x14ac:dyDescent="0.25">
      <c r="A1345" t="s">
        <v>8629</v>
      </c>
      <c r="B1345" t="s">
        <v>1567</v>
      </c>
      <c r="C1345" t="s">
        <v>1565</v>
      </c>
      <c r="E1345" s="19">
        <v>966504679141</v>
      </c>
      <c r="F1345" t="s">
        <v>8629</v>
      </c>
      <c r="G1345" t="s">
        <v>8630</v>
      </c>
    </row>
    <row r="1346" spans="1:7" x14ac:dyDescent="0.25">
      <c r="A1346" t="s">
        <v>8631</v>
      </c>
      <c r="B1346" t="s">
        <v>8632</v>
      </c>
      <c r="C1346" t="s">
        <v>8633</v>
      </c>
      <c r="E1346" s="19">
        <v>966549297773</v>
      </c>
      <c r="F1346" t="s">
        <v>8631</v>
      </c>
      <c r="G1346" t="s">
        <v>2732</v>
      </c>
    </row>
    <row r="1347" spans="1:7" x14ac:dyDescent="0.25">
      <c r="A1347" t="s">
        <v>8634</v>
      </c>
      <c r="B1347" t="s">
        <v>8635</v>
      </c>
      <c r="C1347" t="s">
        <v>8636</v>
      </c>
      <c r="E1347" s="19">
        <v>966541076575</v>
      </c>
      <c r="F1347" t="s">
        <v>8634</v>
      </c>
      <c r="G1347" t="s">
        <v>2732</v>
      </c>
    </row>
    <row r="1348" spans="1:7" x14ac:dyDescent="0.25">
      <c r="A1348" t="s">
        <v>8637</v>
      </c>
      <c r="B1348" t="s">
        <v>8638</v>
      </c>
      <c r="C1348" t="s">
        <v>8639</v>
      </c>
      <c r="E1348" s="19">
        <v>966505649724</v>
      </c>
      <c r="F1348" t="s">
        <v>8637</v>
      </c>
      <c r="G1348" t="s">
        <v>2732</v>
      </c>
    </row>
    <row r="1349" spans="1:7" x14ac:dyDescent="0.25">
      <c r="A1349" t="s">
        <v>8640</v>
      </c>
      <c r="B1349" t="s">
        <v>8641</v>
      </c>
      <c r="C1349" t="s">
        <v>8642</v>
      </c>
      <c r="E1349" s="19">
        <v>966544418197</v>
      </c>
      <c r="F1349" t="s">
        <v>8640</v>
      </c>
      <c r="G1349" t="s">
        <v>2732</v>
      </c>
    </row>
    <row r="1350" spans="1:7" x14ac:dyDescent="0.25">
      <c r="A1350" t="s">
        <v>8643</v>
      </c>
      <c r="B1350" t="s">
        <v>8644</v>
      </c>
      <c r="C1350" t="s">
        <v>8645</v>
      </c>
      <c r="E1350" s="19">
        <v>966554781809</v>
      </c>
      <c r="F1350" t="s">
        <v>8643</v>
      </c>
      <c r="G1350" t="s">
        <v>2732</v>
      </c>
    </row>
    <row r="1351" spans="1:7" x14ac:dyDescent="0.25">
      <c r="A1351" t="s">
        <v>8646</v>
      </c>
      <c r="B1351" t="s">
        <v>8647</v>
      </c>
      <c r="C1351" t="s">
        <v>8648</v>
      </c>
      <c r="E1351" s="19">
        <v>966563556664</v>
      </c>
      <c r="F1351" t="s">
        <v>8646</v>
      </c>
      <c r="G1351" t="s">
        <v>2732</v>
      </c>
    </row>
    <row r="1352" spans="1:7" x14ac:dyDescent="0.25">
      <c r="A1352" t="s">
        <v>8649</v>
      </c>
      <c r="B1352" t="s">
        <v>8650</v>
      </c>
      <c r="C1352" t="s">
        <v>8651</v>
      </c>
      <c r="E1352" s="19">
        <v>966543067981</v>
      </c>
      <c r="F1352" t="s">
        <v>8649</v>
      </c>
      <c r="G1352" t="s">
        <v>1382</v>
      </c>
    </row>
    <row r="1353" spans="1:7" x14ac:dyDescent="0.25">
      <c r="A1353" t="s">
        <v>8652</v>
      </c>
      <c r="B1353" t="s">
        <v>8653</v>
      </c>
      <c r="C1353" t="s">
        <v>8654</v>
      </c>
      <c r="E1353" s="19">
        <v>966561634632</v>
      </c>
      <c r="F1353" t="s">
        <v>8652</v>
      </c>
      <c r="G1353" t="s">
        <v>838</v>
      </c>
    </row>
    <row r="1354" spans="1:7" x14ac:dyDescent="0.25">
      <c r="A1354" t="s">
        <v>8655</v>
      </c>
      <c r="B1354" t="s">
        <v>8656</v>
      </c>
      <c r="C1354" t="s">
        <v>8657</v>
      </c>
      <c r="E1354" s="19">
        <v>966555309444</v>
      </c>
      <c r="F1354" t="s">
        <v>8655</v>
      </c>
      <c r="G1354" t="s">
        <v>850</v>
      </c>
    </row>
    <row r="1355" spans="1:7" x14ac:dyDescent="0.25">
      <c r="A1355" t="s">
        <v>8658</v>
      </c>
      <c r="B1355" t="s">
        <v>8659</v>
      </c>
      <c r="C1355" t="s">
        <v>8660</v>
      </c>
      <c r="E1355" s="19">
        <v>966556055630</v>
      </c>
      <c r="F1355" t="s">
        <v>8658</v>
      </c>
      <c r="G1355" t="s">
        <v>2732</v>
      </c>
    </row>
    <row r="1356" spans="1:7" x14ac:dyDescent="0.25">
      <c r="A1356" t="s">
        <v>8661</v>
      </c>
      <c r="B1356" t="s">
        <v>8662</v>
      </c>
      <c r="C1356" t="s">
        <v>8663</v>
      </c>
      <c r="E1356" s="19">
        <v>966543372437</v>
      </c>
      <c r="F1356" t="s">
        <v>8661</v>
      </c>
      <c r="G1356" t="s">
        <v>838</v>
      </c>
    </row>
    <row r="1357" spans="1:7" x14ac:dyDescent="0.25">
      <c r="A1357" t="s">
        <v>8664</v>
      </c>
      <c r="B1357" t="s">
        <v>8665</v>
      </c>
      <c r="C1357" t="s">
        <v>8666</v>
      </c>
      <c r="E1357" s="19">
        <v>971528432803</v>
      </c>
      <c r="F1357" t="s">
        <v>8664</v>
      </c>
      <c r="G1357" t="s">
        <v>850</v>
      </c>
    </row>
    <row r="1358" spans="1:7" x14ac:dyDescent="0.25">
      <c r="A1358" t="s">
        <v>8667</v>
      </c>
      <c r="B1358" t="s">
        <v>8668</v>
      </c>
      <c r="C1358" t="s">
        <v>8669</v>
      </c>
      <c r="E1358" s="19">
        <v>971555275099</v>
      </c>
      <c r="F1358" t="s">
        <v>8667</v>
      </c>
      <c r="G1358" t="s">
        <v>857</v>
      </c>
    </row>
    <row r="1359" spans="1:7" x14ac:dyDescent="0.25">
      <c r="A1359" t="s">
        <v>8670</v>
      </c>
      <c r="B1359" t="s">
        <v>8671</v>
      </c>
      <c r="C1359" t="s">
        <v>8672</v>
      </c>
      <c r="E1359" s="19">
        <v>966591104697</v>
      </c>
      <c r="F1359" t="s">
        <v>8670</v>
      </c>
      <c r="G1359" t="s">
        <v>839</v>
      </c>
    </row>
    <row r="1360" spans="1:7" x14ac:dyDescent="0.25">
      <c r="A1360" t="s">
        <v>8673</v>
      </c>
      <c r="B1360" t="s">
        <v>8674</v>
      </c>
      <c r="C1360" t="s">
        <v>8675</v>
      </c>
      <c r="E1360" s="19">
        <v>971525219834</v>
      </c>
      <c r="F1360" t="s">
        <v>8673</v>
      </c>
      <c r="G1360" t="s">
        <v>8676</v>
      </c>
    </row>
    <row r="1361" spans="1:7" x14ac:dyDescent="0.25">
      <c r="A1361" t="s">
        <v>8677</v>
      </c>
      <c r="B1361" t="s">
        <v>8678</v>
      </c>
      <c r="C1361" t="s">
        <v>8679</v>
      </c>
      <c r="E1361" s="19">
        <v>971529833083</v>
      </c>
      <c r="F1361" t="s">
        <v>8677</v>
      </c>
      <c r="G1361" t="s">
        <v>8676</v>
      </c>
    </row>
    <row r="1362" spans="1:7" x14ac:dyDescent="0.25">
      <c r="A1362" t="s">
        <v>8680</v>
      </c>
      <c r="B1362" t="s">
        <v>8681</v>
      </c>
      <c r="C1362" t="s">
        <v>8682</v>
      </c>
      <c r="E1362" s="19">
        <v>966554488550</v>
      </c>
      <c r="F1362" t="s">
        <v>8680</v>
      </c>
      <c r="G1362" t="s">
        <v>845</v>
      </c>
    </row>
    <row r="1363" spans="1:7" x14ac:dyDescent="0.25">
      <c r="A1363" t="s">
        <v>8683</v>
      </c>
      <c r="B1363" t="s">
        <v>8684</v>
      </c>
      <c r="C1363" t="s">
        <v>8685</v>
      </c>
      <c r="E1363" s="19">
        <v>85253133634</v>
      </c>
      <c r="F1363" t="s">
        <v>8683</v>
      </c>
      <c r="G1363" t="s">
        <v>8686</v>
      </c>
    </row>
    <row r="1364" spans="1:7" x14ac:dyDescent="0.25">
      <c r="A1364" t="s">
        <v>8687</v>
      </c>
      <c r="B1364" t="s">
        <v>8688</v>
      </c>
      <c r="C1364" t="s">
        <v>8689</v>
      </c>
      <c r="E1364" s="19">
        <v>971564048834</v>
      </c>
      <c r="F1364" t="s">
        <v>8687</v>
      </c>
      <c r="G1364" t="s">
        <v>844</v>
      </c>
    </row>
    <row r="1365" spans="1:7" x14ac:dyDescent="0.25">
      <c r="A1365" t="s">
        <v>8690</v>
      </c>
      <c r="B1365" t="s">
        <v>8691</v>
      </c>
      <c r="C1365" t="s">
        <v>8692</v>
      </c>
      <c r="E1365" s="19">
        <v>966571476468</v>
      </c>
      <c r="F1365" t="s">
        <v>8690</v>
      </c>
      <c r="G1365" t="s">
        <v>2732</v>
      </c>
    </row>
    <row r="1366" spans="1:7" x14ac:dyDescent="0.25">
      <c r="A1366" t="s">
        <v>8693</v>
      </c>
      <c r="B1366" t="s">
        <v>8694</v>
      </c>
      <c r="C1366" t="s">
        <v>8695</v>
      </c>
      <c r="E1366" s="19">
        <v>966546954405</v>
      </c>
      <c r="F1366" t="s">
        <v>8693</v>
      </c>
      <c r="G1366" t="s">
        <v>2732</v>
      </c>
    </row>
    <row r="1367" spans="1:7" x14ac:dyDescent="0.25">
      <c r="A1367" t="s">
        <v>8696</v>
      </c>
      <c r="B1367" t="s">
        <v>8697</v>
      </c>
      <c r="C1367" t="s">
        <v>8698</v>
      </c>
      <c r="E1367" s="19">
        <v>966557791336</v>
      </c>
      <c r="F1367" t="s">
        <v>8696</v>
      </c>
      <c r="G1367" t="s">
        <v>840</v>
      </c>
    </row>
    <row r="1368" spans="1:7" x14ac:dyDescent="0.25">
      <c r="A1368" t="s">
        <v>8699</v>
      </c>
      <c r="B1368" t="s">
        <v>8700</v>
      </c>
      <c r="C1368" t="s">
        <v>8701</v>
      </c>
      <c r="E1368" s="19" t="s">
        <v>2824</v>
      </c>
      <c r="F1368" t="s">
        <v>8699</v>
      </c>
      <c r="G1368" t="s">
        <v>845</v>
      </c>
    </row>
    <row r="1369" spans="1:7" x14ac:dyDescent="0.25">
      <c r="A1369" t="s">
        <v>8703</v>
      </c>
      <c r="B1369" t="s">
        <v>8704</v>
      </c>
      <c r="C1369" t="s">
        <v>8705</v>
      </c>
      <c r="E1369" s="19">
        <v>966550553985</v>
      </c>
      <c r="F1369" t="s">
        <v>8703</v>
      </c>
      <c r="G1369" t="s">
        <v>838</v>
      </c>
    </row>
    <row r="1370" spans="1:7" x14ac:dyDescent="0.25">
      <c r="A1370" t="s">
        <v>8706</v>
      </c>
      <c r="B1370" t="s">
        <v>8707</v>
      </c>
      <c r="C1370" t="s">
        <v>8708</v>
      </c>
      <c r="E1370" s="19">
        <v>971556436399</v>
      </c>
      <c r="F1370" t="s">
        <v>8706</v>
      </c>
      <c r="G1370" t="s">
        <v>858</v>
      </c>
    </row>
    <row r="1371" spans="1:7" x14ac:dyDescent="0.25">
      <c r="A1371" t="s">
        <v>8709</v>
      </c>
      <c r="B1371" t="s">
        <v>8710</v>
      </c>
      <c r="C1371" t="s">
        <v>8711</v>
      </c>
      <c r="E1371" s="19">
        <v>971551288489</v>
      </c>
      <c r="F1371" t="s">
        <v>8709</v>
      </c>
      <c r="G1371" t="s">
        <v>8231</v>
      </c>
    </row>
    <row r="1372" spans="1:7" x14ac:dyDescent="0.25">
      <c r="A1372" t="s">
        <v>8712</v>
      </c>
      <c r="B1372" t="s">
        <v>8713</v>
      </c>
      <c r="C1372" t="s">
        <v>8714</v>
      </c>
      <c r="E1372" s="19">
        <v>97430459774</v>
      </c>
      <c r="F1372" t="s">
        <v>8712</v>
      </c>
      <c r="G1372" t="s">
        <v>839</v>
      </c>
    </row>
    <row r="1373" spans="1:7" x14ac:dyDescent="0.25">
      <c r="A1373" t="s">
        <v>8715</v>
      </c>
      <c r="B1373" t="s">
        <v>8716</v>
      </c>
      <c r="C1373" t="s">
        <v>8717</v>
      </c>
      <c r="E1373" s="19">
        <v>971504019757</v>
      </c>
      <c r="F1373" t="s">
        <v>8715</v>
      </c>
      <c r="G1373" t="s">
        <v>854</v>
      </c>
    </row>
    <row r="1374" spans="1:7" x14ac:dyDescent="0.25">
      <c r="A1374" t="s">
        <v>8718</v>
      </c>
      <c r="B1374" t="s">
        <v>8719</v>
      </c>
      <c r="C1374" t="s">
        <v>8720</v>
      </c>
      <c r="E1374" s="19">
        <v>966569970608</v>
      </c>
      <c r="F1374" t="s">
        <v>8718</v>
      </c>
      <c r="G1374" t="s">
        <v>840</v>
      </c>
    </row>
    <row r="1375" spans="1:7" x14ac:dyDescent="0.25">
      <c r="A1375" t="s">
        <v>8721</v>
      </c>
      <c r="B1375" t="s">
        <v>8722</v>
      </c>
      <c r="C1375" t="s">
        <v>8720</v>
      </c>
      <c r="E1375" s="19">
        <v>966569970608</v>
      </c>
      <c r="F1375" t="s">
        <v>8721</v>
      </c>
      <c r="G1375" t="s">
        <v>840</v>
      </c>
    </row>
    <row r="1376" spans="1:7" x14ac:dyDescent="0.25">
      <c r="A1376" t="s">
        <v>8723</v>
      </c>
      <c r="B1376" t="s">
        <v>8724</v>
      </c>
      <c r="C1376" t="s">
        <v>8725</v>
      </c>
      <c r="E1376" s="19">
        <v>966543623668</v>
      </c>
      <c r="F1376" t="s">
        <v>8723</v>
      </c>
      <c r="G1376" t="s">
        <v>1382</v>
      </c>
    </row>
    <row r="1377" spans="1:7" x14ac:dyDescent="0.25">
      <c r="A1377" t="s">
        <v>8726</v>
      </c>
      <c r="B1377" t="s">
        <v>8727</v>
      </c>
      <c r="C1377" t="s">
        <v>8728</v>
      </c>
      <c r="E1377" s="19">
        <v>9666504222</v>
      </c>
      <c r="F1377" t="s">
        <v>8726</v>
      </c>
      <c r="G1377" t="s">
        <v>8729</v>
      </c>
    </row>
    <row r="1378" spans="1:7" x14ac:dyDescent="0.25">
      <c r="A1378" t="s">
        <v>8730</v>
      </c>
      <c r="B1378" t="s">
        <v>8731</v>
      </c>
      <c r="C1378" t="s">
        <v>8732</v>
      </c>
      <c r="E1378" s="19">
        <v>971529082865</v>
      </c>
      <c r="F1378" t="s">
        <v>8730</v>
      </c>
      <c r="G1378" t="s">
        <v>8231</v>
      </c>
    </row>
    <row r="1379" spans="1:7" x14ac:dyDescent="0.25">
      <c r="A1379" t="s">
        <v>2353</v>
      </c>
      <c r="B1379" t="s">
        <v>8733</v>
      </c>
      <c r="C1379" t="s">
        <v>2355</v>
      </c>
      <c r="E1379" s="19">
        <v>971563771935</v>
      </c>
      <c r="F1379" t="s">
        <v>2353</v>
      </c>
      <c r="G1379" t="s">
        <v>838</v>
      </c>
    </row>
    <row r="1380" spans="1:7" x14ac:dyDescent="0.25">
      <c r="A1380" t="s">
        <v>8734</v>
      </c>
      <c r="B1380" t="s">
        <v>8735</v>
      </c>
      <c r="C1380" t="s">
        <v>8736</v>
      </c>
      <c r="E1380" s="19">
        <v>971556005288</v>
      </c>
      <c r="F1380" t="s">
        <v>8734</v>
      </c>
      <c r="G1380" t="s">
        <v>841</v>
      </c>
    </row>
    <row r="1381" spans="1:7" x14ac:dyDescent="0.25">
      <c r="A1381" t="s">
        <v>8737</v>
      </c>
      <c r="B1381" t="s">
        <v>8738</v>
      </c>
      <c r="C1381" t="s">
        <v>8739</v>
      </c>
      <c r="E1381" s="19">
        <v>966560505040</v>
      </c>
      <c r="F1381" t="s">
        <v>8737</v>
      </c>
      <c r="G1381" t="s">
        <v>839</v>
      </c>
    </row>
    <row r="1382" spans="1:7" x14ac:dyDescent="0.25">
      <c r="A1382" t="s">
        <v>8740</v>
      </c>
      <c r="B1382" t="s">
        <v>8741</v>
      </c>
      <c r="C1382" t="s">
        <v>8739</v>
      </c>
      <c r="E1382" s="19">
        <v>966560505040</v>
      </c>
      <c r="F1382" t="s">
        <v>8740</v>
      </c>
      <c r="G1382" t="s">
        <v>839</v>
      </c>
    </row>
    <row r="1383" spans="1:7" x14ac:dyDescent="0.25">
      <c r="A1383" t="s">
        <v>8742</v>
      </c>
      <c r="B1383" t="s">
        <v>8743</v>
      </c>
      <c r="C1383" t="s">
        <v>8744</v>
      </c>
      <c r="E1383" s="19" t="s">
        <v>8745</v>
      </c>
      <c r="F1383" t="s">
        <v>8742</v>
      </c>
      <c r="G1383" t="s">
        <v>844</v>
      </c>
    </row>
    <row r="1384" spans="1:7" x14ac:dyDescent="0.25">
      <c r="A1384" t="s">
        <v>8746</v>
      </c>
      <c r="B1384" t="s">
        <v>8747</v>
      </c>
      <c r="C1384" t="s">
        <v>8748</v>
      </c>
      <c r="E1384" s="19">
        <v>971555750061</v>
      </c>
      <c r="F1384" t="s">
        <v>8746</v>
      </c>
      <c r="G1384" t="s">
        <v>2480</v>
      </c>
    </row>
    <row r="1385" spans="1:7" x14ac:dyDescent="0.25">
      <c r="A1385" t="s">
        <v>8749</v>
      </c>
      <c r="B1385" t="s">
        <v>8750</v>
      </c>
      <c r="C1385" t="s">
        <v>8751</v>
      </c>
      <c r="E1385" s="19">
        <v>966565022299</v>
      </c>
      <c r="F1385" t="s">
        <v>8749</v>
      </c>
      <c r="G1385" t="s">
        <v>839</v>
      </c>
    </row>
    <row r="1386" spans="1:7" x14ac:dyDescent="0.25">
      <c r="A1386" t="s">
        <v>8752</v>
      </c>
      <c r="B1386" t="s">
        <v>8753</v>
      </c>
      <c r="C1386" t="s">
        <v>8754</v>
      </c>
      <c r="E1386" s="19">
        <v>971556079627</v>
      </c>
      <c r="F1386" t="s">
        <v>8752</v>
      </c>
      <c r="G1386" t="s">
        <v>858</v>
      </c>
    </row>
    <row r="1387" spans="1:7" x14ac:dyDescent="0.25">
      <c r="A1387" t="s">
        <v>8578</v>
      </c>
      <c r="B1387" t="s">
        <v>8755</v>
      </c>
      <c r="C1387" t="s">
        <v>8580</v>
      </c>
      <c r="E1387" s="19">
        <v>8613425140873</v>
      </c>
      <c r="F1387" t="s">
        <v>8578</v>
      </c>
      <c r="G1387" t="s">
        <v>836</v>
      </c>
    </row>
    <row r="1388" spans="1:7" x14ac:dyDescent="0.25">
      <c r="A1388" t="s">
        <v>8527</v>
      </c>
      <c r="B1388" t="s">
        <v>8756</v>
      </c>
      <c r="C1388" t="s">
        <v>8529</v>
      </c>
      <c r="E1388" s="19">
        <v>8615019405423</v>
      </c>
      <c r="F1388" t="s">
        <v>8527</v>
      </c>
      <c r="G1388" t="s">
        <v>836</v>
      </c>
    </row>
    <row r="1389" spans="1:7" x14ac:dyDescent="0.25">
      <c r="A1389" t="s">
        <v>8757</v>
      </c>
      <c r="B1389" t="s">
        <v>8758</v>
      </c>
      <c r="C1389" t="s">
        <v>8759</v>
      </c>
      <c r="E1389" s="19">
        <v>971505756715</v>
      </c>
      <c r="F1389" t="s">
        <v>8757</v>
      </c>
      <c r="G1389" t="s">
        <v>839</v>
      </c>
    </row>
    <row r="1390" spans="1:7" x14ac:dyDescent="0.25">
      <c r="A1390" t="s">
        <v>8760</v>
      </c>
      <c r="B1390" t="s">
        <v>8761</v>
      </c>
      <c r="C1390" t="s">
        <v>8762</v>
      </c>
      <c r="E1390" s="19">
        <v>966539435138</v>
      </c>
      <c r="F1390" t="s">
        <v>8760</v>
      </c>
      <c r="G1390" t="s">
        <v>839</v>
      </c>
    </row>
    <row r="1391" spans="1:7" x14ac:dyDescent="0.25">
      <c r="A1391" t="s">
        <v>8763</v>
      </c>
      <c r="B1391" t="s">
        <v>8764</v>
      </c>
      <c r="C1391" t="s">
        <v>8765</v>
      </c>
      <c r="E1391" s="19">
        <v>966564588203</v>
      </c>
      <c r="F1391" t="s">
        <v>8763</v>
      </c>
      <c r="G1391" t="s">
        <v>838</v>
      </c>
    </row>
    <row r="1392" spans="1:7" x14ac:dyDescent="0.25">
      <c r="A1392" t="s">
        <v>8766</v>
      </c>
      <c r="B1392" t="s">
        <v>8767</v>
      </c>
      <c r="C1392" t="s">
        <v>8768</v>
      </c>
      <c r="E1392" s="19">
        <v>966554358028</v>
      </c>
      <c r="F1392" t="s">
        <v>8766</v>
      </c>
      <c r="G1392" t="s">
        <v>838</v>
      </c>
    </row>
    <row r="1393" spans="1:7" x14ac:dyDescent="0.25">
      <c r="A1393" t="s">
        <v>8769</v>
      </c>
      <c r="B1393" t="s">
        <v>8770</v>
      </c>
      <c r="C1393" t="s">
        <v>8771</v>
      </c>
      <c r="E1393" s="19">
        <v>971502020656</v>
      </c>
      <c r="F1393" t="s">
        <v>8769</v>
      </c>
      <c r="G1393" t="s">
        <v>8772</v>
      </c>
    </row>
    <row r="1394" spans="1:7" x14ac:dyDescent="0.25">
      <c r="A1394" t="s">
        <v>8773</v>
      </c>
      <c r="B1394" t="s">
        <v>8774</v>
      </c>
      <c r="C1394" t="s">
        <v>8775</v>
      </c>
      <c r="E1394" s="19">
        <v>971505524014</v>
      </c>
      <c r="F1394" t="s">
        <v>8773</v>
      </c>
      <c r="G1394" t="s">
        <v>844</v>
      </c>
    </row>
    <row r="1395" spans="1:7" x14ac:dyDescent="0.25">
      <c r="A1395" t="s">
        <v>8779</v>
      </c>
      <c r="B1395" t="s">
        <v>8780</v>
      </c>
      <c r="C1395" t="s">
        <v>8781</v>
      </c>
      <c r="E1395" s="19">
        <v>966562149615</v>
      </c>
      <c r="F1395" t="s">
        <v>8779</v>
      </c>
      <c r="G1395" t="s">
        <v>838</v>
      </c>
    </row>
    <row r="1396" spans="1:7" x14ac:dyDescent="0.25">
      <c r="A1396" t="s">
        <v>8782</v>
      </c>
      <c r="B1396" t="s">
        <v>8783</v>
      </c>
      <c r="C1396" t="s">
        <v>8784</v>
      </c>
      <c r="E1396" s="19">
        <v>966543281932</v>
      </c>
      <c r="F1396" t="s">
        <v>8782</v>
      </c>
      <c r="G1396" t="s">
        <v>839</v>
      </c>
    </row>
    <row r="1397" spans="1:7" x14ac:dyDescent="0.25">
      <c r="A1397" t="s">
        <v>8785</v>
      </c>
      <c r="B1397" t="s">
        <v>8786</v>
      </c>
      <c r="C1397" t="s">
        <v>8787</v>
      </c>
      <c r="E1397" s="19">
        <v>966507910568</v>
      </c>
      <c r="F1397" t="s">
        <v>8785</v>
      </c>
      <c r="G1397" t="s">
        <v>838</v>
      </c>
    </row>
    <row r="1398" spans="1:7" x14ac:dyDescent="0.25">
      <c r="A1398" t="s">
        <v>8788</v>
      </c>
      <c r="B1398" t="s">
        <v>8789</v>
      </c>
      <c r="C1398" t="s">
        <v>8790</v>
      </c>
      <c r="E1398" s="19">
        <v>966565110895</v>
      </c>
      <c r="F1398" t="s">
        <v>8788</v>
      </c>
      <c r="G1398" t="s">
        <v>840</v>
      </c>
    </row>
    <row r="1399" spans="1:7" x14ac:dyDescent="0.25">
      <c r="A1399" t="s">
        <v>8791</v>
      </c>
      <c r="B1399" t="s">
        <v>8792</v>
      </c>
      <c r="C1399" t="s">
        <v>8790</v>
      </c>
      <c r="E1399" s="19">
        <v>966565110895</v>
      </c>
      <c r="F1399" t="s">
        <v>8791</v>
      </c>
      <c r="G1399" t="s">
        <v>840</v>
      </c>
    </row>
    <row r="1400" spans="1:7" x14ac:dyDescent="0.25">
      <c r="A1400" t="s">
        <v>8793</v>
      </c>
      <c r="B1400" t="s">
        <v>8794</v>
      </c>
      <c r="C1400" t="s">
        <v>8795</v>
      </c>
      <c r="E1400" s="19">
        <v>966530833806</v>
      </c>
      <c r="F1400" t="s">
        <v>8793</v>
      </c>
      <c r="G1400" t="s">
        <v>838</v>
      </c>
    </row>
    <row r="1401" spans="1:7" x14ac:dyDescent="0.25">
      <c r="A1401" t="s">
        <v>8752</v>
      </c>
      <c r="B1401" t="s">
        <v>8796</v>
      </c>
      <c r="C1401" t="s">
        <v>8754</v>
      </c>
      <c r="E1401" s="19">
        <v>971556079627</v>
      </c>
      <c r="F1401" t="s">
        <v>8752</v>
      </c>
      <c r="G1401" t="s">
        <v>858</v>
      </c>
    </row>
    <row r="1402" spans="1:7" x14ac:dyDescent="0.25">
      <c r="A1402" t="s">
        <v>4724</v>
      </c>
      <c r="B1402" t="s">
        <v>8797</v>
      </c>
      <c r="C1402" t="s">
        <v>8377</v>
      </c>
      <c r="E1402" s="19">
        <v>971507705946</v>
      </c>
      <c r="F1402" t="s">
        <v>4724</v>
      </c>
      <c r="G1402" t="s">
        <v>858</v>
      </c>
    </row>
    <row r="1403" spans="1:7" x14ac:dyDescent="0.25">
      <c r="A1403" t="s">
        <v>8798</v>
      </c>
      <c r="B1403" t="s">
        <v>8799</v>
      </c>
      <c r="C1403" t="s">
        <v>8800</v>
      </c>
      <c r="E1403" s="19">
        <v>971506566305</v>
      </c>
      <c r="F1403" t="s">
        <v>8798</v>
      </c>
      <c r="G1403" t="s">
        <v>858</v>
      </c>
    </row>
    <row r="1404" spans="1:7" x14ac:dyDescent="0.25">
      <c r="A1404" t="s">
        <v>8801</v>
      </c>
      <c r="B1404" t="s">
        <v>8802</v>
      </c>
      <c r="C1404" t="s">
        <v>8803</v>
      </c>
      <c r="E1404" s="19">
        <v>966553203369</v>
      </c>
      <c r="F1404" t="s">
        <v>8801</v>
      </c>
      <c r="G1404" t="s">
        <v>839</v>
      </c>
    </row>
    <row r="1405" spans="1:7" x14ac:dyDescent="0.25">
      <c r="A1405" t="s">
        <v>8804</v>
      </c>
      <c r="B1405" t="s">
        <v>8805</v>
      </c>
      <c r="C1405" t="s">
        <v>8806</v>
      </c>
      <c r="E1405" s="19">
        <v>966509083677</v>
      </c>
      <c r="F1405" t="s">
        <v>8804</v>
      </c>
      <c r="G1405" t="s">
        <v>838</v>
      </c>
    </row>
    <row r="1406" spans="1:7" x14ac:dyDescent="0.25">
      <c r="A1406" t="s">
        <v>8807</v>
      </c>
      <c r="B1406" t="s">
        <v>8808</v>
      </c>
      <c r="C1406" t="s">
        <v>8809</v>
      </c>
      <c r="E1406" s="19">
        <v>9660581221477</v>
      </c>
      <c r="F1406" t="s">
        <v>8807</v>
      </c>
      <c r="G1406" t="s">
        <v>838</v>
      </c>
    </row>
    <row r="1407" spans="1:7" x14ac:dyDescent="0.25">
      <c r="A1407" t="s">
        <v>195</v>
      </c>
      <c r="B1407" t="s">
        <v>8810</v>
      </c>
      <c r="C1407" t="s">
        <v>1152</v>
      </c>
      <c r="E1407" s="19">
        <v>971555786668</v>
      </c>
      <c r="F1407" t="s">
        <v>195</v>
      </c>
      <c r="G1407" t="s">
        <v>854</v>
      </c>
    </row>
    <row r="1408" spans="1:7" x14ac:dyDescent="0.25">
      <c r="A1408" t="s">
        <v>8811</v>
      </c>
      <c r="B1408" t="s">
        <v>8812</v>
      </c>
      <c r="C1408" t="s">
        <v>8685</v>
      </c>
      <c r="E1408" s="19">
        <v>85253133634</v>
      </c>
      <c r="F1408" t="s">
        <v>8811</v>
      </c>
      <c r="G1408" t="s">
        <v>850</v>
      </c>
    </row>
    <row r="1409" spans="1:7" x14ac:dyDescent="0.25">
      <c r="A1409" t="s">
        <v>4713</v>
      </c>
      <c r="B1409" t="s">
        <v>8813</v>
      </c>
      <c r="C1409" t="s">
        <v>4712</v>
      </c>
      <c r="E1409" s="19">
        <v>966501042818</v>
      </c>
      <c r="F1409" t="s">
        <v>4713</v>
      </c>
      <c r="G1409" t="s">
        <v>839</v>
      </c>
    </row>
    <row r="1410" spans="1:7" x14ac:dyDescent="0.25">
      <c r="A1410" t="s">
        <v>8814</v>
      </c>
      <c r="B1410" t="s">
        <v>8815</v>
      </c>
      <c r="C1410" t="s">
        <v>1773</v>
      </c>
      <c r="E1410" s="19">
        <v>971544437395</v>
      </c>
      <c r="F1410" t="s">
        <v>8814</v>
      </c>
      <c r="G1410" t="s">
        <v>844</v>
      </c>
    </row>
    <row r="1411" spans="1:7" x14ac:dyDescent="0.25">
      <c r="A1411" t="s">
        <v>8816</v>
      </c>
      <c r="B1411" t="s">
        <v>8817</v>
      </c>
      <c r="C1411" t="s">
        <v>1776</v>
      </c>
      <c r="E1411" s="19">
        <v>971544437395</v>
      </c>
      <c r="F1411" t="s">
        <v>8816</v>
      </c>
      <c r="G1411" t="s">
        <v>844</v>
      </c>
    </row>
    <row r="1412" spans="1:7" x14ac:dyDescent="0.25">
      <c r="A1412" t="s">
        <v>8818</v>
      </c>
      <c r="B1412" t="s">
        <v>8819</v>
      </c>
      <c r="C1412" t="s">
        <v>8820</v>
      </c>
      <c r="E1412" s="19">
        <v>966569569333</v>
      </c>
      <c r="F1412" t="s">
        <v>8818</v>
      </c>
      <c r="G1412" t="s">
        <v>838</v>
      </c>
    </row>
    <row r="1413" spans="1:7" x14ac:dyDescent="0.25">
      <c r="A1413" t="s">
        <v>8821</v>
      </c>
      <c r="B1413" t="s">
        <v>8822</v>
      </c>
      <c r="C1413" t="s">
        <v>8823</v>
      </c>
      <c r="E1413" s="19">
        <v>9664761205</v>
      </c>
      <c r="F1413" t="s">
        <v>8821</v>
      </c>
      <c r="G1413" t="s">
        <v>841</v>
      </c>
    </row>
    <row r="1414" spans="1:7" x14ac:dyDescent="0.25">
      <c r="A1414" t="s">
        <v>8824</v>
      </c>
      <c r="B1414" t="s">
        <v>8825</v>
      </c>
      <c r="C1414" t="s">
        <v>8826</v>
      </c>
      <c r="E1414" s="19">
        <v>966582228646</v>
      </c>
      <c r="F1414" t="s">
        <v>8824</v>
      </c>
      <c r="G1414" t="s">
        <v>838</v>
      </c>
    </row>
    <row r="1415" spans="1:7" x14ac:dyDescent="0.25">
      <c r="A1415" t="s">
        <v>8827</v>
      </c>
      <c r="B1415" t="s">
        <v>8828</v>
      </c>
      <c r="C1415" t="s">
        <v>8829</v>
      </c>
      <c r="E1415" s="19">
        <v>966506733324</v>
      </c>
      <c r="F1415" t="s">
        <v>8827</v>
      </c>
      <c r="G1415" t="s">
        <v>844</v>
      </c>
    </row>
    <row r="1416" spans="1:7" x14ac:dyDescent="0.25">
      <c r="A1416" t="s">
        <v>8830</v>
      </c>
      <c r="B1416" t="s">
        <v>8831</v>
      </c>
      <c r="C1416" t="s">
        <v>8832</v>
      </c>
      <c r="E1416" s="19">
        <v>96656173390</v>
      </c>
      <c r="F1416" t="s">
        <v>8830</v>
      </c>
      <c r="G1416" t="s">
        <v>838</v>
      </c>
    </row>
    <row r="1417" spans="1:7" x14ac:dyDescent="0.25">
      <c r="A1417" t="s">
        <v>8833</v>
      </c>
      <c r="B1417" t="s">
        <v>8834</v>
      </c>
      <c r="C1417" t="s">
        <v>8835</v>
      </c>
      <c r="E1417" s="19">
        <v>971527675548</v>
      </c>
      <c r="F1417" t="s">
        <v>8833</v>
      </c>
      <c r="G1417" t="s">
        <v>8676</v>
      </c>
    </row>
    <row r="1418" spans="1:7" x14ac:dyDescent="0.25">
      <c r="A1418" t="s">
        <v>8836</v>
      </c>
      <c r="B1418" t="s">
        <v>8837</v>
      </c>
      <c r="C1418" t="s">
        <v>8838</v>
      </c>
      <c r="E1418" s="19">
        <v>971506074840</v>
      </c>
      <c r="F1418" t="s">
        <v>8836</v>
      </c>
      <c r="G1418" t="s">
        <v>8839</v>
      </c>
    </row>
    <row r="1419" spans="1:7" x14ac:dyDescent="0.25">
      <c r="A1419" t="s">
        <v>8840</v>
      </c>
      <c r="B1419" t="s">
        <v>8841</v>
      </c>
      <c r="C1419" t="s">
        <v>8842</v>
      </c>
      <c r="E1419" s="19">
        <v>971528736774</v>
      </c>
      <c r="F1419" t="s">
        <v>8840</v>
      </c>
      <c r="G1419" t="s">
        <v>8676</v>
      </c>
    </row>
    <row r="1420" spans="1:7" x14ac:dyDescent="0.25">
      <c r="A1420" t="s">
        <v>8843</v>
      </c>
      <c r="B1420" t="s">
        <v>8844</v>
      </c>
      <c r="C1420" t="s">
        <v>8845</v>
      </c>
      <c r="E1420" s="19">
        <v>971502461712</v>
      </c>
      <c r="F1420" t="s">
        <v>8843</v>
      </c>
      <c r="G1420" t="s">
        <v>849</v>
      </c>
    </row>
    <row r="1421" spans="1:7" x14ac:dyDescent="0.25">
      <c r="A1421" t="s">
        <v>8846</v>
      </c>
      <c r="B1421" t="s">
        <v>8847</v>
      </c>
      <c r="C1421" t="s">
        <v>8848</v>
      </c>
      <c r="E1421" s="19">
        <v>966550075500</v>
      </c>
      <c r="F1421" t="s">
        <v>8846</v>
      </c>
      <c r="G1421" t="s">
        <v>2334</v>
      </c>
    </row>
    <row r="1422" spans="1:7" x14ac:dyDescent="0.25">
      <c r="A1422" t="s">
        <v>8849</v>
      </c>
      <c r="B1422" t="s">
        <v>8850</v>
      </c>
      <c r="C1422" t="s">
        <v>8848</v>
      </c>
      <c r="E1422" s="19">
        <v>966550075500</v>
      </c>
      <c r="F1422" t="s">
        <v>8849</v>
      </c>
      <c r="G1422" t="s">
        <v>2334</v>
      </c>
    </row>
    <row r="1423" spans="1:7" x14ac:dyDescent="0.25">
      <c r="A1423" t="s">
        <v>8851</v>
      </c>
      <c r="B1423" t="s">
        <v>8852</v>
      </c>
      <c r="C1423" t="s">
        <v>8853</v>
      </c>
      <c r="E1423" s="19">
        <v>905530491102</v>
      </c>
      <c r="F1423" t="s">
        <v>8851</v>
      </c>
      <c r="G1423" t="s">
        <v>838</v>
      </c>
    </row>
    <row r="1424" spans="1:7" x14ac:dyDescent="0.25">
      <c r="A1424" t="s">
        <v>8521</v>
      </c>
      <c r="B1424" t="s">
        <v>8856</v>
      </c>
      <c r="C1424" t="s">
        <v>8523</v>
      </c>
      <c r="E1424" s="19">
        <v>971554398276</v>
      </c>
      <c r="F1424" t="s">
        <v>8521</v>
      </c>
      <c r="G1424" t="s">
        <v>844</v>
      </c>
    </row>
    <row r="1425" spans="1:7" x14ac:dyDescent="0.25">
      <c r="A1425" t="s">
        <v>8857</v>
      </c>
      <c r="B1425" t="s">
        <v>8858</v>
      </c>
      <c r="C1425" t="s">
        <v>8859</v>
      </c>
      <c r="E1425" s="19">
        <v>966568486117</v>
      </c>
      <c r="F1425" t="s">
        <v>8857</v>
      </c>
      <c r="G1425" t="s">
        <v>845</v>
      </c>
    </row>
    <row r="1426" spans="1:7" x14ac:dyDescent="0.25">
      <c r="A1426" t="s">
        <v>8860</v>
      </c>
      <c r="B1426" t="s">
        <v>8861</v>
      </c>
      <c r="C1426" t="s">
        <v>8862</v>
      </c>
      <c r="E1426" s="19">
        <v>971504583936</v>
      </c>
      <c r="F1426" t="s">
        <v>8860</v>
      </c>
      <c r="G1426" t="s">
        <v>839</v>
      </c>
    </row>
    <row r="1427" spans="1:7" x14ac:dyDescent="0.25">
      <c r="A1427" t="s">
        <v>8863</v>
      </c>
      <c r="B1427" t="s">
        <v>8864</v>
      </c>
      <c r="C1427" t="s">
        <v>8865</v>
      </c>
      <c r="E1427" s="19">
        <v>966502227788</v>
      </c>
      <c r="F1427" t="s">
        <v>8863</v>
      </c>
      <c r="G1427" t="s">
        <v>840</v>
      </c>
    </row>
    <row r="1428" spans="1:7" x14ac:dyDescent="0.25">
      <c r="A1428" t="s">
        <v>8866</v>
      </c>
      <c r="B1428" t="s">
        <v>8867</v>
      </c>
      <c r="C1428" t="s">
        <v>8868</v>
      </c>
      <c r="E1428" s="19">
        <v>966555084633</v>
      </c>
      <c r="F1428" t="s">
        <v>8866</v>
      </c>
      <c r="G1428" t="s">
        <v>839</v>
      </c>
    </row>
    <row r="1429" spans="1:7" x14ac:dyDescent="0.25">
      <c r="A1429" t="s">
        <v>8869</v>
      </c>
      <c r="B1429" t="s">
        <v>8870</v>
      </c>
      <c r="C1429" t="s">
        <v>8871</v>
      </c>
      <c r="E1429" s="19">
        <v>966554993013</v>
      </c>
      <c r="F1429" t="s">
        <v>8869</v>
      </c>
      <c r="G1429" t="s">
        <v>839</v>
      </c>
    </row>
    <row r="1430" spans="1:7" x14ac:dyDescent="0.25">
      <c r="A1430" t="s">
        <v>8566</v>
      </c>
      <c r="B1430" t="s">
        <v>8872</v>
      </c>
      <c r="C1430" t="s">
        <v>8873</v>
      </c>
      <c r="E1430" s="19">
        <v>34973679018</v>
      </c>
      <c r="F1430" t="s">
        <v>8566</v>
      </c>
      <c r="G1430" t="s">
        <v>841</v>
      </c>
    </row>
    <row r="1431" spans="1:7" x14ac:dyDescent="0.25">
      <c r="A1431" t="s">
        <v>8874</v>
      </c>
      <c r="B1431" t="s">
        <v>8875</v>
      </c>
      <c r="C1431" t="s">
        <v>8689</v>
      </c>
      <c r="E1431" s="19">
        <v>971564048834</v>
      </c>
      <c r="F1431" t="s">
        <v>8874</v>
      </c>
      <c r="G1431" t="s">
        <v>844</v>
      </c>
    </row>
    <row r="1432" spans="1:7" x14ac:dyDescent="0.25">
      <c r="A1432" t="s">
        <v>8876</v>
      </c>
      <c r="B1432" t="s">
        <v>8877</v>
      </c>
      <c r="C1432" t="s">
        <v>8878</v>
      </c>
      <c r="E1432" s="19">
        <v>971569525089</v>
      </c>
      <c r="F1432" t="s">
        <v>8876</v>
      </c>
      <c r="G1432" t="s">
        <v>853</v>
      </c>
    </row>
    <row r="1433" spans="1:7" x14ac:dyDescent="0.25">
      <c r="A1433" t="s">
        <v>8879</v>
      </c>
      <c r="B1433" t="s">
        <v>8880</v>
      </c>
      <c r="C1433" t="s">
        <v>8881</v>
      </c>
      <c r="E1433" s="19">
        <v>971558845034</v>
      </c>
      <c r="F1433" t="s">
        <v>8879</v>
      </c>
      <c r="G1433" t="s">
        <v>8961</v>
      </c>
    </row>
    <row r="1434" spans="1:7" x14ac:dyDescent="0.25">
      <c r="A1434" t="s">
        <v>8882</v>
      </c>
      <c r="B1434" t="s">
        <v>8883</v>
      </c>
      <c r="C1434" t="s">
        <v>8884</v>
      </c>
      <c r="E1434" s="19">
        <v>966545592204</v>
      </c>
      <c r="F1434" t="s">
        <v>8882</v>
      </c>
      <c r="G1434" t="s">
        <v>853</v>
      </c>
    </row>
    <row r="1435" spans="1:7" x14ac:dyDescent="0.25">
      <c r="A1435" t="s">
        <v>8885</v>
      </c>
      <c r="B1435" t="s">
        <v>8886</v>
      </c>
      <c r="C1435" t="s">
        <v>8887</v>
      </c>
      <c r="E1435" s="19">
        <v>966504174693</v>
      </c>
      <c r="F1435" t="s">
        <v>8885</v>
      </c>
      <c r="G1435" t="s">
        <v>839</v>
      </c>
    </row>
    <row r="1436" spans="1:7" x14ac:dyDescent="0.25">
      <c r="A1436" t="s">
        <v>8888</v>
      </c>
      <c r="B1436" t="s">
        <v>8889</v>
      </c>
      <c r="C1436" t="s">
        <v>8890</v>
      </c>
      <c r="E1436" s="19">
        <v>966503437436</v>
      </c>
      <c r="F1436" t="s">
        <v>8888</v>
      </c>
      <c r="G1436" t="s">
        <v>840</v>
      </c>
    </row>
    <row r="1437" spans="1:7" x14ac:dyDescent="0.25">
      <c r="A1437" t="s">
        <v>8891</v>
      </c>
      <c r="B1437" t="s">
        <v>8892</v>
      </c>
      <c r="C1437" t="s">
        <v>8893</v>
      </c>
      <c r="E1437" s="19">
        <v>966530011862</v>
      </c>
      <c r="F1437" t="s">
        <v>8891</v>
      </c>
      <c r="G1437" t="s">
        <v>839</v>
      </c>
    </row>
    <row r="1438" spans="1:7" x14ac:dyDescent="0.25">
      <c r="A1438" t="s">
        <v>8894</v>
      </c>
      <c r="B1438" t="s">
        <v>8895</v>
      </c>
      <c r="C1438" t="s">
        <v>8896</v>
      </c>
      <c r="E1438" s="19">
        <v>966544131938</v>
      </c>
      <c r="F1438" t="s">
        <v>8894</v>
      </c>
      <c r="G1438" t="s">
        <v>840</v>
      </c>
    </row>
    <row r="1439" spans="1:7" x14ac:dyDescent="0.25">
      <c r="A1439" t="s">
        <v>8897</v>
      </c>
      <c r="B1439" t="s">
        <v>8898</v>
      </c>
      <c r="C1439" t="s">
        <v>8896</v>
      </c>
      <c r="E1439" s="19">
        <v>966544131938</v>
      </c>
      <c r="F1439" t="s">
        <v>8897</v>
      </c>
      <c r="G1439" t="s">
        <v>840</v>
      </c>
    </row>
    <row r="1440" spans="1:7" x14ac:dyDescent="0.25">
      <c r="A1440" t="s">
        <v>8899</v>
      </c>
      <c r="B1440" t="s">
        <v>8900</v>
      </c>
      <c r="C1440" t="s">
        <v>8901</v>
      </c>
      <c r="E1440" s="19">
        <v>971526130484</v>
      </c>
      <c r="F1440" t="s">
        <v>8899</v>
      </c>
      <c r="G1440" t="s">
        <v>8902</v>
      </c>
    </row>
    <row r="1441" spans="1:7" x14ac:dyDescent="0.25">
      <c r="A1441" t="s">
        <v>8903</v>
      </c>
      <c r="B1441" t="s">
        <v>8904</v>
      </c>
      <c r="C1441" t="s">
        <v>8905</v>
      </c>
      <c r="E1441" s="19">
        <v>971555075001</v>
      </c>
      <c r="F1441" t="s">
        <v>8903</v>
      </c>
      <c r="G1441" t="s">
        <v>858</v>
      </c>
    </row>
    <row r="1442" spans="1:7" x14ac:dyDescent="0.25">
      <c r="A1442" t="s">
        <v>8906</v>
      </c>
      <c r="B1442" t="s">
        <v>8907</v>
      </c>
      <c r="C1442" t="s">
        <v>8908</v>
      </c>
      <c r="E1442" s="19">
        <v>971527231564</v>
      </c>
      <c r="F1442" t="s">
        <v>8906</v>
      </c>
      <c r="G1442" t="s">
        <v>838</v>
      </c>
    </row>
    <row r="1443" spans="1:7" x14ac:dyDescent="0.25">
      <c r="A1443" t="s">
        <v>8909</v>
      </c>
      <c r="B1443" t="s">
        <v>8910</v>
      </c>
      <c r="C1443" t="s">
        <v>8911</v>
      </c>
      <c r="E1443" s="19">
        <v>971502869682</v>
      </c>
      <c r="F1443" t="s">
        <v>8909</v>
      </c>
      <c r="G1443" t="s">
        <v>857</v>
      </c>
    </row>
    <row r="1444" spans="1:7" x14ac:dyDescent="0.25">
      <c r="A1444" t="s">
        <v>8912</v>
      </c>
      <c r="B1444" t="s">
        <v>8913</v>
      </c>
      <c r="C1444" t="s">
        <v>8914</v>
      </c>
      <c r="E1444" s="19">
        <v>971563321689</v>
      </c>
      <c r="F1444" t="s">
        <v>8912</v>
      </c>
      <c r="G1444" t="s">
        <v>858</v>
      </c>
    </row>
    <row r="1445" spans="1:7" x14ac:dyDescent="0.25">
      <c r="A1445" t="s">
        <v>8915</v>
      </c>
      <c r="B1445" t="s">
        <v>8916</v>
      </c>
      <c r="C1445" t="s">
        <v>8917</v>
      </c>
      <c r="E1445" s="19">
        <v>966544456034</v>
      </c>
      <c r="F1445" t="s">
        <v>8915</v>
      </c>
      <c r="G1445" t="s">
        <v>2732</v>
      </c>
    </row>
    <row r="1446" spans="1:7" x14ac:dyDescent="0.25">
      <c r="A1446" t="s">
        <v>8918</v>
      </c>
      <c r="B1446" t="s">
        <v>8919</v>
      </c>
      <c r="C1446" t="s">
        <v>8920</v>
      </c>
      <c r="E1446" s="19">
        <v>966550766326</v>
      </c>
      <c r="F1446" t="s">
        <v>8918</v>
      </c>
      <c r="G1446" t="s">
        <v>838</v>
      </c>
    </row>
    <row r="1447" spans="1:7" x14ac:dyDescent="0.25">
      <c r="A1447" t="s">
        <v>8921</v>
      </c>
      <c r="B1447" t="s">
        <v>8922</v>
      </c>
      <c r="C1447" t="s">
        <v>8923</v>
      </c>
      <c r="E1447" s="19">
        <v>966544854040</v>
      </c>
      <c r="F1447" t="s">
        <v>8921</v>
      </c>
      <c r="G1447" t="s">
        <v>838</v>
      </c>
    </row>
    <row r="1448" spans="1:7" x14ac:dyDescent="0.25">
      <c r="A1448" t="s">
        <v>8683</v>
      </c>
      <c r="C1448" t="s">
        <v>8685</v>
      </c>
      <c r="E1448" s="19">
        <v>85253133634</v>
      </c>
      <c r="F1448" t="s">
        <v>8683</v>
      </c>
      <c r="G1448" t="s">
        <v>8686</v>
      </c>
    </row>
    <row r="1449" spans="1:7" x14ac:dyDescent="0.25">
      <c r="A1449" t="s">
        <v>8924</v>
      </c>
      <c r="B1449" t="s">
        <v>8925</v>
      </c>
      <c r="C1449" t="s">
        <v>8926</v>
      </c>
      <c r="E1449" s="19">
        <v>971526370999</v>
      </c>
      <c r="F1449" t="s">
        <v>8924</v>
      </c>
      <c r="G1449" t="s">
        <v>842</v>
      </c>
    </row>
    <row r="1450" spans="1:7" x14ac:dyDescent="0.25">
      <c r="A1450" t="s">
        <v>8927</v>
      </c>
      <c r="B1450" t="s">
        <v>8928</v>
      </c>
      <c r="C1450" t="s">
        <v>8929</v>
      </c>
      <c r="E1450" s="19" t="s">
        <v>2392</v>
      </c>
      <c r="F1450" t="s">
        <v>8927</v>
      </c>
      <c r="G1450" t="s">
        <v>8772</v>
      </c>
    </row>
    <row r="1451" spans="1:7" x14ac:dyDescent="0.25">
      <c r="A1451" t="s">
        <v>8930</v>
      </c>
      <c r="B1451" t="s">
        <v>8931</v>
      </c>
      <c r="C1451" t="s">
        <v>8932</v>
      </c>
      <c r="E1451" s="19">
        <v>966126493334</v>
      </c>
      <c r="F1451" t="s">
        <v>8930</v>
      </c>
      <c r="G1451" t="s">
        <v>839</v>
      </c>
    </row>
    <row r="1452" spans="1:7" x14ac:dyDescent="0.25">
      <c r="A1452" t="s">
        <v>8933</v>
      </c>
      <c r="B1452" t="s">
        <v>8934</v>
      </c>
      <c r="C1452" t="s">
        <v>8935</v>
      </c>
      <c r="E1452" s="19">
        <v>966540325250</v>
      </c>
      <c r="F1452" t="s">
        <v>8933</v>
      </c>
      <c r="G1452" t="s">
        <v>858</v>
      </c>
    </row>
    <row r="1453" spans="1:7" x14ac:dyDescent="0.25">
      <c r="A1453" t="s">
        <v>8936</v>
      </c>
      <c r="B1453" t="s">
        <v>8937</v>
      </c>
      <c r="C1453" t="s">
        <v>8938</v>
      </c>
      <c r="E1453" s="19">
        <v>966503099465</v>
      </c>
      <c r="F1453" t="s">
        <v>8936</v>
      </c>
      <c r="G1453" t="s">
        <v>839</v>
      </c>
    </row>
    <row r="1454" spans="1:7" x14ac:dyDescent="0.25">
      <c r="A1454" t="s">
        <v>8939</v>
      </c>
      <c r="B1454" t="s">
        <v>8940</v>
      </c>
      <c r="C1454" t="s">
        <v>8941</v>
      </c>
      <c r="E1454" s="19">
        <v>966590980829</v>
      </c>
      <c r="F1454" t="s">
        <v>8939</v>
      </c>
      <c r="G1454" t="s">
        <v>839</v>
      </c>
    </row>
    <row r="1455" spans="1:7" x14ac:dyDescent="0.25">
      <c r="A1455" t="s">
        <v>8942</v>
      </c>
      <c r="B1455" t="s">
        <v>8943</v>
      </c>
      <c r="C1455" t="s">
        <v>8944</v>
      </c>
      <c r="E1455" s="19">
        <v>966531999777</v>
      </c>
      <c r="F1455" t="s">
        <v>8942</v>
      </c>
      <c r="G1455" t="s">
        <v>2334</v>
      </c>
    </row>
    <row r="1456" spans="1:7" x14ac:dyDescent="0.25">
      <c r="A1456" t="s">
        <v>8945</v>
      </c>
      <c r="B1456" t="s">
        <v>8946</v>
      </c>
      <c r="C1456" t="s">
        <v>8947</v>
      </c>
      <c r="E1456" s="19">
        <v>966541355631</v>
      </c>
      <c r="F1456" t="s">
        <v>8945</v>
      </c>
      <c r="G1456" t="s">
        <v>838</v>
      </c>
    </row>
    <row r="1457" spans="1:7" x14ac:dyDescent="0.25">
      <c r="A1457" t="s">
        <v>8948</v>
      </c>
      <c r="B1457" t="s">
        <v>8949</v>
      </c>
      <c r="C1457" t="s">
        <v>8950</v>
      </c>
      <c r="E1457" s="19">
        <v>966550221005</v>
      </c>
      <c r="F1457" t="s">
        <v>8948</v>
      </c>
      <c r="G1457" t="s">
        <v>840</v>
      </c>
    </row>
    <row r="1458" spans="1:7" x14ac:dyDescent="0.25">
      <c r="A1458" t="s">
        <v>8951</v>
      </c>
      <c r="B1458" t="s">
        <v>8952</v>
      </c>
      <c r="C1458" t="s">
        <v>8950</v>
      </c>
      <c r="E1458" s="19">
        <v>966550221005</v>
      </c>
      <c r="F1458" t="s">
        <v>8951</v>
      </c>
      <c r="G1458" t="s">
        <v>840</v>
      </c>
    </row>
    <row r="1459" spans="1:7" x14ac:dyDescent="0.25">
      <c r="A1459" t="s">
        <v>8953</v>
      </c>
      <c r="B1459" t="s">
        <v>8954</v>
      </c>
      <c r="C1459" t="s">
        <v>8955</v>
      </c>
      <c r="E1459" s="19">
        <v>966500636005</v>
      </c>
      <c r="F1459" t="s">
        <v>8953</v>
      </c>
      <c r="G1459" t="s">
        <v>840</v>
      </c>
    </row>
    <row r="1460" spans="1:7" x14ac:dyDescent="0.25">
      <c r="A1460" t="s">
        <v>8956</v>
      </c>
      <c r="B1460" t="s">
        <v>8957</v>
      </c>
      <c r="C1460" t="s">
        <v>8955</v>
      </c>
      <c r="E1460" s="19">
        <v>966500636005</v>
      </c>
      <c r="F1460" t="s">
        <v>8956</v>
      </c>
      <c r="G1460" t="s">
        <v>840</v>
      </c>
    </row>
    <row r="1461" spans="1:7" x14ac:dyDescent="0.25">
      <c r="A1461" t="s">
        <v>8958</v>
      </c>
      <c r="B1461" t="s">
        <v>8959</v>
      </c>
      <c r="C1461" t="s">
        <v>8960</v>
      </c>
      <c r="E1461" s="19">
        <v>966554255998</v>
      </c>
      <c r="F1461" t="s">
        <v>8958</v>
      </c>
      <c r="G1461" t="s">
        <v>839</v>
      </c>
    </row>
    <row r="1462" spans="1:7" x14ac:dyDescent="0.25">
      <c r="A1462" t="s">
        <v>8963</v>
      </c>
      <c r="B1462" t="s">
        <v>8964</v>
      </c>
      <c r="C1462" t="s">
        <v>8965</v>
      </c>
      <c r="E1462" s="19">
        <v>966503693905</v>
      </c>
      <c r="F1462" t="s">
        <v>8963</v>
      </c>
      <c r="G1462" t="s">
        <v>848</v>
      </c>
    </row>
    <row r="1463" spans="1:7" x14ac:dyDescent="0.25">
      <c r="A1463" t="s">
        <v>8966</v>
      </c>
      <c r="B1463" t="s">
        <v>8967</v>
      </c>
      <c r="C1463" t="s">
        <v>8968</v>
      </c>
      <c r="E1463" s="19">
        <v>966505611559</v>
      </c>
      <c r="F1463" t="s">
        <v>8966</v>
      </c>
      <c r="G1463" t="s">
        <v>1624</v>
      </c>
    </row>
    <row r="1464" spans="1:7" x14ac:dyDescent="0.25">
      <c r="A1464" t="s">
        <v>8969</v>
      </c>
      <c r="B1464" t="s">
        <v>8970</v>
      </c>
      <c r="C1464" t="s">
        <v>8971</v>
      </c>
      <c r="E1464" s="19">
        <v>966503724209</v>
      </c>
      <c r="F1464" t="s">
        <v>8969</v>
      </c>
      <c r="G1464" t="s">
        <v>845</v>
      </c>
    </row>
    <row r="1465" spans="1:7" x14ac:dyDescent="0.25">
      <c r="A1465" t="s">
        <v>8972</v>
      </c>
      <c r="B1465" t="s">
        <v>8973</v>
      </c>
      <c r="C1465" t="s">
        <v>8974</v>
      </c>
      <c r="E1465" s="19">
        <v>971504723445</v>
      </c>
      <c r="F1465" t="s">
        <v>8972</v>
      </c>
      <c r="G1465" t="s">
        <v>8772</v>
      </c>
    </row>
    <row r="1466" spans="1:7" x14ac:dyDescent="0.25">
      <c r="A1466" t="s">
        <v>8975</v>
      </c>
      <c r="B1466" t="s">
        <v>8976</v>
      </c>
      <c r="C1466" t="s">
        <v>8977</v>
      </c>
      <c r="E1466" s="19">
        <v>966577608831</v>
      </c>
      <c r="F1466" t="s">
        <v>8975</v>
      </c>
      <c r="G1466" t="s">
        <v>839</v>
      </c>
    </row>
    <row r="1467" spans="1:7" x14ac:dyDescent="0.25">
      <c r="A1467" t="s">
        <v>8978</v>
      </c>
      <c r="B1467" t="s">
        <v>8979</v>
      </c>
      <c r="C1467" t="s">
        <v>8977</v>
      </c>
      <c r="E1467" s="19">
        <v>966577608831</v>
      </c>
      <c r="F1467" t="s">
        <v>8978</v>
      </c>
      <c r="G1467" t="s">
        <v>839</v>
      </c>
    </row>
    <row r="1468" spans="1:7" x14ac:dyDescent="0.25">
      <c r="A1468" t="s">
        <v>375</v>
      </c>
      <c r="B1468" t="s">
        <v>8981</v>
      </c>
      <c r="C1468" t="s">
        <v>1222</v>
      </c>
      <c r="E1468" s="19">
        <v>966555544031</v>
      </c>
      <c r="F1468" t="s">
        <v>375</v>
      </c>
      <c r="G1468" t="s">
        <v>839</v>
      </c>
    </row>
    <row r="1469" spans="1:7" x14ac:dyDescent="0.25">
      <c r="A1469" t="s">
        <v>8501</v>
      </c>
      <c r="B1469" t="s">
        <v>8980</v>
      </c>
      <c r="C1469" t="s">
        <v>8503</v>
      </c>
      <c r="E1469" s="19" t="s">
        <v>2824</v>
      </c>
      <c r="F1469" t="s">
        <v>8501</v>
      </c>
      <c r="G1469" t="s">
        <v>841</v>
      </c>
    </row>
    <row r="1470" spans="1:7" x14ac:dyDescent="0.25">
      <c r="A1470" t="s">
        <v>8982</v>
      </c>
      <c r="B1470" t="s">
        <v>8983</v>
      </c>
      <c r="C1470" t="s">
        <v>8984</v>
      </c>
      <c r="E1470" s="19">
        <v>971505258176</v>
      </c>
      <c r="F1470" t="s">
        <v>8982</v>
      </c>
      <c r="G1470" t="s">
        <v>8676</v>
      </c>
    </row>
    <row r="1471" spans="1:7" x14ac:dyDescent="0.25">
      <c r="A1471" t="s">
        <v>8985</v>
      </c>
      <c r="B1471" t="s">
        <v>8986</v>
      </c>
      <c r="C1471" t="s">
        <v>8987</v>
      </c>
      <c r="E1471" s="19">
        <v>971559294846</v>
      </c>
      <c r="F1471" t="s">
        <v>8985</v>
      </c>
      <c r="G1471" t="s">
        <v>854</v>
      </c>
    </row>
    <row r="1472" spans="1:7" x14ac:dyDescent="0.25">
      <c r="A1472" t="s">
        <v>8988</v>
      </c>
      <c r="B1472" t="s">
        <v>8989</v>
      </c>
      <c r="C1472" t="s">
        <v>8990</v>
      </c>
      <c r="E1472" s="19">
        <v>971522654300</v>
      </c>
      <c r="F1472" t="s">
        <v>8988</v>
      </c>
      <c r="G1472" t="s">
        <v>8772</v>
      </c>
    </row>
    <row r="1473" spans="1:7" x14ac:dyDescent="0.25">
      <c r="A1473" t="s">
        <v>8991</v>
      </c>
      <c r="B1473" t="s">
        <v>8992</v>
      </c>
      <c r="C1473" t="s">
        <v>8993</v>
      </c>
      <c r="E1473" s="19">
        <v>966505473782</v>
      </c>
      <c r="F1473" t="s">
        <v>8991</v>
      </c>
      <c r="G1473" t="s">
        <v>840</v>
      </c>
    </row>
    <row r="1474" spans="1:7" x14ac:dyDescent="0.25">
      <c r="A1474" t="s">
        <v>8994</v>
      </c>
      <c r="B1474" t="s">
        <v>8995</v>
      </c>
      <c r="C1474" t="s">
        <v>8993</v>
      </c>
      <c r="E1474" s="19">
        <v>966505473782</v>
      </c>
      <c r="F1474" t="s">
        <v>8994</v>
      </c>
      <c r="G1474" t="s">
        <v>840</v>
      </c>
    </row>
    <row r="1475" spans="1:7" x14ac:dyDescent="0.25">
      <c r="A1475" t="s">
        <v>8996</v>
      </c>
      <c r="B1475" t="s">
        <v>8997</v>
      </c>
      <c r="C1475" t="s">
        <v>8998</v>
      </c>
      <c r="E1475" s="19">
        <v>966557567111</v>
      </c>
      <c r="F1475" t="s">
        <v>8996</v>
      </c>
      <c r="G1475" t="s">
        <v>857</v>
      </c>
    </row>
    <row r="1476" spans="1:7" x14ac:dyDescent="0.25">
      <c r="A1476" t="s">
        <v>8999</v>
      </c>
      <c r="B1476" t="s">
        <v>9000</v>
      </c>
      <c r="C1476" t="s">
        <v>8998</v>
      </c>
      <c r="E1476" s="19">
        <v>966557567111</v>
      </c>
      <c r="F1476" t="s">
        <v>8999</v>
      </c>
      <c r="G1476" t="s">
        <v>857</v>
      </c>
    </row>
    <row r="1477" spans="1:7" x14ac:dyDescent="0.25">
      <c r="A1477" t="s">
        <v>9001</v>
      </c>
      <c r="B1477" t="s">
        <v>9002</v>
      </c>
      <c r="C1477" t="s">
        <v>9003</v>
      </c>
      <c r="E1477" s="19">
        <v>966500876789</v>
      </c>
      <c r="F1477" t="s">
        <v>9001</v>
      </c>
      <c r="G1477" t="s">
        <v>840</v>
      </c>
    </row>
    <row r="1478" spans="1:7" x14ac:dyDescent="0.25">
      <c r="A1478" t="s">
        <v>9004</v>
      </c>
      <c r="B1478" t="s">
        <v>9005</v>
      </c>
      <c r="C1478" t="s">
        <v>9003</v>
      </c>
      <c r="E1478" s="19">
        <v>966500876789</v>
      </c>
      <c r="F1478" t="s">
        <v>9004</v>
      </c>
      <c r="G1478" t="s">
        <v>840</v>
      </c>
    </row>
    <row r="1479" spans="1:7" x14ac:dyDescent="0.25">
      <c r="A1479" t="s">
        <v>9006</v>
      </c>
      <c r="B1479" t="s">
        <v>9007</v>
      </c>
      <c r="C1479" t="s">
        <v>9008</v>
      </c>
      <c r="E1479" s="19">
        <v>966558437189</v>
      </c>
      <c r="F1479" t="s">
        <v>9006</v>
      </c>
      <c r="G1479" t="s">
        <v>9009</v>
      </c>
    </row>
    <row r="1480" spans="1:7" x14ac:dyDescent="0.25">
      <c r="A1480" t="s">
        <v>9010</v>
      </c>
      <c r="B1480" t="s">
        <v>9011</v>
      </c>
      <c r="C1480" t="s">
        <v>9012</v>
      </c>
      <c r="E1480" s="19">
        <v>966582387777</v>
      </c>
      <c r="F1480" t="s">
        <v>9010</v>
      </c>
      <c r="G1480" t="s">
        <v>9013</v>
      </c>
    </row>
    <row r="1481" spans="1:7" x14ac:dyDescent="0.25">
      <c r="A1481" t="s">
        <v>9014</v>
      </c>
      <c r="B1481" t="s">
        <v>9015</v>
      </c>
      <c r="C1481" t="s">
        <v>9016</v>
      </c>
      <c r="E1481" s="19">
        <v>966507784470</v>
      </c>
      <c r="F1481" t="s">
        <v>9014</v>
      </c>
      <c r="G1481" t="s">
        <v>9017</v>
      </c>
    </row>
    <row r="1482" spans="1:7" x14ac:dyDescent="0.25">
      <c r="A1482" t="s">
        <v>9018</v>
      </c>
      <c r="B1482" t="s">
        <v>9019</v>
      </c>
      <c r="C1482" t="s">
        <v>9020</v>
      </c>
      <c r="E1482" s="19">
        <v>971561083405</v>
      </c>
      <c r="F1482" t="s">
        <v>9018</v>
      </c>
      <c r="G1482" t="s">
        <v>853</v>
      </c>
    </row>
    <row r="1483" spans="1:7" x14ac:dyDescent="0.25">
      <c r="A1483" t="s">
        <v>9021</v>
      </c>
      <c r="B1483" t="s">
        <v>9022</v>
      </c>
      <c r="C1483" t="s">
        <v>9023</v>
      </c>
      <c r="E1483" s="19">
        <v>971508439170</v>
      </c>
      <c r="F1483" t="s">
        <v>9021</v>
      </c>
      <c r="G1483" t="s">
        <v>838</v>
      </c>
    </row>
    <row r="1484" spans="1:7" x14ac:dyDescent="0.25">
      <c r="A1484" t="s">
        <v>9024</v>
      </c>
      <c r="B1484" t="s">
        <v>9025</v>
      </c>
      <c r="C1484" t="s">
        <v>9026</v>
      </c>
      <c r="E1484" s="19">
        <v>966555021862</v>
      </c>
      <c r="F1484" t="s">
        <v>9024</v>
      </c>
      <c r="G1484" t="s">
        <v>839</v>
      </c>
    </row>
    <row r="1485" spans="1:7" x14ac:dyDescent="0.25">
      <c r="A1485" t="s">
        <v>9027</v>
      </c>
      <c r="B1485" t="s">
        <v>9028</v>
      </c>
      <c r="C1485" t="s">
        <v>9029</v>
      </c>
      <c r="E1485" s="19">
        <v>966597464724</v>
      </c>
      <c r="F1485" t="s">
        <v>9027</v>
      </c>
      <c r="G1485" t="s">
        <v>839</v>
      </c>
    </row>
    <row r="1486" spans="1:7" x14ac:dyDescent="0.25">
      <c r="A1486" t="s">
        <v>9030</v>
      </c>
      <c r="B1486" t="s">
        <v>9031</v>
      </c>
      <c r="C1486" t="s">
        <v>9032</v>
      </c>
      <c r="E1486" s="19">
        <v>966567540145</v>
      </c>
      <c r="F1486" t="s">
        <v>9030</v>
      </c>
      <c r="G1486" t="s">
        <v>839</v>
      </c>
    </row>
    <row r="1487" spans="1:7" x14ac:dyDescent="0.25">
      <c r="A1487" t="s">
        <v>9033</v>
      </c>
      <c r="B1487" t="s">
        <v>9034</v>
      </c>
      <c r="C1487" t="s">
        <v>9035</v>
      </c>
      <c r="E1487" s="19">
        <v>971504238027</v>
      </c>
      <c r="F1487" t="s">
        <v>9033</v>
      </c>
      <c r="G1487" t="s">
        <v>9036</v>
      </c>
    </row>
    <row r="1488" spans="1:7" x14ac:dyDescent="0.25">
      <c r="A1488" t="s">
        <v>9039</v>
      </c>
      <c r="B1488" t="s">
        <v>9040</v>
      </c>
      <c r="C1488" t="s">
        <v>9041</v>
      </c>
      <c r="E1488" s="19">
        <v>966571292503</v>
      </c>
      <c r="F1488" t="s">
        <v>9039</v>
      </c>
      <c r="G1488" t="s">
        <v>838</v>
      </c>
    </row>
    <row r="1489" spans="1:7" x14ac:dyDescent="0.25">
      <c r="A1489" t="s">
        <v>9042</v>
      </c>
      <c r="B1489" t="s">
        <v>9043</v>
      </c>
      <c r="C1489" t="s">
        <v>9044</v>
      </c>
      <c r="E1489" s="19">
        <v>966559462233</v>
      </c>
      <c r="F1489" t="s">
        <v>9042</v>
      </c>
      <c r="G1489" t="s">
        <v>838</v>
      </c>
    </row>
    <row r="1490" spans="1:7" x14ac:dyDescent="0.25">
      <c r="A1490" t="s">
        <v>9045</v>
      </c>
      <c r="B1490" t="s">
        <v>9046</v>
      </c>
      <c r="C1490" t="s">
        <v>9047</v>
      </c>
      <c r="E1490" s="19">
        <v>966549030080</v>
      </c>
      <c r="F1490" t="s">
        <v>9045</v>
      </c>
      <c r="G1490" t="s">
        <v>850</v>
      </c>
    </row>
    <row r="1491" spans="1:7" x14ac:dyDescent="0.25">
      <c r="A1491" t="s">
        <v>9048</v>
      </c>
      <c r="B1491" t="s">
        <v>9049</v>
      </c>
      <c r="C1491" t="s">
        <v>9050</v>
      </c>
      <c r="E1491" s="19">
        <v>966502516320</v>
      </c>
      <c r="F1491" t="s">
        <v>9048</v>
      </c>
      <c r="G1491" t="s">
        <v>838</v>
      </c>
    </row>
    <row r="1492" spans="1:7" x14ac:dyDescent="0.25">
      <c r="A1492" t="s">
        <v>9051</v>
      </c>
      <c r="B1492" t="s">
        <v>9052</v>
      </c>
      <c r="C1492" t="s">
        <v>9053</v>
      </c>
      <c r="E1492" s="19">
        <v>966546590279</v>
      </c>
      <c r="F1492" t="s">
        <v>9051</v>
      </c>
      <c r="G1492" t="s">
        <v>840</v>
      </c>
    </row>
    <row r="1493" spans="1:7" x14ac:dyDescent="0.25">
      <c r="A1493" t="s">
        <v>9054</v>
      </c>
      <c r="B1493" t="s">
        <v>9055</v>
      </c>
      <c r="C1493" t="s">
        <v>9056</v>
      </c>
      <c r="E1493" s="19">
        <v>966503472174</v>
      </c>
      <c r="F1493" t="s">
        <v>9054</v>
      </c>
      <c r="G1493" t="s">
        <v>8231</v>
      </c>
    </row>
    <row r="1494" spans="1:7" x14ac:dyDescent="0.25">
      <c r="A1494" t="s">
        <v>9057</v>
      </c>
      <c r="B1494" t="s">
        <v>9058</v>
      </c>
      <c r="C1494" t="s">
        <v>9059</v>
      </c>
      <c r="E1494" s="19">
        <v>966555633467</v>
      </c>
      <c r="F1494" t="s">
        <v>9057</v>
      </c>
      <c r="G1494" t="s">
        <v>839</v>
      </c>
    </row>
    <row r="1495" spans="1:7" x14ac:dyDescent="0.25">
      <c r="A1495" t="s">
        <v>9060</v>
      </c>
      <c r="B1495" t="s">
        <v>9061</v>
      </c>
      <c r="C1495" t="s">
        <v>9062</v>
      </c>
      <c r="E1495" s="19">
        <v>971564249426</v>
      </c>
      <c r="F1495" t="s">
        <v>9060</v>
      </c>
      <c r="G1495" t="s">
        <v>2480</v>
      </c>
    </row>
    <row r="1496" spans="1:7" x14ac:dyDescent="0.25">
      <c r="A1496" t="s">
        <v>9063</v>
      </c>
      <c r="B1496" t="s">
        <v>9064</v>
      </c>
      <c r="C1496" t="s">
        <v>9065</v>
      </c>
      <c r="E1496" s="19">
        <v>971569582518</v>
      </c>
      <c r="F1496" t="s">
        <v>9063</v>
      </c>
      <c r="G1496" t="s">
        <v>844</v>
      </c>
    </row>
    <row r="1497" spans="1:7" x14ac:dyDescent="0.25">
      <c r="A1497" t="s">
        <v>9069</v>
      </c>
      <c r="B1497" t="s">
        <v>9070</v>
      </c>
      <c r="C1497" t="s">
        <v>9071</v>
      </c>
      <c r="E1497" s="19">
        <v>966507722012</v>
      </c>
      <c r="F1497" t="s">
        <v>9069</v>
      </c>
      <c r="G1497" t="s">
        <v>841</v>
      </c>
    </row>
    <row r="1498" spans="1:7" x14ac:dyDescent="0.25">
      <c r="A1498" t="s">
        <v>9072</v>
      </c>
      <c r="B1498" t="s">
        <v>9073</v>
      </c>
      <c r="C1498" t="s">
        <v>9074</v>
      </c>
      <c r="E1498" s="19">
        <v>966557313953</v>
      </c>
      <c r="F1498" t="s">
        <v>9072</v>
      </c>
      <c r="G1498" t="s">
        <v>841</v>
      </c>
    </row>
    <row r="1499" spans="1:7" x14ac:dyDescent="0.25">
      <c r="A1499" t="s">
        <v>9075</v>
      </c>
      <c r="B1499" t="s">
        <v>9076</v>
      </c>
      <c r="C1499" t="s">
        <v>9077</v>
      </c>
      <c r="E1499" s="19">
        <v>971555562980</v>
      </c>
      <c r="F1499" t="s">
        <v>9075</v>
      </c>
      <c r="G1499" t="s">
        <v>8676</v>
      </c>
    </row>
    <row r="1500" spans="1:7" x14ac:dyDescent="0.25">
      <c r="A1500" t="s">
        <v>9078</v>
      </c>
      <c r="B1500" t="s">
        <v>9079</v>
      </c>
      <c r="C1500" t="s">
        <v>9080</v>
      </c>
      <c r="E1500" s="19">
        <v>971522636878</v>
      </c>
      <c r="F1500" t="s">
        <v>9078</v>
      </c>
      <c r="G1500" t="s">
        <v>9036</v>
      </c>
    </row>
    <row r="1501" spans="1:7" x14ac:dyDescent="0.25">
      <c r="A1501" t="s">
        <v>9081</v>
      </c>
      <c r="B1501" t="s">
        <v>9082</v>
      </c>
      <c r="C1501" t="s">
        <v>9083</v>
      </c>
      <c r="E1501" s="19">
        <v>966583802118</v>
      </c>
      <c r="F1501" t="s">
        <v>9081</v>
      </c>
      <c r="G1501" t="s">
        <v>844</v>
      </c>
    </row>
    <row r="1502" spans="1:7" x14ac:dyDescent="0.25">
      <c r="A1502" t="s">
        <v>9084</v>
      </c>
      <c r="B1502" t="s">
        <v>9085</v>
      </c>
      <c r="C1502" t="s">
        <v>9086</v>
      </c>
      <c r="E1502" s="19">
        <v>971558090904</v>
      </c>
      <c r="F1502" t="s">
        <v>9084</v>
      </c>
      <c r="G1502" t="s">
        <v>9087</v>
      </c>
    </row>
    <row r="1503" spans="1:7" x14ac:dyDescent="0.25">
      <c r="A1503" t="s">
        <v>9088</v>
      </c>
      <c r="B1503" t="s">
        <v>9089</v>
      </c>
      <c r="C1503" t="s">
        <v>9090</v>
      </c>
      <c r="E1503" s="19">
        <v>966536240105</v>
      </c>
      <c r="F1503" t="s">
        <v>9088</v>
      </c>
      <c r="G1503" t="s">
        <v>837</v>
      </c>
    </row>
    <row r="1504" spans="1:7" x14ac:dyDescent="0.25">
      <c r="A1504" t="s">
        <v>9091</v>
      </c>
      <c r="B1504" t="s">
        <v>9092</v>
      </c>
      <c r="C1504" t="s">
        <v>9093</v>
      </c>
      <c r="E1504" s="19">
        <v>971559836847</v>
      </c>
      <c r="F1504" t="s">
        <v>9091</v>
      </c>
      <c r="G1504" t="s">
        <v>8772</v>
      </c>
    </row>
    <row r="1505" spans="1:7" x14ac:dyDescent="0.25">
      <c r="A1505" t="s">
        <v>9094</v>
      </c>
      <c r="B1505" t="s">
        <v>9095</v>
      </c>
      <c r="C1505" t="s">
        <v>9035</v>
      </c>
      <c r="E1505" s="19">
        <v>971504238027</v>
      </c>
      <c r="F1505" t="s">
        <v>9094</v>
      </c>
      <c r="G1505" t="s">
        <v>9036</v>
      </c>
    </row>
    <row r="1506" spans="1:7" x14ac:dyDescent="0.25">
      <c r="A1506" t="s">
        <v>9096</v>
      </c>
      <c r="B1506" t="s">
        <v>9097</v>
      </c>
      <c r="C1506" t="s">
        <v>8523</v>
      </c>
      <c r="E1506" s="19">
        <v>971554398276</v>
      </c>
      <c r="F1506" t="s">
        <v>9096</v>
      </c>
      <c r="G1506" t="s">
        <v>844</v>
      </c>
    </row>
    <row r="1507" spans="1:7" x14ac:dyDescent="0.25">
      <c r="A1507" t="s">
        <v>9098</v>
      </c>
      <c r="B1507" t="s">
        <v>9099</v>
      </c>
      <c r="C1507" t="s">
        <v>1137</v>
      </c>
      <c r="E1507" s="19">
        <v>0</v>
      </c>
      <c r="F1507" t="s">
        <v>9098</v>
      </c>
      <c r="G1507" t="s">
        <v>850</v>
      </c>
    </row>
    <row r="1508" spans="1:7" x14ac:dyDescent="0.25">
      <c r="A1508" t="s">
        <v>9100</v>
      </c>
      <c r="B1508" t="s">
        <v>9101</v>
      </c>
      <c r="C1508" t="s">
        <v>2845</v>
      </c>
      <c r="E1508" s="19">
        <v>17022633507</v>
      </c>
      <c r="F1508" t="s">
        <v>9100</v>
      </c>
      <c r="G1508" t="s">
        <v>844</v>
      </c>
    </row>
    <row r="1509" spans="1:7" x14ac:dyDescent="0.25">
      <c r="A1509" t="s">
        <v>9102</v>
      </c>
      <c r="B1509" t="s">
        <v>9103</v>
      </c>
      <c r="C1509" t="s">
        <v>9104</v>
      </c>
      <c r="E1509" s="19">
        <v>966500986489</v>
      </c>
      <c r="F1509" t="s">
        <v>9102</v>
      </c>
      <c r="G1509" t="s">
        <v>839</v>
      </c>
    </row>
    <row r="1510" spans="1:7" x14ac:dyDescent="0.25">
      <c r="A1510" t="s">
        <v>9105</v>
      </c>
      <c r="B1510" t="s">
        <v>9106</v>
      </c>
      <c r="C1510" t="s">
        <v>9107</v>
      </c>
      <c r="E1510" s="19">
        <v>966564060522</v>
      </c>
      <c r="F1510" t="s">
        <v>9105</v>
      </c>
      <c r="G1510" t="s">
        <v>839</v>
      </c>
    </row>
    <row r="1511" spans="1:7" x14ac:dyDescent="0.25">
      <c r="A1511" t="s">
        <v>9108</v>
      </c>
      <c r="B1511" t="s">
        <v>9109</v>
      </c>
      <c r="C1511" t="s">
        <v>9110</v>
      </c>
      <c r="E1511" s="19" t="s">
        <v>2824</v>
      </c>
      <c r="F1511" t="s">
        <v>9108</v>
      </c>
      <c r="G1511" t="s">
        <v>838</v>
      </c>
    </row>
    <row r="1512" spans="1:7" x14ac:dyDescent="0.25">
      <c r="A1512" t="s">
        <v>9111</v>
      </c>
      <c r="B1512" t="s">
        <v>9112</v>
      </c>
      <c r="C1512" t="s">
        <v>9113</v>
      </c>
      <c r="E1512" s="19">
        <v>966593442072</v>
      </c>
      <c r="F1512" t="s">
        <v>9111</v>
      </c>
      <c r="G1512" t="s">
        <v>841</v>
      </c>
    </row>
    <row r="1513" spans="1:7" x14ac:dyDescent="0.25">
      <c r="A1513" t="s">
        <v>9114</v>
      </c>
      <c r="B1513" t="s">
        <v>9115</v>
      </c>
      <c r="C1513" t="s">
        <v>9116</v>
      </c>
      <c r="E1513" s="19">
        <v>9713797558</v>
      </c>
      <c r="F1513" t="s">
        <v>9114</v>
      </c>
      <c r="G1513" t="s">
        <v>841</v>
      </c>
    </row>
    <row r="1514" spans="1:7" x14ac:dyDescent="0.25">
      <c r="A1514" t="s">
        <v>9117</v>
      </c>
      <c r="B1514" t="s">
        <v>9118</v>
      </c>
      <c r="C1514" t="s">
        <v>9119</v>
      </c>
      <c r="E1514" s="19">
        <v>966502925435</v>
      </c>
      <c r="F1514" t="s">
        <v>9117</v>
      </c>
      <c r="G1514" t="s">
        <v>838</v>
      </c>
    </row>
    <row r="1515" spans="1:7" x14ac:dyDescent="0.25">
      <c r="A1515" t="s">
        <v>9120</v>
      </c>
      <c r="B1515" t="s">
        <v>9121</v>
      </c>
      <c r="C1515" t="s">
        <v>9122</v>
      </c>
      <c r="E1515" s="19">
        <v>966555402182</v>
      </c>
      <c r="F1515" t="s">
        <v>9120</v>
      </c>
      <c r="G1515" t="s">
        <v>838</v>
      </c>
    </row>
    <row r="1516" spans="1:7" x14ac:dyDescent="0.25">
      <c r="A1516" t="s">
        <v>9123</v>
      </c>
      <c r="B1516" t="s">
        <v>9124</v>
      </c>
      <c r="C1516" t="s">
        <v>9125</v>
      </c>
      <c r="E1516" s="19">
        <v>966598463280</v>
      </c>
      <c r="F1516" t="s">
        <v>9123</v>
      </c>
      <c r="G1516" t="s">
        <v>838</v>
      </c>
    </row>
    <row r="1517" spans="1:7" x14ac:dyDescent="0.25">
      <c r="A1517" t="s">
        <v>9126</v>
      </c>
      <c r="B1517" t="s">
        <v>9127</v>
      </c>
      <c r="C1517" t="s">
        <v>9128</v>
      </c>
      <c r="E1517" s="19">
        <v>971564349368</v>
      </c>
      <c r="F1517" t="s">
        <v>9126</v>
      </c>
      <c r="G1517" t="s">
        <v>858</v>
      </c>
    </row>
    <row r="1518" spans="1:7" x14ac:dyDescent="0.25">
      <c r="A1518" t="s">
        <v>9129</v>
      </c>
      <c r="B1518" t="s">
        <v>9130</v>
      </c>
      <c r="C1518" t="s">
        <v>9131</v>
      </c>
      <c r="E1518" s="19">
        <v>18185685032</v>
      </c>
      <c r="F1518" t="s">
        <v>9129</v>
      </c>
      <c r="G1518" t="s">
        <v>844</v>
      </c>
    </row>
    <row r="1519" spans="1:7" x14ac:dyDescent="0.25">
      <c r="A1519" t="s">
        <v>9129</v>
      </c>
      <c r="B1519" t="s">
        <v>9132</v>
      </c>
      <c r="C1519" t="s">
        <v>9131</v>
      </c>
      <c r="E1519" s="19">
        <v>18185685032</v>
      </c>
      <c r="F1519" t="s">
        <v>9129</v>
      </c>
      <c r="G1519" t="s">
        <v>844</v>
      </c>
    </row>
    <row r="1520" spans="1:7" x14ac:dyDescent="0.25">
      <c r="A1520" t="s">
        <v>8683</v>
      </c>
      <c r="B1520" t="s">
        <v>9134</v>
      </c>
      <c r="C1520" t="s">
        <v>8685</v>
      </c>
      <c r="E1520" s="19">
        <v>85253133634</v>
      </c>
      <c r="F1520" t="s">
        <v>8683</v>
      </c>
      <c r="G1520" t="s">
        <v>8686</v>
      </c>
    </row>
    <row r="1521" spans="1:7" x14ac:dyDescent="0.25">
      <c r="A1521" t="s">
        <v>9136</v>
      </c>
      <c r="B1521" t="s">
        <v>9137</v>
      </c>
      <c r="C1521" t="s">
        <v>9138</v>
      </c>
      <c r="E1521" s="19">
        <v>971508996942</v>
      </c>
      <c r="F1521" t="s">
        <v>9136</v>
      </c>
      <c r="G1521" t="s">
        <v>9087</v>
      </c>
    </row>
    <row r="1522" spans="1:7" x14ac:dyDescent="0.25">
      <c r="A1522" t="s">
        <v>9139</v>
      </c>
      <c r="B1522" t="s">
        <v>9140</v>
      </c>
      <c r="C1522" t="s">
        <v>9141</v>
      </c>
      <c r="E1522" s="19">
        <v>971526493088</v>
      </c>
      <c r="F1522" t="s">
        <v>9139</v>
      </c>
      <c r="G1522" t="s">
        <v>2480</v>
      </c>
    </row>
    <row r="1523" spans="1:7" x14ac:dyDescent="0.25">
      <c r="A1523" t="s">
        <v>9142</v>
      </c>
      <c r="B1523" t="s">
        <v>9143</v>
      </c>
      <c r="C1523" t="s">
        <v>9144</v>
      </c>
      <c r="E1523" s="19">
        <v>971555853847</v>
      </c>
      <c r="F1523" t="s">
        <v>9142</v>
      </c>
      <c r="G1523" t="s">
        <v>3027</v>
      </c>
    </row>
    <row r="1524" spans="1:7" x14ac:dyDescent="0.25">
      <c r="A1524" t="s">
        <v>9145</v>
      </c>
      <c r="B1524" t="s">
        <v>9146</v>
      </c>
      <c r="C1524" t="s">
        <v>9147</v>
      </c>
      <c r="E1524" s="19">
        <v>966540216930</v>
      </c>
      <c r="F1524" t="s">
        <v>9145</v>
      </c>
      <c r="G1524" t="s">
        <v>2646</v>
      </c>
    </row>
    <row r="1525" spans="1:7" x14ac:dyDescent="0.25">
      <c r="A1525" t="s">
        <v>9148</v>
      </c>
      <c r="B1525" t="s">
        <v>9149</v>
      </c>
      <c r="C1525" t="s">
        <v>9150</v>
      </c>
      <c r="E1525" s="19">
        <v>966535919201</v>
      </c>
      <c r="F1525" t="s">
        <v>9148</v>
      </c>
      <c r="G1525" t="s">
        <v>838</v>
      </c>
    </row>
    <row r="1526" spans="1:7" x14ac:dyDescent="0.25">
      <c r="A1526" t="s">
        <v>9151</v>
      </c>
      <c r="B1526" t="s">
        <v>9152</v>
      </c>
      <c r="C1526" t="s">
        <v>9153</v>
      </c>
      <c r="E1526" s="19">
        <v>966503459514</v>
      </c>
      <c r="F1526" t="s">
        <v>9151</v>
      </c>
      <c r="G1526" t="s">
        <v>838</v>
      </c>
    </row>
    <row r="1527" spans="1:7" x14ac:dyDescent="0.25">
      <c r="A1527" t="s">
        <v>1994</v>
      </c>
      <c r="B1527" t="s">
        <v>9154</v>
      </c>
      <c r="C1527" t="s">
        <v>1996</v>
      </c>
      <c r="E1527" s="19">
        <v>971506408300</v>
      </c>
      <c r="F1527" t="s">
        <v>1994</v>
      </c>
      <c r="G1527" t="s">
        <v>839</v>
      </c>
    </row>
    <row r="1528" spans="1:7" x14ac:dyDescent="0.25">
      <c r="A1528" t="s">
        <v>9155</v>
      </c>
      <c r="B1528" t="s">
        <v>9156</v>
      </c>
      <c r="C1528" t="s">
        <v>9157</v>
      </c>
      <c r="E1528" s="19">
        <v>971562146142</v>
      </c>
      <c r="F1528" t="s">
        <v>9155</v>
      </c>
      <c r="G1528" t="s">
        <v>9158</v>
      </c>
    </row>
    <row r="1529" spans="1:7" x14ac:dyDescent="0.25">
      <c r="A1529" t="s">
        <v>9159</v>
      </c>
      <c r="B1529" t="s">
        <v>9160</v>
      </c>
      <c r="C1529" t="s">
        <v>9161</v>
      </c>
      <c r="E1529" s="19">
        <v>971562771587</v>
      </c>
      <c r="F1529" t="s">
        <v>9159</v>
      </c>
      <c r="G1529" t="s">
        <v>9162</v>
      </c>
    </row>
    <row r="1530" spans="1:7" x14ac:dyDescent="0.25">
      <c r="A1530" t="s">
        <v>9163</v>
      </c>
      <c r="B1530" t="s">
        <v>9164</v>
      </c>
      <c r="C1530" t="s">
        <v>9165</v>
      </c>
      <c r="E1530" s="19">
        <v>971556434366</v>
      </c>
      <c r="F1530" t="s">
        <v>9163</v>
      </c>
      <c r="G1530" t="s">
        <v>838</v>
      </c>
    </row>
    <row r="1531" spans="1:7" x14ac:dyDescent="0.25">
      <c r="A1531" t="s">
        <v>9166</v>
      </c>
      <c r="B1531" t="s">
        <v>9167</v>
      </c>
      <c r="C1531" t="s">
        <v>9168</v>
      </c>
      <c r="E1531" s="19">
        <v>971556569983</v>
      </c>
      <c r="F1531" t="s">
        <v>9166</v>
      </c>
      <c r="G1531" t="s">
        <v>3027</v>
      </c>
    </row>
    <row r="1532" spans="1:7" x14ac:dyDescent="0.25">
      <c r="A1532" t="s">
        <v>9169</v>
      </c>
      <c r="B1532" t="s">
        <v>9170</v>
      </c>
      <c r="C1532" t="s">
        <v>1275</v>
      </c>
      <c r="E1532" s="19">
        <v>971585859160</v>
      </c>
      <c r="F1532" t="s">
        <v>9169</v>
      </c>
      <c r="G1532" t="s">
        <v>9171</v>
      </c>
    </row>
    <row r="1533" spans="1:7" x14ac:dyDescent="0.25">
      <c r="A1533" t="s">
        <v>9172</v>
      </c>
      <c r="B1533" t="s">
        <v>9173</v>
      </c>
      <c r="C1533" t="s">
        <v>9174</v>
      </c>
      <c r="E1533" s="19">
        <v>966500630485</v>
      </c>
      <c r="F1533" t="s">
        <v>9172</v>
      </c>
      <c r="G1533" t="s">
        <v>839</v>
      </c>
    </row>
    <row r="1534" spans="1:7" x14ac:dyDescent="0.25">
      <c r="A1534" t="s">
        <v>9175</v>
      </c>
      <c r="B1534" t="s">
        <v>9176</v>
      </c>
      <c r="C1534" t="s">
        <v>9177</v>
      </c>
      <c r="E1534" s="19">
        <v>966548200998</v>
      </c>
      <c r="F1534" t="s">
        <v>9175</v>
      </c>
      <c r="G1534" t="s">
        <v>853</v>
      </c>
    </row>
    <row r="1535" spans="1:7" x14ac:dyDescent="0.25">
      <c r="A1535" t="s">
        <v>9180</v>
      </c>
      <c r="B1535" t="s">
        <v>9181</v>
      </c>
      <c r="C1535" t="s">
        <v>9182</v>
      </c>
      <c r="E1535" s="19">
        <v>966540224447</v>
      </c>
      <c r="F1535" t="s">
        <v>9180</v>
      </c>
      <c r="G1535" t="s">
        <v>2480</v>
      </c>
    </row>
    <row r="1536" spans="1:7" x14ac:dyDescent="0.25">
      <c r="A1536" t="s">
        <v>9183</v>
      </c>
      <c r="B1536" t="s">
        <v>9184</v>
      </c>
      <c r="C1536" t="s">
        <v>9185</v>
      </c>
      <c r="E1536" s="19">
        <v>966556445506</v>
      </c>
      <c r="F1536" t="s">
        <v>9183</v>
      </c>
      <c r="G1536" t="s">
        <v>841</v>
      </c>
    </row>
    <row r="1537" spans="1:7" x14ac:dyDescent="0.25">
      <c r="A1537" t="s">
        <v>9187</v>
      </c>
      <c r="B1537" t="s">
        <v>9188</v>
      </c>
      <c r="C1537" t="s">
        <v>9189</v>
      </c>
      <c r="E1537" s="19">
        <v>971557601347</v>
      </c>
      <c r="F1537" t="s">
        <v>9187</v>
      </c>
      <c r="G1537" t="s">
        <v>848</v>
      </c>
    </row>
    <row r="1538" spans="1:7" x14ac:dyDescent="0.25">
      <c r="A1538" t="s">
        <v>9190</v>
      </c>
      <c r="B1538" t="s">
        <v>9191</v>
      </c>
      <c r="C1538" t="s">
        <v>9192</v>
      </c>
      <c r="E1538" s="19">
        <v>966542154040</v>
      </c>
      <c r="F1538" t="s">
        <v>9190</v>
      </c>
      <c r="G1538" t="s">
        <v>9291</v>
      </c>
    </row>
    <row r="1539" spans="1:7" x14ac:dyDescent="0.25">
      <c r="A1539" t="s">
        <v>9194</v>
      </c>
      <c r="B1539" t="s">
        <v>9195</v>
      </c>
      <c r="C1539" t="s">
        <v>9196</v>
      </c>
      <c r="E1539" s="19">
        <v>971558061175</v>
      </c>
      <c r="F1539" t="s">
        <v>9194</v>
      </c>
      <c r="G1539" t="s">
        <v>848</v>
      </c>
    </row>
    <row r="1540" spans="1:7" x14ac:dyDescent="0.25">
      <c r="A1540" t="s">
        <v>9197</v>
      </c>
      <c r="B1540" t="s">
        <v>9198</v>
      </c>
      <c r="C1540" t="s">
        <v>9199</v>
      </c>
      <c r="E1540" s="19">
        <v>971507494362</v>
      </c>
      <c r="F1540" t="s">
        <v>9197</v>
      </c>
      <c r="G1540" t="s">
        <v>9087</v>
      </c>
    </row>
    <row r="1541" spans="1:7" x14ac:dyDescent="0.25">
      <c r="A1541" t="s">
        <v>9200</v>
      </c>
      <c r="B1541" t="s">
        <v>9201</v>
      </c>
      <c r="C1541" t="s">
        <v>9202</v>
      </c>
      <c r="E1541" s="19">
        <v>971506399732</v>
      </c>
      <c r="F1541" t="s">
        <v>9200</v>
      </c>
      <c r="G1541" t="s">
        <v>9087</v>
      </c>
    </row>
    <row r="1542" spans="1:7" x14ac:dyDescent="0.25">
      <c r="A1542" t="s">
        <v>9203</v>
      </c>
      <c r="B1542" t="s">
        <v>9204</v>
      </c>
      <c r="C1542" t="s">
        <v>9205</v>
      </c>
      <c r="E1542" s="19">
        <v>15165749189</v>
      </c>
      <c r="F1542" t="s">
        <v>9203</v>
      </c>
      <c r="G1542" t="s">
        <v>848</v>
      </c>
    </row>
    <row r="1543" spans="1:7" x14ac:dyDescent="0.25">
      <c r="A1543" t="s">
        <v>9208</v>
      </c>
      <c r="B1543" t="s">
        <v>9209</v>
      </c>
      <c r="C1543" t="s">
        <v>9210</v>
      </c>
      <c r="E1543" s="19">
        <v>971506610335</v>
      </c>
      <c r="F1543" t="s">
        <v>9208</v>
      </c>
      <c r="G1543" t="s">
        <v>850</v>
      </c>
    </row>
    <row r="1544" spans="1:7" x14ac:dyDescent="0.25">
      <c r="A1544" t="s">
        <v>9211</v>
      </c>
      <c r="B1544" t="s">
        <v>9285</v>
      </c>
      <c r="C1544" t="s">
        <v>9213</v>
      </c>
      <c r="E1544" s="19">
        <v>966565815323</v>
      </c>
      <c r="F1544" t="s">
        <v>9211</v>
      </c>
      <c r="G1544" t="s">
        <v>9292</v>
      </c>
    </row>
    <row r="1545" spans="1:7" x14ac:dyDescent="0.25">
      <c r="A1545" t="s">
        <v>9214</v>
      </c>
      <c r="B1545" t="s">
        <v>9286</v>
      </c>
      <c r="C1545" t="s">
        <v>9216</v>
      </c>
      <c r="E1545" s="19">
        <v>966569696099</v>
      </c>
      <c r="F1545" t="s">
        <v>9214</v>
      </c>
      <c r="G1545" t="s">
        <v>844</v>
      </c>
    </row>
    <row r="1546" spans="1:7" x14ac:dyDescent="0.25">
      <c r="A1546" t="s">
        <v>9217</v>
      </c>
      <c r="B1546" t="s">
        <v>9218</v>
      </c>
      <c r="C1546" t="s">
        <v>9219</v>
      </c>
      <c r="E1546" s="19">
        <v>971507058047</v>
      </c>
      <c r="F1546" t="s">
        <v>9217</v>
      </c>
      <c r="G1546" t="s">
        <v>836</v>
      </c>
    </row>
    <row r="1547" spans="1:7" x14ac:dyDescent="0.25">
      <c r="A1547" t="s">
        <v>9220</v>
      </c>
      <c r="B1547" t="s">
        <v>9212</v>
      </c>
      <c r="C1547" t="s">
        <v>8689</v>
      </c>
      <c r="E1547" s="19">
        <v>971564048834</v>
      </c>
      <c r="F1547" t="s">
        <v>9220</v>
      </c>
      <c r="G1547" t="s">
        <v>844</v>
      </c>
    </row>
    <row r="1548" spans="1:7" x14ac:dyDescent="0.25">
      <c r="A1548" t="s">
        <v>9222</v>
      </c>
      <c r="B1548" t="s">
        <v>9215</v>
      </c>
      <c r="C1548" t="s">
        <v>9223</v>
      </c>
      <c r="E1548" s="19">
        <v>966536382288</v>
      </c>
      <c r="F1548" t="s">
        <v>9222</v>
      </c>
      <c r="G1548" t="s">
        <v>845</v>
      </c>
    </row>
    <row r="1549" spans="1:7" x14ac:dyDescent="0.25">
      <c r="A1549" t="s">
        <v>9224</v>
      </c>
      <c r="B1549" t="s">
        <v>9225</v>
      </c>
      <c r="C1549" t="s">
        <v>9226</v>
      </c>
      <c r="E1549" s="19">
        <v>966505829232</v>
      </c>
      <c r="F1549" t="s">
        <v>9224</v>
      </c>
      <c r="G1549" t="s">
        <v>838</v>
      </c>
    </row>
    <row r="1550" spans="1:7" x14ac:dyDescent="0.25">
      <c r="A1550" t="s">
        <v>9227</v>
      </c>
      <c r="B1550" t="s">
        <v>9228</v>
      </c>
      <c r="C1550" t="s">
        <v>9229</v>
      </c>
      <c r="E1550" s="19">
        <v>966555058869</v>
      </c>
      <c r="F1550" t="s">
        <v>9227</v>
      </c>
      <c r="G1550" t="s">
        <v>9293</v>
      </c>
    </row>
    <row r="1551" spans="1:7" x14ac:dyDescent="0.25">
      <c r="A1551" t="s">
        <v>9230</v>
      </c>
      <c r="B1551" t="s">
        <v>9231</v>
      </c>
      <c r="C1551" t="s">
        <v>9232</v>
      </c>
      <c r="E1551" s="19">
        <v>966555359976</v>
      </c>
      <c r="F1551" t="s">
        <v>9230</v>
      </c>
      <c r="G1551" t="s">
        <v>838</v>
      </c>
    </row>
    <row r="1552" spans="1:7" x14ac:dyDescent="0.25">
      <c r="A1552" t="s">
        <v>9233</v>
      </c>
      <c r="B1552" t="s">
        <v>9234</v>
      </c>
      <c r="C1552" t="s">
        <v>9235</v>
      </c>
      <c r="E1552" s="19">
        <v>966533203255</v>
      </c>
      <c r="F1552" t="s">
        <v>9233</v>
      </c>
      <c r="G1552" t="s">
        <v>841</v>
      </c>
    </row>
    <row r="1553" spans="1:7" x14ac:dyDescent="0.25">
      <c r="A1553" t="s">
        <v>9236</v>
      </c>
      <c r="B1553" t="s">
        <v>9237</v>
      </c>
      <c r="C1553" t="s">
        <v>9238</v>
      </c>
      <c r="E1553" s="19">
        <v>971568856766</v>
      </c>
      <c r="F1553" t="s">
        <v>9236</v>
      </c>
      <c r="G1553" t="s">
        <v>837</v>
      </c>
    </row>
    <row r="1554" spans="1:7" x14ac:dyDescent="0.25">
      <c r="A1554" t="s">
        <v>9239</v>
      </c>
      <c r="B1554" t="s">
        <v>9240</v>
      </c>
      <c r="C1554" t="s">
        <v>9241</v>
      </c>
      <c r="E1554" s="19">
        <v>966567035000</v>
      </c>
      <c r="F1554" t="s">
        <v>9239</v>
      </c>
      <c r="G1554" t="s">
        <v>838</v>
      </c>
    </row>
    <row r="1555" spans="1:7" x14ac:dyDescent="0.25">
      <c r="A1555" t="s">
        <v>9242</v>
      </c>
      <c r="B1555" t="s">
        <v>9243</v>
      </c>
      <c r="C1555" t="s">
        <v>9244</v>
      </c>
      <c r="E1555" s="19">
        <v>966503303627</v>
      </c>
      <c r="F1555" t="s">
        <v>9242</v>
      </c>
      <c r="G1555" t="s">
        <v>838</v>
      </c>
    </row>
    <row r="1556" spans="1:7" x14ac:dyDescent="0.25">
      <c r="A1556" t="s">
        <v>9245</v>
      </c>
      <c r="B1556" t="s">
        <v>9246</v>
      </c>
      <c r="C1556" t="s">
        <v>9247</v>
      </c>
      <c r="E1556" s="19">
        <v>966550620467</v>
      </c>
      <c r="F1556" t="s">
        <v>9245</v>
      </c>
      <c r="G1556" t="s">
        <v>853</v>
      </c>
    </row>
    <row r="1557" spans="1:7" x14ac:dyDescent="0.25">
      <c r="A1557" t="s">
        <v>9248</v>
      </c>
      <c r="B1557" t="s">
        <v>9249</v>
      </c>
      <c r="C1557" t="s">
        <v>9247</v>
      </c>
      <c r="E1557" s="19">
        <v>966550620467</v>
      </c>
      <c r="F1557" t="s">
        <v>9248</v>
      </c>
      <c r="G1557" t="s">
        <v>853</v>
      </c>
    </row>
    <row r="1558" spans="1:7" x14ac:dyDescent="0.25">
      <c r="A1558" t="s">
        <v>9250</v>
      </c>
      <c r="B1558" t="s">
        <v>9276</v>
      </c>
      <c r="C1558" t="s">
        <v>8526</v>
      </c>
      <c r="E1558" s="19">
        <v>971561452910</v>
      </c>
      <c r="F1558" t="s">
        <v>9250</v>
      </c>
      <c r="G1558" t="s">
        <v>854</v>
      </c>
    </row>
    <row r="1559" spans="1:7" x14ac:dyDescent="0.25">
      <c r="A1559" t="s">
        <v>9251</v>
      </c>
      <c r="B1559" t="s">
        <v>9252</v>
      </c>
      <c r="C1559" t="s">
        <v>9253</v>
      </c>
      <c r="E1559" s="19">
        <v>971524017575</v>
      </c>
      <c r="F1559" t="s">
        <v>9251</v>
      </c>
      <c r="G1559" t="s">
        <v>850</v>
      </c>
    </row>
    <row r="1560" spans="1:7" x14ac:dyDescent="0.25">
      <c r="A1560" t="s">
        <v>9254</v>
      </c>
      <c r="B1560" t="s">
        <v>9255</v>
      </c>
      <c r="C1560" t="s">
        <v>9256</v>
      </c>
      <c r="E1560" s="19">
        <v>971508963791</v>
      </c>
      <c r="F1560" t="s">
        <v>9254</v>
      </c>
      <c r="G1560" t="s">
        <v>9162</v>
      </c>
    </row>
    <row r="1561" spans="1:7" x14ac:dyDescent="0.25">
      <c r="A1561" t="s">
        <v>9257</v>
      </c>
      <c r="B1561" t="s">
        <v>9258</v>
      </c>
      <c r="C1561" t="s">
        <v>9259</v>
      </c>
      <c r="E1561" s="19">
        <v>966535335636</v>
      </c>
      <c r="F1561" t="s">
        <v>9257</v>
      </c>
      <c r="G1561" t="s">
        <v>838</v>
      </c>
    </row>
    <row r="1562" spans="1:7" x14ac:dyDescent="0.25">
      <c r="A1562" t="s">
        <v>9260</v>
      </c>
      <c r="B1562" t="s">
        <v>9261</v>
      </c>
      <c r="C1562" t="s">
        <v>9262</v>
      </c>
      <c r="E1562" s="19">
        <v>966542444475</v>
      </c>
      <c r="F1562" t="s">
        <v>9260</v>
      </c>
      <c r="G1562" t="s">
        <v>838</v>
      </c>
    </row>
    <row r="1563" spans="1:7" x14ac:dyDescent="0.25">
      <c r="A1563" t="s">
        <v>9263</v>
      </c>
      <c r="B1563" t="s">
        <v>9264</v>
      </c>
      <c r="C1563" t="s">
        <v>9265</v>
      </c>
      <c r="E1563" s="19">
        <v>966534069659</v>
      </c>
      <c r="F1563" t="s">
        <v>9263</v>
      </c>
      <c r="G1563" t="s">
        <v>841</v>
      </c>
    </row>
    <row r="1564" spans="1:7" x14ac:dyDescent="0.25">
      <c r="A1564" t="s">
        <v>9266</v>
      </c>
      <c r="B1564" t="s">
        <v>9267</v>
      </c>
      <c r="C1564" t="s">
        <v>9265</v>
      </c>
      <c r="E1564" s="19">
        <v>966534069659</v>
      </c>
      <c r="F1564" t="s">
        <v>9266</v>
      </c>
      <c r="G1564" t="s">
        <v>841</v>
      </c>
    </row>
    <row r="1565" spans="1:7" x14ac:dyDescent="0.25">
      <c r="A1565" t="s">
        <v>9268</v>
      </c>
      <c r="B1565" t="s">
        <v>9269</v>
      </c>
      <c r="C1565" t="s">
        <v>9270</v>
      </c>
      <c r="E1565" s="19">
        <v>966504480301</v>
      </c>
      <c r="F1565" t="s">
        <v>9268</v>
      </c>
      <c r="G1565" t="s">
        <v>841</v>
      </c>
    </row>
    <row r="1566" spans="1:7" x14ac:dyDescent="0.25">
      <c r="A1566" t="s">
        <v>9271</v>
      </c>
      <c r="B1566" t="s">
        <v>9272</v>
      </c>
      <c r="C1566" t="s">
        <v>9270</v>
      </c>
      <c r="E1566" s="19">
        <v>966504480301</v>
      </c>
      <c r="F1566" t="s">
        <v>9271</v>
      </c>
      <c r="G1566" t="s">
        <v>841</v>
      </c>
    </row>
    <row r="1567" spans="1:7" x14ac:dyDescent="0.25">
      <c r="A1567" t="s">
        <v>9273</v>
      </c>
      <c r="B1567" t="s">
        <v>9274</v>
      </c>
      <c r="C1567" t="s">
        <v>9275</v>
      </c>
      <c r="E1567" s="19">
        <v>966542131924</v>
      </c>
      <c r="F1567" t="s">
        <v>9273</v>
      </c>
      <c r="G1567" t="s">
        <v>838</v>
      </c>
    </row>
    <row r="1568" spans="1:7" x14ac:dyDescent="0.25">
      <c r="A1568" t="s">
        <v>9277</v>
      </c>
      <c r="B1568" t="s">
        <v>9278</v>
      </c>
      <c r="C1568" t="s">
        <v>9279</v>
      </c>
      <c r="E1568" s="19">
        <v>971555124487</v>
      </c>
      <c r="F1568" t="s">
        <v>9277</v>
      </c>
      <c r="G1568" t="s">
        <v>854</v>
      </c>
    </row>
    <row r="1569" spans="1:7" x14ac:dyDescent="0.25">
      <c r="A1569" t="s">
        <v>9280</v>
      </c>
      <c r="B1569" t="s">
        <v>9281</v>
      </c>
      <c r="C1569" t="s">
        <v>9282</v>
      </c>
      <c r="E1569" s="19">
        <v>966500081785</v>
      </c>
      <c r="F1569" t="s">
        <v>9280</v>
      </c>
      <c r="G1569" t="s">
        <v>854</v>
      </c>
    </row>
    <row r="1570" spans="1:7" x14ac:dyDescent="0.25">
      <c r="A1570" t="s">
        <v>9283</v>
      </c>
      <c r="B1570" t="s">
        <v>9284</v>
      </c>
      <c r="C1570" t="s">
        <v>8584</v>
      </c>
      <c r="E1570" s="19">
        <v>97142282840</v>
      </c>
      <c r="F1570" t="s">
        <v>9283</v>
      </c>
      <c r="G1570" t="s">
        <v>1365</v>
      </c>
    </row>
    <row r="1571" spans="1:7" x14ac:dyDescent="0.25">
      <c r="A1571" t="s">
        <v>9287</v>
      </c>
      <c r="B1571" t="s">
        <v>9288</v>
      </c>
      <c r="C1571" t="s">
        <v>9289</v>
      </c>
      <c r="E1571" s="19">
        <v>966541031617</v>
      </c>
      <c r="F1571" t="s">
        <v>9287</v>
      </c>
      <c r="G1571" t="s">
        <v>839</v>
      </c>
    </row>
    <row r="1572" spans="1:7" x14ac:dyDescent="0.25">
      <c r="A1572" t="s">
        <v>9294</v>
      </c>
      <c r="B1572" t="s">
        <v>9295</v>
      </c>
      <c r="C1572" t="s">
        <v>9296</v>
      </c>
      <c r="E1572" s="19">
        <v>966567897551</v>
      </c>
      <c r="F1572" t="s">
        <v>9294</v>
      </c>
      <c r="G1572" t="s">
        <v>844</v>
      </c>
    </row>
    <row r="1573" spans="1:7" x14ac:dyDescent="0.25">
      <c r="A1573" t="s">
        <v>9456</v>
      </c>
      <c r="B1573" t="s">
        <v>9304</v>
      </c>
      <c r="C1573" t="s">
        <v>9219</v>
      </c>
      <c r="E1573" s="19">
        <v>971507058047</v>
      </c>
      <c r="F1573" t="s">
        <v>9456</v>
      </c>
      <c r="G1573" t="s">
        <v>836</v>
      </c>
    </row>
    <row r="1574" spans="1:7" x14ac:dyDescent="0.25">
      <c r="A1574" t="s">
        <v>9305</v>
      </c>
      <c r="B1574" t="s">
        <v>9306</v>
      </c>
      <c r="C1574" t="s">
        <v>9307</v>
      </c>
      <c r="E1574" s="19">
        <v>966555668600</v>
      </c>
      <c r="F1574" t="s">
        <v>9305</v>
      </c>
      <c r="G1574" t="s">
        <v>1516</v>
      </c>
    </row>
    <row r="1575" spans="1:7" x14ac:dyDescent="0.25">
      <c r="A1575" t="s">
        <v>9308</v>
      </c>
      <c r="B1575" t="s">
        <v>9309</v>
      </c>
      <c r="C1575" t="s">
        <v>9310</v>
      </c>
      <c r="E1575" s="19">
        <v>966541183300</v>
      </c>
      <c r="F1575" t="s">
        <v>9308</v>
      </c>
      <c r="G1575" t="s">
        <v>839</v>
      </c>
    </row>
    <row r="1576" spans="1:7" x14ac:dyDescent="0.25">
      <c r="A1576" t="s">
        <v>9311</v>
      </c>
      <c r="B1576" t="s">
        <v>9312</v>
      </c>
      <c r="C1576" t="s">
        <v>9313</v>
      </c>
      <c r="E1576" s="19">
        <v>971567807084</v>
      </c>
      <c r="F1576" t="s">
        <v>9311</v>
      </c>
      <c r="G1576" t="s">
        <v>845</v>
      </c>
    </row>
    <row r="1577" spans="1:7" x14ac:dyDescent="0.25">
      <c r="A1577" t="s">
        <v>9315</v>
      </c>
      <c r="B1577" t="s">
        <v>9316</v>
      </c>
      <c r="C1577" t="s">
        <v>9317</v>
      </c>
      <c r="E1577" s="19">
        <v>971551000949</v>
      </c>
      <c r="F1577" t="s">
        <v>9315</v>
      </c>
      <c r="G1577" t="s">
        <v>2732</v>
      </c>
    </row>
    <row r="1578" spans="1:7" x14ac:dyDescent="0.25">
      <c r="A1578" t="s">
        <v>9319</v>
      </c>
      <c r="B1578" t="s">
        <v>9320</v>
      </c>
      <c r="C1578" t="s">
        <v>9321</v>
      </c>
      <c r="E1578" s="19">
        <v>971557753255</v>
      </c>
      <c r="F1578" t="s">
        <v>9319</v>
      </c>
      <c r="G1578" t="s">
        <v>2732</v>
      </c>
    </row>
    <row r="1579" spans="1:7" x14ac:dyDescent="0.25">
      <c r="A1579" t="s">
        <v>9322</v>
      </c>
      <c r="B1579" t="s">
        <v>9323</v>
      </c>
      <c r="C1579" t="s">
        <v>9324</v>
      </c>
      <c r="E1579" s="19">
        <v>971559611663</v>
      </c>
      <c r="F1579" t="s">
        <v>9322</v>
      </c>
      <c r="G1579" t="s">
        <v>2732</v>
      </c>
    </row>
    <row r="1580" spans="1:7" x14ac:dyDescent="0.25">
      <c r="A1580" t="s">
        <v>9325</v>
      </c>
      <c r="B1580" t="s">
        <v>9326</v>
      </c>
      <c r="C1580" t="s">
        <v>9205</v>
      </c>
      <c r="E1580" s="19">
        <v>15165749189</v>
      </c>
      <c r="F1580" t="s">
        <v>9325</v>
      </c>
      <c r="G1580" t="s">
        <v>848</v>
      </c>
    </row>
    <row r="1581" spans="1:7" x14ac:dyDescent="0.25">
      <c r="A1581" t="s">
        <v>9337</v>
      </c>
      <c r="B1581" t="s">
        <v>9338</v>
      </c>
      <c r="C1581" t="s">
        <v>9313</v>
      </c>
      <c r="E1581" s="19">
        <v>971567807084</v>
      </c>
      <c r="F1581" t="s">
        <v>9337</v>
      </c>
      <c r="G1581" t="s">
        <v>845</v>
      </c>
    </row>
    <row r="1582" spans="1:7" x14ac:dyDescent="0.25">
      <c r="A1582" t="s">
        <v>9339</v>
      </c>
      <c r="B1582" t="s">
        <v>9340</v>
      </c>
      <c r="C1582" t="s">
        <v>9093</v>
      </c>
      <c r="E1582" s="19">
        <v>971559836847</v>
      </c>
      <c r="F1582" t="s">
        <v>9339</v>
      </c>
      <c r="G1582" t="s">
        <v>8772</v>
      </c>
    </row>
    <row r="1583" spans="1:7" x14ac:dyDescent="0.25">
      <c r="A1583" t="s">
        <v>9341</v>
      </c>
      <c r="B1583" t="s">
        <v>9342</v>
      </c>
      <c r="C1583" t="s">
        <v>9343</v>
      </c>
      <c r="E1583" s="19">
        <v>971564399441</v>
      </c>
      <c r="F1583" t="s">
        <v>9341</v>
      </c>
      <c r="G1583" t="s">
        <v>9344</v>
      </c>
    </row>
    <row r="1584" spans="1:7" x14ac:dyDescent="0.25">
      <c r="A1584" t="s">
        <v>9345</v>
      </c>
      <c r="B1584" t="s">
        <v>9346</v>
      </c>
      <c r="C1584" t="s">
        <v>9347</v>
      </c>
      <c r="E1584" s="19">
        <v>971505579341</v>
      </c>
      <c r="F1584" t="s">
        <v>9345</v>
      </c>
      <c r="G1584" t="s">
        <v>9344</v>
      </c>
    </row>
    <row r="1585" spans="1:7" x14ac:dyDescent="0.25">
      <c r="A1585" t="s">
        <v>9348</v>
      </c>
      <c r="B1585" t="s">
        <v>9349</v>
      </c>
      <c r="C1585" t="s">
        <v>9347</v>
      </c>
      <c r="E1585" s="19">
        <v>971543210373</v>
      </c>
      <c r="F1585" t="s">
        <v>9348</v>
      </c>
      <c r="G1585" t="s">
        <v>9344</v>
      </c>
    </row>
    <row r="1586" spans="1:7" x14ac:dyDescent="0.25">
      <c r="A1586" t="s">
        <v>9352</v>
      </c>
      <c r="B1586" t="s">
        <v>9353</v>
      </c>
      <c r="C1586" t="s">
        <v>9354</v>
      </c>
      <c r="E1586" s="19">
        <v>966966505923598</v>
      </c>
      <c r="F1586" t="s">
        <v>9352</v>
      </c>
      <c r="G1586" t="s">
        <v>9344</v>
      </c>
    </row>
    <row r="1587" spans="1:7" x14ac:dyDescent="0.25">
      <c r="A1587" t="s">
        <v>9357</v>
      </c>
      <c r="B1587" t="s">
        <v>9358</v>
      </c>
      <c r="C1587" t="s">
        <v>9359</v>
      </c>
      <c r="F1587" t="s">
        <v>9357</v>
      </c>
      <c r="G1587" t="s">
        <v>9360</v>
      </c>
    </row>
    <row r="1588" spans="1:7" x14ac:dyDescent="0.25">
      <c r="A1588" t="s">
        <v>9369</v>
      </c>
      <c r="B1588" t="s">
        <v>9370</v>
      </c>
      <c r="C1588" t="s">
        <v>9371</v>
      </c>
      <c r="E1588" s="19">
        <v>971564555172</v>
      </c>
      <c r="F1588" t="s">
        <v>9369</v>
      </c>
      <c r="G1588" t="s">
        <v>9344</v>
      </c>
    </row>
    <row r="1589" spans="1:7" x14ac:dyDescent="0.25">
      <c r="A1589" t="s">
        <v>9438</v>
      </c>
      <c r="B1589" t="s">
        <v>9383</v>
      </c>
      <c r="C1589" t="s">
        <v>1488</v>
      </c>
      <c r="E1589" s="19">
        <v>966583351001</v>
      </c>
      <c r="F1589" t="s">
        <v>9438</v>
      </c>
      <c r="G1589" t="s">
        <v>9384</v>
      </c>
    </row>
    <row r="1590" spans="1:7" x14ac:dyDescent="0.25">
      <c r="A1590" t="s">
        <v>9385</v>
      </c>
      <c r="B1590" t="s">
        <v>9386</v>
      </c>
      <c r="C1590" t="s">
        <v>9387</v>
      </c>
      <c r="E1590" s="19">
        <v>971566171759</v>
      </c>
      <c r="F1590" t="s">
        <v>9385</v>
      </c>
      <c r="G1590" t="s">
        <v>9344</v>
      </c>
    </row>
    <row r="1591" spans="1:7" x14ac:dyDescent="0.25">
      <c r="A1591" t="s">
        <v>8757</v>
      </c>
      <c r="B1591" t="s">
        <v>9388</v>
      </c>
      <c r="C1591" t="s">
        <v>9389</v>
      </c>
      <c r="E1591" s="19">
        <v>971056117103</v>
      </c>
      <c r="F1591" t="s">
        <v>8757</v>
      </c>
      <c r="G1591" t="s">
        <v>9344</v>
      </c>
    </row>
    <row r="1592" spans="1:7" x14ac:dyDescent="0.25">
      <c r="A1592" t="s">
        <v>9390</v>
      </c>
      <c r="B1592" t="s">
        <v>9391</v>
      </c>
      <c r="C1592" t="s">
        <v>9392</v>
      </c>
      <c r="E1592" s="19">
        <v>966583011119</v>
      </c>
      <c r="F1592" t="s">
        <v>9390</v>
      </c>
      <c r="G1592" t="s">
        <v>9344</v>
      </c>
    </row>
    <row r="1593" spans="1:7" x14ac:dyDescent="0.25">
      <c r="A1593" t="s">
        <v>9393</v>
      </c>
      <c r="B1593" t="s">
        <v>9394</v>
      </c>
      <c r="C1593" t="s">
        <v>9395</v>
      </c>
      <c r="E1593" s="19">
        <v>971554458640</v>
      </c>
      <c r="F1593" t="s">
        <v>9393</v>
      </c>
      <c r="G1593" t="s">
        <v>9384</v>
      </c>
    </row>
    <row r="1594" spans="1:7" x14ac:dyDescent="0.25">
      <c r="A1594" t="s">
        <v>9402</v>
      </c>
      <c r="B1594" t="s">
        <v>9403</v>
      </c>
      <c r="C1594" t="s">
        <v>9404</v>
      </c>
      <c r="E1594" s="19">
        <v>971588086112</v>
      </c>
      <c r="F1594" t="s">
        <v>9402</v>
      </c>
      <c r="G1594" t="s">
        <v>9344</v>
      </c>
    </row>
    <row r="1595" spans="1:7" x14ac:dyDescent="0.25">
      <c r="A1595" t="s">
        <v>9405</v>
      </c>
      <c r="B1595" t="s">
        <v>9406</v>
      </c>
      <c r="C1595" t="s">
        <v>9407</v>
      </c>
      <c r="E1595" s="19">
        <v>966546272464</v>
      </c>
      <c r="F1595" t="s">
        <v>9405</v>
      </c>
      <c r="G1595" t="s">
        <v>9344</v>
      </c>
    </row>
    <row r="1596" spans="1:7" x14ac:dyDescent="0.25">
      <c r="A1596" t="s">
        <v>9408</v>
      </c>
      <c r="B1596" t="s">
        <v>9409</v>
      </c>
      <c r="C1596" t="s">
        <v>9410</v>
      </c>
      <c r="E1596" s="19">
        <v>9715555649653</v>
      </c>
      <c r="F1596" t="s">
        <v>9408</v>
      </c>
      <c r="G1596" t="s">
        <v>9344</v>
      </c>
    </row>
    <row r="1597" spans="1:7" x14ac:dyDescent="0.25">
      <c r="A1597" t="s">
        <v>9414</v>
      </c>
      <c r="B1597" t="s">
        <v>9415</v>
      </c>
      <c r="C1597" t="s">
        <v>1488</v>
      </c>
      <c r="E1597" s="19">
        <v>971504550115</v>
      </c>
      <c r="F1597" t="s">
        <v>9414</v>
      </c>
      <c r="G1597" t="s">
        <v>854</v>
      </c>
    </row>
    <row r="1598" spans="1:7" x14ac:dyDescent="0.25">
      <c r="A1598" t="s">
        <v>9416</v>
      </c>
      <c r="B1598" t="s">
        <v>9417</v>
      </c>
      <c r="C1598" t="s">
        <v>1488</v>
      </c>
      <c r="E1598" s="19">
        <v>97142230848</v>
      </c>
      <c r="F1598" t="s">
        <v>9416</v>
      </c>
      <c r="G1598" t="s">
        <v>854</v>
      </c>
    </row>
    <row r="1599" spans="1:7" x14ac:dyDescent="0.25">
      <c r="A1599" t="s">
        <v>9418</v>
      </c>
      <c r="B1599" t="s">
        <v>9419</v>
      </c>
      <c r="C1599" t="s">
        <v>1488</v>
      </c>
      <c r="E1599" s="19">
        <v>971505538575</v>
      </c>
      <c r="F1599" t="s">
        <v>9418</v>
      </c>
      <c r="G1599" t="s">
        <v>837</v>
      </c>
    </row>
    <row r="1600" spans="1:7" x14ac:dyDescent="0.25">
      <c r="A1600" t="s">
        <v>9420</v>
      </c>
      <c r="B1600" t="s">
        <v>9421</v>
      </c>
      <c r="C1600" t="s">
        <v>1488</v>
      </c>
      <c r="E1600" s="19">
        <v>971564555172</v>
      </c>
      <c r="F1600" t="s">
        <v>9420</v>
      </c>
      <c r="G1600" t="s">
        <v>854</v>
      </c>
    </row>
    <row r="1601" spans="1:7" x14ac:dyDescent="0.25">
      <c r="A1601" t="s">
        <v>9422</v>
      </c>
      <c r="B1601" t="s">
        <v>9423</v>
      </c>
      <c r="C1601" t="s">
        <v>1488</v>
      </c>
      <c r="E1601" s="19">
        <v>971564546784</v>
      </c>
      <c r="F1601" t="s">
        <v>9422</v>
      </c>
      <c r="G1601" t="s">
        <v>837</v>
      </c>
    </row>
    <row r="1602" spans="1:7" x14ac:dyDescent="0.25">
      <c r="A1602" t="s">
        <v>9424</v>
      </c>
      <c r="B1602" t="s">
        <v>9425</v>
      </c>
      <c r="C1602" t="s">
        <v>9426</v>
      </c>
      <c r="E1602" s="19">
        <v>966556541710</v>
      </c>
      <c r="F1602" t="s">
        <v>9424</v>
      </c>
      <c r="G1602" t="s">
        <v>9344</v>
      </c>
    </row>
    <row r="1603" spans="1:7" x14ac:dyDescent="0.25">
      <c r="A1603" t="s">
        <v>9427</v>
      </c>
      <c r="B1603" t="s">
        <v>9428</v>
      </c>
      <c r="C1603" t="s">
        <v>9429</v>
      </c>
      <c r="E1603" s="19">
        <v>971556011410</v>
      </c>
      <c r="F1603" t="s">
        <v>9427</v>
      </c>
      <c r="G1603" t="s">
        <v>9344</v>
      </c>
    </row>
    <row r="1604" spans="1:7" x14ac:dyDescent="0.25">
      <c r="A1604" t="s">
        <v>9430</v>
      </c>
      <c r="B1604" t="s">
        <v>9431</v>
      </c>
      <c r="C1604" t="s">
        <v>9432</v>
      </c>
      <c r="E1604" s="19">
        <v>966504581012</v>
      </c>
      <c r="F1604" t="s">
        <v>9430</v>
      </c>
      <c r="G1604" t="s">
        <v>9344</v>
      </c>
    </row>
    <row r="1605" spans="1:7" x14ac:dyDescent="0.25">
      <c r="A1605" t="s">
        <v>9433</v>
      </c>
      <c r="B1605" t="s">
        <v>9434</v>
      </c>
      <c r="C1605" t="s">
        <v>9435</v>
      </c>
      <c r="E1605" s="19">
        <v>966550633242</v>
      </c>
      <c r="F1605" t="s">
        <v>9433</v>
      </c>
      <c r="G1605" t="s">
        <v>9344</v>
      </c>
    </row>
    <row r="1606" spans="1:7" x14ac:dyDescent="0.25">
      <c r="A1606" t="s">
        <v>9439</v>
      </c>
      <c r="B1606" t="s">
        <v>9440</v>
      </c>
      <c r="C1606" t="s">
        <v>9441</v>
      </c>
      <c r="E1606" s="19">
        <v>971501778458</v>
      </c>
      <c r="F1606" t="s">
        <v>9439</v>
      </c>
      <c r="G1606" t="s">
        <v>9344</v>
      </c>
    </row>
    <row r="1607" spans="1:7" x14ac:dyDescent="0.25">
      <c r="A1607" t="s">
        <v>9445</v>
      </c>
      <c r="B1607" t="s">
        <v>9446</v>
      </c>
      <c r="C1607" t="s">
        <v>9447</v>
      </c>
      <c r="E1607" s="19">
        <v>971508561654</v>
      </c>
      <c r="F1607" t="s">
        <v>9445</v>
      </c>
      <c r="G1607" t="s">
        <v>9384</v>
      </c>
    </row>
    <row r="1608" spans="1:7" x14ac:dyDescent="0.25">
      <c r="A1608" t="s">
        <v>9448</v>
      </c>
      <c r="B1608" t="s">
        <v>9449</v>
      </c>
      <c r="C1608" t="s">
        <v>9450</v>
      </c>
      <c r="E1608" s="19">
        <v>966530251446</v>
      </c>
      <c r="F1608" t="s">
        <v>9448</v>
      </c>
      <c r="G1608" t="s">
        <v>9451</v>
      </c>
    </row>
    <row r="1609" spans="1:7" x14ac:dyDescent="0.25">
      <c r="A1609" t="s">
        <v>9461</v>
      </c>
      <c r="B1609" t="s">
        <v>9462</v>
      </c>
      <c r="C1609" t="s">
        <v>9463</v>
      </c>
      <c r="E1609" s="19">
        <v>966554406356</v>
      </c>
      <c r="F1609" t="s">
        <v>9461</v>
      </c>
      <c r="G1609" t="s">
        <v>9451</v>
      </c>
    </row>
    <row r="1610" spans="1:7" x14ac:dyDescent="0.25">
      <c r="A1610" t="s">
        <v>9464</v>
      </c>
      <c r="B1610" t="s">
        <v>9465</v>
      </c>
      <c r="C1610" t="s">
        <v>9466</v>
      </c>
      <c r="E1610" s="19">
        <v>966555068698</v>
      </c>
      <c r="F1610" t="s">
        <v>9464</v>
      </c>
      <c r="G1610" t="s">
        <v>9467</v>
      </c>
    </row>
    <row r="1611" spans="1:7" x14ac:dyDescent="0.25">
      <c r="A1611" t="s">
        <v>9485</v>
      </c>
      <c r="B1611" t="s">
        <v>9486</v>
      </c>
      <c r="C1611" t="s">
        <v>9487</v>
      </c>
      <c r="E1611" s="19">
        <v>971551045192</v>
      </c>
      <c r="F1611" t="s">
        <v>9485</v>
      </c>
      <c r="G1611" t="s">
        <v>9344</v>
      </c>
    </row>
    <row r="1612" spans="1:7" x14ac:dyDescent="0.25">
      <c r="A1612" t="s">
        <v>9490</v>
      </c>
      <c r="B1612" t="s">
        <v>9491</v>
      </c>
      <c r="C1612" t="s">
        <v>9492</v>
      </c>
      <c r="E1612" s="19">
        <v>97144229557</v>
      </c>
      <c r="F1612" t="s">
        <v>9490</v>
      </c>
      <c r="G1612" t="s">
        <v>9493</v>
      </c>
    </row>
    <row r="1613" spans="1:7" x14ac:dyDescent="0.25">
      <c r="A1613" t="s">
        <v>9494</v>
      </c>
      <c r="B1613" t="s">
        <v>9495</v>
      </c>
      <c r="C1613" t="s">
        <v>9496</v>
      </c>
      <c r="E1613" s="19">
        <v>966553308316</v>
      </c>
      <c r="F1613" t="s">
        <v>9494</v>
      </c>
      <c r="G1613" t="s">
        <v>9497</v>
      </c>
    </row>
    <row r="1614" spans="1:7" x14ac:dyDescent="0.25">
      <c r="A1614" t="s">
        <v>9498</v>
      </c>
      <c r="B1614" t="s">
        <v>9499</v>
      </c>
      <c r="C1614" t="s">
        <v>1488</v>
      </c>
      <c r="E1614" s="19">
        <v>971561759143</v>
      </c>
      <c r="F1614" t="s">
        <v>9498</v>
      </c>
      <c r="G1614" t="s">
        <v>1382</v>
      </c>
    </row>
    <row r="1615" spans="1:7" x14ac:dyDescent="0.25">
      <c r="A1615" t="s">
        <v>9536</v>
      </c>
      <c r="B1615" t="s">
        <v>9537</v>
      </c>
      <c r="C1615" t="s">
        <v>9538</v>
      </c>
      <c r="E1615" s="19">
        <v>971556644858</v>
      </c>
      <c r="F1615" t="s">
        <v>9536</v>
      </c>
      <c r="G1615" t="s">
        <v>850</v>
      </c>
    </row>
    <row r="1616" spans="1:7" x14ac:dyDescent="0.25">
      <c r="A1616" t="s">
        <v>9539</v>
      </c>
      <c r="B1616" t="s">
        <v>9540</v>
      </c>
      <c r="C1616" t="s">
        <v>1488</v>
      </c>
      <c r="E1616" s="19">
        <v>43475343</v>
      </c>
      <c r="F1616" t="s">
        <v>9539</v>
      </c>
      <c r="G1616" t="s">
        <v>1382</v>
      </c>
    </row>
    <row r="1617" spans="1:7" x14ac:dyDescent="0.25">
      <c r="A1617" t="s">
        <v>9541</v>
      </c>
      <c r="B1617" t="s">
        <v>9542</v>
      </c>
      <c r="C1617" t="s">
        <v>9543</v>
      </c>
      <c r="E1617" s="19">
        <v>966539195918</v>
      </c>
      <c r="F1617" t="s">
        <v>9541</v>
      </c>
      <c r="G1617" t="s">
        <v>839</v>
      </c>
    </row>
    <row r="1618" spans="1:7" x14ac:dyDescent="0.25">
      <c r="A1618" t="s">
        <v>9544</v>
      </c>
      <c r="B1618" t="s">
        <v>9545</v>
      </c>
      <c r="C1618" t="s">
        <v>9546</v>
      </c>
      <c r="E1618" s="19">
        <v>971568005963</v>
      </c>
      <c r="F1618" t="s">
        <v>9544</v>
      </c>
      <c r="G1618" t="s">
        <v>839</v>
      </c>
    </row>
    <row r="1619" spans="1:7" x14ac:dyDescent="0.25">
      <c r="A1619" t="s">
        <v>9547</v>
      </c>
      <c r="B1619" t="s">
        <v>9548</v>
      </c>
      <c r="C1619" t="s">
        <v>9549</v>
      </c>
      <c r="E1619" s="19">
        <v>971552618777</v>
      </c>
      <c r="F1619" t="s">
        <v>9547</v>
      </c>
      <c r="G1619" t="s">
        <v>845</v>
      </c>
    </row>
    <row r="1620" spans="1:7" x14ac:dyDescent="0.25">
      <c r="A1620" t="s">
        <v>9550</v>
      </c>
      <c r="B1620" t="s">
        <v>9551</v>
      </c>
      <c r="C1620" t="s">
        <v>9552</v>
      </c>
      <c r="E1620" s="19">
        <v>971507972161</v>
      </c>
      <c r="F1620" t="s">
        <v>9550</v>
      </c>
      <c r="G1620" t="s">
        <v>845</v>
      </c>
    </row>
    <row r="1621" spans="1:7" x14ac:dyDescent="0.25">
      <c r="A1621" t="s">
        <v>9555</v>
      </c>
      <c r="B1621" t="s">
        <v>9556</v>
      </c>
      <c r="C1621" t="s">
        <v>9557</v>
      </c>
      <c r="E1621" s="19">
        <v>9713849803</v>
      </c>
      <c r="F1621" t="s">
        <v>9555</v>
      </c>
      <c r="G1621" t="s">
        <v>839</v>
      </c>
    </row>
    <row r="1622" spans="1:7" x14ac:dyDescent="0.25">
      <c r="A1622" t="s">
        <v>9558</v>
      </c>
      <c r="B1622" t="s">
        <v>9559</v>
      </c>
      <c r="C1622" t="s">
        <v>9560</v>
      </c>
      <c r="E1622" s="19">
        <v>971564662960</v>
      </c>
      <c r="F1622" t="s">
        <v>9558</v>
      </c>
      <c r="G1622" t="s">
        <v>8231</v>
      </c>
    </row>
    <row r="1623" spans="1:7" x14ac:dyDescent="0.25">
      <c r="A1623" t="s">
        <v>9564</v>
      </c>
      <c r="B1623" t="s">
        <v>9565</v>
      </c>
      <c r="C1623" t="s">
        <v>9566</v>
      </c>
      <c r="E1623" s="19">
        <v>971553907472</v>
      </c>
      <c r="F1623" t="s">
        <v>9564</v>
      </c>
      <c r="G1623" t="s">
        <v>842</v>
      </c>
    </row>
    <row r="1624" spans="1:7" x14ac:dyDescent="0.25">
      <c r="A1624" t="s">
        <v>1528</v>
      </c>
      <c r="B1624" t="s">
        <v>9567</v>
      </c>
      <c r="C1624" t="s">
        <v>9568</v>
      </c>
      <c r="E1624" s="19">
        <v>971551100986</v>
      </c>
      <c r="F1624" t="s">
        <v>1528</v>
      </c>
      <c r="G1624" t="s">
        <v>841</v>
      </c>
    </row>
    <row r="1625" spans="1:7" x14ac:dyDescent="0.25">
      <c r="A1625" t="s">
        <v>9569</v>
      </c>
      <c r="B1625" t="s">
        <v>9570</v>
      </c>
      <c r="C1625" t="s">
        <v>9571</v>
      </c>
      <c r="E1625" s="19">
        <v>971555738977</v>
      </c>
      <c r="F1625" t="s">
        <v>9569</v>
      </c>
      <c r="G1625" t="s">
        <v>845</v>
      </c>
    </row>
    <row r="1626" spans="1:7" x14ac:dyDescent="0.25">
      <c r="A1626" t="s">
        <v>9572</v>
      </c>
      <c r="B1626" t="s">
        <v>9573</v>
      </c>
      <c r="C1626" t="s">
        <v>9574</v>
      </c>
      <c r="E1626" s="19">
        <v>971567936577</v>
      </c>
      <c r="F1626" t="s">
        <v>9572</v>
      </c>
      <c r="G1626" t="s">
        <v>845</v>
      </c>
    </row>
    <row r="1627" spans="1:7" x14ac:dyDescent="0.25">
      <c r="A1627" t="s">
        <v>9575</v>
      </c>
      <c r="B1627" t="s">
        <v>9576</v>
      </c>
      <c r="C1627" t="s">
        <v>9577</v>
      </c>
      <c r="E1627" s="19">
        <v>966566693838</v>
      </c>
      <c r="F1627" t="s">
        <v>9575</v>
      </c>
      <c r="G1627" t="s">
        <v>839</v>
      </c>
    </row>
    <row r="1628" spans="1:7" x14ac:dyDescent="0.25">
      <c r="A1628" t="s">
        <v>9580</v>
      </c>
      <c r="B1628" t="s">
        <v>9581</v>
      </c>
      <c r="C1628" t="s">
        <v>9582</v>
      </c>
      <c r="E1628" s="19">
        <v>971554504150</v>
      </c>
      <c r="F1628" t="s">
        <v>9580</v>
      </c>
      <c r="G1628" t="s">
        <v>2847</v>
      </c>
    </row>
    <row r="1629" spans="1:7" x14ac:dyDescent="0.25">
      <c r="A1629" t="s">
        <v>9583</v>
      </c>
      <c r="B1629" t="s">
        <v>9584</v>
      </c>
      <c r="C1629" t="s">
        <v>9585</v>
      </c>
      <c r="E1629" s="19">
        <v>966509999511</v>
      </c>
      <c r="F1629" t="s">
        <v>9583</v>
      </c>
      <c r="G1629" t="s">
        <v>839</v>
      </c>
    </row>
    <row r="1630" spans="1:7" x14ac:dyDescent="0.25">
      <c r="A1630" t="s">
        <v>9586</v>
      </c>
      <c r="B1630" t="s">
        <v>9587</v>
      </c>
      <c r="C1630" t="s">
        <v>9588</v>
      </c>
      <c r="E1630" s="19">
        <v>966543129888</v>
      </c>
      <c r="F1630" t="s">
        <v>9586</v>
      </c>
      <c r="G1630" t="s">
        <v>839</v>
      </c>
    </row>
    <row r="1631" spans="1:7" x14ac:dyDescent="0.25">
      <c r="A1631" t="s">
        <v>9589</v>
      </c>
      <c r="B1631" t="s">
        <v>9590</v>
      </c>
      <c r="C1631" t="s">
        <v>9582</v>
      </c>
      <c r="E1631" s="19">
        <v>971554504150</v>
      </c>
      <c r="F1631" t="s">
        <v>9589</v>
      </c>
      <c r="G1631" t="s">
        <v>2847</v>
      </c>
    </row>
    <row r="1632" spans="1:7" x14ac:dyDescent="0.25">
      <c r="A1632" t="s">
        <v>9591</v>
      </c>
      <c r="B1632" t="s">
        <v>9592</v>
      </c>
      <c r="C1632" t="s">
        <v>9128</v>
      </c>
      <c r="E1632" s="19">
        <v>971564349368</v>
      </c>
      <c r="F1632" t="s">
        <v>9591</v>
      </c>
      <c r="G1632" t="s">
        <v>858</v>
      </c>
    </row>
    <row r="1633" spans="1:7" x14ac:dyDescent="0.25">
      <c r="A1633" t="s">
        <v>9593</v>
      </c>
      <c r="B1633" t="s">
        <v>9594</v>
      </c>
      <c r="C1633" t="s">
        <v>9595</v>
      </c>
      <c r="E1633" s="19">
        <v>966536404252</v>
      </c>
      <c r="F1633" t="s">
        <v>9593</v>
      </c>
      <c r="G1633" t="s">
        <v>839</v>
      </c>
    </row>
    <row r="1634" spans="1:7" x14ac:dyDescent="0.25">
      <c r="A1634" t="s">
        <v>9596</v>
      </c>
      <c r="B1634" t="s">
        <v>9597</v>
      </c>
      <c r="C1634" t="s">
        <v>9598</v>
      </c>
      <c r="E1634" s="19">
        <v>971529999369</v>
      </c>
      <c r="F1634" t="s">
        <v>9596</v>
      </c>
      <c r="G1634" t="s">
        <v>2334</v>
      </c>
    </row>
    <row r="1635" spans="1:7" x14ac:dyDescent="0.25">
      <c r="A1635" t="s">
        <v>9599</v>
      </c>
      <c r="B1635" t="s">
        <v>9601</v>
      </c>
      <c r="C1635" t="s">
        <v>756</v>
      </c>
      <c r="E1635" s="19">
        <v>966509888449</v>
      </c>
      <c r="F1635" t="s">
        <v>9599</v>
      </c>
      <c r="G1635" t="s">
        <v>839</v>
      </c>
    </row>
    <row r="1636" spans="1:7" x14ac:dyDescent="0.25">
      <c r="A1636" t="s">
        <v>9602</v>
      </c>
      <c r="B1636" t="s">
        <v>9603</v>
      </c>
      <c r="C1636" t="s">
        <v>9604</v>
      </c>
      <c r="E1636" s="19">
        <v>85261230882</v>
      </c>
      <c r="F1636" t="s">
        <v>9602</v>
      </c>
      <c r="G1636" t="s">
        <v>9605</v>
      </c>
    </row>
    <row r="1637" spans="1:7" x14ac:dyDescent="0.25">
      <c r="A1637" t="s">
        <v>9606</v>
      </c>
      <c r="B1637" t="s">
        <v>9607</v>
      </c>
      <c r="C1637" t="s">
        <v>9608</v>
      </c>
      <c r="E1637" s="19">
        <v>8618955350395</v>
      </c>
      <c r="F1637" t="s">
        <v>9606</v>
      </c>
      <c r="G1637" t="s">
        <v>9605</v>
      </c>
    </row>
    <row r="1638" spans="1:7" x14ac:dyDescent="0.25">
      <c r="A1638" t="s">
        <v>9609</v>
      </c>
      <c r="B1638" t="s">
        <v>9610</v>
      </c>
      <c r="C1638" t="s">
        <v>9611</v>
      </c>
      <c r="E1638" s="19">
        <v>971502920237</v>
      </c>
      <c r="F1638" t="s">
        <v>9609</v>
      </c>
      <c r="G1638" t="s">
        <v>9605</v>
      </c>
    </row>
    <row r="1639" spans="1:7" x14ac:dyDescent="0.25">
      <c r="A1639" t="s">
        <v>9612</v>
      </c>
      <c r="B1639" t="s">
        <v>9613</v>
      </c>
      <c r="C1639" t="s">
        <v>9614</v>
      </c>
      <c r="E1639" s="19">
        <v>8615190304</v>
      </c>
      <c r="F1639" t="s">
        <v>9612</v>
      </c>
      <c r="G1639" t="s">
        <v>9605</v>
      </c>
    </row>
    <row r="1640" spans="1:7" x14ac:dyDescent="0.25">
      <c r="A1640" t="s">
        <v>9615</v>
      </c>
      <c r="B1640" t="s">
        <v>9616</v>
      </c>
      <c r="C1640" t="s">
        <v>9617</v>
      </c>
      <c r="E1640" s="19">
        <v>8615219470505</v>
      </c>
      <c r="F1640" t="s">
        <v>9615</v>
      </c>
      <c r="G1640" t="s">
        <v>9605</v>
      </c>
    </row>
    <row r="1641" spans="1:7" x14ac:dyDescent="0.25">
      <c r="A1641" t="s">
        <v>9618</v>
      </c>
      <c r="B1641" t="s">
        <v>9619</v>
      </c>
      <c r="C1641" t="s">
        <v>9620</v>
      </c>
      <c r="E1641" s="19">
        <v>8613647333852</v>
      </c>
      <c r="F1641" t="s">
        <v>9618</v>
      </c>
      <c r="G1641" t="s">
        <v>9605</v>
      </c>
    </row>
    <row r="1642" spans="1:7" x14ac:dyDescent="0.25">
      <c r="A1642" t="s">
        <v>9621</v>
      </c>
      <c r="B1642" t="s">
        <v>9622</v>
      </c>
      <c r="C1642" t="s">
        <v>9623</v>
      </c>
      <c r="E1642" s="19">
        <v>8613554926367</v>
      </c>
      <c r="F1642" t="s">
        <v>9621</v>
      </c>
      <c r="G1642" t="s">
        <v>9605</v>
      </c>
    </row>
    <row r="1643" spans="1:7" x14ac:dyDescent="0.25">
      <c r="A1643" t="s">
        <v>9624</v>
      </c>
      <c r="B1643" t="s">
        <v>9625</v>
      </c>
      <c r="C1643" t="s">
        <v>9626</v>
      </c>
      <c r="E1643" s="19">
        <v>8613714362498</v>
      </c>
      <c r="F1643" t="s">
        <v>9624</v>
      </c>
      <c r="G1643" t="s">
        <v>9605</v>
      </c>
    </row>
    <row r="1644" spans="1:7" x14ac:dyDescent="0.25">
      <c r="A1644" t="s">
        <v>9627</v>
      </c>
      <c r="B1644" t="s">
        <v>9628</v>
      </c>
      <c r="C1644" t="s">
        <v>9629</v>
      </c>
      <c r="E1644" s="19">
        <v>8613726256328</v>
      </c>
      <c r="F1644" t="s">
        <v>9627</v>
      </c>
      <c r="G1644" t="s">
        <v>9605</v>
      </c>
    </row>
    <row r="1645" spans="1:7" x14ac:dyDescent="0.25">
      <c r="A1645" t="s">
        <v>9630</v>
      </c>
      <c r="B1645" t="s">
        <v>9631</v>
      </c>
      <c r="C1645" t="s">
        <v>9632</v>
      </c>
      <c r="E1645" s="19">
        <v>8618681446079</v>
      </c>
      <c r="F1645" t="s">
        <v>9630</v>
      </c>
      <c r="G1645" t="s">
        <v>9605</v>
      </c>
    </row>
    <row r="1646" spans="1:7" x14ac:dyDescent="0.25">
      <c r="A1646" t="s">
        <v>9633</v>
      </c>
      <c r="B1646" t="s">
        <v>9634</v>
      </c>
      <c r="C1646" t="s">
        <v>9635</v>
      </c>
      <c r="E1646" s="19">
        <v>8618675518872</v>
      </c>
      <c r="F1646" t="s">
        <v>9633</v>
      </c>
      <c r="G1646" t="s">
        <v>9605</v>
      </c>
    </row>
    <row r="1647" spans="1:7" x14ac:dyDescent="0.25">
      <c r="A1647" t="s">
        <v>9636</v>
      </c>
      <c r="B1647" t="s">
        <v>9637</v>
      </c>
      <c r="C1647" t="s">
        <v>9629</v>
      </c>
      <c r="E1647" s="19">
        <v>8613726256328</v>
      </c>
      <c r="F1647" t="s">
        <v>9636</v>
      </c>
      <c r="G1647" t="s">
        <v>9605</v>
      </c>
    </row>
    <row r="1648" spans="1:7" x14ac:dyDescent="0.25">
      <c r="A1648" t="s">
        <v>9638</v>
      </c>
      <c r="B1648" t="s">
        <v>9639</v>
      </c>
      <c r="C1648" t="s">
        <v>9640</v>
      </c>
      <c r="E1648" s="19">
        <v>8613653362499</v>
      </c>
      <c r="F1648" t="s">
        <v>9638</v>
      </c>
      <c r="G1648" t="s">
        <v>9605</v>
      </c>
    </row>
    <row r="1649" spans="1:7" x14ac:dyDescent="0.25">
      <c r="A1649" t="s">
        <v>9641</v>
      </c>
      <c r="B1649" t="s">
        <v>9642</v>
      </c>
      <c r="C1649" t="s">
        <v>9643</v>
      </c>
      <c r="E1649" s="19">
        <v>8613418620138</v>
      </c>
      <c r="F1649" t="s">
        <v>9641</v>
      </c>
      <c r="G1649" t="s">
        <v>9605</v>
      </c>
    </row>
    <row r="1650" spans="1:7" x14ac:dyDescent="0.25">
      <c r="A1650" t="s">
        <v>9644</v>
      </c>
      <c r="B1650" t="s">
        <v>9645</v>
      </c>
      <c r="C1650" t="s">
        <v>9646</v>
      </c>
      <c r="E1650" s="19">
        <v>8613418620138</v>
      </c>
      <c r="F1650" t="s">
        <v>9644</v>
      </c>
      <c r="G1650" t="s">
        <v>9605</v>
      </c>
    </row>
    <row r="1651" spans="1:7" x14ac:dyDescent="0.25">
      <c r="A1651" t="s">
        <v>9647</v>
      </c>
      <c r="B1651" t="s">
        <v>9648</v>
      </c>
      <c r="C1651" t="s">
        <v>9649</v>
      </c>
      <c r="E1651" s="19">
        <v>8613418620138</v>
      </c>
      <c r="F1651" t="s">
        <v>9647</v>
      </c>
      <c r="G1651" t="s">
        <v>9605</v>
      </c>
    </row>
    <row r="1652" spans="1:7" x14ac:dyDescent="0.25">
      <c r="A1652" t="s">
        <v>9650</v>
      </c>
      <c r="B1652" t="s">
        <v>9651</v>
      </c>
      <c r="C1652" t="s">
        <v>9652</v>
      </c>
      <c r="E1652" s="19">
        <v>8618664916357</v>
      </c>
      <c r="F1652" t="s">
        <v>9650</v>
      </c>
      <c r="G1652" t="s">
        <v>9605</v>
      </c>
    </row>
    <row r="1653" spans="1:7" x14ac:dyDescent="0.25">
      <c r="A1653" t="s">
        <v>9653</v>
      </c>
      <c r="B1653" t="s">
        <v>9654</v>
      </c>
      <c r="C1653" t="s">
        <v>9652</v>
      </c>
      <c r="E1653" s="19">
        <v>8615012991844</v>
      </c>
      <c r="F1653" t="s">
        <v>9653</v>
      </c>
      <c r="G1653" t="s">
        <v>9605</v>
      </c>
    </row>
    <row r="1654" spans="1:7" x14ac:dyDescent="0.25">
      <c r="A1654" t="s">
        <v>9655</v>
      </c>
      <c r="B1654" t="s">
        <v>9656</v>
      </c>
      <c r="C1654" t="s">
        <v>9657</v>
      </c>
      <c r="E1654" s="19">
        <v>8617727882563</v>
      </c>
      <c r="F1654" t="s">
        <v>9655</v>
      </c>
      <c r="G1654" t="s">
        <v>9605</v>
      </c>
    </row>
    <row r="1655" spans="1:7" x14ac:dyDescent="0.25">
      <c r="A1655" t="s">
        <v>9658</v>
      </c>
      <c r="B1655" t="s">
        <v>9659</v>
      </c>
      <c r="C1655" t="s">
        <v>9660</v>
      </c>
      <c r="E1655" s="19">
        <v>8615012979448</v>
      </c>
      <c r="F1655" t="s">
        <v>9658</v>
      </c>
      <c r="G1655" t="s">
        <v>9605</v>
      </c>
    </row>
    <row r="1656" spans="1:7" x14ac:dyDescent="0.25">
      <c r="A1656" t="s">
        <v>9661</v>
      </c>
      <c r="B1656" t="s">
        <v>9662</v>
      </c>
      <c r="C1656" t="s">
        <v>9660</v>
      </c>
      <c r="E1656" s="19">
        <v>8617062418689</v>
      </c>
      <c r="F1656" t="s">
        <v>9661</v>
      </c>
      <c r="G1656" t="s">
        <v>9605</v>
      </c>
    </row>
    <row r="1657" spans="1:7" x14ac:dyDescent="0.25">
      <c r="A1657" t="s">
        <v>9663</v>
      </c>
      <c r="B1657" t="s">
        <v>9664</v>
      </c>
      <c r="C1657" t="s">
        <v>9665</v>
      </c>
      <c r="E1657" s="19">
        <v>8615019405423</v>
      </c>
      <c r="F1657" t="s">
        <v>9663</v>
      </c>
      <c r="G1657" t="s">
        <v>9605</v>
      </c>
    </row>
    <row r="1658" spans="1:7" x14ac:dyDescent="0.25">
      <c r="A1658" t="s">
        <v>9666</v>
      </c>
      <c r="B1658" t="s">
        <v>9667</v>
      </c>
      <c r="C1658" t="s">
        <v>9660</v>
      </c>
      <c r="E1658" s="19">
        <v>8615012979448</v>
      </c>
      <c r="F1658" t="s">
        <v>9666</v>
      </c>
      <c r="G1658" t="s">
        <v>9605</v>
      </c>
    </row>
    <row r="1659" spans="1:7" x14ac:dyDescent="0.25">
      <c r="A1659" t="s">
        <v>9668</v>
      </c>
      <c r="B1659" t="s">
        <v>9669</v>
      </c>
      <c r="C1659" t="s">
        <v>9670</v>
      </c>
      <c r="E1659" s="19">
        <v>8613603003893</v>
      </c>
      <c r="F1659" t="s">
        <v>9668</v>
      </c>
      <c r="G1659" t="s">
        <v>9605</v>
      </c>
    </row>
    <row r="1660" spans="1:7" x14ac:dyDescent="0.25">
      <c r="A1660" t="s">
        <v>9671</v>
      </c>
      <c r="B1660" t="s">
        <v>9672</v>
      </c>
      <c r="C1660" t="s">
        <v>9673</v>
      </c>
      <c r="E1660" s="19">
        <v>8613528895230</v>
      </c>
      <c r="F1660" t="s">
        <v>9671</v>
      </c>
      <c r="G1660" t="s">
        <v>9605</v>
      </c>
    </row>
    <row r="1661" spans="1:7" x14ac:dyDescent="0.25">
      <c r="A1661" t="s">
        <v>9674</v>
      </c>
      <c r="B1661" t="s">
        <v>9675</v>
      </c>
      <c r="C1661" t="s">
        <v>9676</v>
      </c>
      <c r="E1661" s="19">
        <v>8613817035338</v>
      </c>
      <c r="F1661" t="s">
        <v>9674</v>
      </c>
      <c r="G1661" t="s">
        <v>9605</v>
      </c>
    </row>
    <row r="1662" spans="1:7" x14ac:dyDescent="0.25">
      <c r="A1662" t="s">
        <v>9677</v>
      </c>
      <c r="B1662" t="s">
        <v>9678</v>
      </c>
      <c r="C1662" t="s">
        <v>9679</v>
      </c>
      <c r="E1662" s="19">
        <v>8615618849216</v>
      </c>
      <c r="F1662" t="s">
        <v>9677</v>
      </c>
      <c r="G1662" t="s">
        <v>9605</v>
      </c>
    </row>
    <row r="1663" spans="1:7" x14ac:dyDescent="0.25">
      <c r="A1663" t="s">
        <v>9680</v>
      </c>
      <c r="B1663" t="s">
        <v>9681</v>
      </c>
      <c r="C1663" t="s">
        <v>9682</v>
      </c>
      <c r="E1663" s="19">
        <v>8613425140873</v>
      </c>
      <c r="F1663" t="s">
        <v>9680</v>
      </c>
      <c r="G1663" t="s">
        <v>9605</v>
      </c>
    </row>
    <row r="1664" spans="1:7" x14ac:dyDescent="0.25">
      <c r="A1664" t="s">
        <v>9683</v>
      </c>
      <c r="B1664" t="s">
        <v>9684</v>
      </c>
      <c r="C1664" t="s">
        <v>9685</v>
      </c>
      <c r="E1664" s="19">
        <v>8618617323883</v>
      </c>
      <c r="F1664" t="s">
        <v>9683</v>
      </c>
      <c r="G1664" t="s">
        <v>9605</v>
      </c>
    </row>
    <row r="1665" spans="1:7" x14ac:dyDescent="0.25">
      <c r="A1665" t="s">
        <v>9686</v>
      </c>
      <c r="B1665" t="s">
        <v>9687</v>
      </c>
      <c r="C1665" t="s">
        <v>9688</v>
      </c>
      <c r="E1665" s="19">
        <v>8613434731791</v>
      </c>
      <c r="F1665" t="s">
        <v>9686</v>
      </c>
      <c r="G1665" t="s">
        <v>9605</v>
      </c>
    </row>
    <row r="1666" spans="1:7" x14ac:dyDescent="0.25">
      <c r="A1666" t="s">
        <v>9689</v>
      </c>
      <c r="B1666" t="s">
        <v>9690</v>
      </c>
      <c r="C1666" t="s">
        <v>9691</v>
      </c>
      <c r="E1666" s="19">
        <v>85261230882</v>
      </c>
      <c r="F1666" t="s">
        <v>9689</v>
      </c>
      <c r="G1666" t="s">
        <v>9605</v>
      </c>
    </row>
    <row r="1667" spans="1:7" x14ac:dyDescent="0.25">
      <c r="A1667" t="s">
        <v>9692</v>
      </c>
      <c r="B1667" t="s">
        <v>9693</v>
      </c>
      <c r="C1667" t="s">
        <v>9694</v>
      </c>
      <c r="E1667" s="19">
        <v>8615924282661</v>
      </c>
      <c r="F1667" t="s">
        <v>9692</v>
      </c>
      <c r="G1667" t="s">
        <v>9605</v>
      </c>
    </row>
    <row r="1668" spans="1:7" x14ac:dyDescent="0.25">
      <c r="A1668" t="s">
        <v>9695</v>
      </c>
      <c r="B1668" t="s">
        <v>9696</v>
      </c>
      <c r="C1668" t="s">
        <v>9697</v>
      </c>
      <c r="E1668" s="19">
        <v>8618318030127</v>
      </c>
      <c r="F1668" t="s">
        <v>9695</v>
      </c>
      <c r="G1668" t="s">
        <v>9605</v>
      </c>
    </row>
    <row r="1669" spans="1:7" x14ac:dyDescent="0.25">
      <c r="A1669" t="s">
        <v>9698</v>
      </c>
      <c r="B1669" t="s">
        <v>9699</v>
      </c>
      <c r="C1669" t="s">
        <v>9700</v>
      </c>
      <c r="E1669" s="19">
        <v>8618559035001</v>
      </c>
      <c r="F1669" t="s">
        <v>9698</v>
      </c>
      <c r="G1669" t="s">
        <v>9605</v>
      </c>
    </row>
    <row r="1670" spans="1:7" x14ac:dyDescent="0.25">
      <c r="A1670" t="s">
        <v>9701</v>
      </c>
      <c r="B1670" t="s">
        <v>9702</v>
      </c>
      <c r="C1670" t="s">
        <v>9703</v>
      </c>
      <c r="E1670" s="19">
        <v>8615057167652</v>
      </c>
      <c r="F1670" t="s">
        <v>9701</v>
      </c>
      <c r="G1670" t="s">
        <v>9605</v>
      </c>
    </row>
    <row r="1671" spans="1:7" x14ac:dyDescent="0.25">
      <c r="A1671" t="s">
        <v>9704</v>
      </c>
      <c r="B1671" t="s">
        <v>9705</v>
      </c>
      <c r="C1671" t="s">
        <v>9706</v>
      </c>
      <c r="E1671" s="19">
        <v>8618955350395</v>
      </c>
      <c r="F1671" t="s">
        <v>9704</v>
      </c>
      <c r="G1671" t="s">
        <v>9605</v>
      </c>
    </row>
    <row r="1672" spans="1:7" x14ac:dyDescent="0.25">
      <c r="A1672" t="s">
        <v>9707</v>
      </c>
      <c r="B1672" t="s">
        <v>9708</v>
      </c>
      <c r="C1672" t="s">
        <v>9709</v>
      </c>
      <c r="E1672" s="19">
        <v>8618267973183</v>
      </c>
      <c r="F1672" t="s">
        <v>9707</v>
      </c>
      <c r="G1672" t="s">
        <v>9605</v>
      </c>
    </row>
    <row r="1673" spans="1:7" x14ac:dyDescent="0.25">
      <c r="A1673" t="s">
        <v>9710</v>
      </c>
      <c r="B1673" t="s">
        <v>9711</v>
      </c>
      <c r="C1673" t="s">
        <v>9712</v>
      </c>
      <c r="E1673" s="19">
        <v>8615986699557</v>
      </c>
      <c r="F1673" t="s">
        <v>9710</v>
      </c>
      <c r="G1673" t="s">
        <v>9605</v>
      </c>
    </row>
    <row r="1674" spans="1:7" x14ac:dyDescent="0.25">
      <c r="A1674" t="s">
        <v>9713</v>
      </c>
      <c r="B1674" t="s">
        <v>9714</v>
      </c>
      <c r="C1674" t="s">
        <v>9715</v>
      </c>
      <c r="E1674" s="19">
        <v>97433517255</v>
      </c>
      <c r="F1674" t="s">
        <v>9713</v>
      </c>
      <c r="G1674" t="s">
        <v>9605</v>
      </c>
    </row>
    <row r="1675" spans="1:7" x14ac:dyDescent="0.25">
      <c r="A1675" t="s">
        <v>9716</v>
      </c>
      <c r="B1675" t="s">
        <v>9717</v>
      </c>
      <c r="C1675" t="s">
        <v>9718</v>
      </c>
      <c r="E1675" s="19">
        <v>8615016708678</v>
      </c>
      <c r="F1675" t="s">
        <v>9716</v>
      </c>
      <c r="G1675" t="s">
        <v>9605</v>
      </c>
    </row>
    <row r="1676" spans="1:7" x14ac:dyDescent="0.25">
      <c r="A1676" t="s">
        <v>9719</v>
      </c>
      <c r="B1676" t="s">
        <v>9720</v>
      </c>
      <c r="C1676" t="s">
        <v>9721</v>
      </c>
      <c r="E1676" s="19">
        <v>8618050176656</v>
      </c>
      <c r="F1676" t="s">
        <v>9719</v>
      </c>
      <c r="G1676" t="s">
        <v>9605</v>
      </c>
    </row>
    <row r="1677" spans="1:7" x14ac:dyDescent="0.25">
      <c r="A1677" t="s">
        <v>9722</v>
      </c>
      <c r="B1677" t="s">
        <v>9723</v>
      </c>
      <c r="C1677" t="s">
        <v>9724</v>
      </c>
      <c r="E1677" s="19">
        <v>8613128931338</v>
      </c>
      <c r="F1677" t="s">
        <v>9722</v>
      </c>
      <c r="G1677" t="s">
        <v>9605</v>
      </c>
    </row>
    <row r="1678" spans="1:7" x14ac:dyDescent="0.25">
      <c r="A1678" t="s">
        <v>9725</v>
      </c>
      <c r="B1678" t="s">
        <v>9726</v>
      </c>
      <c r="C1678" t="s">
        <v>9727</v>
      </c>
      <c r="E1678" s="19">
        <v>8618720191468</v>
      </c>
      <c r="F1678" t="s">
        <v>9725</v>
      </c>
      <c r="G1678" t="s">
        <v>9605</v>
      </c>
    </row>
    <row r="1679" spans="1:7" x14ac:dyDescent="0.25">
      <c r="A1679" t="s">
        <v>9728</v>
      </c>
      <c r="B1679" t="s">
        <v>9729</v>
      </c>
      <c r="C1679" t="s">
        <v>9730</v>
      </c>
      <c r="E1679" s="19">
        <v>8613028960281</v>
      </c>
      <c r="F1679" t="s">
        <v>9728</v>
      </c>
      <c r="G1679" t="s">
        <v>9605</v>
      </c>
    </row>
    <row r="1680" spans="1:7" x14ac:dyDescent="0.25">
      <c r="A1680" t="s">
        <v>9731</v>
      </c>
      <c r="B1680" t="s">
        <v>9732</v>
      </c>
      <c r="C1680" t="s">
        <v>9733</v>
      </c>
      <c r="E1680" s="19">
        <v>8618826566411</v>
      </c>
      <c r="F1680" t="s">
        <v>9731</v>
      </c>
      <c r="G1680" t="s">
        <v>9605</v>
      </c>
    </row>
    <row r="1681" spans="1:7" x14ac:dyDescent="0.25">
      <c r="A1681" t="s">
        <v>9734</v>
      </c>
      <c r="B1681" t="s">
        <v>9735</v>
      </c>
      <c r="C1681" t="s">
        <v>9736</v>
      </c>
      <c r="E1681" s="19">
        <v>8615601752996</v>
      </c>
      <c r="F1681" t="s">
        <v>9734</v>
      </c>
      <c r="G1681" t="s">
        <v>9605</v>
      </c>
    </row>
    <row r="1682" spans="1:7" x14ac:dyDescent="0.25">
      <c r="A1682" t="s">
        <v>9737</v>
      </c>
      <c r="B1682" t="s">
        <v>9738</v>
      </c>
      <c r="C1682" t="s">
        <v>9739</v>
      </c>
      <c r="E1682" s="19">
        <v>8618875924091</v>
      </c>
      <c r="F1682" t="s">
        <v>9737</v>
      </c>
      <c r="G1682" t="s">
        <v>9605</v>
      </c>
    </row>
    <row r="1683" spans="1:7" x14ac:dyDescent="0.25">
      <c r="A1683" t="s">
        <v>9740</v>
      </c>
      <c r="B1683" t="s">
        <v>9741</v>
      </c>
      <c r="C1683" t="s">
        <v>9742</v>
      </c>
      <c r="E1683" s="19">
        <v>8613590291399</v>
      </c>
      <c r="F1683" t="s">
        <v>9740</v>
      </c>
      <c r="G1683" t="s">
        <v>9605</v>
      </c>
    </row>
    <row r="1684" spans="1:7" x14ac:dyDescent="0.25">
      <c r="A1684" t="s">
        <v>9743</v>
      </c>
      <c r="B1684" t="s">
        <v>9744</v>
      </c>
      <c r="C1684" t="s">
        <v>9745</v>
      </c>
      <c r="E1684" s="19">
        <v>8613928400799</v>
      </c>
      <c r="F1684" t="s">
        <v>9743</v>
      </c>
      <c r="G1684" t="s">
        <v>9605</v>
      </c>
    </row>
    <row r="1685" spans="1:7" x14ac:dyDescent="0.25">
      <c r="A1685" t="s">
        <v>9746</v>
      </c>
      <c r="B1685" t="s">
        <v>9747</v>
      </c>
      <c r="C1685" t="s">
        <v>9748</v>
      </c>
      <c r="E1685" s="19">
        <v>8618928409176</v>
      </c>
      <c r="F1685" t="s">
        <v>9746</v>
      </c>
      <c r="G1685" t="s">
        <v>9605</v>
      </c>
    </row>
    <row r="1686" spans="1:7" x14ac:dyDescent="0.25">
      <c r="A1686" t="s">
        <v>9749</v>
      </c>
      <c r="B1686" t="s">
        <v>9750</v>
      </c>
      <c r="C1686" t="s">
        <v>9751</v>
      </c>
      <c r="E1686" s="19">
        <v>8618701883991</v>
      </c>
      <c r="F1686" t="s">
        <v>9749</v>
      </c>
      <c r="G1686" t="s">
        <v>9605</v>
      </c>
    </row>
    <row r="1687" spans="1:7" x14ac:dyDescent="0.25">
      <c r="A1687" t="s">
        <v>9752</v>
      </c>
      <c r="B1687" t="s">
        <v>9753</v>
      </c>
      <c r="C1687" t="s">
        <v>9754</v>
      </c>
      <c r="E1687" s="19">
        <v>8617620808065</v>
      </c>
      <c r="F1687" t="s">
        <v>9752</v>
      </c>
      <c r="G1687" t="s">
        <v>9605</v>
      </c>
    </row>
    <row r="1688" spans="1:7" x14ac:dyDescent="0.25">
      <c r="A1688" t="s">
        <v>9755</v>
      </c>
      <c r="B1688" t="s">
        <v>9756</v>
      </c>
      <c r="C1688" t="s">
        <v>9757</v>
      </c>
      <c r="E1688" s="19">
        <v>8618531687963</v>
      </c>
      <c r="F1688" t="s">
        <v>9755</v>
      </c>
      <c r="G1688" t="s">
        <v>9605</v>
      </c>
    </row>
    <row r="1689" spans="1:7" x14ac:dyDescent="0.25">
      <c r="A1689" t="s">
        <v>9758</v>
      </c>
      <c r="B1689" t="s">
        <v>9759</v>
      </c>
      <c r="C1689" t="s">
        <v>9760</v>
      </c>
      <c r="E1689" s="19">
        <v>8613430320689</v>
      </c>
      <c r="F1689" t="s">
        <v>9758</v>
      </c>
      <c r="G1689" t="s">
        <v>9605</v>
      </c>
    </row>
    <row r="1690" spans="1:7" x14ac:dyDescent="0.25">
      <c r="A1690" t="s">
        <v>9761</v>
      </c>
      <c r="B1690" t="s">
        <v>9762</v>
      </c>
      <c r="C1690" t="s">
        <v>9763</v>
      </c>
      <c r="E1690" s="19">
        <v>8615651735285</v>
      </c>
      <c r="F1690" t="s">
        <v>9761</v>
      </c>
      <c r="G1690" t="s">
        <v>9605</v>
      </c>
    </row>
    <row r="1691" spans="1:7" x14ac:dyDescent="0.25">
      <c r="A1691" t="s">
        <v>9764</v>
      </c>
      <c r="B1691" t="s">
        <v>9765</v>
      </c>
      <c r="C1691" t="s">
        <v>9766</v>
      </c>
      <c r="E1691" s="19">
        <v>8618607080207</v>
      </c>
      <c r="F1691" t="s">
        <v>9764</v>
      </c>
      <c r="G1691" t="s">
        <v>9605</v>
      </c>
    </row>
    <row r="1692" spans="1:7" x14ac:dyDescent="0.25">
      <c r="A1692" t="s">
        <v>9767</v>
      </c>
      <c r="B1692" t="s">
        <v>9768</v>
      </c>
      <c r="C1692" t="s">
        <v>9769</v>
      </c>
      <c r="E1692" s="19">
        <v>8613631593081</v>
      </c>
      <c r="F1692" t="s">
        <v>9767</v>
      </c>
      <c r="G1692" t="s">
        <v>9605</v>
      </c>
    </row>
    <row r="1693" spans="1:7" x14ac:dyDescent="0.25">
      <c r="A1693" t="s">
        <v>9770</v>
      </c>
      <c r="B1693" t="s">
        <v>9771</v>
      </c>
      <c r="C1693" t="s">
        <v>9614</v>
      </c>
      <c r="E1693" s="19">
        <v>8615190304</v>
      </c>
      <c r="F1693" t="s">
        <v>9770</v>
      </c>
      <c r="G1693" t="s">
        <v>9605</v>
      </c>
    </row>
    <row r="1694" spans="1:7" x14ac:dyDescent="0.25">
      <c r="A1694" t="s">
        <v>9772</v>
      </c>
      <c r="B1694" t="s">
        <v>9773</v>
      </c>
      <c r="C1694" t="s">
        <v>9774</v>
      </c>
      <c r="E1694" s="19">
        <v>8613671779587</v>
      </c>
      <c r="F1694" t="s">
        <v>9772</v>
      </c>
      <c r="G1694" t="s">
        <v>9605</v>
      </c>
    </row>
    <row r="1695" spans="1:7" x14ac:dyDescent="0.25">
      <c r="A1695" t="s">
        <v>9775</v>
      </c>
      <c r="B1695" t="s">
        <v>9776</v>
      </c>
      <c r="C1695" t="s">
        <v>9777</v>
      </c>
      <c r="E1695" s="19">
        <v>8613723758451</v>
      </c>
      <c r="F1695" t="s">
        <v>9775</v>
      </c>
      <c r="G1695" t="s">
        <v>9605</v>
      </c>
    </row>
    <row r="1696" spans="1:7" x14ac:dyDescent="0.25">
      <c r="A1696" t="s">
        <v>9778</v>
      </c>
      <c r="B1696" t="s">
        <v>9779</v>
      </c>
      <c r="C1696" t="s">
        <v>9780</v>
      </c>
      <c r="E1696" s="19">
        <v>85223760009</v>
      </c>
      <c r="F1696" t="s">
        <v>9778</v>
      </c>
      <c r="G1696" t="s">
        <v>9605</v>
      </c>
    </row>
    <row r="1697" spans="1:7" x14ac:dyDescent="0.25">
      <c r="A1697" t="s">
        <v>9781</v>
      </c>
      <c r="B1697" t="s">
        <v>9782</v>
      </c>
      <c r="C1697" t="s">
        <v>9783</v>
      </c>
      <c r="E1697" s="19">
        <v>8615773232783</v>
      </c>
      <c r="F1697" t="s">
        <v>9781</v>
      </c>
      <c r="G1697" t="s">
        <v>9605</v>
      </c>
    </row>
    <row r="1698" spans="1:7" x14ac:dyDescent="0.25">
      <c r="A1698" t="s">
        <v>9784</v>
      </c>
      <c r="B1698" t="s">
        <v>9785</v>
      </c>
      <c r="C1698" t="s">
        <v>9786</v>
      </c>
      <c r="E1698" s="19">
        <v>8618820182974</v>
      </c>
      <c r="F1698" t="s">
        <v>9784</v>
      </c>
      <c r="G1698" t="s">
        <v>9605</v>
      </c>
    </row>
    <row r="1699" spans="1:7" x14ac:dyDescent="0.25">
      <c r="A1699" t="s">
        <v>9787</v>
      </c>
      <c r="B1699" t="s">
        <v>9788</v>
      </c>
      <c r="C1699" t="s">
        <v>9789</v>
      </c>
      <c r="E1699" s="19">
        <v>8615261187052</v>
      </c>
      <c r="F1699" t="s">
        <v>9787</v>
      </c>
      <c r="G1699" t="s">
        <v>9605</v>
      </c>
    </row>
    <row r="1700" spans="1:7" x14ac:dyDescent="0.25">
      <c r="A1700" t="s">
        <v>9790</v>
      </c>
      <c r="B1700" t="s">
        <v>9791</v>
      </c>
      <c r="C1700" t="s">
        <v>9792</v>
      </c>
      <c r="E1700" s="19">
        <v>85267642189</v>
      </c>
      <c r="F1700" t="s">
        <v>9790</v>
      </c>
      <c r="G1700" t="s">
        <v>9605</v>
      </c>
    </row>
    <row r="1701" spans="1:7" x14ac:dyDescent="0.25">
      <c r="A1701" t="s">
        <v>9793</v>
      </c>
      <c r="B1701" t="s">
        <v>9794</v>
      </c>
      <c r="C1701" t="s">
        <v>9795</v>
      </c>
      <c r="E1701" s="19">
        <v>8615363933038</v>
      </c>
      <c r="F1701" t="s">
        <v>9793</v>
      </c>
      <c r="G1701" t="s">
        <v>9605</v>
      </c>
    </row>
    <row r="1702" spans="1:7" x14ac:dyDescent="0.25">
      <c r="A1702" t="s">
        <v>9796</v>
      </c>
      <c r="B1702" t="s">
        <v>9797</v>
      </c>
      <c r="C1702" t="s">
        <v>9798</v>
      </c>
      <c r="E1702" s="19">
        <v>8613143825922</v>
      </c>
      <c r="F1702" t="s">
        <v>9796</v>
      </c>
      <c r="G1702" t="s">
        <v>9605</v>
      </c>
    </row>
    <row r="1703" spans="1:7" x14ac:dyDescent="0.25">
      <c r="A1703" t="s">
        <v>9799</v>
      </c>
      <c r="B1703" t="s">
        <v>9800</v>
      </c>
      <c r="C1703" t="s">
        <v>9801</v>
      </c>
      <c r="E1703" s="19">
        <v>8613798280559</v>
      </c>
      <c r="F1703" t="s">
        <v>9799</v>
      </c>
      <c r="G1703" t="s">
        <v>9605</v>
      </c>
    </row>
    <row r="1704" spans="1:7" x14ac:dyDescent="0.25">
      <c r="A1704" t="s">
        <v>9802</v>
      </c>
      <c r="B1704" t="s">
        <v>9803</v>
      </c>
      <c r="C1704" t="s">
        <v>9804</v>
      </c>
      <c r="E1704" s="19">
        <v>8615107521870</v>
      </c>
      <c r="F1704" t="s">
        <v>9802</v>
      </c>
      <c r="G1704" t="s">
        <v>9605</v>
      </c>
    </row>
    <row r="1705" spans="1:7" x14ac:dyDescent="0.25">
      <c r="A1705" t="s">
        <v>9805</v>
      </c>
      <c r="B1705" t="s">
        <v>9806</v>
      </c>
      <c r="C1705" t="s">
        <v>9807</v>
      </c>
      <c r="E1705" s="19">
        <v>8618622077464</v>
      </c>
      <c r="F1705" t="s">
        <v>9805</v>
      </c>
      <c r="G1705" t="s">
        <v>9605</v>
      </c>
    </row>
    <row r="1706" spans="1:7" x14ac:dyDescent="0.25">
      <c r="A1706" t="s">
        <v>9808</v>
      </c>
      <c r="B1706" t="s">
        <v>9809</v>
      </c>
      <c r="C1706" t="s">
        <v>9810</v>
      </c>
      <c r="E1706" s="19">
        <v>15268660722</v>
      </c>
      <c r="F1706" t="s">
        <v>9808</v>
      </c>
      <c r="G1706" t="s">
        <v>9605</v>
      </c>
    </row>
    <row r="1707" spans="1:7" x14ac:dyDescent="0.25">
      <c r="A1707" t="s">
        <v>9811</v>
      </c>
      <c r="B1707" t="s">
        <v>9812</v>
      </c>
      <c r="C1707" t="s">
        <v>9813</v>
      </c>
      <c r="E1707" s="19">
        <v>15692406755</v>
      </c>
      <c r="F1707" t="s">
        <v>9811</v>
      </c>
      <c r="G1707" t="s">
        <v>9605</v>
      </c>
    </row>
    <row r="1708" spans="1:7" x14ac:dyDescent="0.25">
      <c r="A1708" t="s">
        <v>9814</v>
      </c>
      <c r="B1708" t="s">
        <v>9815</v>
      </c>
      <c r="C1708" t="s">
        <v>9816</v>
      </c>
      <c r="E1708" s="19">
        <v>8615369628141</v>
      </c>
      <c r="F1708" t="s">
        <v>9814</v>
      </c>
      <c r="G1708" t="s">
        <v>9605</v>
      </c>
    </row>
    <row r="1709" spans="1:7" x14ac:dyDescent="0.25">
      <c r="A1709" t="s">
        <v>9817</v>
      </c>
      <c r="B1709" t="s">
        <v>9818</v>
      </c>
      <c r="C1709" t="s">
        <v>9819</v>
      </c>
      <c r="E1709" s="19">
        <v>8613537831215</v>
      </c>
      <c r="F1709" t="s">
        <v>9817</v>
      </c>
      <c r="G1709" t="s">
        <v>9605</v>
      </c>
    </row>
    <row r="1710" spans="1:7" x14ac:dyDescent="0.25">
      <c r="A1710" t="s">
        <v>9820</v>
      </c>
      <c r="B1710" t="s">
        <v>9821</v>
      </c>
      <c r="C1710" t="s">
        <v>9822</v>
      </c>
      <c r="E1710" s="19">
        <v>8618123911037</v>
      </c>
      <c r="F1710" t="s">
        <v>9820</v>
      </c>
      <c r="G1710" t="s">
        <v>9605</v>
      </c>
    </row>
    <row r="1711" spans="1:7" x14ac:dyDescent="0.25">
      <c r="A1711" t="s">
        <v>9823</v>
      </c>
      <c r="B1711" t="s">
        <v>9824</v>
      </c>
      <c r="C1711" t="s">
        <v>9825</v>
      </c>
      <c r="E1711" s="19">
        <v>75528528235</v>
      </c>
      <c r="F1711" t="s">
        <v>9823</v>
      </c>
      <c r="G1711" t="s">
        <v>9605</v>
      </c>
    </row>
    <row r="1712" spans="1:7" x14ac:dyDescent="0.25">
      <c r="A1712" t="s">
        <v>9826</v>
      </c>
      <c r="B1712" t="s">
        <v>9827</v>
      </c>
      <c r="C1712" t="s">
        <v>9828</v>
      </c>
      <c r="E1712" s="19">
        <v>75528833866</v>
      </c>
      <c r="F1712" t="s">
        <v>9826</v>
      </c>
      <c r="G1712" t="s">
        <v>9605</v>
      </c>
    </row>
    <row r="1713" spans="1:7" x14ac:dyDescent="0.25">
      <c r="A1713" t="s">
        <v>9829</v>
      </c>
      <c r="B1713" t="s">
        <v>9830</v>
      </c>
      <c r="C1713" t="s">
        <v>9831</v>
      </c>
      <c r="E1713" s="19">
        <v>8618682188336</v>
      </c>
      <c r="F1713" t="s">
        <v>9829</v>
      </c>
      <c r="G1713" t="s">
        <v>9605</v>
      </c>
    </row>
    <row r="1714" spans="1:7" x14ac:dyDescent="0.25">
      <c r="A1714" t="s">
        <v>9832</v>
      </c>
      <c r="B1714" t="s">
        <v>9833</v>
      </c>
      <c r="C1714" t="s">
        <v>9834</v>
      </c>
      <c r="E1714" s="19">
        <v>861334288831</v>
      </c>
      <c r="F1714" t="s">
        <v>9832</v>
      </c>
      <c r="G1714" t="s">
        <v>9605</v>
      </c>
    </row>
    <row r="1715" spans="1:7" x14ac:dyDescent="0.25">
      <c r="A1715" t="s">
        <v>9835</v>
      </c>
      <c r="B1715" t="s">
        <v>9836</v>
      </c>
      <c r="C1715" t="s">
        <v>9837</v>
      </c>
      <c r="E1715" s="19">
        <v>8613543296708</v>
      </c>
      <c r="F1715" t="s">
        <v>9835</v>
      </c>
      <c r="G1715" t="s">
        <v>9605</v>
      </c>
    </row>
    <row r="1716" spans="1:7" x14ac:dyDescent="0.25">
      <c r="A1716" t="s">
        <v>9838</v>
      </c>
      <c r="B1716" t="s">
        <v>9839</v>
      </c>
      <c r="C1716" t="s">
        <v>9840</v>
      </c>
      <c r="E1716" s="19">
        <v>8615172667367</v>
      </c>
      <c r="F1716" t="s">
        <v>9838</v>
      </c>
      <c r="G1716" t="s">
        <v>9605</v>
      </c>
    </row>
    <row r="1717" spans="1:7" x14ac:dyDescent="0.25">
      <c r="A1717" t="s">
        <v>9841</v>
      </c>
      <c r="B1717" t="s">
        <v>9842</v>
      </c>
      <c r="C1717" t="s">
        <v>9843</v>
      </c>
      <c r="E1717" s="19">
        <v>8618688202524</v>
      </c>
      <c r="F1717" t="s">
        <v>9841</v>
      </c>
      <c r="G1717" t="s">
        <v>9605</v>
      </c>
    </row>
    <row r="1718" spans="1:7" x14ac:dyDescent="0.25">
      <c r="A1718" t="s">
        <v>9844</v>
      </c>
      <c r="B1718" t="s">
        <v>9845</v>
      </c>
      <c r="C1718" t="s">
        <v>9846</v>
      </c>
      <c r="E1718" s="19">
        <v>8613106469157</v>
      </c>
      <c r="F1718" t="s">
        <v>9844</v>
      </c>
      <c r="G1718" t="s">
        <v>9605</v>
      </c>
    </row>
    <row r="1719" spans="1:7" x14ac:dyDescent="0.25">
      <c r="A1719" t="s">
        <v>9847</v>
      </c>
      <c r="B1719" t="s">
        <v>9848</v>
      </c>
      <c r="C1719" t="s">
        <v>9849</v>
      </c>
      <c r="E1719" s="19">
        <v>85294887612</v>
      </c>
      <c r="F1719" t="s">
        <v>9847</v>
      </c>
      <c r="G1719" t="s">
        <v>9605</v>
      </c>
    </row>
    <row r="1720" spans="1:7" x14ac:dyDescent="0.25">
      <c r="A1720" t="s">
        <v>9850</v>
      </c>
      <c r="B1720" t="s">
        <v>9851</v>
      </c>
      <c r="C1720" t="s">
        <v>9852</v>
      </c>
      <c r="E1720" s="19">
        <v>8613785281092</v>
      </c>
      <c r="F1720" t="s">
        <v>9850</v>
      </c>
      <c r="G1720" t="s">
        <v>9605</v>
      </c>
    </row>
    <row r="1721" spans="1:7" x14ac:dyDescent="0.25">
      <c r="A1721" t="s">
        <v>9853</v>
      </c>
      <c r="B1721" t="s">
        <v>9854</v>
      </c>
      <c r="C1721" t="s">
        <v>9855</v>
      </c>
      <c r="E1721" s="19">
        <v>8613036795269</v>
      </c>
      <c r="F1721" t="s">
        <v>9853</v>
      </c>
      <c r="G1721" t="s">
        <v>9605</v>
      </c>
    </row>
    <row r="1722" spans="1:7" x14ac:dyDescent="0.25">
      <c r="A1722" t="s">
        <v>9856</v>
      </c>
      <c r="B1722" t="s">
        <v>9857</v>
      </c>
      <c r="C1722" t="s">
        <v>9858</v>
      </c>
      <c r="E1722" s="19">
        <v>8618928480787</v>
      </c>
      <c r="F1722" t="s">
        <v>9856</v>
      </c>
      <c r="G1722" t="s">
        <v>9605</v>
      </c>
    </row>
    <row r="1723" spans="1:7" x14ac:dyDescent="0.25">
      <c r="A1723" t="s">
        <v>9859</v>
      </c>
      <c r="B1723" t="s">
        <v>9860</v>
      </c>
      <c r="C1723" t="s">
        <v>9861</v>
      </c>
      <c r="E1723" s="19">
        <v>8615071100636</v>
      </c>
      <c r="F1723" t="s">
        <v>9859</v>
      </c>
      <c r="G1723" t="s">
        <v>9605</v>
      </c>
    </row>
    <row r="1724" spans="1:7" x14ac:dyDescent="0.25">
      <c r="A1724" t="s">
        <v>9862</v>
      </c>
      <c r="B1724" t="s">
        <v>9863</v>
      </c>
      <c r="C1724" t="s">
        <v>9864</v>
      </c>
      <c r="E1724" s="19">
        <v>8618015895927</v>
      </c>
      <c r="F1724" t="s">
        <v>9862</v>
      </c>
      <c r="G1724" t="s">
        <v>9605</v>
      </c>
    </row>
    <row r="1725" spans="1:7" x14ac:dyDescent="0.25">
      <c r="A1725" t="s">
        <v>9865</v>
      </c>
      <c r="B1725" t="s">
        <v>9866</v>
      </c>
      <c r="C1725" t="s">
        <v>9867</v>
      </c>
      <c r="E1725" s="19">
        <v>8615093263211</v>
      </c>
      <c r="F1725" t="s">
        <v>9865</v>
      </c>
      <c r="G1725" t="s">
        <v>9605</v>
      </c>
    </row>
    <row r="1726" spans="1:7" x14ac:dyDescent="0.25">
      <c r="A1726" t="s">
        <v>9868</v>
      </c>
      <c r="B1726" t="s">
        <v>9869</v>
      </c>
      <c r="C1726" t="s">
        <v>9870</v>
      </c>
      <c r="E1726" s="19">
        <v>8613554805200</v>
      </c>
      <c r="F1726" t="s">
        <v>9868</v>
      </c>
      <c r="G1726" t="s">
        <v>9605</v>
      </c>
    </row>
    <row r="1727" spans="1:7" x14ac:dyDescent="0.25">
      <c r="A1727" t="s">
        <v>9871</v>
      </c>
      <c r="B1727" t="s">
        <v>9872</v>
      </c>
      <c r="C1727" t="s">
        <v>9873</v>
      </c>
      <c r="E1727" s="19">
        <v>85239518498</v>
      </c>
      <c r="F1727" t="s">
        <v>9871</v>
      </c>
      <c r="G1727" t="s">
        <v>9605</v>
      </c>
    </row>
    <row r="1728" spans="1:7" x14ac:dyDescent="0.25">
      <c r="A1728" t="s">
        <v>9874</v>
      </c>
      <c r="B1728" t="s">
        <v>9875</v>
      </c>
      <c r="C1728" t="s">
        <v>9876</v>
      </c>
      <c r="E1728" s="19">
        <v>8613751867486</v>
      </c>
      <c r="F1728" t="s">
        <v>9874</v>
      </c>
      <c r="G1728" t="s">
        <v>9605</v>
      </c>
    </row>
    <row r="1729" spans="1:7" x14ac:dyDescent="0.25">
      <c r="A1729" t="s">
        <v>9877</v>
      </c>
      <c r="B1729" t="s">
        <v>9878</v>
      </c>
      <c r="C1729" t="s">
        <v>9879</v>
      </c>
      <c r="E1729" s="19">
        <v>8618688746197</v>
      </c>
      <c r="F1729" t="s">
        <v>9877</v>
      </c>
      <c r="G1729" t="s">
        <v>9605</v>
      </c>
    </row>
    <row r="1730" spans="1:7" x14ac:dyDescent="0.25">
      <c r="A1730" t="s">
        <v>9880</v>
      </c>
      <c r="B1730" t="s">
        <v>9881</v>
      </c>
      <c r="C1730" t="s">
        <v>9882</v>
      </c>
      <c r="E1730" s="19">
        <v>8615118034162</v>
      </c>
      <c r="F1730" t="s">
        <v>9880</v>
      </c>
      <c r="G1730" t="s">
        <v>9605</v>
      </c>
    </row>
    <row r="1731" spans="1:7" x14ac:dyDescent="0.25">
      <c r="A1731" t="s">
        <v>9883</v>
      </c>
      <c r="B1731" t="s">
        <v>9884</v>
      </c>
      <c r="C1731" t="s">
        <v>9885</v>
      </c>
      <c r="E1731" s="19">
        <v>8618664815301</v>
      </c>
      <c r="F1731" t="s">
        <v>9883</v>
      </c>
      <c r="G1731" t="s">
        <v>9605</v>
      </c>
    </row>
    <row r="1732" spans="1:7" x14ac:dyDescent="0.25">
      <c r="A1732" t="s">
        <v>9886</v>
      </c>
      <c r="B1732" t="s">
        <v>9887</v>
      </c>
      <c r="C1732" t="s">
        <v>9888</v>
      </c>
      <c r="E1732" s="19">
        <v>8613543756954</v>
      </c>
      <c r="F1732" t="s">
        <v>9886</v>
      </c>
      <c r="G1732" t="s">
        <v>9605</v>
      </c>
    </row>
    <row r="1733" spans="1:7" x14ac:dyDescent="0.25">
      <c r="A1733" t="s">
        <v>9889</v>
      </c>
      <c r="B1733" t="s">
        <v>9890</v>
      </c>
      <c r="C1733" t="s">
        <v>9891</v>
      </c>
      <c r="E1733" s="19">
        <v>8613685276968</v>
      </c>
      <c r="F1733" t="s">
        <v>9889</v>
      </c>
      <c r="G1733" t="s">
        <v>9605</v>
      </c>
    </row>
    <row r="1734" spans="1:7" x14ac:dyDescent="0.25">
      <c r="A1734" t="s">
        <v>9892</v>
      </c>
      <c r="B1734" t="s">
        <v>9893</v>
      </c>
      <c r="C1734" t="s">
        <v>9894</v>
      </c>
      <c r="E1734" s="19">
        <v>8618201870534</v>
      </c>
      <c r="F1734" t="s">
        <v>9892</v>
      </c>
      <c r="G1734" t="s">
        <v>9605</v>
      </c>
    </row>
    <row r="1735" spans="1:7" x14ac:dyDescent="0.25">
      <c r="A1735" t="s">
        <v>9895</v>
      </c>
      <c r="B1735" t="s">
        <v>9896</v>
      </c>
      <c r="C1735" t="s">
        <v>9897</v>
      </c>
      <c r="E1735" s="19">
        <v>8615669578802</v>
      </c>
      <c r="F1735" t="s">
        <v>9895</v>
      </c>
      <c r="G1735" t="s">
        <v>9605</v>
      </c>
    </row>
    <row r="1736" spans="1:7" x14ac:dyDescent="0.25">
      <c r="A1736" t="s">
        <v>9898</v>
      </c>
      <c r="B1736" t="s">
        <v>9899</v>
      </c>
      <c r="C1736" t="s">
        <v>9900</v>
      </c>
      <c r="E1736" s="19">
        <v>8618682485840</v>
      </c>
      <c r="F1736" t="s">
        <v>9898</v>
      </c>
      <c r="G1736" t="s">
        <v>9605</v>
      </c>
    </row>
    <row r="1737" spans="1:7" x14ac:dyDescent="0.25">
      <c r="A1737" t="s">
        <v>9901</v>
      </c>
      <c r="B1737" t="s">
        <v>9902</v>
      </c>
      <c r="C1737" t="s">
        <v>9903</v>
      </c>
      <c r="E1737" s="19">
        <v>8617727818095</v>
      </c>
      <c r="F1737" t="s">
        <v>9901</v>
      </c>
      <c r="G1737" t="s">
        <v>9605</v>
      </c>
    </row>
    <row r="1738" spans="1:7" x14ac:dyDescent="0.25">
      <c r="A1738" t="s">
        <v>9904</v>
      </c>
      <c r="B1738" t="s">
        <v>9905</v>
      </c>
      <c r="C1738" t="s">
        <v>9906</v>
      </c>
      <c r="E1738" s="19">
        <v>13927410423</v>
      </c>
      <c r="F1738" t="s">
        <v>9904</v>
      </c>
      <c r="G1738" t="s">
        <v>9605</v>
      </c>
    </row>
    <row r="1739" spans="1:7" x14ac:dyDescent="0.25">
      <c r="A1739" t="s">
        <v>9907</v>
      </c>
      <c r="B1739" t="s">
        <v>9908</v>
      </c>
      <c r="C1739" t="s">
        <v>9909</v>
      </c>
      <c r="E1739" s="19">
        <v>8615521212055</v>
      </c>
      <c r="F1739" t="s">
        <v>9907</v>
      </c>
      <c r="G1739" t="s">
        <v>9605</v>
      </c>
    </row>
    <row r="1740" spans="1:7" x14ac:dyDescent="0.25">
      <c r="A1740" t="s">
        <v>9910</v>
      </c>
      <c r="B1740" t="s">
        <v>9911</v>
      </c>
      <c r="C1740" t="s">
        <v>9912</v>
      </c>
      <c r="E1740" s="19">
        <v>8613335896337</v>
      </c>
      <c r="F1740" t="s">
        <v>9910</v>
      </c>
      <c r="G1740" t="s">
        <v>9605</v>
      </c>
    </row>
    <row r="1741" spans="1:7" x14ac:dyDescent="0.25">
      <c r="A1741" t="s">
        <v>9913</v>
      </c>
      <c r="B1741" t="s">
        <v>9914</v>
      </c>
      <c r="C1741" t="s">
        <v>9915</v>
      </c>
      <c r="E1741" s="19">
        <v>18503084712</v>
      </c>
      <c r="F1741" t="s">
        <v>9913</v>
      </c>
      <c r="G1741" t="s">
        <v>9605</v>
      </c>
    </row>
    <row r="1742" spans="1:7" x14ac:dyDescent="0.25">
      <c r="A1742" t="s">
        <v>9916</v>
      </c>
      <c r="B1742" t="s">
        <v>9917</v>
      </c>
      <c r="C1742" t="s">
        <v>9918</v>
      </c>
      <c r="E1742" s="19">
        <v>8615355394873</v>
      </c>
      <c r="F1742" t="s">
        <v>9916</v>
      </c>
      <c r="G1742" t="s">
        <v>9605</v>
      </c>
    </row>
    <row r="1743" spans="1:7" x14ac:dyDescent="0.25">
      <c r="A1743" t="s">
        <v>9919</v>
      </c>
      <c r="B1743" t="s">
        <v>9920</v>
      </c>
      <c r="C1743" t="s">
        <v>9921</v>
      </c>
      <c r="E1743" s="19">
        <v>8613434388517</v>
      </c>
      <c r="F1743" t="s">
        <v>9919</v>
      </c>
      <c r="G1743" t="s">
        <v>9605</v>
      </c>
    </row>
    <row r="1744" spans="1:7" x14ac:dyDescent="0.25">
      <c r="A1744" t="s">
        <v>9922</v>
      </c>
      <c r="B1744" t="s">
        <v>9923</v>
      </c>
      <c r="C1744" t="s">
        <v>9924</v>
      </c>
      <c r="E1744" s="19">
        <v>8613554805200</v>
      </c>
      <c r="F1744" t="s">
        <v>9922</v>
      </c>
      <c r="G1744" t="s">
        <v>9605</v>
      </c>
    </row>
    <row r="1745" spans="1:7" x14ac:dyDescent="0.25">
      <c r="A1745" t="s">
        <v>9925</v>
      </c>
      <c r="B1745" t="s">
        <v>9926</v>
      </c>
      <c r="C1745" t="s">
        <v>9927</v>
      </c>
      <c r="E1745" s="19">
        <v>8618684746648</v>
      </c>
      <c r="F1745" t="s">
        <v>9925</v>
      </c>
      <c r="G1745" t="s">
        <v>9605</v>
      </c>
    </row>
    <row r="1746" spans="1:7" x14ac:dyDescent="0.25">
      <c r="A1746" t="s">
        <v>9928</v>
      </c>
      <c r="B1746" t="s">
        <v>9929</v>
      </c>
      <c r="C1746" t="s">
        <v>9930</v>
      </c>
      <c r="E1746" s="19">
        <v>8615013652348</v>
      </c>
      <c r="F1746" t="s">
        <v>9928</v>
      </c>
      <c r="G1746" t="s">
        <v>9605</v>
      </c>
    </row>
    <row r="1747" spans="1:7" x14ac:dyDescent="0.25">
      <c r="A1747" t="s">
        <v>9931</v>
      </c>
      <c r="B1747" t="s">
        <v>9932</v>
      </c>
      <c r="C1747" t="s">
        <v>9933</v>
      </c>
      <c r="E1747" s="19">
        <v>8613425462911</v>
      </c>
      <c r="F1747" t="s">
        <v>9931</v>
      </c>
      <c r="G1747" t="s">
        <v>9605</v>
      </c>
    </row>
    <row r="1748" spans="1:7" x14ac:dyDescent="0.25">
      <c r="A1748" t="s">
        <v>9934</v>
      </c>
      <c r="B1748" t="s">
        <v>9935</v>
      </c>
      <c r="C1748" t="s">
        <v>9936</v>
      </c>
      <c r="E1748" s="19">
        <v>8615999537964</v>
      </c>
      <c r="F1748" t="s">
        <v>9934</v>
      </c>
      <c r="G1748" t="s">
        <v>9605</v>
      </c>
    </row>
    <row r="1749" spans="1:7" x14ac:dyDescent="0.25">
      <c r="A1749" t="s">
        <v>9937</v>
      </c>
      <c r="B1749" t="s">
        <v>9938</v>
      </c>
      <c r="C1749" t="s">
        <v>9939</v>
      </c>
      <c r="E1749" s="19">
        <v>8613696807491</v>
      </c>
      <c r="F1749" t="s">
        <v>9937</v>
      </c>
      <c r="G1749" t="s">
        <v>9605</v>
      </c>
    </row>
    <row r="1750" spans="1:7" x14ac:dyDescent="0.25">
      <c r="A1750" t="s">
        <v>9940</v>
      </c>
      <c r="B1750" t="s">
        <v>9941</v>
      </c>
      <c r="C1750" t="s">
        <v>9942</v>
      </c>
      <c r="E1750" s="19">
        <v>8615773158737</v>
      </c>
      <c r="F1750" t="s">
        <v>9940</v>
      </c>
      <c r="G1750" t="s">
        <v>9605</v>
      </c>
    </row>
    <row r="1751" spans="1:7" x14ac:dyDescent="0.25">
      <c r="A1751" t="s">
        <v>9943</v>
      </c>
      <c r="B1751" t="s">
        <v>9944</v>
      </c>
      <c r="C1751" t="s">
        <v>9945</v>
      </c>
      <c r="E1751" s="19">
        <v>8613732414860</v>
      </c>
      <c r="F1751" t="s">
        <v>9943</v>
      </c>
      <c r="G1751" t="s">
        <v>9605</v>
      </c>
    </row>
    <row r="1752" spans="1:7" x14ac:dyDescent="0.25">
      <c r="A1752" t="s">
        <v>9946</v>
      </c>
      <c r="B1752" t="s">
        <v>9947</v>
      </c>
      <c r="C1752" t="s">
        <v>9948</v>
      </c>
      <c r="E1752" s="19">
        <v>8618675831840</v>
      </c>
      <c r="F1752" t="s">
        <v>9946</v>
      </c>
      <c r="G1752" t="s">
        <v>9605</v>
      </c>
    </row>
    <row r="1753" spans="1:7" x14ac:dyDescent="0.25">
      <c r="A1753" t="s">
        <v>9949</v>
      </c>
      <c r="B1753" t="s">
        <v>9950</v>
      </c>
      <c r="C1753" t="s">
        <v>9951</v>
      </c>
      <c r="E1753" s="19">
        <v>8613159693869</v>
      </c>
      <c r="F1753" t="s">
        <v>9949</v>
      </c>
      <c r="G1753" t="s">
        <v>9605</v>
      </c>
    </row>
    <row r="1754" spans="1:7" x14ac:dyDescent="0.25">
      <c r="A1754" t="s">
        <v>9952</v>
      </c>
      <c r="B1754" t="s">
        <v>9953</v>
      </c>
      <c r="C1754" t="s">
        <v>9954</v>
      </c>
      <c r="E1754" s="19">
        <v>8613520941819</v>
      </c>
      <c r="F1754" t="s">
        <v>9952</v>
      </c>
      <c r="G1754" t="s">
        <v>9605</v>
      </c>
    </row>
    <row r="1755" spans="1:7" x14ac:dyDescent="0.25">
      <c r="A1755" t="s">
        <v>9955</v>
      </c>
      <c r="B1755" t="s">
        <v>9956</v>
      </c>
      <c r="C1755" t="s">
        <v>9957</v>
      </c>
      <c r="E1755" s="19">
        <v>8613923413120</v>
      </c>
      <c r="F1755" t="s">
        <v>9955</v>
      </c>
      <c r="G1755" t="s">
        <v>9605</v>
      </c>
    </row>
    <row r="1756" spans="1:7" x14ac:dyDescent="0.25">
      <c r="A1756" t="s">
        <v>9958</v>
      </c>
      <c r="B1756" t="s">
        <v>9959</v>
      </c>
      <c r="C1756" t="s">
        <v>9960</v>
      </c>
      <c r="E1756" s="19">
        <v>8615557108072</v>
      </c>
      <c r="F1756" t="s">
        <v>9958</v>
      </c>
      <c r="G1756" t="s">
        <v>9605</v>
      </c>
    </row>
    <row r="1757" spans="1:7" x14ac:dyDescent="0.25">
      <c r="A1757" t="s">
        <v>9961</v>
      </c>
      <c r="B1757" t="s">
        <v>9962</v>
      </c>
      <c r="C1757" t="s">
        <v>9963</v>
      </c>
      <c r="E1757" s="19">
        <v>8618616853599</v>
      </c>
      <c r="F1757" t="s">
        <v>9961</v>
      </c>
      <c r="G1757" t="s">
        <v>9605</v>
      </c>
    </row>
    <row r="1758" spans="1:7" x14ac:dyDescent="0.25">
      <c r="A1758" t="s">
        <v>9964</v>
      </c>
      <c r="B1758" t="s">
        <v>9965</v>
      </c>
      <c r="C1758" t="s">
        <v>9966</v>
      </c>
      <c r="E1758" s="19">
        <v>8613534101945</v>
      </c>
      <c r="F1758" t="s">
        <v>9964</v>
      </c>
      <c r="G1758" t="s">
        <v>9605</v>
      </c>
    </row>
    <row r="1759" spans="1:7" x14ac:dyDescent="0.25">
      <c r="A1759" t="s">
        <v>9967</v>
      </c>
      <c r="B1759" t="s">
        <v>9968</v>
      </c>
      <c r="C1759" t="s">
        <v>9969</v>
      </c>
      <c r="E1759" s="19">
        <v>8618267978210</v>
      </c>
      <c r="F1759" t="s">
        <v>9967</v>
      </c>
      <c r="G1759" t="s">
        <v>9605</v>
      </c>
    </row>
    <row r="1760" spans="1:7" x14ac:dyDescent="0.25">
      <c r="A1760" t="s">
        <v>9970</v>
      </c>
      <c r="B1760" t="s">
        <v>9971</v>
      </c>
      <c r="C1760" t="s">
        <v>9972</v>
      </c>
      <c r="E1760" s="19">
        <v>8613008802439</v>
      </c>
      <c r="F1760" t="s">
        <v>9970</v>
      </c>
      <c r="G1760" t="s">
        <v>9605</v>
      </c>
    </row>
    <row r="1761" spans="1:7" x14ac:dyDescent="0.25">
      <c r="A1761" t="s">
        <v>9973</v>
      </c>
      <c r="B1761" t="s">
        <v>9974</v>
      </c>
      <c r="C1761" t="s">
        <v>9975</v>
      </c>
      <c r="E1761" s="19">
        <v>8615219470505</v>
      </c>
      <c r="F1761" t="s">
        <v>9973</v>
      </c>
      <c r="G1761" t="s">
        <v>9605</v>
      </c>
    </row>
    <row r="1762" spans="1:7" x14ac:dyDescent="0.25">
      <c r="A1762" t="s">
        <v>9976</v>
      </c>
      <c r="B1762" t="s">
        <v>9977</v>
      </c>
      <c r="C1762" t="s">
        <v>9978</v>
      </c>
      <c r="E1762" s="19">
        <v>8615219470505</v>
      </c>
      <c r="F1762" t="s">
        <v>9976</v>
      </c>
      <c r="G1762" t="s">
        <v>9605</v>
      </c>
    </row>
    <row r="1763" spans="1:7" x14ac:dyDescent="0.25">
      <c r="A1763" t="s">
        <v>9979</v>
      </c>
      <c r="B1763" t="s">
        <v>9980</v>
      </c>
      <c r="C1763" t="s">
        <v>9981</v>
      </c>
      <c r="E1763" s="19">
        <v>8618520076471</v>
      </c>
      <c r="F1763" t="s">
        <v>9979</v>
      </c>
      <c r="G1763" t="s">
        <v>9605</v>
      </c>
    </row>
    <row r="1764" spans="1:7" x14ac:dyDescent="0.25">
      <c r="A1764" t="s">
        <v>9982</v>
      </c>
      <c r="B1764" t="s">
        <v>9983</v>
      </c>
      <c r="C1764" t="s">
        <v>9984</v>
      </c>
      <c r="E1764" s="19">
        <v>8615007782548</v>
      </c>
      <c r="F1764" t="s">
        <v>9982</v>
      </c>
      <c r="G1764" t="s">
        <v>9605</v>
      </c>
    </row>
    <row r="1765" spans="1:7" x14ac:dyDescent="0.25">
      <c r="A1765" t="s">
        <v>9985</v>
      </c>
      <c r="B1765" t="s">
        <v>9986</v>
      </c>
      <c r="C1765" t="s">
        <v>9987</v>
      </c>
      <c r="E1765" s="19">
        <v>8613423790717</v>
      </c>
      <c r="F1765" t="s">
        <v>9985</v>
      </c>
      <c r="G1765" t="s">
        <v>9605</v>
      </c>
    </row>
    <row r="1766" spans="1:7" x14ac:dyDescent="0.25">
      <c r="A1766" t="s">
        <v>9988</v>
      </c>
      <c r="B1766" t="s">
        <v>9989</v>
      </c>
      <c r="C1766" t="s">
        <v>9629</v>
      </c>
      <c r="E1766" s="19">
        <v>8615219470505</v>
      </c>
      <c r="F1766" t="s">
        <v>9988</v>
      </c>
      <c r="G1766" t="s">
        <v>9605</v>
      </c>
    </row>
    <row r="1767" spans="1:7" x14ac:dyDescent="0.25">
      <c r="A1767" t="s">
        <v>9990</v>
      </c>
      <c r="B1767" t="s">
        <v>9991</v>
      </c>
      <c r="C1767" t="s">
        <v>9992</v>
      </c>
      <c r="E1767" s="19">
        <v>85221108740</v>
      </c>
      <c r="F1767" t="s">
        <v>9990</v>
      </c>
      <c r="G1767" t="s">
        <v>9605</v>
      </c>
    </row>
    <row r="1768" spans="1:7" x14ac:dyDescent="0.25">
      <c r="A1768" t="s">
        <v>9993</v>
      </c>
      <c r="B1768" t="s">
        <v>9994</v>
      </c>
      <c r="C1768" t="s">
        <v>9995</v>
      </c>
      <c r="E1768" s="19">
        <v>8613129872407</v>
      </c>
      <c r="F1768" t="s">
        <v>9993</v>
      </c>
      <c r="G1768" t="s">
        <v>9605</v>
      </c>
    </row>
    <row r="1769" spans="1:7" x14ac:dyDescent="0.25">
      <c r="A1769" t="s">
        <v>9996</v>
      </c>
      <c r="B1769" t="s">
        <v>9997</v>
      </c>
      <c r="C1769" t="s">
        <v>9998</v>
      </c>
      <c r="E1769" s="19">
        <v>8613242930931</v>
      </c>
      <c r="F1769" t="s">
        <v>9996</v>
      </c>
      <c r="G1769" t="s">
        <v>9605</v>
      </c>
    </row>
    <row r="1770" spans="1:7" x14ac:dyDescent="0.25">
      <c r="A1770" t="s">
        <v>9999</v>
      </c>
      <c r="B1770" t="s">
        <v>10000</v>
      </c>
      <c r="C1770" t="s">
        <v>10001</v>
      </c>
      <c r="E1770" s="19">
        <v>813911279492</v>
      </c>
      <c r="F1770" t="s">
        <v>9999</v>
      </c>
      <c r="G1770" t="s">
        <v>9605</v>
      </c>
    </row>
    <row r="1771" spans="1:7" x14ac:dyDescent="0.25">
      <c r="A1771" t="s">
        <v>10002</v>
      </c>
      <c r="B1771" t="s">
        <v>10003</v>
      </c>
      <c r="C1771" t="s">
        <v>10004</v>
      </c>
      <c r="E1771" s="19">
        <v>8614787498351</v>
      </c>
      <c r="F1771" t="s">
        <v>10002</v>
      </c>
      <c r="G1771" t="s">
        <v>9605</v>
      </c>
    </row>
    <row r="1772" spans="1:7" x14ac:dyDescent="0.25">
      <c r="A1772" t="s">
        <v>10005</v>
      </c>
      <c r="B1772" t="s">
        <v>10006</v>
      </c>
      <c r="C1772" t="s">
        <v>10007</v>
      </c>
      <c r="E1772" s="19">
        <v>966567104116</v>
      </c>
      <c r="F1772" t="s">
        <v>10005</v>
      </c>
      <c r="G1772" t="s">
        <v>9605</v>
      </c>
    </row>
    <row r="1773" spans="1:7" x14ac:dyDescent="0.25">
      <c r="A1773" t="s">
        <v>10008</v>
      </c>
      <c r="B1773" t="s">
        <v>10009</v>
      </c>
      <c r="C1773" t="s">
        <v>10010</v>
      </c>
      <c r="E1773" s="19">
        <v>8615514889335</v>
      </c>
      <c r="F1773" t="s">
        <v>10008</v>
      </c>
      <c r="G1773" t="s">
        <v>9605</v>
      </c>
    </row>
    <row r="1774" spans="1:7" x14ac:dyDescent="0.25">
      <c r="A1774" t="s">
        <v>10011</v>
      </c>
      <c r="B1774" t="s">
        <v>10012</v>
      </c>
      <c r="C1774" t="s">
        <v>10013</v>
      </c>
      <c r="E1774" s="19">
        <v>8613714086945</v>
      </c>
      <c r="F1774" t="s">
        <v>10011</v>
      </c>
      <c r="G1774" t="s">
        <v>9605</v>
      </c>
    </row>
    <row r="1775" spans="1:7" x14ac:dyDescent="0.25">
      <c r="A1775" t="s">
        <v>10014</v>
      </c>
      <c r="B1775" t="s">
        <v>10015</v>
      </c>
      <c r="C1775" t="s">
        <v>10016</v>
      </c>
      <c r="E1775" s="19">
        <v>8669136379</v>
      </c>
      <c r="F1775" t="s">
        <v>10014</v>
      </c>
      <c r="G1775" t="s">
        <v>9605</v>
      </c>
    </row>
    <row r="1776" spans="1:7" x14ac:dyDescent="0.25">
      <c r="A1776" t="s">
        <v>10017</v>
      </c>
      <c r="B1776" t="s">
        <v>10018</v>
      </c>
      <c r="C1776" t="s">
        <v>10019</v>
      </c>
      <c r="E1776" s="19">
        <v>8613510501494</v>
      </c>
      <c r="F1776" t="s">
        <v>10017</v>
      </c>
      <c r="G1776" t="s">
        <v>9605</v>
      </c>
    </row>
    <row r="1777" spans="1:7" x14ac:dyDescent="0.25">
      <c r="A1777" t="s">
        <v>10020</v>
      </c>
      <c r="B1777" t="s">
        <v>10021</v>
      </c>
      <c r="C1777" t="s">
        <v>10022</v>
      </c>
      <c r="E1777" s="19">
        <v>8613316321601</v>
      </c>
      <c r="F1777" t="s">
        <v>10020</v>
      </c>
      <c r="G1777" t="s">
        <v>9605</v>
      </c>
    </row>
    <row r="1778" spans="1:7" x14ac:dyDescent="0.25">
      <c r="A1778" t="s">
        <v>10023</v>
      </c>
      <c r="B1778" t="s">
        <v>10024</v>
      </c>
      <c r="C1778" t="s">
        <v>10025</v>
      </c>
      <c r="E1778" s="19">
        <v>8615068736966</v>
      </c>
      <c r="F1778" t="s">
        <v>10023</v>
      </c>
      <c r="G1778" t="s">
        <v>9605</v>
      </c>
    </row>
    <row r="1779" spans="1:7" x14ac:dyDescent="0.25">
      <c r="A1779" t="s">
        <v>10026</v>
      </c>
      <c r="B1779" t="s">
        <v>10027</v>
      </c>
      <c r="C1779" t="s">
        <v>10028</v>
      </c>
      <c r="E1779" s="19">
        <v>8615927101969</v>
      </c>
      <c r="F1779" t="s">
        <v>10026</v>
      </c>
      <c r="G1779" t="s">
        <v>9605</v>
      </c>
    </row>
    <row r="1780" spans="1:7" x14ac:dyDescent="0.25">
      <c r="A1780" t="s">
        <v>10029</v>
      </c>
      <c r="B1780" t="s">
        <v>10030</v>
      </c>
      <c r="C1780" t="s">
        <v>10031</v>
      </c>
      <c r="E1780" s="19">
        <v>8618666318391</v>
      </c>
      <c r="F1780" t="s">
        <v>10029</v>
      </c>
      <c r="G1780" t="s">
        <v>9605</v>
      </c>
    </row>
    <row r="1781" spans="1:7" x14ac:dyDescent="0.25">
      <c r="A1781" t="s">
        <v>10032</v>
      </c>
      <c r="B1781" t="s">
        <v>10033</v>
      </c>
      <c r="C1781" t="s">
        <v>10034</v>
      </c>
      <c r="E1781" s="19">
        <v>8615920026201</v>
      </c>
      <c r="F1781" t="s">
        <v>10032</v>
      </c>
      <c r="G1781" t="s">
        <v>9605</v>
      </c>
    </row>
    <row r="1782" spans="1:7" x14ac:dyDescent="0.25">
      <c r="A1782" t="s">
        <v>10035</v>
      </c>
      <c r="B1782" t="s">
        <v>10036</v>
      </c>
      <c r="C1782" t="s">
        <v>10037</v>
      </c>
      <c r="E1782" s="19">
        <v>8615669578802</v>
      </c>
      <c r="F1782" t="s">
        <v>10035</v>
      </c>
      <c r="G1782" t="s">
        <v>9605</v>
      </c>
    </row>
    <row r="1783" spans="1:7" x14ac:dyDescent="0.25">
      <c r="A1783" t="s">
        <v>10038</v>
      </c>
      <c r="B1783" t="s">
        <v>10039</v>
      </c>
      <c r="C1783" t="s">
        <v>10040</v>
      </c>
      <c r="E1783" s="19">
        <v>8618145869680</v>
      </c>
      <c r="F1783" t="s">
        <v>10038</v>
      </c>
      <c r="G1783" t="s">
        <v>9605</v>
      </c>
    </row>
    <row r="1784" spans="1:7" x14ac:dyDescent="0.25">
      <c r="A1784" t="s">
        <v>10041</v>
      </c>
      <c r="B1784" t="s">
        <v>10042</v>
      </c>
      <c r="C1784" t="s">
        <v>10043</v>
      </c>
      <c r="E1784" s="19">
        <v>8615112404129</v>
      </c>
      <c r="F1784" t="s">
        <v>10041</v>
      </c>
      <c r="G1784" t="s">
        <v>9605</v>
      </c>
    </row>
    <row r="1785" spans="1:7" x14ac:dyDescent="0.25">
      <c r="A1785" t="s">
        <v>10044</v>
      </c>
      <c r="B1785" t="s">
        <v>10045</v>
      </c>
      <c r="C1785" t="s">
        <v>10046</v>
      </c>
      <c r="E1785" s="19">
        <v>8613925240819</v>
      </c>
      <c r="F1785" t="s">
        <v>10044</v>
      </c>
      <c r="G1785" t="s">
        <v>9605</v>
      </c>
    </row>
    <row r="1786" spans="1:7" x14ac:dyDescent="0.25">
      <c r="A1786" t="s">
        <v>10047</v>
      </c>
      <c r="B1786" t="s">
        <v>10048</v>
      </c>
      <c r="C1786" t="s">
        <v>10049</v>
      </c>
      <c r="E1786" s="19">
        <v>75582722727</v>
      </c>
      <c r="F1786" t="s">
        <v>10047</v>
      </c>
      <c r="G1786" t="s">
        <v>9605</v>
      </c>
    </row>
    <row r="1787" spans="1:7" x14ac:dyDescent="0.25">
      <c r="A1787" t="s">
        <v>10050</v>
      </c>
      <c r="B1787" t="s">
        <v>10051</v>
      </c>
      <c r="C1787" t="s">
        <v>10052</v>
      </c>
      <c r="E1787" s="19">
        <v>8618664978357</v>
      </c>
      <c r="F1787" t="s">
        <v>10050</v>
      </c>
      <c r="G1787" t="s">
        <v>9605</v>
      </c>
    </row>
    <row r="1788" spans="1:7" x14ac:dyDescent="0.25">
      <c r="A1788" t="s">
        <v>10053</v>
      </c>
      <c r="B1788" t="s">
        <v>10054</v>
      </c>
      <c r="C1788" t="s">
        <v>10055</v>
      </c>
      <c r="E1788" s="19">
        <v>75589399226</v>
      </c>
      <c r="F1788" t="s">
        <v>10053</v>
      </c>
      <c r="G1788" t="s">
        <v>9605</v>
      </c>
    </row>
    <row r="1789" spans="1:7" x14ac:dyDescent="0.25">
      <c r="A1789" t="s">
        <v>10056</v>
      </c>
      <c r="B1789" t="s">
        <v>10057</v>
      </c>
      <c r="C1789" t="s">
        <v>10058</v>
      </c>
      <c r="E1789" s="19">
        <v>8614715492169</v>
      </c>
      <c r="F1789" t="s">
        <v>10056</v>
      </c>
      <c r="G1789" t="s">
        <v>9605</v>
      </c>
    </row>
    <row r="1790" spans="1:7" x14ac:dyDescent="0.25">
      <c r="A1790" t="s">
        <v>10059</v>
      </c>
      <c r="B1790" t="s">
        <v>10060</v>
      </c>
      <c r="C1790" t="s">
        <v>10061</v>
      </c>
      <c r="E1790" s="19">
        <v>8613602532617</v>
      </c>
      <c r="F1790" t="s">
        <v>10059</v>
      </c>
      <c r="G1790" t="s">
        <v>9605</v>
      </c>
    </row>
    <row r="1791" spans="1:7" x14ac:dyDescent="0.25">
      <c r="A1791" t="s">
        <v>10062</v>
      </c>
      <c r="B1791" t="s">
        <v>10063</v>
      </c>
      <c r="C1791" t="s">
        <v>10064</v>
      </c>
      <c r="E1791" s="19">
        <v>8615889417405</v>
      </c>
      <c r="F1791" t="s">
        <v>10062</v>
      </c>
      <c r="G1791" t="s">
        <v>9605</v>
      </c>
    </row>
    <row r="1792" spans="1:7" x14ac:dyDescent="0.25">
      <c r="A1792" t="s">
        <v>10065</v>
      </c>
      <c r="B1792" t="s">
        <v>10066</v>
      </c>
      <c r="C1792" t="s">
        <v>10067</v>
      </c>
      <c r="E1792" s="19">
        <v>8618718572982</v>
      </c>
      <c r="F1792" t="s">
        <v>10065</v>
      </c>
      <c r="G1792" t="s">
        <v>9605</v>
      </c>
    </row>
    <row r="1793" spans="1:7" x14ac:dyDescent="0.25">
      <c r="A1793" t="s">
        <v>10068</v>
      </c>
      <c r="B1793" t="s">
        <v>10069</v>
      </c>
      <c r="C1793" t="s">
        <v>10070</v>
      </c>
      <c r="E1793" s="19">
        <v>8618002587341</v>
      </c>
      <c r="F1793" t="s">
        <v>10068</v>
      </c>
      <c r="G1793" t="s">
        <v>9605</v>
      </c>
    </row>
    <row r="1794" spans="1:7" x14ac:dyDescent="0.25">
      <c r="A1794" t="s">
        <v>10071</v>
      </c>
      <c r="B1794" t="s">
        <v>10072</v>
      </c>
      <c r="C1794" t="s">
        <v>10073</v>
      </c>
      <c r="E1794" s="19">
        <v>966502631012</v>
      </c>
      <c r="F1794" t="s">
        <v>10071</v>
      </c>
      <c r="G1794" t="s">
        <v>839</v>
      </c>
    </row>
    <row r="1795" spans="1:7" x14ac:dyDescent="0.25">
      <c r="A1795" t="s">
        <v>10074</v>
      </c>
      <c r="B1795" t="s">
        <v>10075</v>
      </c>
      <c r="C1795" t="s">
        <v>10076</v>
      </c>
      <c r="E1795" s="19">
        <v>971565385607</v>
      </c>
      <c r="F1795" t="s">
        <v>10074</v>
      </c>
      <c r="G1795" t="s">
        <v>8101</v>
      </c>
    </row>
    <row r="1796" spans="1:7" x14ac:dyDescent="0.25">
      <c r="A1796" t="s">
        <v>10079</v>
      </c>
      <c r="B1796" t="s">
        <v>10080</v>
      </c>
      <c r="C1796" t="s">
        <v>10081</v>
      </c>
      <c r="E1796" s="19">
        <v>966503632842</v>
      </c>
      <c r="F1796" t="s">
        <v>10079</v>
      </c>
      <c r="G1796" t="s">
        <v>838</v>
      </c>
    </row>
    <row r="1797" spans="1:7" x14ac:dyDescent="0.25">
      <c r="A1797" t="s">
        <v>10082</v>
      </c>
      <c r="B1797" t="s">
        <v>10083</v>
      </c>
      <c r="C1797" t="s">
        <v>10084</v>
      </c>
      <c r="E1797" s="19">
        <v>6563770910</v>
      </c>
      <c r="F1797" t="s">
        <v>10082</v>
      </c>
      <c r="G1797" t="s">
        <v>841</v>
      </c>
    </row>
    <row r="1798" spans="1:7" x14ac:dyDescent="0.25">
      <c r="A1798" t="s">
        <v>10085</v>
      </c>
      <c r="B1798" t="s">
        <v>10086</v>
      </c>
      <c r="C1798" t="s">
        <v>10087</v>
      </c>
      <c r="E1798" s="19">
        <v>971559716116</v>
      </c>
      <c r="F1798" t="s">
        <v>10085</v>
      </c>
      <c r="G1798" t="s">
        <v>841</v>
      </c>
    </row>
    <row r="1799" spans="1:7" x14ac:dyDescent="0.25">
      <c r="A1799" t="s">
        <v>10088</v>
      </c>
      <c r="B1799" t="s">
        <v>10089</v>
      </c>
      <c r="C1799" t="s">
        <v>10090</v>
      </c>
      <c r="E1799" s="19">
        <v>966540622293</v>
      </c>
      <c r="F1799" t="s">
        <v>10088</v>
      </c>
      <c r="G1799" t="s">
        <v>7983</v>
      </c>
    </row>
    <row r="1800" spans="1:7" x14ac:dyDescent="0.25">
      <c r="A1800" t="s">
        <v>10091</v>
      </c>
      <c r="B1800" t="s">
        <v>10092</v>
      </c>
      <c r="C1800" t="s">
        <v>10093</v>
      </c>
      <c r="E1800" s="19">
        <v>971543064623</v>
      </c>
      <c r="F1800" t="s">
        <v>10091</v>
      </c>
      <c r="G1800" t="s">
        <v>7983</v>
      </c>
    </row>
    <row r="1801" spans="1:7" x14ac:dyDescent="0.25">
      <c r="A1801" t="s">
        <v>10094</v>
      </c>
      <c r="B1801" t="s">
        <v>10095</v>
      </c>
      <c r="C1801" t="s">
        <v>10096</v>
      </c>
      <c r="E1801" s="19">
        <v>971556010556</v>
      </c>
      <c r="F1801" t="s">
        <v>10094</v>
      </c>
      <c r="G1801" t="s">
        <v>854</v>
      </c>
    </row>
    <row r="1802" spans="1:7" x14ac:dyDescent="0.25">
      <c r="A1802" t="s">
        <v>10082</v>
      </c>
      <c r="B1802" t="s">
        <v>10097</v>
      </c>
      <c r="C1802" t="s">
        <v>10084</v>
      </c>
      <c r="E1802" s="19">
        <v>6563770910</v>
      </c>
      <c r="F1802" t="s">
        <v>10082</v>
      </c>
      <c r="G1802" t="s">
        <v>841</v>
      </c>
    </row>
    <row r="1803" spans="1:7" x14ac:dyDescent="0.25">
      <c r="A1803" t="s">
        <v>10098</v>
      </c>
      <c r="B1803" t="s">
        <v>10099</v>
      </c>
      <c r="C1803" t="s">
        <v>10100</v>
      </c>
      <c r="E1803" s="19">
        <v>971566998909</v>
      </c>
      <c r="F1803" t="s">
        <v>10098</v>
      </c>
      <c r="G1803" t="s">
        <v>1382</v>
      </c>
    </row>
    <row r="1804" spans="1:7" x14ac:dyDescent="0.25">
      <c r="A1804" t="s">
        <v>10101</v>
      </c>
      <c r="B1804" t="s">
        <v>10102</v>
      </c>
      <c r="C1804" t="s">
        <v>10103</v>
      </c>
      <c r="E1804" s="19">
        <v>971564843554</v>
      </c>
      <c r="F1804" t="s">
        <v>10101</v>
      </c>
      <c r="G1804" t="s">
        <v>845</v>
      </c>
    </row>
    <row r="1805" spans="1:7" x14ac:dyDescent="0.25">
      <c r="A1805" t="s">
        <v>10107</v>
      </c>
      <c r="B1805" t="s">
        <v>10159</v>
      </c>
      <c r="C1805" t="s">
        <v>10108</v>
      </c>
      <c r="E1805" s="19">
        <v>966509170349</v>
      </c>
      <c r="F1805" t="s">
        <v>10107</v>
      </c>
      <c r="G1805" t="s">
        <v>839</v>
      </c>
    </row>
    <row r="1806" spans="1:7" x14ac:dyDescent="0.25">
      <c r="A1806" t="s">
        <v>10109</v>
      </c>
      <c r="B1806" t="s">
        <v>10160</v>
      </c>
      <c r="C1806" t="s">
        <v>10110</v>
      </c>
      <c r="E1806" s="19">
        <v>966565693777</v>
      </c>
      <c r="F1806" t="s">
        <v>10109</v>
      </c>
      <c r="G1806" t="s">
        <v>839</v>
      </c>
    </row>
    <row r="1807" spans="1:7" x14ac:dyDescent="0.25">
      <c r="A1807" t="s">
        <v>10111</v>
      </c>
      <c r="B1807" t="s">
        <v>10161</v>
      </c>
      <c r="C1807" t="s">
        <v>10112</v>
      </c>
      <c r="E1807" s="19">
        <v>966500669077</v>
      </c>
      <c r="F1807" t="s">
        <v>10111</v>
      </c>
      <c r="G1807" t="s">
        <v>838</v>
      </c>
    </row>
    <row r="1808" spans="1:7" x14ac:dyDescent="0.25">
      <c r="A1808" t="s">
        <v>10162</v>
      </c>
      <c r="B1808" t="s">
        <v>10163</v>
      </c>
      <c r="C1808" t="s">
        <v>10164</v>
      </c>
      <c r="E1808" s="19">
        <v>966555002096</v>
      </c>
      <c r="F1808" t="s">
        <v>10162</v>
      </c>
      <c r="G1808" t="s">
        <v>841</v>
      </c>
    </row>
    <row r="1809" spans="1:7" x14ac:dyDescent="0.25">
      <c r="A1809" t="s">
        <v>10165</v>
      </c>
      <c r="B1809" t="s">
        <v>10166</v>
      </c>
      <c r="C1809" t="s">
        <v>10167</v>
      </c>
      <c r="E1809" s="19">
        <v>966565674503</v>
      </c>
      <c r="F1809" t="s">
        <v>10165</v>
      </c>
      <c r="G1809" t="s">
        <v>850</v>
      </c>
    </row>
    <row r="1810" spans="1:7" x14ac:dyDescent="0.25">
      <c r="A1810" t="s">
        <v>10168</v>
      </c>
      <c r="B1810" t="s">
        <v>10113</v>
      </c>
      <c r="C1810" t="s">
        <v>10169</v>
      </c>
      <c r="E1810" s="19">
        <v>971503575001</v>
      </c>
      <c r="F1810" t="s">
        <v>10168</v>
      </c>
      <c r="G1810" t="s">
        <v>2732</v>
      </c>
    </row>
    <row r="1811" spans="1:7" x14ac:dyDescent="0.25">
      <c r="A1811" t="s">
        <v>10178</v>
      </c>
      <c r="B1811" t="s">
        <v>10179</v>
      </c>
      <c r="C1811" t="s">
        <v>10180</v>
      </c>
      <c r="E1811" s="19">
        <v>966567289177</v>
      </c>
      <c r="F1811" t="s">
        <v>10178</v>
      </c>
      <c r="G1811" t="s">
        <v>844</v>
      </c>
    </row>
    <row r="1812" spans="1:7" x14ac:dyDescent="0.25">
      <c r="A1812" t="s">
        <v>10181</v>
      </c>
      <c r="B1812" t="s">
        <v>10182</v>
      </c>
      <c r="C1812" t="s">
        <v>10183</v>
      </c>
      <c r="E1812" s="19">
        <v>966554339660</v>
      </c>
      <c r="F1812" t="s">
        <v>10181</v>
      </c>
      <c r="G1812" t="s">
        <v>844</v>
      </c>
    </row>
    <row r="1813" spans="1:7" x14ac:dyDescent="0.25">
      <c r="A1813" t="s">
        <v>10191</v>
      </c>
      <c r="B1813" t="s">
        <v>10192</v>
      </c>
      <c r="C1813" t="s">
        <v>10193</v>
      </c>
      <c r="F1813" t="s">
        <v>10191</v>
      </c>
      <c r="G1813" t="s">
        <v>844</v>
      </c>
    </row>
    <row r="1814" spans="1:7" x14ac:dyDescent="0.25">
      <c r="A1814" t="s">
        <v>10194</v>
      </c>
      <c r="B1814" t="s">
        <v>10195</v>
      </c>
      <c r="C1814" t="s">
        <v>10196</v>
      </c>
      <c r="F1814" t="s">
        <v>10194</v>
      </c>
      <c r="G1814" t="s">
        <v>844</v>
      </c>
    </row>
    <row r="1815" spans="1:7" x14ac:dyDescent="0.25">
      <c r="A1815" t="s">
        <v>10197</v>
      </c>
      <c r="B1815" t="s">
        <v>10198</v>
      </c>
      <c r="C1815" t="s">
        <v>10199</v>
      </c>
      <c r="F1815" t="s">
        <v>10197</v>
      </c>
      <c r="G1815" t="s">
        <v>844</v>
      </c>
    </row>
    <row r="1816" spans="1:7" x14ac:dyDescent="0.25">
      <c r="A1816" t="s">
        <v>1956</v>
      </c>
      <c r="B1816" t="s">
        <v>10200</v>
      </c>
      <c r="C1816" t="s">
        <v>1958</v>
      </c>
      <c r="E1816" s="19">
        <v>971526449421</v>
      </c>
      <c r="F1816" t="s">
        <v>1956</v>
      </c>
      <c r="G1816" t="s">
        <v>1865</v>
      </c>
    </row>
    <row r="1817" spans="1:7" x14ac:dyDescent="0.25">
      <c r="A1817" t="s">
        <v>10201</v>
      </c>
      <c r="B1817" t="s">
        <v>10202</v>
      </c>
      <c r="C1817" t="s">
        <v>1774</v>
      </c>
      <c r="F1817" t="s">
        <v>10201</v>
      </c>
      <c r="G1817" t="s">
        <v>9497</v>
      </c>
    </row>
    <row r="1818" spans="1:7" x14ac:dyDescent="0.25">
      <c r="A1818" t="s">
        <v>10208</v>
      </c>
      <c r="B1818" t="s">
        <v>10209</v>
      </c>
      <c r="C1818" t="s">
        <v>10208</v>
      </c>
      <c r="F1818" t="s">
        <v>10208</v>
      </c>
      <c r="G1818" t="s">
        <v>9497</v>
      </c>
    </row>
    <row r="1819" spans="1:7" x14ac:dyDescent="0.25">
      <c r="A1819" t="s">
        <v>10210</v>
      </c>
      <c r="B1819" t="s">
        <v>10211</v>
      </c>
      <c r="C1819" t="s">
        <v>10210</v>
      </c>
      <c r="F1819" t="s">
        <v>10210</v>
      </c>
      <c r="G1819" t="s">
        <v>9497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3:D193"/>
  <sheetViews>
    <sheetView topLeftCell="A4" workbookViewId="0">
      <selection activeCell="A7" sqref="A7:A192"/>
    </sheetView>
  </sheetViews>
  <sheetFormatPr defaultRowHeight="15" x14ac:dyDescent="0.25"/>
  <cols>
    <col min="1" max="1" width="7.7109375" customWidth="1"/>
    <col min="2" max="2" width="14.140625" bestFit="1" customWidth="1"/>
    <col min="3" max="3" width="10.85546875" customWidth="1"/>
    <col min="4" max="4" width="5.42578125" customWidth="1"/>
  </cols>
  <sheetData>
    <row r="3" spans="1:4" x14ac:dyDescent="0.25">
      <c r="B3" s="3" t="s">
        <v>897</v>
      </c>
    </row>
    <row r="4" spans="1:4" x14ac:dyDescent="0.25">
      <c r="A4">
        <f>IF(ISBLANK(B4),A3,A3+1)</f>
        <v>1</v>
      </c>
      <c r="B4" s="3" t="s">
        <v>31</v>
      </c>
      <c r="C4" s="3" t="s">
        <v>8</v>
      </c>
      <c r="D4" t="s">
        <v>898</v>
      </c>
    </row>
    <row r="5" spans="1:4" x14ac:dyDescent="0.25">
      <c r="A5">
        <f>IF(ISBLANK(B5),A4,A4+1)</f>
        <v>2</v>
      </c>
      <c r="B5" t="s">
        <v>195</v>
      </c>
      <c r="C5" t="s">
        <v>4882</v>
      </c>
      <c r="D5" s="2">
        <v>5</v>
      </c>
    </row>
    <row r="6" spans="1:4" x14ac:dyDescent="0.25">
      <c r="A6">
        <f>IF(ISBLANK(B6),A5,A5+1)</f>
        <v>2</v>
      </c>
      <c r="C6" t="s">
        <v>4933</v>
      </c>
      <c r="D6" s="2">
        <v>5</v>
      </c>
    </row>
    <row r="7" spans="1:4" x14ac:dyDescent="0.25">
      <c r="A7">
        <f t="shared" ref="A7:A70" si="0">IF(ISBLANK(B7),A6,A6+1)</f>
        <v>2</v>
      </c>
      <c r="C7" t="s">
        <v>5722</v>
      </c>
      <c r="D7" s="2">
        <v>1</v>
      </c>
    </row>
    <row r="8" spans="1:4" x14ac:dyDescent="0.25">
      <c r="A8">
        <f t="shared" si="0"/>
        <v>2</v>
      </c>
      <c r="C8" t="s">
        <v>6099</v>
      </c>
      <c r="D8" s="2">
        <v>1</v>
      </c>
    </row>
    <row r="9" spans="1:4" x14ac:dyDescent="0.25">
      <c r="A9">
        <f t="shared" si="0"/>
        <v>2</v>
      </c>
      <c r="C9" t="s">
        <v>6405</v>
      </c>
      <c r="D9" s="2">
        <v>1</v>
      </c>
    </row>
    <row r="10" spans="1:4" x14ac:dyDescent="0.25">
      <c r="A10">
        <f t="shared" si="0"/>
        <v>2</v>
      </c>
      <c r="C10" t="s">
        <v>6645</v>
      </c>
      <c r="D10" s="2">
        <v>6</v>
      </c>
    </row>
    <row r="11" spans="1:4" x14ac:dyDescent="0.25">
      <c r="A11">
        <f t="shared" si="0"/>
        <v>3</v>
      </c>
      <c r="B11" t="s">
        <v>2037</v>
      </c>
      <c r="C11" t="s">
        <v>3263</v>
      </c>
      <c r="D11" s="2">
        <v>3</v>
      </c>
    </row>
    <row r="12" spans="1:4" x14ac:dyDescent="0.25">
      <c r="A12">
        <f t="shared" si="0"/>
        <v>3</v>
      </c>
      <c r="C12" t="s">
        <v>3848</v>
      </c>
      <c r="D12" s="2">
        <v>2</v>
      </c>
    </row>
    <row r="13" spans="1:4" x14ac:dyDescent="0.25">
      <c r="A13">
        <f t="shared" si="0"/>
        <v>3</v>
      </c>
      <c r="C13" t="s">
        <v>3872</v>
      </c>
      <c r="D13" s="2">
        <v>1</v>
      </c>
    </row>
    <row r="14" spans="1:4" x14ac:dyDescent="0.25">
      <c r="A14">
        <f t="shared" si="0"/>
        <v>3</v>
      </c>
      <c r="C14" t="s">
        <v>4069</v>
      </c>
      <c r="D14" s="2">
        <v>2</v>
      </c>
    </row>
    <row r="15" spans="1:4" x14ac:dyDescent="0.25">
      <c r="A15">
        <f t="shared" si="0"/>
        <v>3</v>
      </c>
      <c r="C15" t="s">
        <v>4291</v>
      </c>
      <c r="D15" s="2">
        <v>4</v>
      </c>
    </row>
    <row r="16" spans="1:4" x14ac:dyDescent="0.25">
      <c r="A16">
        <f t="shared" si="0"/>
        <v>3</v>
      </c>
      <c r="C16" t="s">
        <v>4403</v>
      </c>
      <c r="D16" s="2">
        <v>1</v>
      </c>
    </row>
    <row r="17" spans="1:4" x14ac:dyDescent="0.25">
      <c r="A17">
        <f t="shared" si="0"/>
        <v>3</v>
      </c>
      <c r="C17" t="s">
        <v>4832</v>
      </c>
      <c r="D17" s="2">
        <v>2</v>
      </c>
    </row>
    <row r="18" spans="1:4" x14ac:dyDescent="0.25">
      <c r="A18">
        <f t="shared" si="0"/>
        <v>3</v>
      </c>
      <c r="C18" t="s">
        <v>4894</v>
      </c>
      <c r="D18" s="2">
        <v>4</v>
      </c>
    </row>
    <row r="19" spans="1:4" x14ac:dyDescent="0.25">
      <c r="A19">
        <f t="shared" si="0"/>
        <v>3</v>
      </c>
      <c r="C19" t="s">
        <v>5138</v>
      </c>
      <c r="D19" s="2">
        <v>8</v>
      </c>
    </row>
    <row r="20" spans="1:4" x14ac:dyDescent="0.25">
      <c r="A20">
        <f t="shared" si="0"/>
        <v>3</v>
      </c>
      <c r="C20" t="s">
        <v>5509</v>
      </c>
      <c r="D20" s="2">
        <v>1</v>
      </c>
    </row>
    <row r="21" spans="1:4" x14ac:dyDescent="0.25">
      <c r="A21">
        <f t="shared" si="0"/>
        <v>3</v>
      </c>
      <c r="C21" t="s">
        <v>6150</v>
      </c>
      <c r="D21" s="2">
        <v>3</v>
      </c>
    </row>
    <row r="22" spans="1:4" x14ac:dyDescent="0.25">
      <c r="A22">
        <f t="shared" si="0"/>
        <v>3</v>
      </c>
      <c r="C22" t="s">
        <v>6292</v>
      </c>
      <c r="D22" s="2">
        <v>2</v>
      </c>
    </row>
    <row r="23" spans="1:4" x14ac:dyDescent="0.25">
      <c r="A23">
        <f t="shared" si="0"/>
        <v>3</v>
      </c>
      <c r="C23" t="s">
        <v>6397</v>
      </c>
      <c r="D23" s="2">
        <v>1</v>
      </c>
    </row>
    <row r="24" spans="1:4" x14ac:dyDescent="0.25">
      <c r="A24">
        <f t="shared" si="0"/>
        <v>4</v>
      </c>
      <c r="B24" t="s">
        <v>448</v>
      </c>
      <c r="C24" t="s">
        <v>3777</v>
      </c>
      <c r="D24" s="2">
        <v>1</v>
      </c>
    </row>
    <row r="25" spans="1:4" x14ac:dyDescent="0.25">
      <c r="A25">
        <f t="shared" si="0"/>
        <v>4</v>
      </c>
      <c r="C25" t="s">
        <v>4658</v>
      </c>
      <c r="D25" s="2">
        <v>1</v>
      </c>
    </row>
    <row r="26" spans="1:4" x14ac:dyDescent="0.25">
      <c r="A26">
        <f t="shared" si="0"/>
        <v>5</v>
      </c>
      <c r="B26" t="s">
        <v>86</v>
      </c>
      <c r="C26" t="s">
        <v>3449</v>
      </c>
      <c r="D26" s="2">
        <v>1</v>
      </c>
    </row>
    <row r="27" spans="1:4" x14ac:dyDescent="0.25">
      <c r="A27">
        <f t="shared" si="0"/>
        <v>5</v>
      </c>
      <c r="C27" t="s">
        <v>3686</v>
      </c>
      <c r="D27" s="2">
        <v>1</v>
      </c>
    </row>
    <row r="28" spans="1:4" x14ac:dyDescent="0.25">
      <c r="A28">
        <f t="shared" si="0"/>
        <v>5</v>
      </c>
      <c r="C28" t="s">
        <v>3702</v>
      </c>
      <c r="D28" s="2">
        <v>1</v>
      </c>
    </row>
    <row r="29" spans="1:4" x14ac:dyDescent="0.25">
      <c r="A29">
        <f t="shared" si="0"/>
        <v>5</v>
      </c>
      <c r="C29" t="s">
        <v>4346</v>
      </c>
      <c r="D29" s="2">
        <v>6</v>
      </c>
    </row>
    <row r="30" spans="1:4" x14ac:dyDescent="0.25">
      <c r="A30">
        <f t="shared" si="0"/>
        <v>5</v>
      </c>
      <c r="C30" t="s">
        <v>4771</v>
      </c>
      <c r="D30" s="2">
        <v>1</v>
      </c>
    </row>
    <row r="31" spans="1:4" x14ac:dyDescent="0.25">
      <c r="A31">
        <f t="shared" si="0"/>
        <v>5</v>
      </c>
      <c r="C31" t="s">
        <v>4913</v>
      </c>
      <c r="D31" s="2">
        <v>5</v>
      </c>
    </row>
    <row r="32" spans="1:4" x14ac:dyDescent="0.25">
      <c r="A32">
        <f t="shared" si="0"/>
        <v>5</v>
      </c>
      <c r="C32" t="s">
        <v>4955</v>
      </c>
      <c r="D32" s="2">
        <v>3</v>
      </c>
    </row>
    <row r="33" spans="1:4" x14ac:dyDescent="0.25">
      <c r="A33">
        <f t="shared" si="0"/>
        <v>5</v>
      </c>
      <c r="C33" t="s">
        <v>4979</v>
      </c>
      <c r="D33" s="2">
        <v>26</v>
      </c>
    </row>
    <row r="34" spans="1:4" x14ac:dyDescent="0.25">
      <c r="A34">
        <f t="shared" si="0"/>
        <v>5</v>
      </c>
      <c r="C34" t="s">
        <v>5186</v>
      </c>
      <c r="D34" s="2">
        <v>6</v>
      </c>
    </row>
    <row r="35" spans="1:4" x14ac:dyDescent="0.25">
      <c r="A35">
        <f t="shared" si="0"/>
        <v>5</v>
      </c>
      <c r="C35" t="s">
        <v>5607</v>
      </c>
      <c r="D35" s="2">
        <v>44</v>
      </c>
    </row>
    <row r="36" spans="1:4" x14ac:dyDescent="0.25">
      <c r="A36">
        <f t="shared" si="0"/>
        <v>5</v>
      </c>
      <c r="C36" t="s">
        <v>5664</v>
      </c>
      <c r="D36" s="2">
        <v>4</v>
      </c>
    </row>
    <row r="37" spans="1:4" x14ac:dyDescent="0.25">
      <c r="A37">
        <f t="shared" si="0"/>
        <v>6</v>
      </c>
      <c r="B37" t="s">
        <v>161</v>
      </c>
      <c r="C37" t="s">
        <v>4689</v>
      </c>
      <c r="D37" s="2">
        <v>1</v>
      </c>
    </row>
    <row r="38" spans="1:4" x14ac:dyDescent="0.25">
      <c r="A38">
        <f t="shared" si="0"/>
        <v>6</v>
      </c>
      <c r="C38" t="s">
        <v>5238</v>
      </c>
      <c r="D38" s="2">
        <v>1</v>
      </c>
    </row>
    <row r="39" spans="1:4" x14ac:dyDescent="0.25">
      <c r="A39">
        <f t="shared" si="0"/>
        <v>6</v>
      </c>
      <c r="C39" t="s">
        <v>6300</v>
      </c>
      <c r="D39" s="2">
        <v>1</v>
      </c>
    </row>
    <row r="40" spans="1:4" x14ac:dyDescent="0.25">
      <c r="A40">
        <f t="shared" si="0"/>
        <v>6</v>
      </c>
      <c r="C40" t="s">
        <v>6390</v>
      </c>
      <c r="D40" s="2">
        <v>2</v>
      </c>
    </row>
    <row r="41" spans="1:4" x14ac:dyDescent="0.25">
      <c r="A41">
        <f t="shared" si="0"/>
        <v>7</v>
      </c>
      <c r="B41" t="s">
        <v>643</v>
      </c>
      <c r="C41" t="s">
        <v>3968</v>
      </c>
      <c r="D41" s="2">
        <v>1</v>
      </c>
    </row>
    <row r="42" spans="1:4" x14ac:dyDescent="0.25">
      <c r="A42">
        <f t="shared" si="0"/>
        <v>7</v>
      </c>
      <c r="C42" t="s">
        <v>4373</v>
      </c>
      <c r="D42" s="2">
        <v>1</v>
      </c>
    </row>
    <row r="43" spans="1:4" x14ac:dyDescent="0.25">
      <c r="A43">
        <f t="shared" si="0"/>
        <v>7</v>
      </c>
      <c r="C43" t="s">
        <v>4379</v>
      </c>
      <c r="D43" s="2">
        <v>10</v>
      </c>
    </row>
    <row r="44" spans="1:4" x14ac:dyDescent="0.25">
      <c r="A44">
        <f t="shared" si="0"/>
        <v>7</v>
      </c>
      <c r="C44" t="s">
        <v>4769</v>
      </c>
      <c r="D44" s="2">
        <v>1</v>
      </c>
    </row>
    <row r="45" spans="1:4" x14ac:dyDescent="0.25">
      <c r="A45">
        <f t="shared" si="0"/>
        <v>7</v>
      </c>
      <c r="C45" t="s">
        <v>4814</v>
      </c>
      <c r="D45" s="2">
        <v>1</v>
      </c>
    </row>
    <row r="46" spans="1:4" x14ac:dyDescent="0.25">
      <c r="A46">
        <f t="shared" si="0"/>
        <v>7</v>
      </c>
      <c r="C46" t="s">
        <v>4871</v>
      </c>
      <c r="D46" s="2">
        <v>28</v>
      </c>
    </row>
    <row r="47" spans="1:4" x14ac:dyDescent="0.25">
      <c r="A47">
        <f t="shared" si="0"/>
        <v>7</v>
      </c>
      <c r="C47" t="s">
        <v>4957</v>
      </c>
      <c r="D47" s="2">
        <v>11</v>
      </c>
    </row>
    <row r="48" spans="1:4" x14ac:dyDescent="0.25">
      <c r="A48">
        <f t="shared" si="0"/>
        <v>7</v>
      </c>
      <c r="C48" t="s">
        <v>5197</v>
      </c>
      <c r="D48" s="2">
        <v>1</v>
      </c>
    </row>
    <row r="49" spans="1:4" x14ac:dyDescent="0.25">
      <c r="A49">
        <f t="shared" si="0"/>
        <v>7</v>
      </c>
      <c r="C49" t="s">
        <v>6134</v>
      </c>
      <c r="D49" s="2">
        <v>3</v>
      </c>
    </row>
    <row r="50" spans="1:4" x14ac:dyDescent="0.25">
      <c r="A50">
        <f t="shared" si="0"/>
        <v>7</v>
      </c>
      <c r="C50" t="s">
        <v>6510</v>
      </c>
      <c r="D50" s="2">
        <v>3</v>
      </c>
    </row>
    <row r="51" spans="1:4" x14ac:dyDescent="0.25">
      <c r="A51">
        <f t="shared" si="0"/>
        <v>8</v>
      </c>
      <c r="B51" t="s">
        <v>2195</v>
      </c>
      <c r="C51" t="s">
        <v>4412</v>
      </c>
      <c r="D51" s="2">
        <v>1</v>
      </c>
    </row>
    <row r="52" spans="1:4" x14ac:dyDescent="0.25">
      <c r="A52">
        <f t="shared" si="0"/>
        <v>8</v>
      </c>
      <c r="C52" t="s">
        <v>6629</v>
      </c>
      <c r="D52" s="2">
        <v>4</v>
      </c>
    </row>
    <row r="53" spans="1:4" x14ac:dyDescent="0.25">
      <c r="A53">
        <f t="shared" si="0"/>
        <v>9</v>
      </c>
      <c r="B53" t="s">
        <v>1956</v>
      </c>
      <c r="C53" t="s">
        <v>4776</v>
      </c>
      <c r="D53" s="2">
        <v>1</v>
      </c>
    </row>
    <row r="54" spans="1:4" x14ac:dyDescent="0.25">
      <c r="A54">
        <f t="shared" si="0"/>
        <v>9</v>
      </c>
      <c r="C54" t="s">
        <v>4799</v>
      </c>
      <c r="D54" s="2">
        <v>1</v>
      </c>
    </row>
    <row r="55" spans="1:4" x14ac:dyDescent="0.25">
      <c r="A55">
        <f t="shared" si="0"/>
        <v>9</v>
      </c>
      <c r="C55" t="s">
        <v>5975</v>
      </c>
      <c r="D55" s="2">
        <v>1</v>
      </c>
    </row>
    <row r="56" spans="1:4" x14ac:dyDescent="0.25">
      <c r="A56">
        <f t="shared" si="0"/>
        <v>10</v>
      </c>
      <c r="B56" t="s">
        <v>78</v>
      </c>
      <c r="C56" t="s">
        <v>4561</v>
      </c>
      <c r="D56" s="2">
        <v>1</v>
      </c>
    </row>
    <row r="57" spans="1:4" x14ac:dyDescent="0.25">
      <c r="A57">
        <f t="shared" si="0"/>
        <v>10</v>
      </c>
      <c r="C57" t="s">
        <v>4843</v>
      </c>
      <c r="D57" s="2">
        <v>1</v>
      </c>
    </row>
    <row r="58" spans="1:4" x14ac:dyDescent="0.25">
      <c r="A58">
        <f t="shared" si="0"/>
        <v>10</v>
      </c>
      <c r="C58" t="s">
        <v>6225</v>
      </c>
      <c r="D58" s="2">
        <v>1</v>
      </c>
    </row>
    <row r="59" spans="1:4" x14ac:dyDescent="0.25">
      <c r="A59">
        <f t="shared" si="0"/>
        <v>10</v>
      </c>
      <c r="C59" t="s">
        <v>6537</v>
      </c>
      <c r="D59" s="2">
        <v>1</v>
      </c>
    </row>
    <row r="60" spans="1:4" x14ac:dyDescent="0.25">
      <c r="A60">
        <f t="shared" si="0"/>
        <v>11</v>
      </c>
      <c r="B60" t="s">
        <v>654</v>
      </c>
      <c r="C60" t="s">
        <v>3164</v>
      </c>
      <c r="D60" s="2">
        <v>6</v>
      </c>
    </row>
    <row r="61" spans="1:4" x14ac:dyDescent="0.25">
      <c r="A61">
        <f t="shared" si="0"/>
        <v>11</v>
      </c>
      <c r="C61" t="s">
        <v>3189</v>
      </c>
      <c r="D61" s="2">
        <v>3</v>
      </c>
    </row>
    <row r="62" spans="1:4" x14ac:dyDescent="0.25">
      <c r="A62">
        <f t="shared" si="0"/>
        <v>11</v>
      </c>
      <c r="C62" t="s">
        <v>3211</v>
      </c>
      <c r="D62" s="2">
        <v>1</v>
      </c>
    </row>
    <row r="63" spans="1:4" x14ac:dyDescent="0.25">
      <c r="A63">
        <f t="shared" si="0"/>
        <v>11</v>
      </c>
      <c r="C63" t="s">
        <v>3264</v>
      </c>
      <c r="D63" s="2">
        <v>2</v>
      </c>
    </row>
    <row r="64" spans="1:4" x14ac:dyDescent="0.25">
      <c r="A64">
        <f t="shared" si="0"/>
        <v>11</v>
      </c>
      <c r="C64" t="s">
        <v>3265</v>
      </c>
      <c r="D64" s="2">
        <v>6</v>
      </c>
    </row>
    <row r="65" spans="1:4" x14ac:dyDescent="0.25">
      <c r="A65">
        <f t="shared" si="0"/>
        <v>11</v>
      </c>
      <c r="C65" t="s">
        <v>3283</v>
      </c>
      <c r="D65" s="2">
        <v>1</v>
      </c>
    </row>
    <row r="66" spans="1:4" x14ac:dyDescent="0.25">
      <c r="A66">
        <f t="shared" si="0"/>
        <v>11</v>
      </c>
      <c r="C66" t="s">
        <v>3300</v>
      </c>
      <c r="D66" s="2">
        <v>2</v>
      </c>
    </row>
    <row r="67" spans="1:4" x14ac:dyDescent="0.25">
      <c r="A67">
        <f t="shared" si="0"/>
        <v>11</v>
      </c>
      <c r="C67" t="s">
        <v>3305</v>
      </c>
      <c r="D67" s="2">
        <v>1</v>
      </c>
    </row>
    <row r="68" spans="1:4" x14ac:dyDescent="0.25">
      <c r="A68">
        <f t="shared" si="0"/>
        <v>11</v>
      </c>
      <c r="C68" t="s">
        <v>3310</v>
      </c>
      <c r="D68" s="2">
        <v>6</v>
      </c>
    </row>
    <row r="69" spans="1:4" x14ac:dyDescent="0.25">
      <c r="A69">
        <f t="shared" si="0"/>
        <v>11</v>
      </c>
      <c r="C69" t="s">
        <v>3329</v>
      </c>
      <c r="D69" s="2">
        <v>5</v>
      </c>
    </row>
    <row r="70" spans="1:4" x14ac:dyDescent="0.25">
      <c r="A70">
        <f t="shared" si="0"/>
        <v>11</v>
      </c>
      <c r="C70" t="s">
        <v>3348</v>
      </c>
      <c r="D70" s="2">
        <v>2</v>
      </c>
    </row>
    <row r="71" spans="1:4" x14ac:dyDescent="0.25">
      <c r="A71">
        <f t="shared" ref="A71:A134" si="1">IF(ISBLANK(B71),A70,A70+1)</f>
        <v>11</v>
      </c>
      <c r="C71" t="s">
        <v>3368</v>
      </c>
      <c r="D71" s="2">
        <v>4</v>
      </c>
    </row>
    <row r="72" spans="1:4" x14ac:dyDescent="0.25">
      <c r="A72">
        <f t="shared" si="1"/>
        <v>11</v>
      </c>
      <c r="C72" t="s">
        <v>3398</v>
      </c>
      <c r="D72" s="2">
        <v>1</v>
      </c>
    </row>
    <row r="73" spans="1:4" x14ac:dyDescent="0.25">
      <c r="A73">
        <f t="shared" si="1"/>
        <v>11</v>
      </c>
      <c r="C73" t="s">
        <v>3404</v>
      </c>
      <c r="D73" s="2">
        <v>4</v>
      </c>
    </row>
    <row r="74" spans="1:4" x14ac:dyDescent="0.25">
      <c r="A74">
        <f t="shared" si="1"/>
        <v>11</v>
      </c>
      <c r="C74" t="s">
        <v>3417</v>
      </c>
      <c r="D74" s="2">
        <v>2</v>
      </c>
    </row>
    <row r="75" spans="1:4" x14ac:dyDescent="0.25">
      <c r="A75">
        <f t="shared" si="1"/>
        <v>11</v>
      </c>
      <c r="C75" t="s">
        <v>3418</v>
      </c>
      <c r="D75" s="2">
        <v>10</v>
      </c>
    </row>
    <row r="76" spans="1:4" x14ac:dyDescent="0.25">
      <c r="A76">
        <f t="shared" si="1"/>
        <v>11</v>
      </c>
      <c r="C76" t="s">
        <v>3420</v>
      </c>
      <c r="D76" s="2">
        <v>9</v>
      </c>
    </row>
    <row r="77" spans="1:4" x14ac:dyDescent="0.25">
      <c r="A77">
        <f t="shared" si="1"/>
        <v>11</v>
      </c>
      <c r="C77" t="s">
        <v>3436</v>
      </c>
      <c r="D77" s="2">
        <v>25</v>
      </c>
    </row>
    <row r="78" spans="1:4" x14ac:dyDescent="0.25">
      <c r="A78">
        <f t="shared" si="1"/>
        <v>11</v>
      </c>
      <c r="C78" t="s">
        <v>3481</v>
      </c>
      <c r="D78" s="2">
        <v>2</v>
      </c>
    </row>
    <row r="79" spans="1:4" x14ac:dyDescent="0.25">
      <c r="A79">
        <f t="shared" si="1"/>
        <v>11</v>
      </c>
      <c r="C79" t="s">
        <v>3526</v>
      </c>
      <c r="D79" s="2">
        <v>1</v>
      </c>
    </row>
    <row r="80" spans="1:4" x14ac:dyDescent="0.25">
      <c r="A80">
        <f t="shared" si="1"/>
        <v>11</v>
      </c>
      <c r="C80" t="s">
        <v>3647</v>
      </c>
      <c r="D80" s="2">
        <v>11</v>
      </c>
    </row>
    <row r="81" spans="1:4" x14ac:dyDescent="0.25">
      <c r="A81">
        <f t="shared" si="1"/>
        <v>11</v>
      </c>
      <c r="C81" t="s">
        <v>3663</v>
      </c>
      <c r="D81" s="2">
        <v>2</v>
      </c>
    </row>
    <row r="82" spans="1:4" x14ac:dyDescent="0.25">
      <c r="A82">
        <f t="shared" si="1"/>
        <v>11</v>
      </c>
      <c r="C82" t="s">
        <v>3672</v>
      </c>
      <c r="D82" s="2">
        <v>3</v>
      </c>
    </row>
    <row r="83" spans="1:4" x14ac:dyDescent="0.25">
      <c r="A83">
        <f t="shared" si="1"/>
        <v>11</v>
      </c>
      <c r="C83" t="s">
        <v>3696</v>
      </c>
      <c r="D83" s="2">
        <v>1</v>
      </c>
    </row>
    <row r="84" spans="1:4" x14ac:dyDescent="0.25">
      <c r="A84">
        <f t="shared" si="1"/>
        <v>11</v>
      </c>
      <c r="C84" t="s">
        <v>3735</v>
      </c>
      <c r="D84" s="2">
        <v>1</v>
      </c>
    </row>
    <row r="85" spans="1:4" x14ac:dyDescent="0.25">
      <c r="A85">
        <f t="shared" si="1"/>
        <v>11</v>
      </c>
      <c r="C85" t="s">
        <v>3771</v>
      </c>
      <c r="D85" s="2">
        <v>71</v>
      </c>
    </row>
    <row r="86" spans="1:4" x14ac:dyDescent="0.25">
      <c r="A86">
        <f t="shared" si="1"/>
        <v>11</v>
      </c>
      <c r="C86" t="s">
        <v>3811</v>
      </c>
      <c r="D86" s="2">
        <v>13</v>
      </c>
    </row>
    <row r="87" spans="1:4" x14ac:dyDescent="0.25">
      <c r="A87">
        <f t="shared" si="1"/>
        <v>11</v>
      </c>
      <c r="C87" t="s">
        <v>4053</v>
      </c>
      <c r="D87" s="2">
        <v>55</v>
      </c>
    </row>
    <row r="88" spans="1:4" x14ac:dyDescent="0.25">
      <c r="A88">
        <f t="shared" si="1"/>
        <v>11</v>
      </c>
      <c r="C88" t="s">
        <v>4394</v>
      </c>
      <c r="D88" s="2">
        <v>1</v>
      </c>
    </row>
    <row r="89" spans="1:4" x14ac:dyDescent="0.25">
      <c r="A89">
        <f t="shared" si="1"/>
        <v>11</v>
      </c>
      <c r="C89" t="s">
        <v>4750</v>
      </c>
      <c r="D89" s="2">
        <v>9</v>
      </c>
    </row>
    <row r="90" spans="1:4" x14ac:dyDescent="0.25">
      <c r="A90">
        <f t="shared" si="1"/>
        <v>11</v>
      </c>
      <c r="C90" t="s">
        <v>4848</v>
      </c>
      <c r="D90" s="2">
        <v>4</v>
      </c>
    </row>
    <row r="91" spans="1:4" x14ac:dyDescent="0.25">
      <c r="A91">
        <f t="shared" si="1"/>
        <v>11</v>
      </c>
      <c r="C91" t="s">
        <v>4900</v>
      </c>
      <c r="D91" s="2">
        <v>185</v>
      </c>
    </row>
    <row r="92" spans="1:4" x14ac:dyDescent="0.25">
      <c r="A92">
        <f t="shared" si="1"/>
        <v>11</v>
      </c>
      <c r="C92" t="s">
        <v>5091</v>
      </c>
      <c r="D92" s="2">
        <v>80</v>
      </c>
    </row>
    <row r="93" spans="1:4" x14ac:dyDescent="0.25">
      <c r="A93">
        <f t="shared" si="1"/>
        <v>12</v>
      </c>
      <c r="B93" t="s">
        <v>2691</v>
      </c>
      <c r="C93" t="s">
        <v>3830</v>
      </c>
      <c r="D93" s="2">
        <v>1</v>
      </c>
    </row>
    <row r="94" spans="1:4" x14ac:dyDescent="0.25">
      <c r="A94">
        <f t="shared" si="1"/>
        <v>12</v>
      </c>
      <c r="C94" t="s">
        <v>5377</v>
      </c>
      <c r="D94" s="2">
        <v>3</v>
      </c>
    </row>
    <row r="95" spans="1:4" x14ac:dyDescent="0.25">
      <c r="A95">
        <f t="shared" si="1"/>
        <v>13</v>
      </c>
      <c r="B95" t="s">
        <v>184</v>
      </c>
      <c r="C95" t="s">
        <v>3210</v>
      </c>
      <c r="D95" s="2">
        <v>1</v>
      </c>
    </row>
    <row r="96" spans="1:4" x14ac:dyDescent="0.25">
      <c r="A96">
        <f t="shared" si="1"/>
        <v>13</v>
      </c>
      <c r="C96" t="s">
        <v>3791</v>
      </c>
      <c r="D96" s="2">
        <v>1</v>
      </c>
    </row>
    <row r="97" spans="1:4" x14ac:dyDescent="0.25">
      <c r="A97">
        <f t="shared" si="1"/>
        <v>13</v>
      </c>
      <c r="C97" t="s">
        <v>4782</v>
      </c>
      <c r="D97" s="2">
        <v>1</v>
      </c>
    </row>
    <row r="98" spans="1:4" x14ac:dyDescent="0.25">
      <c r="A98">
        <f t="shared" si="1"/>
        <v>13</v>
      </c>
      <c r="C98" t="s">
        <v>5962</v>
      </c>
      <c r="D98" s="2">
        <v>2</v>
      </c>
    </row>
    <row r="99" spans="1:4" x14ac:dyDescent="0.25">
      <c r="A99">
        <f t="shared" si="1"/>
        <v>13</v>
      </c>
      <c r="C99" t="s">
        <v>6403</v>
      </c>
      <c r="D99" s="2">
        <v>2</v>
      </c>
    </row>
    <row r="100" spans="1:4" x14ac:dyDescent="0.25">
      <c r="A100">
        <f t="shared" si="1"/>
        <v>13</v>
      </c>
      <c r="C100" t="s">
        <v>6663</v>
      </c>
      <c r="D100" s="2">
        <v>1</v>
      </c>
    </row>
    <row r="101" spans="1:4" x14ac:dyDescent="0.25">
      <c r="A101">
        <f t="shared" si="1"/>
        <v>14</v>
      </c>
      <c r="B101" t="s">
        <v>54</v>
      </c>
      <c r="C101" t="s">
        <v>4823</v>
      </c>
      <c r="D101" s="2">
        <v>1</v>
      </c>
    </row>
    <row r="102" spans="1:4" x14ac:dyDescent="0.25">
      <c r="A102">
        <f t="shared" si="1"/>
        <v>15</v>
      </c>
      <c r="B102" t="s">
        <v>1264</v>
      </c>
      <c r="C102" t="s">
        <v>4018</v>
      </c>
      <c r="D102" s="2">
        <v>1</v>
      </c>
    </row>
    <row r="103" spans="1:4" x14ac:dyDescent="0.25">
      <c r="A103">
        <f t="shared" si="1"/>
        <v>15</v>
      </c>
      <c r="C103" t="s">
        <v>4977</v>
      </c>
      <c r="D103" s="2">
        <v>1</v>
      </c>
    </row>
    <row r="104" spans="1:4" x14ac:dyDescent="0.25">
      <c r="A104">
        <f t="shared" si="1"/>
        <v>15</v>
      </c>
      <c r="C104" t="s">
        <v>6163</v>
      </c>
      <c r="D104" s="2">
        <v>1</v>
      </c>
    </row>
    <row r="105" spans="1:4" x14ac:dyDescent="0.25">
      <c r="A105">
        <f t="shared" si="1"/>
        <v>15</v>
      </c>
      <c r="C105" t="s">
        <v>6297</v>
      </c>
      <c r="D105" s="2">
        <v>1</v>
      </c>
    </row>
    <row r="106" spans="1:4" x14ac:dyDescent="0.25">
      <c r="A106">
        <f t="shared" si="1"/>
        <v>15</v>
      </c>
      <c r="C106" t="s">
        <v>6596</v>
      </c>
      <c r="D106" s="2">
        <v>2</v>
      </c>
    </row>
    <row r="107" spans="1:4" x14ac:dyDescent="0.25">
      <c r="A107">
        <f t="shared" si="1"/>
        <v>16</v>
      </c>
      <c r="B107" t="s">
        <v>1277</v>
      </c>
      <c r="C107" t="s">
        <v>3288</v>
      </c>
      <c r="D107" s="2">
        <v>1</v>
      </c>
    </row>
    <row r="108" spans="1:4" x14ac:dyDescent="0.25">
      <c r="A108">
        <f t="shared" si="1"/>
        <v>16</v>
      </c>
      <c r="C108" t="s">
        <v>3559</v>
      </c>
      <c r="D108" s="2">
        <v>1</v>
      </c>
    </row>
    <row r="109" spans="1:4" x14ac:dyDescent="0.25">
      <c r="A109">
        <f t="shared" si="1"/>
        <v>16</v>
      </c>
      <c r="C109" t="s">
        <v>3734</v>
      </c>
      <c r="D109" s="2">
        <v>1</v>
      </c>
    </row>
    <row r="110" spans="1:4" x14ac:dyDescent="0.25">
      <c r="A110">
        <f t="shared" si="1"/>
        <v>16</v>
      </c>
      <c r="C110" t="s">
        <v>3808</v>
      </c>
      <c r="D110" s="2">
        <v>1</v>
      </c>
    </row>
    <row r="111" spans="1:4" x14ac:dyDescent="0.25">
      <c r="A111">
        <f t="shared" si="1"/>
        <v>16</v>
      </c>
      <c r="C111" t="s">
        <v>4764</v>
      </c>
      <c r="D111" s="2">
        <v>1</v>
      </c>
    </row>
    <row r="112" spans="1:4" x14ac:dyDescent="0.25">
      <c r="A112">
        <f t="shared" si="1"/>
        <v>16</v>
      </c>
      <c r="C112" t="s">
        <v>4866</v>
      </c>
      <c r="D112" s="2">
        <v>9</v>
      </c>
    </row>
    <row r="113" spans="1:4" x14ac:dyDescent="0.25">
      <c r="A113">
        <f t="shared" si="1"/>
        <v>16</v>
      </c>
      <c r="C113" t="s">
        <v>4938</v>
      </c>
      <c r="D113" s="2">
        <v>5</v>
      </c>
    </row>
    <row r="114" spans="1:4" x14ac:dyDescent="0.25">
      <c r="A114">
        <f t="shared" si="1"/>
        <v>16</v>
      </c>
      <c r="C114" t="s">
        <v>6281</v>
      </c>
      <c r="D114" s="2">
        <v>2</v>
      </c>
    </row>
    <row r="115" spans="1:4" x14ac:dyDescent="0.25">
      <c r="A115">
        <f t="shared" si="1"/>
        <v>17</v>
      </c>
      <c r="B115" t="s">
        <v>216</v>
      </c>
      <c r="C115" t="s">
        <v>4818</v>
      </c>
      <c r="D115" s="2">
        <v>1</v>
      </c>
    </row>
    <row r="116" spans="1:4" x14ac:dyDescent="0.25">
      <c r="A116">
        <f t="shared" si="1"/>
        <v>17</v>
      </c>
      <c r="C116" t="s">
        <v>4972</v>
      </c>
      <c r="D116" s="2">
        <v>1</v>
      </c>
    </row>
    <row r="117" spans="1:4" x14ac:dyDescent="0.25">
      <c r="A117">
        <f t="shared" si="1"/>
        <v>17</v>
      </c>
      <c r="C117" t="s">
        <v>6195</v>
      </c>
      <c r="D117" s="2">
        <v>1</v>
      </c>
    </row>
    <row r="118" spans="1:4" x14ac:dyDescent="0.25">
      <c r="A118">
        <f t="shared" si="1"/>
        <v>17</v>
      </c>
      <c r="C118" t="s">
        <v>6550</v>
      </c>
      <c r="D118" s="2">
        <v>1</v>
      </c>
    </row>
    <row r="119" spans="1:4" x14ac:dyDescent="0.25">
      <c r="A119">
        <f t="shared" si="1"/>
        <v>18</v>
      </c>
      <c r="B119" t="s">
        <v>1799</v>
      </c>
      <c r="C119" t="s">
        <v>6336</v>
      </c>
      <c r="D119" s="2">
        <v>1</v>
      </c>
    </row>
    <row r="120" spans="1:4" x14ac:dyDescent="0.25">
      <c r="A120">
        <f t="shared" si="1"/>
        <v>19</v>
      </c>
      <c r="B120" t="s">
        <v>1711</v>
      </c>
      <c r="C120" t="s">
        <v>3411</v>
      </c>
      <c r="D120" s="2">
        <v>1</v>
      </c>
    </row>
    <row r="121" spans="1:4" x14ac:dyDescent="0.25">
      <c r="A121">
        <f t="shared" si="1"/>
        <v>19</v>
      </c>
      <c r="C121" t="s">
        <v>5853</v>
      </c>
      <c r="D121" s="2">
        <v>2</v>
      </c>
    </row>
    <row r="122" spans="1:4" x14ac:dyDescent="0.25">
      <c r="A122">
        <f t="shared" si="1"/>
        <v>19</v>
      </c>
      <c r="C122" t="s">
        <v>6264</v>
      </c>
      <c r="D122" s="2">
        <v>10</v>
      </c>
    </row>
    <row r="123" spans="1:4" x14ac:dyDescent="0.25">
      <c r="A123">
        <f t="shared" si="1"/>
        <v>20</v>
      </c>
      <c r="B123" t="s">
        <v>174</v>
      </c>
      <c r="C123" t="s">
        <v>3205</v>
      </c>
      <c r="D123" s="2">
        <v>1</v>
      </c>
    </row>
    <row r="124" spans="1:4" x14ac:dyDescent="0.25">
      <c r="A124">
        <f t="shared" si="1"/>
        <v>20</v>
      </c>
      <c r="C124" t="s">
        <v>4745</v>
      </c>
      <c r="D124" s="2">
        <v>1</v>
      </c>
    </row>
    <row r="125" spans="1:4" x14ac:dyDescent="0.25">
      <c r="A125">
        <f t="shared" si="1"/>
        <v>20</v>
      </c>
      <c r="C125" t="s">
        <v>4759</v>
      </c>
      <c r="D125" s="2">
        <v>1</v>
      </c>
    </row>
    <row r="126" spans="1:4" x14ac:dyDescent="0.25">
      <c r="A126">
        <f t="shared" si="1"/>
        <v>20</v>
      </c>
      <c r="C126" t="s">
        <v>5443</v>
      </c>
      <c r="D126" s="2">
        <v>1</v>
      </c>
    </row>
    <row r="127" spans="1:4" x14ac:dyDescent="0.25">
      <c r="A127">
        <f t="shared" si="1"/>
        <v>20</v>
      </c>
      <c r="C127" t="s">
        <v>6139</v>
      </c>
      <c r="D127" s="2">
        <v>7</v>
      </c>
    </row>
    <row r="128" spans="1:4" x14ac:dyDescent="0.25">
      <c r="A128">
        <f t="shared" si="1"/>
        <v>20</v>
      </c>
      <c r="C128" t="s">
        <v>6347</v>
      </c>
      <c r="D128" s="2">
        <v>2</v>
      </c>
    </row>
    <row r="129" spans="1:4" x14ac:dyDescent="0.25">
      <c r="A129">
        <f t="shared" si="1"/>
        <v>21</v>
      </c>
      <c r="B129" t="s">
        <v>373</v>
      </c>
      <c r="C129" t="s">
        <v>3444</v>
      </c>
      <c r="D129" s="2">
        <v>1</v>
      </c>
    </row>
    <row r="130" spans="1:4" x14ac:dyDescent="0.25">
      <c r="A130">
        <f t="shared" si="1"/>
        <v>21</v>
      </c>
      <c r="C130" t="s">
        <v>5912</v>
      </c>
      <c r="D130" s="2">
        <v>2</v>
      </c>
    </row>
    <row r="131" spans="1:4" x14ac:dyDescent="0.25">
      <c r="A131">
        <f t="shared" si="1"/>
        <v>22</v>
      </c>
      <c r="B131" t="s">
        <v>220</v>
      </c>
      <c r="C131" t="s">
        <v>5379</v>
      </c>
      <c r="D131" s="2">
        <v>1</v>
      </c>
    </row>
    <row r="132" spans="1:4" x14ac:dyDescent="0.25">
      <c r="A132">
        <f t="shared" si="1"/>
        <v>22</v>
      </c>
      <c r="C132" t="s">
        <v>6205</v>
      </c>
      <c r="D132" s="2">
        <v>12</v>
      </c>
    </row>
    <row r="133" spans="1:4" x14ac:dyDescent="0.25">
      <c r="A133">
        <f t="shared" si="1"/>
        <v>22</v>
      </c>
      <c r="C133" t="s">
        <v>6685</v>
      </c>
      <c r="D133" s="2">
        <v>1</v>
      </c>
    </row>
    <row r="134" spans="1:4" x14ac:dyDescent="0.25">
      <c r="A134">
        <f t="shared" si="1"/>
        <v>23</v>
      </c>
      <c r="B134" t="s">
        <v>105</v>
      </c>
      <c r="C134" t="s">
        <v>4861</v>
      </c>
      <c r="D134" s="2">
        <v>1</v>
      </c>
    </row>
    <row r="135" spans="1:4" x14ac:dyDescent="0.25">
      <c r="A135">
        <f t="shared" ref="A135:A192" si="2">IF(ISBLANK(B135),A134,A134+1)</f>
        <v>23</v>
      </c>
      <c r="C135" t="s">
        <v>4954</v>
      </c>
      <c r="D135" s="2">
        <v>8</v>
      </c>
    </row>
    <row r="136" spans="1:4" x14ac:dyDescent="0.25">
      <c r="A136">
        <f t="shared" si="2"/>
        <v>23</v>
      </c>
      <c r="C136" t="s">
        <v>4985</v>
      </c>
      <c r="D136" s="2">
        <v>2</v>
      </c>
    </row>
    <row r="137" spans="1:4" x14ac:dyDescent="0.25">
      <c r="A137">
        <f t="shared" si="2"/>
        <v>23</v>
      </c>
      <c r="C137" t="s">
        <v>4991</v>
      </c>
      <c r="D137" s="2">
        <v>6</v>
      </c>
    </row>
    <row r="138" spans="1:4" x14ac:dyDescent="0.25">
      <c r="A138">
        <f t="shared" si="2"/>
        <v>23</v>
      </c>
      <c r="C138" t="s">
        <v>6097</v>
      </c>
      <c r="D138" s="2">
        <v>1</v>
      </c>
    </row>
    <row r="139" spans="1:4" x14ac:dyDescent="0.25">
      <c r="A139">
        <f t="shared" si="2"/>
        <v>24</v>
      </c>
      <c r="B139" t="s">
        <v>3221</v>
      </c>
      <c r="C139" t="s">
        <v>3220</v>
      </c>
      <c r="D139" s="2">
        <v>1</v>
      </c>
    </row>
    <row r="140" spans="1:4" x14ac:dyDescent="0.25">
      <c r="A140">
        <f t="shared" si="2"/>
        <v>25</v>
      </c>
      <c r="B140" t="s">
        <v>2192</v>
      </c>
      <c r="C140" t="s">
        <v>3226</v>
      </c>
      <c r="D140" s="2">
        <v>1</v>
      </c>
    </row>
    <row r="141" spans="1:4" x14ac:dyDescent="0.25">
      <c r="A141">
        <f t="shared" si="2"/>
        <v>25</v>
      </c>
      <c r="C141" t="s">
        <v>3231</v>
      </c>
      <c r="D141" s="2">
        <v>1</v>
      </c>
    </row>
    <row r="142" spans="1:4" x14ac:dyDescent="0.25">
      <c r="A142">
        <f t="shared" si="2"/>
        <v>25</v>
      </c>
      <c r="C142" t="s">
        <v>3236</v>
      </c>
      <c r="D142" s="2">
        <v>1</v>
      </c>
    </row>
    <row r="143" spans="1:4" x14ac:dyDescent="0.25">
      <c r="A143">
        <f t="shared" si="2"/>
        <v>26</v>
      </c>
      <c r="B143" t="s">
        <v>1273</v>
      </c>
      <c r="C143" t="s">
        <v>3241</v>
      </c>
      <c r="D143" s="2">
        <v>1</v>
      </c>
    </row>
    <row r="144" spans="1:4" x14ac:dyDescent="0.25">
      <c r="A144">
        <f t="shared" si="2"/>
        <v>26</v>
      </c>
      <c r="C144" t="s">
        <v>3246</v>
      </c>
      <c r="D144" s="2">
        <v>1</v>
      </c>
    </row>
    <row r="145" spans="1:4" x14ac:dyDescent="0.25">
      <c r="A145">
        <f t="shared" si="2"/>
        <v>26</v>
      </c>
      <c r="C145" t="s">
        <v>3251</v>
      </c>
      <c r="D145" s="2">
        <v>1</v>
      </c>
    </row>
    <row r="146" spans="1:4" x14ac:dyDescent="0.25">
      <c r="A146">
        <f t="shared" si="2"/>
        <v>27</v>
      </c>
      <c r="B146" t="s">
        <v>2287</v>
      </c>
      <c r="C146" t="s">
        <v>3256</v>
      </c>
      <c r="D146" s="2">
        <v>1</v>
      </c>
    </row>
    <row r="147" spans="1:4" x14ac:dyDescent="0.25">
      <c r="A147">
        <f t="shared" si="2"/>
        <v>27</v>
      </c>
      <c r="C147" t="s">
        <v>5268</v>
      </c>
      <c r="D147" s="2">
        <v>1</v>
      </c>
    </row>
    <row r="148" spans="1:4" x14ac:dyDescent="0.25">
      <c r="A148">
        <f t="shared" si="2"/>
        <v>28</v>
      </c>
      <c r="B148" t="s">
        <v>2031</v>
      </c>
      <c r="C148" t="s">
        <v>3868</v>
      </c>
      <c r="D148" s="2">
        <v>1</v>
      </c>
    </row>
    <row r="149" spans="1:4" x14ac:dyDescent="0.25">
      <c r="A149">
        <f t="shared" si="2"/>
        <v>28</v>
      </c>
      <c r="C149" t="s">
        <v>5518</v>
      </c>
      <c r="D149" s="2">
        <v>1</v>
      </c>
    </row>
    <row r="150" spans="1:4" x14ac:dyDescent="0.25">
      <c r="A150">
        <f t="shared" si="2"/>
        <v>28</v>
      </c>
      <c r="C150" t="s">
        <v>5591</v>
      </c>
      <c r="D150" s="2">
        <v>4</v>
      </c>
    </row>
    <row r="151" spans="1:4" x14ac:dyDescent="0.25">
      <c r="A151">
        <f t="shared" si="2"/>
        <v>28</v>
      </c>
      <c r="C151" t="s">
        <v>6302</v>
      </c>
      <c r="D151" s="2">
        <v>3</v>
      </c>
    </row>
    <row r="152" spans="1:4" x14ac:dyDescent="0.25">
      <c r="A152">
        <f t="shared" si="2"/>
        <v>29</v>
      </c>
      <c r="B152" t="s">
        <v>212</v>
      </c>
      <c r="C152" t="s">
        <v>4816</v>
      </c>
      <c r="D152" s="2">
        <v>1</v>
      </c>
    </row>
    <row r="153" spans="1:4" x14ac:dyDescent="0.25">
      <c r="A153">
        <f t="shared" si="2"/>
        <v>29</v>
      </c>
      <c r="C153" t="s">
        <v>4942</v>
      </c>
      <c r="D153" s="2">
        <v>8</v>
      </c>
    </row>
    <row r="154" spans="1:4" x14ac:dyDescent="0.25">
      <c r="A154">
        <f t="shared" si="2"/>
        <v>29</v>
      </c>
      <c r="C154" t="s">
        <v>6042</v>
      </c>
      <c r="D154" s="2">
        <v>1</v>
      </c>
    </row>
    <row r="155" spans="1:4" x14ac:dyDescent="0.25">
      <c r="A155">
        <f t="shared" si="2"/>
        <v>29</v>
      </c>
      <c r="C155" t="s">
        <v>6375</v>
      </c>
      <c r="D155" s="2">
        <v>6</v>
      </c>
    </row>
    <row r="156" spans="1:4" x14ac:dyDescent="0.25">
      <c r="A156">
        <f t="shared" si="2"/>
        <v>30</v>
      </c>
      <c r="B156" t="s">
        <v>2001</v>
      </c>
      <c r="C156" t="s">
        <v>6635</v>
      </c>
      <c r="D156" s="2">
        <v>1</v>
      </c>
    </row>
    <row r="157" spans="1:4" x14ac:dyDescent="0.25">
      <c r="A157">
        <f t="shared" si="2"/>
        <v>31</v>
      </c>
      <c r="B157" t="s">
        <v>188</v>
      </c>
      <c r="C157" t="s">
        <v>5751</v>
      </c>
      <c r="D157" s="2">
        <v>1</v>
      </c>
    </row>
    <row r="158" spans="1:4" x14ac:dyDescent="0.25">
      <c r="A158">
        <f t="shared" si="2"/>
        <v>32</v>
      </c>
      <c r="B158" t="s">
        <v>43</v>
      </c>
      <c r="C158" t="s">
        <v>4808</v>
      </c>
      <c r="D158" s="2">
        <v>1</v>
      </c>
    </row>
    <row r="159" spans="1:4" x14ac:dyDescent="0.25">
      <c r="A159">
        <f t="shared" si="2"/>
        <v>32</v>
      </c>
      <c r="C159" t="s">
        <v>4961</v>
      </c>
      <c r="D159" s="2">
        <v>2</v>
      </c>
    </row>
    <row r="160" spans="1:4" x14ac:dyDescent="0.25">
      <c r="A160">
        <f t="shared" si="2"/>
        <v>32</v>
      </c>
      <c r="C160" t="s">
        <v>6023</v>
      </c>
      <c r="D160" s="2">
        <v>5</v>
      </c>
    </row>
    <row r="161" spans="1:4" x14ac:dyDescent="0.25">
      <c r="A161">
        <f t="shared" si="2"/>
        <v>33</v>
      </c>
      <c r="B161" t="s">
        <v>1502</v>
      </c>
      <c r="C161" t="s">
        <v>3880</v>
      </c>
      <c r="D161" s="2">
        <v>27</v>
      </c>
    </row>
    <row r="162" spans="1:4" x14ac:dyDescent="0.25">
      <c r="A162">
        <f t="shared" si="2"/>
        <v>33</v>
      </c>
      <c r="C162" t="s">
        <v>3978</v>
      </c>
      <c r="D162" s="2">
        <v>9</v>
      </c>
    </row>
    <row r="163" spans="1:4" x14ac:dyDescent="0.25">
      <c r="A163">
        <f t="shared" si="2"/>
        <v>33</v>
      </c>
      <c r="C163" t="s">
        <v>4948</v>
      </c>
      <c r="D163" s="2">
        <v>43</v>
      </c>
    </row>
    <row r="164" spans="1:4" x14ac:dyDescent="0.25">
      <c r="A164">
        <f t="shared" si="2"/>
        <v>33</v>
      </c>
      <c r="C164" t="s">
        <v>6082</v>
      </c>
      <c r="D164" s="2">
        <v>4</v>
      </c>
    </row>
    <row r="165" spans="1:4" x14ac:dyDescent="0.25">
      <c r="A165">
        <f t="shared" si="2"/>
        <v>33</v>
      </c>
      <c r="C165" t="s">
        <v>6197</v>
      </c>
      <c r="D165" s="2">
        <v>18</v>
      </c>
    </row>
    <row r="166" spans="1:4" x14ac:dyDescent="0.25">
      <c r="A166">
        <f t="shared" si="2"/>
        <v>33</v>
      </c>
      <c r="C166" t="s">
        <v>6682</v>
      </c>
      <c r="D166" s="2">
        <v>7</v>
      </c>
    </row>
    <row r="167" spans="1:4" x14ac:dyDescent="0.25">
      <c r="A167">
        <f t="shared" si="2"/>
        <v>34</v>
      </c>
      <c r="B167" t="s">
        <v>2733</v>
      </c>
      <c r="C167" t="s">
        <v>4838</v>
      </c>
      <c r="D167" s="2">
        <v>1</v>
      </c>
    </row>
    <row r="168" spans="1:4" x14ac:dyDescent="0.25">
      <c r="A168">
        <f t="shared" si="2"/>
        <v>35</v>
      </c>
      <c r="B168" t="s">
        <v>70</v>
      </c>
      <c r="C168" t="s">
        <v>4740</v>
      </c>
      <c r="D168" s="2">
        <v>1</v>
      </c>
    </row>
    <row r="169" spans="1:4" x14ac:dyDescent="0.25">
      <c r="A169">
        <f t="shared" si="2"/>
        <v>35</v>
      </c>
      <c r="C169" t="s">
        <v>4888</v>
      </c>
      <c r="D169" s="2">
        <v>4</v>
      </c>
    </row>
    <row r="170" spans="1:4" x14ac:dyDescent="0.25">
      <c r="A170">
        <f t="shared" si="2"/>
        <v>35</v>
      </c>
      <c r="C170" t="s">
        <v>4919</v>
      </c>
      <c r="D170" s="2">
        <v>3</v>
      </c>
    </row>
    <row r="171" spans="1:4" x14ac:dyDescent="0.25">
      <c r="A171">
        <f t="shared" si="2"/>
        <v>35</v>
      </c>
      <c r="C171" t="s">
        <v>5216</v>
      </c>
      <c r="D171" s="2">
        <v>1</v>
      </c>
    </row>
    <row r="172" spans="1:4" x14ac:dyDescent="0.25">
      <c r="A172">
        <f t="shared" si="2"/>
        <v>36</v>
      </c>
      <c r="B172" t="s">
        <v>52</v>
      </c>
      <c r="C172" t="s">
        <v>5208</v>
      </c>
      <c r="D172" s="2">
        <v>1</v>
      </c>
    </row>
    <row r="173" spans="1:4" x14ac:dyDescent="0.25">
      <c r="A173">
        <f t="shared" si="2"/>
        <v>36</v>
      </c>
      <c r="C173" t="s">
        <v>6014</v>
      </c>
      <c r="D173" s="2">
        <v>1</v>
      </c>
    </row>
    <row r="174" spans="1:4" x14ac:dyDescent="0.25">
      <c r="A174">
        <f t="shared" si="2"/>
        <v>37</v>
      </c>
      <c r="B174" t="s">
        <v>2735</v>
      </c>
      <c r="C174" t="s">
        <v>3783</v>
      </c>
      <c r="D174" s="2">
        <v>28</v>
      </c>
    </row>
    <row r="175" spans="1:4" x14ac:dyDescent="0.25">
      <c r="A175">
        <f t="shared" si="2"/>
        <v>37</v>
      </c>
      <c r="C175" t="s">
        <v>5088</v>
      </c>
      <c r="D175" s="2">
        <v>27</v>
      </c>
    </row>
    <row r="176" spans="1:4" x14ac:dyDescent="0.25">
      <c r="A176">
        <f t="shared" si="2"/>
        <v>37</v>
      </c>
      <c r="C176" t="s">
        <v>5582</v>
      </c>
      <c r="D176" s="2">
        <v>7</v>
      </c>
    </row>
    <row r="177" spans="1:4" x14ac:dyDescent="0.25">
      <c r="A177">
        <f t="shared" si="2"/>
        <v>38</v>
      </c>
      <c r="B177" t="s">
        <v>2769</v>
      </c>
      <c r="C177" t="s">
        <v>5255</v>
      </c>
      <c r="D177" s="2">
        <v>2</v>
      </c>
    </row>
    <row r="178" spans="1:4" x14ac:dyDescent="0.25">
      <c r="A178">
        <f t="shared" si="2"/>
        <v>39</v>
      </c>
      <c r="B178" t="s">
        <v>2605</v>
      </c>
      <c r="C178" t="s">
        <v>6329</v>
      </c>
      <c r="D178" s="2">
        <v>1</v>
      </c>
    </row>
    <row r="179" spans="1:4" x14ac:dyDescent="0.25">
      <c r="A179">
        <f t="shared" si="2"/>
        <v>39</v>
      </c>
      <c r="C179" t="s">
        <v>6554</v>
      </c>
      <c r="D179" s="2">
        <v>1</v>
      </c>
    </row>
    <row r="180" spans="1:4" x14ac:dyDescent="0.25">
      <c r="A180">
        <f t="shared" si="2"/>
        <v>40</v>
      </c>
      <c r="B180" t="s">
        <v>377</v>
      </c>
      <c r="C180" t="s">
        <v>5966</v>
      </c>
      <c r="D180" s="2">
        <v>1</v>
      </c>
    </row>
    <row r="181" spans="1:4" x14ac:dyDescent="0.25">
      <c r="A181">
        <f t="shared" si="2"/>
        <v>40</v>
      </c>
      <c r="C181" t="s">
        <v>6388</v>
      </c>
      <c r="D181" s="2">
        <v>2</v>
      </c>
    </row>
    <row r="182" spans="1:4" x14ac:dyDescent="0.25">
      <c r="A182">
        <f t="shared" si="2"/>
        <v>41</v>
      </c>
      <c r="B182" t="s">
        <v>1685</v>
      </c>
      <c r="C182" t="s">
        <v>6269</v>
      </c>
      <c r="D182" s="2">
        <v>1</v>
      </c>
    </row>
    <row r="183" spans="1:4" x14ac:dyDescent="0.25">
      <c r="A183">
        <f t="shared" si="2"/>
        <v>42</v>
      </c>
      <c r="B183" t="s">
        <v>387</v>
      </c>
      <c r="C183" t="s">
        <v>4426</v>
      </c>
      <c r="D183" s="2">
        <v>4</v>
      </c>
    </row>
    <row r="184" spans="1:4" x14ac:dyDescent="0.25">
      <c r="A184">
        <f t="shared" si="2"/>
        <v>42</v>
      </c>
      <c r="C184" t="s">
        <v>4926</v>
      </c>
      <c r="D184" s="2">
        <v>9</v>
      </c>
    </row>
    <row r="185" spans="1:4" x14ac:dyDescent="0.25">
      <c r="A185">
        <f t="shared" si="2"/>
        <v>42</v>
      </c>
      <c r="C185" t="s">
        <v>6257</v>
      </c>
      <c r="D185" s="2">
        <v>2</v>
      </c>
    </row>
    <row r="186" spans="1:4" x14ac:dyDescent="0.25">
      <c r="A186">
        <f t="shared" si="2"/>
        <v>43</v>
      </c>
      <c r="B186" t="s">
        <v>157</v>
      </c>
      <c r="C186" t="s">
        <v>4636</v>
      </c>
      <c r="D186" s="2">
        <v>1</v>
      </c>
    </row>
    <row r="187" spans="1:4" x14ac:dyDescent="0.25">
      <c r="A187">
        <f t="shared" si="2"/>
        <v>44</v>
      </c>
      <c r="B187" t="s">
        <v>450</v>
      </c>
      <c r="C187" t="s">
        <v>5708</v>
      </c>
      <c r="D187" s="2">
        <v>2</v>
      </c>
    </row>
    <row r="188" spans="1:4" x14ac:dyDescent="0.25">
      <c r="A188">
        <f t="shared" si="2"/>
        <v>45</v>
      </c>
      <c r="B188" t="s">
        <v>452</v>
      </c>
      <c r="C188" t="s">
        <v>4666</v>
      </c>
      <c r="D188" s="2">
        <v>1</v>
      </c>
    </row>
    <row r="189" spans="1:4" x14ac:dyDescent="0.25">
      <c r="A189">
        <f t="shared" si="2"/>
        <v>46</v>
      </c>
      <c r="B189" t="s">
        <v>3045</v>
      </c>
      <c r="C189" t="s">
        <v>5368</v>
      </c>
      <c r="D189" s="2">
        <v>1</v>
      </c>
    </row>
    <row r="190" spans="1:4" x14ac:dyDescent="0.25">
      <c r="A190">
        <f t="shared" si="2"/>
        <v>47</v>
      </c>
      <c r="B190" t="s">
        <v>2658</v>
      </c>
      <c r="C190" t="s">
        <v>5894</v>
      </c>
      <c r="D190" s="2">
        <v>1</v>
      </c>
    </row>
    <row r="191" spans="1:4" x14ac:dyDescent="0.25">
      <c r="A191">
        <f t="shared" si="2"/>
        <v>48</v>
      </c>
      <c r="B191" t="s">
        <v>2540</v>
      </c>
      <c r="C191" t="s">
        <v>6168</v>
      </c>
      <c r="D191" s="2">
        <v>1</v>
      </c>
    </row>
    <row r="192" spans="1:4" x14ac:dyDescent="0.25">
      <c r="A192">
        <f t="shared" si="2"/>
        <v>49</v>
      </c>
      <c r="B192" t="s">
        <v>82</v>
      </c>
      <c r="C192" t="s">
        <v>6530</v>
      </c>
      <c r="D192" s="2">
        <v>1</v>
      </c>
    </row>
    <row r="193" spans="2:4" x14ac:dyDescent="0.25">
      <c r="B193" t="s">
        <v>19</v>
      </c>
      <c r="D193" s="2">
        <v>1122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3:U1127"/>
  <sheetViews>
    <sheetView topLeftCell="G1" workbookViewId="0">
      <selection activeCell="N6" sqref="N6:U1126"/>
    </sheetView>
  </sheetViews>
  <sheetFormatPr defaultRowHeight="15" x14ac:dyDescent="0.25"/>
  <cols>
    <col min="1" max="1" width="4.5703125" customWidth="1"/>
    <col min="2" max="2" width="14.140625" bestFit="1" customWidth="1"/>
    <col min="3" max="3" width="11.5703125" bestFit="1" customWidth="1"/>
    <col min="4" max="4" width="17.28515625" bestFit="1" customWidth="1"/>
    <col min="5" max="5" width="13.140625" bestFit="1" customWidth="1"/>
    <col min="6" max="6" width="78.140625" bestFit="1" customWidth="1"/>
    <col min="7" max="8" width="10.7109375" bestFit="1" customWidth="1"/>
    <col min="9" max="9" width="20" customWidth="1"/>
    <col min="10" max="12" width="5.42578125" customWidth="1"/>
    <col min="13" max="13" width="4.42578125" customWidth="1"/>
    <col min="14" max="14" width="12.28515625" bestFit="1" customWidth="1"/>
    <col min="15" max="15" width="9.28515625" bestFit="1" customWidth="1"/>
    <col min="16" max="16" width="15" bestFit="1" customWidth="1"/>
    <col min="17" max="17" width="11.28515625" bestFit="1" customWidth="1"/>
    <col min="18" max="18" width="18.7109375" bestFit="1" customWidth="1"/>
    <col min="19" max="19" width="5.42578125" bestFit="1" customWidth="1"/>
  </cols>
  <sheetData>
    <row r="3" spans="1:21" x14ac:dyDescent="0.25">
      <c r="H3" s="3" t="s">
        <v>896</v>
      </c>
    </row>
    <row r="4" spans="1:21" x14ac:dyDescent="0.25">
      <c r="A4">
        <f t="shared" ref="A4:A67" si="0">IF(ISBLANK(B4),A3,A3+1)</f>
        <v>1</v>
      </c>
      <c r="B4" s="3" t="s">
        <v>31</v>
      </c>
      <c r="C4" s="3" t="s">
        <v>2</v>
      </c>
      <c r="D4" s="3" t="s">
        <v>3</v>
      </c>
      <c r="E4" s="3" t="s">
        <v>8</v>
      </c>
      <c r="F4" s="3" t="s">
        <v>5</v>
      </c>
      <c r="G4" s="3" t="s">
        <v>2257</v>
      </c>
      <c r="H4" t="s">
        <v>18</v>
      </c>
      <c r="I4" t="s">
        <v>30</v>
      </c>
      <c r="N4" s="1" t="s">
        <v>11</v>
      </c>
      <c r="O4" s="1" t="s">
        <v>2</v>
      </c>
      <c r="P4" s="1" t="s">
        <v>3</v>
      </c>
      <c r="Q4" s="1" t="s">
        <v>8</v>
      </c>
      <c r="R4" s="1" t="s">
        <v>5</v>
      </c>
      <c r="S4" s="1" t="s">
        <v>4</v>
      </c>
      <c r="T4" s="1" t="s">
        <v>18</v>
      </c>
      <c r="U4" s="1" t="s">
        <v>30</v>
      </c>
    </row>
    <row r="5" spans="1:21" x14ac:dyDescent="0.25">
      <c r="A5">
        <f t="shared" si="0"/>
        <v>2</v>
      </c>
      <c r="B5" t="s">
        <v>195</v>
      </c>
      <c r="C5" t="s">
        <v>4227</v>
      </c>
      <c r="D5" t="s">
        <v>4228</v>
      </c>
      <c r="E5" t="s">
        <v>6099</v>
      </c>
      <c r="F5" t="s">
        <v>4229</v>
      </c>
      <c r="G5" t="s">
        <v>6098</v>
      </c>
      <c r="H5" s="2">
        <v>1</v>
      </c>
      <c r="I5" s="2">
        <v>785</v>
      </c>
      <c r="J5" s="2"/>
      <c r="K5" s="2"/>
      <c r="L5" s="2"/>
      <c r="N5" t="str">
        <f>IF(ISBLANK($A5),"",IF(ISBLANK(B5),N4,B5))</f>
        <v>4G COM GENERAL TRADING LLC</v>
      </c>
      <c r="O5" t="str">
        <f>IF(ISBLANK($A5),"",IF(ISBLANK(C5),O4,C5))</f>
        <v>W1315384655</v>
      </c>
      <c r="P5" t="str">
        <f>IF(ISBLANK($A5),"",IF(ISBLANK(D5),P4,D5))</f>
        <v>SA766EL49NES-629685</v>
      </c>
      <c r="Q5" t="str">
        <f>IF(ISBLANK($A5),"",IF(ISBLANK(E5),Q4,E5))</f>
        <v>PO044814</v>
      </c>
      <c r="R5" t="str">
        <f>IF(ISBLANK($A5),"",IF(ISBLANK(F5),R4,F5))</f>
        <v>J7 Prime (32 GB, 4G LTE, Black, Dual SIM)</v>
      </c>
      <c r="S5" t="str">
        <f>IF(ISBLANK($A5),"",G5)</f>
        <v>SA983780</v>
      </c>
      <c r="T5">
        <f>IF(ISBLANK($A5),"",H5)</f>
        <v>1</v>
      </c>
      <c r="U5">
        <f>IF(ISBLANK($A5),"",I5)</f>
        <v>785</v>
      </c>
    </row>
    <row r="6" spans="1:21" x14ac:dyDescent="0.25">
      <c r="A6">
        <f t="shared" si="0"/>
        <v>2</v>
      </c>
      <c r="C6" t="s">
        <v>4466</v>
      </c>
      <c r="D6" t="s">
        <v>4467</v>
      </c>
      <c r="E6" t="s">
        <v>6405</v>
      </c>
      <c r="F6" t="s">
        <v>4468</v>
      </c>
      <c r="G6" t="s">
        <v>6404</v>
      </c>
      <c r="H6" s="2">
        <v>1</v>
      </c>
      <c r="I6" s="2">
        <v>2720</v>
      </c>
      <c r="J6" s="2"/>
      <c r="K6" s="2"/>
      <c r="L6" s="2"/>
      <c r="N6" t="str">
        <f t="shared" ref="N6:N69" si="1">IF(ISBLANK($A6),"",IF(ISBLANK(B6),N5,B6))</f>
        <v>4G COM GENERAL TRADING LLC</v>
      </c>
      <c r="O6" t="str">
        <f t="shared" ref="O6:O69" si="2">IF(ISBLANK($A6),"",IF(ISBLANK(C6),O5,C6))</f>
        <v>W1315338145</v>
      </c>
      <c r="P6" t="str">
        <f t="shared" ref="P6:P69" si="3">IF(ISBLANK($A6),"",IF(ISBLANK(D6),P5,D6))</f>
        <v>AP771EL60LIH-562856</v>
      </c>
      <c r="Q6" t="str">
        <f t="shared" ref="Q6:Q69" si="4">IF(ISBLANK($A6),"",IF(ISBLANK(E6),Q5,E6))</f>
        <v>PO044940</v>
      </c>
      <c r="R6" t="str">
        <f t="shared" ref="R6:R69" si="5">IF(ISBLANK($A6),"",IF(ISBLANK(F6),R5,F6))</f>
        <v>iPhone 7 Plus (32 GB, 4G LTE, Rose Gold, With Facetime)</v>
      </c>
      <c r="S6" t="str">
        <f t="shared" ref="S6:S69" si="6">IF(ISBLANK($A6),"",G6)</f>
        <v>SA986801</v>
      </c>
      <c r="T6">
        <f t="shared" ref="T6:T69" si="7">IF(ISBLANK($A6),"",H6)</f>
        <v>1</v>
      </c>
      <c r="U6">
        <f t="shared" ref="U6:U69" si="8">IF(ISBLANK($A6),"",I6)</f>
        <v>2720</v>
      </c>
    </row>
    <row r="7" spans="1:21" x14ac:dyDescent="0.25">
      <c r="A7">
        <f t="shared" si="0"/>
        <v>2</v>
      </c>
      <c r="C7" t="s">
        <v>4879</v>
      </c>
      <c r="D7" t="s">
        <v>4880</v>
      </c>
      <c r="E7" t="s">
        <v>4882</v>
      </c>
      <c r="F7" t="s">
        <v>4881</v>
      </c>
      <c r="G7" t="s">
        <v>4878</v>
      </c>
      <c r="H7" s="2">
        <v>1</v>
      </c>
      <c r="I7" s="2">
        <v>1790</v>
      </c>
      <c r="J7" s="2"/>
      <c r="K7" s="2"/>
      <c r="L7" s="2"/>
      <c r="N7" t="str">
        <f t="shared" si="1"/>
        <v>4G COM GENERAL TRADING LLC</v>
      </c>
      <c r="O7" t="str">
        <f t="shared" si="2"/>
        <v>W1315338057</v>
      </c>
      <c r="P7" t="str">
        <f t="shared" si="3"/>
        <v>AP771EL23NHS-568464</v>
      </c>
      <c r="Q7" t="str">
        <f t="shared" si="4"/>
        <v>PO045013</v>
      </c>
      <c r="R7" t="str">
        <f t="shared" si="5"/>
        <v>iPhone 6 (64 GB, 4G LTE, Space Gray)</v>
      </c>
      <c r="S7" t="str">
        <f t="shared" si="6"/>
        <v>SA960474</v>
      </c>
      <c r="T7">
        <f t="shared" si="7"/>
        <v>1</v>
      </c>
      <c r="U7">
        <f t="shared" si="8"/>
        <v>1790</v>
      </c>
    </row>
    <row r="8" spans="1:21" x14ac:dyDescent="0.25">
      <c r="A8">
        <f t="shared" si="0"/>
        <v>2</v>
      </c>
      <c r="G8" t="s">
        <v>4889</v>
      </c>
      <c r="H8" s="2">
        <v>1</v>
      </c>
      <c r="I8" s="2">
        <v>1790</v>
      </c>
      <c r="J8" s="2"/>
      <c r="K8" s="2"/>
      <c r="L8" s="2"/>
      <c r="N8" t="str">
        <f t="shared" si="1"/>
        <v>4G COM GENERAL TRADING LLC</v>
      </c>
      <c r="O8" t="str">
        <f t="shared" si="2"/>
        <v>W1315338057</v>
      </c>
      <c r="P8" t="str">
        <f t="shared" si="3"/>
        <v>AP771EL23NHS-568464</v>
      </c>
      <c r="Q8" t="str">
        <f t="shared" si="4"/>
        <v>PO045013</v>
      </c>
      <c r="R8" t="str">
        <f t="shared" si="5"/>
        <v>iPhone 6 (64 GB, 4G LTE, Space Gray)</v>
      </c>
      <c r="S8" t="str">
        <f t="shared" si="6"/>
        <v>SA961314</v>
      </c>
      <c r="T8">
        <f t="shared" si="7"/>
        <v>1</v>
      </c>
      <c r="U8">
        <f t="shared" si="8"/>
        <v>1790</v>
      </c>
    </row>
    <row r="9" spans="1:21" x14ac:dyDescent="0.25">
      <c r="A9">
        <f t="shared" si="0"/>
        <v>2</v>
      </c>
      <c r="G9" t="s">
        <v>4895</v>
      </c>
      <c r="H9" s="2">
        <v>1</v>
      </c>
      <c r="I9" s="2">
        <v>1790</v>
      </c>
      <c r="J9" s="2"/>
      <c r="K9" s="2"/>
      <c r="L9" s="2"/>
      <c r="N9" t="str">
        <f t="shared" si="1"/>
        <v>4G COM GENERAL TRADING LLC</v>
      </c>
      <c r="O9" t="str">
        <f t="shared" si="2"/>
        <v>W1315338057</v>
      </c>
      <c r="P9" t="str">
        <f t="shared" si="3"/>
        <v>AP771EL23NHS-568464</v>
      </c>
      <c r="Q9" t="str">
        <f t="shared" si="4"/>
        <v>PO045013</v>
      </c>
      <c r="R9" t="str">
        <f t="shared" si="5"/>
        <v>iPhone 6 (64 GB, 4G LTE, Space Gray)</v>
      </c>
      <c r="S9" t="str">
        <f t="shared" si="6"/>
        <v>SA961538</v>
      </c>
      <c r="T9">
        <f t="shared" si="7"/>
        <v>1</v>
      </c>
      <c r="U9">
        <f t="shared" si="8"/>
        <v>1790</v>
      </c>
    </row>
    <row r="10" spans="1:21" x14ac:dyDescent="0.25">
      <c r="A10">
        <f t="shared" si="0"/>
        <v>2</v>
      </c>
      <c r="G10" t="s">
        <v>4911</v>
      </c>
      <c r="H10" s="2">
        <v>1</v>
      </c>
      <c r="I10" s="2">
        <v>1790</v>
      </c>
      <c r="J10" s="2"/>
      <c r="K10" s="2"/>
      <c r="L10" s="2"/>
      <c r="N10" t="str">
        <f t="shared" si="1"/>
        <v>4G COM GENERAL TRADING LLC</v>
      </c>
      <c r="O10" t="str">
        <f t="shared" si="2"/>
        <v>W1315338057</v>
      </c>
      <c r="P10" t="str">
        <f t="shared" si="3"/>
        <v>AP771EL23NHS-568464</v>
      </c>
      <c r="Q10" t="str">
        <f t="shared" si="4"/>
        <v>PO045013</v>
      </c>
      <c r="R10" t="str">
        <f t="shared" si="5"/>
        <v>iPhone 6 (64 GB, 4G LTE, Space Gray)</v>
      </c>
      <c r="S10" t="str">
        <f t="shared" si="6"/>
        <v>SA961815</v>
      </c>
      <c r="T10">
        <f t="shared" si="7"/>
        <v>1</v>
      </c>
      <c r="U10">
        <f t="shared" si="8"/>
        <v>1790</v>
      </c>
    </row>
    <row r="11" spans="1:21" x14ac:dyDescent="0.25">
      <c r="A11">
        <f t="shared" si="0"/>
        <v>2</v>
      </c>
      <c r="G11" t="s">
        <v>4914</v>
      </c>
      <c r="H11" s="2">
        <v>1</v>
      </c>
      <c r="I11" s="2">
        <v>1790</v>
      </c>
      <c r="N11" t="str">
        <f t="shared" si="1"/>
        <v>4G COM GENERAL TRADING LLC</v>
      </c>
      <c r="O11" t="str">
        <f t="shared" si="2"/>
        <v>W1315338057</v>
      </c>
      <c r="P11" t="str">
        <f t="shared" si="3"/>
        <v>AP771EL23NHS-568464</v>
      </c>
      <c r="Q11" t="str">
        <f t="shared" si="4"/>
        <v>PO045013</v>
      </c>
      <c r="R11" t="str">
        <f t="shared" si="5"/>
        <v>iPhone 6 (64 GB, 4G LTE, Space Gray)</v>
      </c>
      <c r="S11" t="str">
        <f t="shared" si="6"/>
        <v>SA962132</v>
      </c>
      <c r="T11">
        <f t="shared" si="7"/>
        <v>1</v>
      </c>
      <c r="U11">
        <f t="shared" si="8"/>
        <v>1790</v>
      </c>
    </row>
    <row r="12" spans="1:21" x14ac:dyDescent="0.25">
      <c r="A12">
        <f t="shared" si="0"/>
        <v>2</v>
      </c>
      <c r="C12" t="s">
        <v>4930</v>
      </c>
      <c r="D12" t="s">
        <v>4931</v>
      </c>
      <c r="E12" t="s">
        <v>4933</v>
      </c>
      <c r="F12" t="s">
        <v>4932</v>
      </c>
      <c r="G12" t="s">
        <v>4929</v>
      </c>
      <c r="H12" s="2">
        <v>1</v>
      </c>
      <c r="I12" s="2">
        <v>2070</v>
      </c>
      <c r="N12" t="str">
        <f t="shared" si="1"/>
        <v>4G COM GENERAL TRADING LLC</v>
      </c>
      <c r="O12" t="str">
        <f t="shared" si="2"/>
        <v>W1315338089</v>
      </c>
      <c r="P12" t="str">
        <f t="shared" si="3"/>
        <v>AP771EL75NJO-568577</v>
      </c>
      <c r="Q12" t="str">
        <f t="shared" si="4"/>
        <v>PO045012</v>
      </c>
      <c r="R12" t="str">
        <f t="shared" si="5"/>
        <v>iPhone 6s with FaceTime (64 GB, 4G LTE, Rose Gold)</v>
      </c>
      <c r="S12" t="str">
        <f t="shared" si="6"/>
        <v>SA966632</v>
      </c>
      <c r="T12">
        <f t="shared" si="7"/>
        <v>1</v>
      </c>
      <c r="U12">
        <f t="shared" si="8"/>
        <v>2070</v>
      </c>
    </row>
    <row r="13" spans="1:21" x14ac:dyDescent="0.25">
      <c r="A13">
        <f t="shared" si="0"/>
        <v>2</v>
      </c>
      <c r="G13" t="s">
        <v>4949</v>
      </c>
      <c r="H13" s="2">
        <v>1</v>
      </c>
      <c r="I13" s="2">
        <v>2070</v>
      </c>
      <c r="N13" t="str">
        <f t="shared" si="1"/>
        <v>4G COM GENERAL TRADING LLC</v>
      </c>
      <c r="O13" t="str">
        <f t="shared" si="2"/>
        <v>W1315338089</v>
      </c>
      <c r="P13" t="str">
        <f t="shared" si="3"/>
        <v>AP771EL75NJO-568577</v>
      </c>
      <c r="Q13" t="str">
        <f t="shared" si="4"/>
        <v>PO045012</v>
      </c>
      <c r="R13" t="str">
        <f t="shared" si="5"/>
        <v>iPhone 6s with FaceTime (64 GB, 4G LTE, Rose Gold)</v>
      </c>
      <c r="S13" t="str">
        <f t="shared" si="6"/>
        <v>SA969984</v>
      </c>
      <c r="T13">
        <f t="shared" si="7"/>
        <v>1</v>
      </c>
      <c r="U13">
        <f t="shared" si="8"/>
        <v>2070</v>
      </c>
    </row>
    <row r="14" spans="1:21" x14ac:dyDescent="0.25">
      <c r="A14">
        <f t="shared" si="0"/>
        <v>2</v>
      </c>
      <c r="G14" t="s">
        <v>4962</v>
      </c>
      <c r="H14" s="2">
        <v>1</v>
      </c>
      <c r="I14" s="2">
        <v>2070</v>
      </c>
      <c r="N14" t="str">
        <f t="shared" si="1"/>
        <v>4G COM GENERAL TRADING LLC</v>
      </c>
      <c r="O14" t="str">
        <f t="shared" si="2"/>
        <v>W1315338089</v>
      </c>
      <c r="P14" t="str">
        <f t="shared" si="3"/>
        <v>AP771EL75NJO-568577</v>
      </c>
      <c r="Q14" t="str">
        <f t="shared" si="4"/>
        <v>PO045012</v>
      </c>
      <c r="R14" t="str">
        <f t="shared" si="5"/>
        <v>iPhone 6s with FaceTime (64 GB, 4G LTE, Rose Gold)</v>
      </c>
      <c r="S14" t="str">
        <f t="shared" si="6"/>
        <v>SA971329</v>
      </c>
      <c r="T14">
        <f t="shared" si="7"/>
        <v>1</v>
      </c>
      <c r="U14">
        <f t="shared" si="8"/>
        <v>2070</v>
      </c>
    </row>
    <row r="15" spans="1:21" x14ac:dyDescent="0.25">
      <c r="A15">
        <f t="shared" si="0"/>
        <v>2</v>
      </c>
      <c r="G15" t="s">
        <v>5000</v>
      </c>
      <c r="H15" s="2">
        <v>1</v>
      </c>
      <c r="I15" s="2">
        <v>2070</v>
      </c>
      <c r="N15" t="str">
        <f t="shared" si="1"/>
        <v>4G COM GENERAL TRADING LLC</v>
      </c>
      <c r="O15" t="str">
        <f t="shared" si="2"/>
        <v>W1315338089</v>
      </c>
      <c r="P15" t="str">
        <f t="shared" si="3"/>
        <v>AP771EL75NJO-568577</v>
      </c>
      <c r="Q15" t="str">
        <f t="shared" si="4"/>
        <v>PO045012</v>
      </c>
      <c r="R15" t="str">
        <f t="shared" si="5"/>
        <v>iPhone 6s with FaceTime (64 GB, 4G LTE, Rose Gold)</v>
      </c>
      <c r="S15" t="str">
        <f t="shared" si="6"/>
        <v>SA973373</v>
      </c>
      <c r="T15">
        <f t="shared" si="7"/>
        <v>1</v>
      </c>
      <c r="U15">
        <f t="shared" si="8"/>
        <v>2070</v>
      </c>
    </row>
    <row r="16" spans="1:21" x14ac:dyDescent="0.25">
      <c r="A16">
        <f t="shared" si="0"/>
        <v>2</v>
      </c>
      <c r="C16" t="s">
        <v>4964</v>
      </c>
      <c r="D16" t="s">
        <v>4965</v>
      </c>
      <c r="E16" t="s">
        <v>4933</v>
      </c>
      <c r="F16" t="s">
        <v>4966</v>
      </c>
      <c r="G16" t="s">
        <v>4963</v>
      </c>
      <c r="H16" s="2">
        <v>1</v>
      </c>
      <c r="I16" s="2">
        <v>2060</v>
      </c>
      <c r="N16" t="str">
        <f t="shared" si="1"/>
        <v>4G COM GENERAL TRADING LLC</v>
      </c>
      <c r="O16" t="str">
        <f t="shared" si="2"/>
        <v>W1315338088</v>
      </c>
      <c r="P16" t="str">
        <f t="shared" si="3"/>
        <v>AP771EL76NJN-568576</v>
      </c>
      <c r="Q16" t="str">
        <f t="shared" si="4"/>
        <v>PO045012</v>
      </c>
      <c r="R16" t="str">
        <f t="shared" si="5"/>
        <v>iPhone 6s with FaceTime (64 GB, 4G LTE, Gold)</v>
      </c>
      <c r="S16" t="str">
        <f t="shared" si="6"/>
        <v>SA971397</v>
      </c>
      <c r="T16">
        <f t="shared" si="7"/>
        <v>1</v>
      </c>
      <c r="U16">
        <f t="shared" si="8"/>
        <v>2060</v>
      </c>
    </row>
    <row r="17" spans="1:21" x14ac:dyDescent="0.25">
      <c r="A17">
        <f t="shared" si="0"/>
        <v>2</v>
      </c>
      <c r="C17" t="s">
        <v>5719</v>
      </c>
      <c r="D17" t="s">
        <v>5720</v>
      </c>
      <c r="E17" t="s">
        <v>5722</v>
      </c>
      <c r="F17" t="s">
        <v>5721</v>
      </c>
      <c r="G17" t="s">
        <v>5718</v>
      </c>
      <c r="H17" s="2">
        <v>1</v>
      </c>
      <c r="I17" s="2">
        <v>235</v>
      </c>
      <c r="N17" t="str">
        <f t="shared" si="1"/>
        <v>4G COM GENERAL TRADING LLC</v>
      </c>
      <c r="O17" t="str">
        <f t="shared" si="2"/>
        <v>W1315159777</v>
      </c>
      <c r="P17" t="str">
        <f t="shared" si="3"/>
        <v>LE769EL41CAC-123369</v>
      </c>
      <c r="Q17" t="str">
        <f t="shared" si="4"/>
        <v>PO044914</v>
      </c>
      <c r="R17" t="str">
        <f t="shared" si="5"/>
        <v>Lenovo A2010 (8 GB, 4G, White)</v>
      </c>
      <c r="S17" t="str">
        <f t="shared" si="6"/>
        <v>SA980585</v>
      </c>
      <c r="T17">
        <f t="shared" si="7"/>
        <v>1</v>
      </c>
      <c r="U17">
        <f t="shared" si="8"/>
        <v>235</v>
      </c>
    </row>
    <row r="18" spans="1:21" x14ac:dyDescent="0.25">
      <c r="A18">
        <f t="shared" si="0"/>
        <v>2</v>
      </c>
      <c r="C18" t="s">
        <v>6642</v>
      </c>
      <c r="D18" t="s">
        <v>6643</v>
      </c>
      <c r="E18" t="s">
        <v>6645</v>
      </c>
      <c r="F18" t="s">
        <v>6644</v>
      </c>
      <c r="G18" t="s">
        <v>6641</v>
      </c>
      <c r="H18" s="2">
        <v>1</v>
      </c>
      <c r="I18" s="2">
        <v>295</v>
      </c>
      <c r="N18" t="str">
        <f t="shared" si="1"/>
        <v>4G COM GENERAL TRADING LLC</v>
      </c>
      <c r="O18" t="str">
        <f t="shared" si="2"/>
        <v>W1315165810</v>
      </c>
      <c r="P18" t="str">
        <f t="shared" si="3"/>
        <v>BL770EL32LEX-140527</v>
      </c>
      <c r="Q18" t="str">
        <f t="shared" si="4"/>
        <v>PO044995</v>
      </c>
      <c r="R18" t="str">
        <f t="shared" si="5"/>
        <v>Blackberry Torch 9810 (8 GB, 3G Wifi, Grey, Arabic Keypad)</v>
      </c>
      <c r="S18" t="str">
        <f t="shared" si="6"/>
        <v>SA989288</v>
      </c>
      <c r="T18">
        <f t="shared" si="7"/>
        <v>1</v>
      </c>
      <c r="U18">
        <f t="shared" si="8"/>
        <v>295</v>
      </c>
    </row>
    <row r="19" spans="1:21" x14ac:dyDescent="0.25">
      <c r="A19">
        <f t="shared" si="0"/>
        <v>2</v>
      </c>
      <c r="G19" t="s">
        <v>6646</v>
      </c>
      <c r="H19" s="2">
        <v>1</v>
      </c>
      <c r="I19" s="2">
        <v>295</v>
      </c>
      <c r="N19" t="str">
        <f t="shared" si="1"/>
        <v>4G COM GENERAL TRADING LLC</v>
      </c>
      <c r="O19" t="str">
        <f t="shared" si="2"/>
        <v>W1315165810</v>
      </c>
      <c r="P19" t="str">
        <f t="shared" si="3"/>
        <v>BL770EL32LEX-140527</v>
      </c>
      <c r="Q19" t="str">
        <f t="shared" si="4"/>
        <v>PO044995</v>
      </c>
      <c r="R19" t="str">
        <f t="shared" si="5"/>
        <v>Blackberry Torch 9810 (8 GB, 3G Wifi, Grey, Arabic Keypad)</v>
      </c>
      <c r="S19" t="str">
        <f t="shared" si="6"/>
        <v>SA989289</v>
      </c>
      <c r="T19">
        <f t="shared" si="7"/>
        <v>1</v>
      </c>
      <c r="U19">
        <f t="shared" si="8"/>
        <v>295</v>
      </c>
    </row>
    <row r="20" spans="1:21" x14ac:dyDescent="0.25">
      <c r="A20">
        <f t="shared" si="0"/>
        <v>2</v>
      </c>
      <c r="G20" t="s">
        <v>6647</v>
      </c>
      <c r="H20" s="2">
        <v>1</v>
      </c>
      <c r="I20" s="2">
        <v>295</v>
      </c>
      <c r="N20" t="str">
        <f t="shared" si="1"/>
        <v>4G COM GENERAL TRADING LLC</v>
      </c>
      <c r="O20" t="str">
        <f t="shared" si="2"/>
        <v>W1315165810</v>
      </c>
      <c r="P20" t="str">
        <f t="shared" si="3"/>
        <v>BL770EL32LEX-140527</v>
      </c>
      <c r="Q20" t="str">
        <f t="shared" si="4"/>
        <v>PO044995</v>
      </c>
      <c r="R20" t="str">
        <f t="shared" si="5"/>
        <v>Blackberry Torch 9810 (8 GB, 3G Wifi, Grey, Arabic Keypad)</v>
      </c>
      <c r="S20" t="str">
        <f t="shared" si="6"/>
        <v>SA989290</v>
      </c>
      <c r="T20">
        <f t="shared" si="7"/>
        <v>1</v>
      </c>
      <c r="U20">
        <f t="shared" si="8"/>
        <v>295</v>
      </c>
    </row>
    <row r="21" spans="1:21" x14ac:dyDescent="0.25">
      <c r="A21">
        <f t="shared" si="0"/>
        <v>2</v>
      </c>
      <c r="C21" t="s">
        <v>6649</v>
      </c>
      <c r="D21" t="s">
        <v>6650</v>
      </c>
      <c r="E21" t="s">
        <v>6645</v>
      </c>
      <c r="F21" t="s">
        <v>6651</v>
      </c>
      <c r="G21" t="s">
        <v>6648</v>
      </c>
      <c r="H21" s="2">
        <v>1</v>
      </c>
      <c r="I21" s="2">
        <v>290</v>
      </c>
      <c r="N21" t="str">
        <f t="shared" si="1"/>
        <v>4G COM GENERAL TRADING LLC</v>
      </c>
      <c r="O21" t="str">
        <f t="shared" si="2"/>
        <v>W1315165806</v>
      </c>
      <c r="P21" t="str">
        <f t="shared" si="3"/>
        <v>BL770EL36LET-140523</v>
      </c>
      <c r="Q21" t="str">
        <f t="shared" si="4"/>
        <v>PO044995</v>
      </c>
      <c r="R21" t="str">
        <f t="shared" si="5"/>
        <v>Blackberry Torch 9810 (8 GB, 3G Wifi, Black, Arabic Keypad)</v>
      </c>
      <c r="S21" t="str">
        <f t="shared" si="6"/>
        <v>SA989291</v>
      </c>
      <c r="T21">
        <f t="shared" si="7"/>
        <v>1</v>
      </c>
      <c r="U21">
        <f t="shared" si="8"/>
        <v>290</v>
      </c>
    </row>
    <row r="22" spans="1:21" x14ac:dyDescent="0.25">
      <c r="A22">
        <f t="shared" si="0"/>
        <v>2</v>
      </c>
      <c r="G22" t="s">
        <v>6652</v>
      </c>
      <c r="H22" s="2">
        <v>1</v>
      </c>
      <c r="I22" s="2">
        <v>290</v>
      </c>
      <c r="N22" t="str">
        <f t="shared" si="1"/>
        <v>4G COM GENERAL TRADING LLC</v>
      </c>
      <c r="O22" t="str">
        <f t="shared" si="2"/>
        <v>W1315165806</v>
      </c>
      <c r="P22" t="str">
        <f t="shared" si="3"/>
        <v>BL770EL36LET-140523</v>
      </c>
      <c r="Q22" t="str">
        <f t="shared" si="4"/>
        <v>PO044995</v>
      </c>
      <c r="R22" t="str">
        <f t="shared" si="5"/>
        <v>Blackberry Torch 9810 (8 GB, 3G Wifi, Black, Arabic Keypad)</v>
      </c>
      <c r="S22" t="str">
        <f t="shared" si="6"/>
        <v>SA989292</v>
      </c>
      <c r="T22">
        <f t="shared" si="7"/>
        <v>1</v>
      </c>
      <c r="U22">
        <f t="shared" si="8"/>
        <v>290</v>
      </c>
    </row>
    <row r="23" spans="1:21" x14ac:dyDescent="0.25">
      <c r="A23">
        <f t="shared" si="0"/>
        <v>2</v>
      </c>
      <c r="G23" t="s">
        <v>6653</v>
      </c>
      <c r="H23" s="2">
        <v>1</v>
      </c>
      <c r="I23" s="2">
        <v>290</v>
      </c>
      <c r="N23" t="str">
        <f t="shared" si="1"/>
        <v>4G COM GENERAL TRADING LLC</v>
      </c>
      <c r="O23" t="str">
        <f t="shared" si="2"/>
        <v>W1315165806</v>
      </c>
      <c r="P23" t="str">
        <f t="shared" si="3"/>
        <v>BL770EL36LET-140523</v>
      </c>
      <c r="Q23" t="str">
        <f t="shared" si="4"/>
        <v>PO044995</v>
      </c>
      <c r="R23" t="str">
        <f t="shared" si="5"/>
        <v>Blackberry Torch 9810 (8 GB, 3G Wifi, Black, Arabic Keypad)</v>
      </c>
      <c r="S23" t="str">
        <f t="shared" si="6"/>
        <v>SA989293</v>
      </c>
      <c r="T23">
        <f t="shared" si="7"/>
        <v>1</v>
      </c>
      <c r="U23">
        <f t="shared" si="8"/>
        <v>290</v>
      </c>
    </row>
    <row r="24" spans="1:21" x14ac:dyDescent="0.25">
      <c r="A24">
        <f t="shared" si="0"/>
        <v>3</v>
      </c>
      <c r="B24" t="s">
        <v>2037</v>
      </c>
      <c r="C24" t="s">
        <v>3157</v>
      </c>
      <c r="D24" t="s">
        <v>3158</v>
      </c>
      <c r="E24" t="s">
        <v>3263</v>
      </c>
      <c r="F24" t="s">
        <v>3159</v>
      </c>
      <c r="G24" t="s">
        <v>3831</v>
      </c>
      <c r="H24" s="2">
        <v>1</v>
      </c>
      <c r="I24" s="2">
        <v>3320</v>
      </c>
      <c r="N24" t="str">
        <f t="shared" si="1"/>
        <v>LDHS General Trading</v>
      </c>
      <c r="O24" t="str">
        <f t="shared" si="2"/>
        <v>W1315338156</v>
      </c>
      <c r="P24" t="str">
        <f t="shared" si="3"/>
        <v>AP771EL49LIS-562867</v>
      </c>
      <c r="Q24" t="str">
        <f t="shared" si="4"/>
        <v>PO044388</v>
      </c>
      <c r="R24" t="str">
        <f t="shared" si="5"/>
        <v>iPhone 7 Plus (256 GB, 4G LTE, Black, With Facetime)</v>
      </c>
      <c r="S24" t="str">
        <f t="shared" si="6"/>
        <v>SA960387</v>
      </c>
      <c r="T24">
        <f t="shared" si="7"/>
        <v>1</v>
      </c>
      <c r="U24">
        <f t="shared" si="8"/>
        <v>3320</v>
      </c>
    </row>
    <row r="25" spans="1:21" x14ac:dyDescent="0.25">
      <c r="A25">
        <f t="shared" si="0"/>
        <v>3</v>
      </c>
      <c r="G25" t="s">
        <v>3832</v>
      </c>
      <c r="H25" s="2">
        <v>1</v>
      </c>
      <c r="I25" s="2">
        <v>3320</v>
      </c>
      <c r="N25" t="str">
        <f t="shared" si="1"/>
        <v>LDHS General Trading</v>
      </c>
      <c r="O25" t="str">
        <f t="shared" si="2"/>
        <v>W1315338156</v>
      </c>
      <c r="P25" t="str">
        <f t="shared" si="3"/>
        <v>AP771EL49LIS-562867</v>
      </c>
      <c r="Q25" t="str">
        <f t="shared" si="4"/>
        <v>PO044388</v>
      </c>
      <c r="R25" t="str">
        <f t="shared" si="5"/>
        <v>iPhone 7 Plus (256 GB, 4G LTE, Black, With Facetime)</v>
      </c>
      <c r="S25" t="str">
        <f t="shared" si="6"/>
        <v>SA960423</v>
      </c>
      <c r="T25">
        <f t="shared" si="7"/>
        <v>1</v>
      </c>
      <c r="U25">
        <f t="shared" si="8"/>
        <v>3320</v>
      </c>
    </row>
    <row r="26" spans="1:21" x14ac:dyDescent="0.25">
      <c r="A26">
        <f t="shared" si="0"/>
        <v>3</v>
      </c>
      <c r="G26" t="s">
        <v>4077</v>
      </c>
      <c r="H26" s="2">
        <v>1</v>
      </c>
      <c r="I26" s="2">
        <v>3320</v>
      </c>
      <c r="N26" t="str">
        <f t="shared" si="1"/>
        <v>LDHS General Trading</v>
      </c>
      <c r="O26" t="str">
        <f t="shared" si="2"/>
        <v>W1315338156</v>
      </c>
      <c r="P26" t="str">
        <f t="shared" si="3"/>
        <v>AP771EL49LIS-562867</v>
      </c>
      <c r="Q26" t="str">
        <f t="shared" si="4"/>
        <v>PO044388</v>
      </c>
      <c r="R26" t="str">
        <f t="shared" si="5"/>
        <v>iPhone 7 Plus (256 GB, 4G LTE, Black, With Facetime)</v>
      </c>
      <c r="S26" t="str">
        <f t="shared" si="6"/>
        <v>SA965230</v>
      </c>
      <c r="T26">
        <f t="shared" si="7"/>
        <v>1</v>
      </c>
      <c r="U26">
        <f t="shared" si="8"/>
        <v>3320</v>
      </c>
    </row>
    <row r="27" spans="1:21" x14ac:dyDescent="0.25">
      <c r="A27">
        <f t="shared" si="0"/>
        <v>3</v>
      </c>
      <c r="E27" t="s">
        <v>3872</v>
      </c>
      <c r="F27" t="s">
        <v>3159</v>
      </c>
      <c r="G27" t="s">
        <v>4237</v>
      </c>
      <c r="H27" s="2">
        <v>1</v>
      </c>
      <c r="I27" s="2">
        <v>3320</v>
      </c>
      <c r="N27" t="str">
        <f t="shared" si="1"/>
        <v>LDHS General Trading</v>
      </c>
      <c r="O27" t="str">
        <f t="shared" si="2"/>
        <v>W1315338156</v>
      </c>
      <c r="P27" t="str">
        <f t="shared" si="3"/>
        <v>AP771EL49LIS-562867</v>
      </c>
      <c r="Q27" t="str">
        <f t="shared" si="4"/>
        <v>PO044394</v>
      </c>
      <c r="R27" t="str">
        <f t="shared" si="5"/>
        <v>iPhone 7 Plus (256 GB, 4G LTE, Black, With Facetime)</v>
      </c>
      <c r="S27" t="str">
        <f t="shared" si="6"/>
        <v>SA968327</v>
      </c>
      <c r="T27">
        <f t="shared" si="7"/>
        <v>1</v>
      </c>
      <c r="U27">
        <f t="shared" si="8"/>
        <v>3320</v>
      </c>
    </row>
    <row r="28" spans="1:21" x14ac:dyDescent="0.25">
      <c r="A28">
        <f t="shared" si="0"/>
        <v>3</v>
      </c>
      <c r="E28" t="s">
        <v>4069</v>
      </c>
      <c r="F28" t="s">
        <v>3159</v>
      </c>
      <c r="G28" t="s">
        <v>4562</v>
      </c>
      <c r="H28" s="2">
        <v>1</v>
      </c>
      <c r="I28" s="2">
        <v>3320</v>
      </c>
      <c r="N28" t="str">
        <f t="shared" si="1"/>
        <v>LDHS General Trading</v>
      </c>
      <c r="O28" t="str">
        <f t="shared" si="2"/>
        <v>W1315338156</v>
      </c>
      <c r="P28" t="str">
        <f t="shared" si="3"/>
        <v>AP771EL49LIS-562867</v>
      </c>
      <c r="Q28" t="str">
        <f t="shared" si="4"/>
        <v>PO044442</v>
      </c>
      <c r="R28" t="str">
        <f t="shared" si="5"/>
        <v>iPhone 7 Plus (256 GB, 4G LTE, Black, With Facetime)</v>
      </c>
      <c r="S28" t="str">
        <f t="shared" si="6"/>
        <v>SA972673</v>
      </c>
      <c r="T28">
        <f t="shared" si="7"/>
        <v>1</v>
      </c>
      <c r="U28">
        <f t="shared" si="8"/>
        <v>3320</v>
      </c>
    </row>
    <row r="29" spans="1:21" x14ac:dyDescent="0.25">
      <c r="A29">
        <f t="shared" si="0"/>
        <v>3</v>
      </c>
      <c r="C29" t="s">
        <v>3510</v>
      </c>
      <c r="D29" t="s">
        <v>3511</v>
      </c>
      <c r="E29" t="s">
        <v>4291</v>
      </c>
      <c r="F29" t="s">
        <v>3512</v>
      </c>
      <c r="G29" t="s">
        <v>4407</v>
      </c>
      <c r="H29" s="2">
        <v>1</v>
      </c>
      <c r="I29" s="2">
        <v>65</v>
      </c>
      <c r="N29" t="str">
        <f t="shared" si="1"/>
        <v>LDHS General Trading</v>
      </c>
      <c r="O29" t="str">
        <f t="shared" si="2"/>
        <v>W1315163602</v>
      </c>
      <c r="P29" t="str">
        <f t="shared" si="3"/>
        <v>CA511AC64DPN-124530</v>
      </c>
      <c r="Q29" t="str">
        <f t="shared" si="4"/>
        <v>PO044481</v>
      </c>
      <c r="R29" t="str">
        <f t="shared" si="5"/>
        <v>MTP-V008B-5BUDF for Men (Analog Watch)</v>
      </c>
      <c r="S29" t="str">
        <f t="shared" si="6"/>
        <v>SA970998</v>
      </c>
      <c r="T29">
        <f t="shared" si="7"/>
        <v>1</v>
      </c>
      <c r="U29">
        <f t="shared" si="8"/>
        <v>65</v>
      </c>
    </row>
    <row r="30" spans="1:21" x14ac:dyDescent="0.25">
      <c r="A30">
        <f t="shared" si="0"/>
        <v>3</v>
      </c>
      <c r="G30" t="s">
        <v>4427</v>
      </c>
      <c r="H30" s="2">
        <v>1</v>
      </c>
      <c r="I30" s="2">
        <v>65</v>
      </c>
      <c r="N30" t="str">
        <f t="shared" si="1"/>
        <v>LDHS General Trading</v>
      </c>
      <c r="O30" t="str">
        <f t="shared" si="2"/>
        <v>W1315163602</v>
      </c>
      <c r="P30" t="str">
        <f t="shared" si="3"/>
        <v>CA511AC64DPN-124530</v>
      </c>
      <c r="Q30" t="str">
        <f t="shared" si="4"/>
        <v>PO044481</v>
      </c>
      <c r="R30" t="str">
        <f t="shared" si="5"/>
        <v>MTP-V008B-5BUDF for Men (Analog Watch)</v>
      </c>
      <c r="S30" t="str">
        <f t="shared" si="6"/>
        <v>SA971412</v>
      </c>
      <c r="T30">
        <f t="shared" si="7"/>
        <v>1</v>
      </c>
      <c r="U30">
        <f t="shared" si="8"/>
        <v>65</v>
      </c>
    </row>
    <row r="31" spans="1:21" x14ac:dyDescent="0.25">
      <c r="A31">
        <f t="shared" si="0"/>
        <v>3</v>
      </c>
      <c r="C31" t="s">
        <v>3845</v>
      </c>
      <c r="D31" t="s">
        <v>3846</v>
      </c>
      <c r="E31" t="s">
        <v>3848</v>
      </c>
      <c r="F31" t="s">
        <v>3847</v>
      </c>
      <c r="G31" t="s">
        <v>3844</v>
      </c>
      <c r="H31" s="2">
        <v>1</v>
      </c>
      <c r="I31" s="2">
        <v>120</v>
      </c>
      <c r="N31" t="str">
        <f t="shared" si="1"/>
        <v>LDHS General Trading</v>
      </c>
      <c r="O31" t="str">
        <f t="shared" si="2"/>
        <v>W1315204934</v>
      </c>
      <c r="P31" t="str">
        <f t="shared" si="3"/>
        <v>CA511AC23DJG-380414</v>
      </c>
      <c r="Q31" t="str">
        <f t="shared" si="4"/>
        <v>PO044363</v>
      </c>
      <c r="R31" t="str">
        <f t="shared" si="5"/>
        <v>Casio Analog Rubber Women's Watch MRW-S300H-1B2DF</v>
      </c>
      <c r="S31" t="str">
        <f t="shared" si="6"/>
        <v>SA960773</v>
      </c>
      <c r="T31">
        <f t="shared" si="7"/>
        <v>1</v>
      </c>
      <c r="U31">
        <f t="shared" si="8"/>
        <v>120</v>
      </c>
    </row>
    <row r="32" spans="1:21" x14ac:dyDescent="0.25">
      <c r="A32">
        <f t="shared" si="0"/>
        <v>3</v>
      </c>
      <c r="C32" t="s">
        <v>3869</v>
      </c>
      <c r="D32" t="s">
        <v>3870</v>
      </c>
      <c r="E32" t="s">
        <v>4403</v>
      </c>
      <c r="F32" t="s">
        <v>3871</v>
      </c>
      <c r="G32" t="s">
        <v>4684</v>
      </c>
      <c r="H32" s="2">
        <v>1</v>
      </c>
      <c r="I32" s="2">
        <v>470</v>
      </c>
      <c r="N32" t="str">
        <f t="shared" si="1"/>
        <v>LDHS General Trading</v>
      </c>
      <c r="O32" t="str">
        <f t="shared" si="2"/>
        <v>W1315435013</v>
      </c>
      <c r="P32" t="str">
        <f t="shared" si="3"/>
        <v>SO768EL49EWG-700160</v>
      </c>
      <c r="Q32" t="str">
        <f t="shared" si="4"/>
        <v>PO044587</v>
      </c>
      <c r="R32" t="str">
        <f t="shared" si="5"/>
        <v>Xperia E5 (16 GB, 4G LTE, Black Dual SIM)</v>
      </c>
      <c r="S32" t="str">
        <f t="shared" si="6"/>
        <v>SA977410</v>
      </c>
      <c r="T32">
        <f t="shared" si="7"/>
        <v>1</v>
      </c>
      <c r="U32">
        <f t="shared" si="8"/>
        <v>470</v>
      </c>
    </row>
    <row r="33" spans="1:21" x14ac:dyDescent="0.25">
      <c r="A33">
        <f t="shared" si="0"/>
        <v>3</v>
      </c>
      <c r="C33" t="s">
        <v>3926</v>
      </c>
      <c r="D33" t="s">
        <v>3927</v>
      </c>
      <c r="E33" t="s">
        <v>3848</v>
      </c>
      <c r="F33" t="s">
        <v>3928</v>
      </c>
      <c r="G33" t="s">
        <v>3925</v>
      </c>
      <c r="H33" s="2">
        <v>1</v>
      </c>
      <c r="I33" s="2">
        <v>330</v>
      </c>
      <c r="N33" t="str">
        <f t="shared" si="1"/>
        <v>LDHS General Trading</v>
      </c>
      <c r="O33" t="str">
        <f t="shared" si="2"/>
        <v>W1315471634</v>
      </c>
      <c r="P33" t="str">
        <f t="shared" si="3"/>
        <v>CA511AC36MPR-724713</v>
      </c>
      <c r="Q33" t="str">
        <f t="shared" si="4"/>
        <v>PO044363</v>
      </c>
      <c r="R33" t="str">
        <f t="shared" si="5"/>
        <v>Analog-Chronograph Black Dial Watch for Men (EFR-539L-1AVUDF)</v>
      </c>
      <c r="S33" t="str">
        <f t="shared" si="6"/>
        <v>SA962708</v>
      </c>
      <c r="T33">
        <f t="shared" si="7"/>
        <v>1</v>
      </c>
      <c r="U33">
        <f t="shared" si="8"/>
        <v>330</v>
      </c>
    </row>
    <row r="34" spans="1:21" x14ac:dyDescent="0.25">
      <c r="A34">
        <f t="shared" si="0"/>
        <v>3</v>
      </c>
      <c r="E34" t="s">
        <v>4291</v>
      </c>
      <c r="F34" t="s">
        <v>3928</v>
      </c>
      <c r="G34" t="s">
        <v>4290</v>
      </c>
      <c r="H34" s="2">
        <v>1</v>
      </c>
      <c r="I34" s="2">
        <v>330</v>
      </c>
      <c r="N34" t="str">
        <f t="shared" si="1"/>
        <v>LDHS General Trading</v>
      </c>
      <c r="O34" t="str">
        <f t="shared" si="2"/>
        <v>W1315471634</v>
      </c>
      <c r="P34" t="str">
        <f t="shared" si="3"/>
        <v>CA511AC36MPR-724713</v>
      </c>
      <c r="Q34" t="str">
        <f t="shared" si="4"/>
        <v>PO044481</v>
      </c>
      <c r="R34" t="str">
        <f t="shared" si="5"/>
        <v>Analog-Chronograph Black Dial Watch for Men (EFR-539L-1AVUDF)</v>
      </c>
      <c r="S34" t="str">
        <f t="shared" si="6"/>
        <v>SA969580</v>
      </c>
      <c r="T34">
        <f t="shared" si="7"/>
        <v>1</v>
      </c>
      <c r="U34">
        <f t="shared" si="8"/>
        <v>330</v>
      </c>
    </row>
    <row r="35" spans="1:21" x14ac:dyDescent="0.25">
      <c r="A35">
        <f t="shared" si="0"/>
        <v>3</v>
      </c>
      <c r="G35" t="s">
        <v>4292</v>
      </c>
      <c r="H35" s="2">
        <v>1</v>
      </c>
      <c r="I35" s="2">
        <v>330</v>
      </c>
      <c r="N35" t="str">
        <f t="shared" si="1"/>
        <v>LDHS General Trading</v>
      </c>
      <c r="O35" t="str">
        <f t="shared" si="2"/>
        <v>W1315471634</v>
      </c>
      <c r="P35" t="str">
        <f t="shared" si="3"/>
        <v>CA511AC36MPR-724713</v>
      </c>
      <c r="Q35" t="str">
        <f t="shared" si="4"/>
        <v>PO044481</v>
      </c>
      <c r="R35" t="str">
        <f t="shared" si="5"/>
        <v>Analog-Chronograph Black Dial Watch for Men (EFR-539L-1AVUDF)</v>
      </c>
      <c r="S35" t="str">
        <f t="shared" si="6"/>
        <v>SA969581</v>
      </c>
      <c r="T35">
        <f t="shared" si="7"/>
        <v>1</v>
      </c>
      <c r="U35">
        <f t="shared" si="8"/>
        <v>330</v>
      </c>
    </row>
    <row r="36" spans="1:21" x14ac:dyDescent="0.25">
      <c r="A36">
        <f t="shared" si="0"/>
        <v>3</v>
      </c>
      <c r="C36" t="s">
        <v>3963</v>
      </c>
      <c r="D36" t="s">
        <v>3964</v>
      </c>
      <c r="E36" t="s">
        <v>5138</v>
      </c>
      <c r="F36" t="s">
        <v>3965</v>
      </c>
      <c r="G36" t="s">
        <v>6654</v>
      </c>
      <c r="H36" s="2">
        <v>1</v>
      </c>
      <c r="I36" s="2">
        <v>135</v>
      </c>
      <c r="N36" t="str">
        <f t="shared" si="1"/>
        <v>LDHS General Trading</v>
      </c>
      <c r="O36" t="str">
        <f t="shared" si="2"/>
        <v>W1315205028</v>
      </c>
      <c r="P36" t="str">
        <f t="shared" si="3"/>
        <v>CA511AC36DEX-380301</v>
      </c>
      <c r="Q36" t="str">
        <f t="shared" si="4"/>
        <v>PO045021</v>
      </c>
      <c r="R36" t="str">
        <f t="shared" si="5"/>
        <v>MTP-1374D-1AVDF for Men (Analog Watch, Black)</v>
      </c>
      <c r="S36" t="str">
        <f t="shared" si="6"/>
        <v>SA989299</v>
      </c>
      <c r="T36">
        <f t="shared" si="7"/>
        <v>1</v>
      </c>
      <c r="U36">
        <f t="shared" si="8"/>
        <v>135</v>
      </c>
    </row>
    <row r="37" spans="1:21" x14ac:dyDescent="0.25">
      <c r="A37">
        <f t="shared" si="0"/>
        <v>3</v>
      </c>
      <c r="C37" t="s">
        <v>4320</v>
      </c>
      <c r="D37" t="s">
        <v>4321</v>
      </c>
      <c r="E37" t="s">
        <v>5138</v>
      </c>
      <c r="F37" t="s">
        <v>4322</v>
      </c>
      <c r="G37" t="s">
        <v>5137</v>
      </c>
      <c r="H37" s="2">
        <v>1</v>
      </c>
      <c r="I37" s="2">
        <v>59</v>
      </c>
      <c r="N37" t="str">
        <f t="shared" si="1"/>
        <v>LDHS General Trading</v>
      </c>
      <c r="O37" t="str">
        <f t="shared" si="2"/>
        <v>W1315130505</v>
      </c>
      <c r="P37" t="str">
        <f t="shared" si="3"/>
        <v>CA511AC86ZUR-57215</v>
      </c>
      <c r="Q37" t="str">
        <f t="shared" si="4"/>
        <v>PO045021</v>
      </c>
      <c r="R37" t="str">
        <f t="shared" si="5"/>
        <v>Casio Classic (Analog, MRW200H-1BV, Men)</v>
      </c>
      <c r="S37" t="str">
        <f t="shared" si="6"/>
        <v>SA974500</v>
      </c>
      <c r="T37">
        <f t="shared" si="7"/>
        <v>1</v>
      </c>
      <c r="U37">
        <f t="shared" si="8"/>
        <v>59</v>
      </c>
    </row>
    <row r="38" spans="1:21" x14ac:dyDescent="0.25">
      <c r="A38">
        <f t="shared" si="0"/>
        <v>3</v>
      </c>
      <c r="C38" t="s">
        <v>4450</v>
      </c>
      <c r="D38" t="s">
        <v>4451</v>
      </c>
      <c r="E38" t="s">
        <v>4069</v>
      </c>
      <c r="F38" t="s">
        <v>4452</v>
      </c>
      <c r="G38" t="s">
        <v>4449</v>
      </c>
      <c r="H38" s="2">
        <v>1</v>
      </c>
      <c r="I38" s="2">
        <v>715</v>
      </c>
      <c r="N38" t="str">
        <f t="shared" si="1"/>
        <v>LDHS General Trading</v>
      </c>
      <c r="O38" t="str">
        <f t="shared" si="2"/>
        <v>W1315224889</v>
      </c>
      <c r="P38" t="str">
        <f t="shared" si="3"/>
        <v>SO768EL86WEB-507139</v>
      </c>
      <c r="Q38" t="str">
        <f t="shared" si="4"/>
        <v>PO044442</v>
      </c>
      <c r="R38" t="str">
        <f t="shared" si="5"/>
        <v>Xperia M5 (16 GB, 4G LTE, Gold Dual SIM)</v>
      </c>
      <c r="S38" t="str">
        <f t="shared" si="6"/>
        <v>SA971761</v>
      </c>
      <c r="T38">
        <f t="shared" si="7"/>
        <v>1</v>
      </c>
      <c r="U38">
        <f t="shared" si="8"/>
        <v>715</v>
      </c>
    </row>
    <row r="39" spans="1:21" x14ac:dyDescent="0.25">
      <c r="A39">
        <f t="shared" si="0"/>
        <v>3</v>
      </c>
      <c r="C39" t="s">
        <v>4680</v>
      </c>
      <c r="D39" t="s">
        <v>4681</v>
      </c>
      <c r="E39" t="s">
        <v>5138</v>
      </c>
      <c r="F39" t="s">
        <v>4682</v>
      </c>
      <c r="G39" t="s">
        <v>6622</v>
      </c>
      <c r="H39" s="2">
        <v>1</v>
      </c>
      <c r="I39" s="2">
        <v>96</v>
      </c>
      <c r="N39" t="str">
        <f t="shared" si="1"/>
        <v>LDHS General Trading</v>
      </c>
      <c r="O39" t="str">
        <f t="shared" si="2"/>
        <v>W1315130337</v>
      </c>
      <c r="P39" t="str">
        <f t="shared" si="3"/>
        <v>CA511AC23YKQ-56278</v>
      </c>
      <c r="Q39" t="str">
        <f t="shared" si="4"/>
        <v>PO045021</v>
      </c>
      <c r="R39" t="str">
        <f t="shared" si="5"/>
        <v>Casio Quartz Classic Analog Women's Watch (LTP-1169N-7ARDF)</v>
      </c>
      <c r="S39" t="str">
        <f t="shared" si="6"/>
        <v>SA989061</v>
      </c>
      <c r="T39">
        <f t="shared" si="7"/>
        <v>1</v>
      </c>
      <c r="U39">
        <f t="shared" si="8"/>
        <v>96</v>
      </c>
    </row>
    <row r="40" spans="1:21" x14ac:dyDescent="0.25">
      <c r="A40">
        <f t="shared" si="0"/>
        <v>3</v>
      </c>
      <c r="G40" t="s">
        <v>6623</v>
      </c>
      <c r="H40" s="2">
        <v>1</v>
      </c>
      <c r="I40" s="2">
        <v>96</v>
      </c>
      <c r="N40" t="str">
        <f t="shared" si="1"/>
        <v>LDHS General Trading</v>
      </c>
      <c r="O40" t="str">
        <f t="shared" si="2"/>
        <v>W1315130337</v>
      </c>
      <c r="P40" t="str">
        <f t="shared" si="3"/>
        <v>CA511AC23YKQ-56278</v>
      </c>
      <c r="Q40" t="str">
        <f t="shared" si="4"/>
        <v>PO045021</v>
      </c>
      <c r="R40" t="str">
        <f t="shared" si="5"/>
        <v>Casio Quartz Classic Analog Women's Watch (LTP-1169N-7ARDF)</v>
      </c>
      <c r="S40" t="str">
        <f t="shared" si="6"/>
        <v>SA989062</v>
      </c>
      <c r="T40">
        <f t="shared" si="7"/>
        <v>1</v>
      </c>
      <c r="U40">
        <f t="shared" si="8"/>
        <v>96</v>
      </c>
    </row>
    <row r="41" spans="1:21" x14ac:dyDescent="0.25">
      <c r="A41">
        <f t="shared" si="0"/>
        <v>3</v>
      </c>
      <c r="C41" t="s">
        <v>4829</v>
      </c>
      <c r="D41" t="s">
        <v>4830</v>
      </c>
      <c r="E41" t="s">
        <v>4832</v>
      </c>
      <c r="F41" t="s">
        <v>4831</v>
      </c>
      <c r="G41" t="s">
        <v>4828</v>
      </c>
      <c r="H41" s="2">
        <v>1</v>
      </c>
      <c r="I41" s="2">
        <v>290</v>
      </c>
      <c r="N41" t="str">
        <f t="shared" si="1"/>
        <v>LDHS General Trading</v>
      </c>
      <c r="O41" t="str">
        <f t="shared" si="2"/>
        <v>W1315160329</v>
      </c>
      <c r="P41" t="str">
        <f t="shared" si="3"/>
        <v>JB927AC15YUM-121195</v>
      </c>
      <c r="Q41" t="str">
        <f t="shared" si="4"/>
        <v>UPO011814</v>
      </c>
      <c r="R41" t="str">
        <f t="shared" si="5"/>
        <v>JBL Flip 3 Portable Wireless Speaker - Black</v>
      </c>
      <c r="S41" t="str">
        <f t="shared" si="6"/>
        <v>AE61896</v>
      </c>
      <c r="T41">
        <f t="shared" si="7"/>
        <v>1</v>
      </c>
      <c r="U41">
        <f t="shared" si="8"/>
        <v>290</v>
      </c>
    </row>
    <row r="42" spans="1:21" x14ac:dyDescent="0.25">
      <c r="A42">
        <f t="shared" si="0"/>
        <v>3</v>
      </c>
      <c r="G42" t="s">
        <v>4833</v>
      </c>
      <c r="H42" s="2">
        <v>1</v>
      </c>
      <c r="I42" s="2">
        <v>290</v>
      </c>
      <c r="N42" t="str">
        <f t="shared" si="1"/>
        <v>LDHS General Trading</v>
      </c>
      <c r="O42" t="str">
        <f t="shared" si="2"/>
        <v>W1315160329</v>
      </c>
      <c r="P42" t="str">
        <f t="shared" si="3"/>
        <v>JB927AC15YUM-121195</v>
      </c>
      <c r="Q42" t="str">
        <f t="shared" si="4"/>
        <v>UPO011814</v>
      </c>
      <c r="R42" t="str">
        <f t="shared" si="5"/>
        <v>JBL Flip 3 Portable Wireless Speaker - Black</v>
      </c>
      <c r="S42" t="str">
        <f t="shared" si="6"/>
        <v>AE61894</v>
      </c>
      <c r="T42">
        <f t="shared" si="7"/>
        <v>1</v>
      </c>
      <c r="U42">
        <f t="shared" si="8"/>
        <v>290</v>
      </c>
    </row>
    <row r="43" spans="1:21" x14ac:dyDescent="0.25">
      <c r="A43">
        <f t="shared" si="0"/>
        <v>3</v>
      </c>
      <c r="C43" t="s">
        <v>4891</v>
      </c>
      <c r="D43" t="s">
        <v>4892</v>
      </c>
      <c r="E43" t="s">
        <v>4894</v>
      </c>
      <c r="F43" t="s">
        <v>4893</v>
      </c>
      <c r="G43" t="s">
        <v>4890</v>
      </c>
      <c r="H43" s="2">
        <v>1</v>
      </c>
      <c r="I43" s="2">
        <v>1800</v>
      </c>
      <c r="N43" t="str">
        <f t="shared" si="1"/>
        <v>LDHS General Trading</v>
      </c>
      <c r="O43" t="str">
        <f t="shared" si="2"/>
        <v>W1315338055</v>
      </c>
      <c r="P43" t="str">
        <f t="shared" si="3"/>
        <v>AP771EL25NHQ-568462</v>
      </c>
      <c r="Q43" t="str">
        <f t="shared" si="4"/>
        <v>PO045015</v>
      </c>
      <c r="R43" t="str">
        <f t="shared" si="5"/>
        <v>iPhone 6 (64 GB, 4G LTE, Gold)</v>
      </c>
      <c r="S43" t="str">
        <f t="shared" si="6"/>
        <v>SA961524</v>
      </c>
      <c r="T43">
        <f t="shared" si="7"/>
        <v>1</v>
      </c>
      <c r="U43">
        <f t="shared" si="8"/>
        <v>1800</v>
      </c>
    </row>
    <row r="44" spans="1:21" x14ac:dyDescent="0.25">
      <c r="A44">
        <f t="shared" si="0"/>
        <v>3</v>
      </c>
      <c r="G44" t="s">
        <v>4910</v>
      </c>
      <c r="H44" s="2">
        <v>1</v>
      </c>
      <c r="I44" s="2">
        <v>1800</v>
      </c>
      <c r="N44" t="str">
        <f t="shared" si="1"/>
        <v>LDHS General Trading</v>
      </c>
      <c r="O44" t="str">
        <f t="shared" si="2"/>
        <v>W1315338055</v>
      </c>
      <c r="P44" t="str">
        <f t="shared" si="3"/>
        <v>AP771EL25NHQ-568462</v>
      </c>
      <c r="Q44" t="str">
        <f t="shared" si="4"/>
        <v>PO045015</v>
      </c>
      <c r="R44" t="str">
        <f t="shared" si="5"/>
        <v>iPhone 6 (64 GB, 4G LTE, Gold)</v>
      </c>
      <c r="S44" t="str">
        <f t="shared" si="6"/>
        <v>SA961692</v>
      </c>
      <c r="T44">
        <f t="shared" si="7"/>
        <v>1</v>
      </c>
      <c r="U44">
        <f t="shared" si="8"/>
        <v>1800</v>
      </c>
    </row>
    <row r="45" spans="1:21" x14ac:dyDescent="0.25">
      <c r="A45">
        <f t="shared" si="0"/>
        <v>3</v>
      </c>
      <c r="G45" t="s">
        <v>4939</v>
      </c>
      <c r="H45" s="2">
        <v>1</v>
      </c>
      <c r="I45" s="2">
        <v>1800</v>
      </c>
      <c r="N45" t="str">
        <f t="shared" si="1"/>
        <v>LDHS General Trading</v>
      </c>
      <c r="O45" t="str">
        <f t="shared" si="2"/>
        <v>W1315338055</v>
      </c>
      <c r="P45" t="str">
        <f t="shared" si="3"/>
        <v>AP771EL25NHQ-568462</v>
      </c>
      <c r="Q45" t="str">
        <f t="shared" si="4"/>
        <v>PO045015</v>
      </c>
      <c r="R45" t="str">
        <f t="shared" si="5"/>
        <v>iPhone 6 (64 GB, 4G LTE, Gold)</v>
      </c>
      <c r="S45" t="str">
        <f t="shared" si="6"/>
        <v>SA968770</v>
      </c>
      <c r="T45">
        <f t="shared" si="7"/>
        <v>1</v>
      </c>
      <c r="U45">
        <f t="shared" si="8"/>
        <v>1800</v>
      </c>
    </row>
    <row r="46" spans="1:21" x14ac:dyDescent="0.25">
      <c r="A46">
        <f t="shared" si="0"/>
        <v>3</v>
      </c>
      <c r="G46" t="s">
        <v>4943</v>
      </c>
      <c r="H46" s="2">
        <v>1</v>
      </c>
      <c r="I46" s="2">
        <v>1800</v>
      </c>
      <c r="N46" t="str">
        <f t="shared" si="1"/>
        <v>LDHS General Trading</v>
      </c>
      <c r="O46" t="str">
        <f t="shared" si="2"/>
        <v>W1315338055</v>
      </c>
      <c r="P46" t="str">
        <f t="shared" si="3"/>
        <v>AP771EL25NHQ-568462</v>
      </c>
      <c r="Q46" t="str">
        <f t="shared" si="4"/>
        <v>PO045015</v>
      </c>
      <c r="R46" t="str">
        <f t="shared" si="5"/>
        <v>iPhone 6 (64 GB, 4G LTE, Gold)</v>
      </c>
      <c r="S46" t="str">
        <f t="shared" si="6"/>
        <v>SA969545</v>
      </c>
      <c r="T46">
        <f t="shared" si="7"/>
        <v>1</v>
      </c>
      <c r="U46">
        <f t="shared" si="8"/>
        <v>1800</v>
      </c>
    </row>
    <row r="47" spans="1:21" x14ac:dyDescent="0.25">
      <c r="A47">
        <f t="shared" si="0"/>
        <v>3</v>
      </c>
      <c r="C47" t="s">
        <v>5506</v>
      </c>
      <c r="D47" t="s">
        <v>5507</v>
      </c>
      <c r="E47" t="s">
        <v>5509</v>
      </c>
      <c r="F47" t="s">
        <v>5508</v>
      </c>
      <c r="G47" t="s">
        <v>5505</v>
      </c>
      <c r="H47" s="2">
        <v>1</v>
      </c>
      <c r="I47" s="2">
        <v>394</v>
      </c>
      <c r="N47" t="str">
        <f t="shared" si="1"/>
        <v>LDHS General Trading</v>
      </c>
      <c r="O47" t="str">
        <f t="shared" si="2"/>
        <v>W1315102275</v>
      </c>
      <c r="P47" t="str">
        <f t="shared" si="3"/>
        <v>CA511EL29BWW-1282</v>
      </c>
      <c r="Q47" t="str">
        <f t="shared" si="4"/>
        <v>PO044785</v>
      </c>
      <c r="R47" t="str">
        <f t="shared" si="5"/>
        <v>Edifice EF-558D-1AV</v>
      </c>
      <c r="S47" t="str">
        <f t="shared" si="6"/>
        <v>SA979023</v>
      </c>
      <c r="T47">
        <f t="shared" si="7"/>
        <v>1</v>
      </c>
      <c r="U47">
        <f t="shared" si="8"/>
        <v>394</v>
      </c>
    </row>
    <row r="48" spans="1:21" x14ac:dyDescent="0.25">
      <c r="A48">
        <f t="shared" si="0"/>
        <v>3</v>
      </c>
      <c r="C48" t="s">
        <v>5602</v>
      </c>
      <c r="D48" t="s">
        <v>5603</v>
      </c>
      <c r="E48" t="s">
        <v>5138</v>
      </c>
      <c r="F48" t="s">
        <v>5604</v>
      </c>
      <c r="G48" t="s">
        <v>5601</v>
      </c>
      <c r="H48" s="2">
        <v>1</v>
      </c>
      <c r="I48" s="2">
        <v>96</v>
      </c>
      <c r="N48" t="str">
        <f t="shared" si="1"/>
        <v>LDHS General Trading</v>
      </c>
      <c r="O48" t="str">
        <f t="shared" si="2"/>
        <v>W1315204783</v>
      </c>
      <c r="P48" t="str">
        <f t="shared" si="3"/>
        <v>CA511AC86DON-380551</v>
      </c>
      <c r="Q48" t="str">
        <f t="shared" si="4"/>
        <v>PO045021</v>
      </c>
      <c r="R48" t="str">
        <f t="shared" si="5"/>
        <v>Casio Digital Resin Women's Watch LDF-52-4ADR</v>
      </c>
      <c r="S48" t="str">
        <f t="shared" si="6"/>
        <v>SA980036</v>
      </c>
      <c r="T48">
        <f t="shared" si="7"/>
        <v>1</v>
      </c>
      <c r="U48">
        <f t="shared" si="8"/>
        <v>96</v>
      </c>
    </row>
    <row r="49" spans="1:21" x14ac:dyDescent="0.25">
      <c r="A49">
        <f t="shared" si="0"/>
        <v>3</v>
      </c>
      <c r="C49" t="s">
        <v>6147</v>
      </c>
      <c r="D49" t="s">
        <v>6148</v>
      </c>
      <c r="E49" t="s">
        <v>6150</v>
      </c>
      <c r="F49" t="s">
        <v>6149</v>
      </c>
      <c r="G49" t="s">
        <v>6146</v>
      </c>
      <c r="H49" s="2">
        <v>1</v>
      </c>
      <c r="I49" s="2">
        <v>3020</v>
      </c>
      <c r="N49" t="str">
        <f t="shared" si="1"/>
        <v>LDHS General Trading</v>
      </c>
      <c r="O49" t="str">
        <f t="shared" si="2"/>
        <v>W1315338158</v>
      </c>
      <c r="P49" t="str">
        <f t="shared" si="3"/>
        <v>AP771EL47LIU-562869</v>
      </c>
      <c r="Q49" t="str">
        <f t="shared" si="4"/>
        <v>PO044861</v>
      </c>
      <c r="R49" t="str">
        <f t="shared" si="5"/>
        <v>iPhone 7 Plus (256 GB, 4G LTE, Jet Black, With Facetime)</v>
      </c>
      <c r="S49" t="str">
        <f t="shared" si="6"/>
        <v>SA984349</v>
      </c>
      <c r="T49">
        <f t="shared" si="7"/>
        <v>1</v>
      </c>
      <c r="U49">
        <f t="shared" si="8"/>
        <v>3020</v>
      </c>
    </row>
    <row r="50" spans="1:21" x14ac:dyDescent="0.25">
      <c r="A50">
        <f t="shared" si="0"/>
        <v>3</v>
      </c>
      <c r="G50" t="s">
        <v>6188</v>
      </c>
      <c r="H50" s="2">
        <v>1</v>
      </c>
      <c r="I50" s="2">
        <v>3020</v>
      </c>
      <c r="N50" t="str">
        <f t="shared" si="1"/>
        <v>LDHS General Trading</v>
      </c>
      <c r="O50" t="str">
        <f t="shared" si="2"/>
        <v>W1315338158</v>
      </c>
      <c r="P50" t="str">
        <f t="shared" si="3"/>
        <v>AP771EL47LIU-562869</v>
      </c>
      <c r="Q50" t="str">
        <f t="shared" si="4"/>
        <v>PO044861</v>
      </c>
      <c r="R50" t="str">
        <f t="shared" si="5"/>
        <v>iPhone 7 Plus (256 GB, 4G LTE, Jet Black, With Facetime)</v>
      </c>
      <c r="S50" t="str">
        <f t="shared" si="6"/>
        <v>SA984774</v>
      </c>
      <c r="T50">
        <f t="shared" si="7"/>
        <v>1</v>
      </c>
      <c r="U50">
        <f t="shared" si="8"/>
        <v>3020</v>
      </c>
    </row>
    <row r="51" spans="1:21" x14ac:dyDescent="0.25">
      <c r="A51">
        <f t="shared" si="0"/>
        <v>3</v>
      </c>
      <c r="G51" t="s">
        <v>6251</v>
      </c>
      <c r="H51" s="2">
        <v>1</v>
      </c>
      <c r="I51" s="2">
        <v>3020</v>
      </c>
      <c r="N51" t="str">
        <f t="shared" si="1"/>
        <v>LDHS General Trading</v>
      </c>
      <c r="O51" t="str">
        <f t="shared" si="2"/>
        <v>W1315338158</v>
      </c>
      <c r="P51" t="str">
        <f t="shared" si="3"/>
        <v>AP771EL47LIU-562869</v>
      </c>
      <c r="Q51" t="str">
        <f t="shared" si="4"/>
        <v>PO044861</v>
      </c>
      <c r="R51" t="str">
        <f t="shared" si="5"/>
        <v>iPhone 7 Plus (256 GB, 4G LTE, Jet Black, With Facetime)</v>
      </c>
      <c r="S51" t="str">
        <f t="shared" si="6"/>
        <v>SA985492</v>
      </c>
      <c r="T51">
        <f t="shared" si="7"/>
        <v>1</v>
      </c>
      <c r="U51">
        <f t="shared" si="8"/>
        <v>3020</v>
      </c>
    </row>
    <row r="52" spans="1:21" x14ac:dyDescent="0.25">
      <c r="A52">
        <f t="shared" si="0"/>
        <v>3</v>
      </c>
      <c r="E52" t="s">
        <v>6397</v>
      </c>
      <c r="F52" t="s">
        <v>6149</v>
      </c>
      <c r="G52" t="s">
        <v>6396</v>
      </c>
      <c r="H52" s="2">
        <v>1</v>
      </c>
      <c r="I52" s="2">
        <v>3245</v>
      </c>
      <c r="N52" t="str">
        <f t="shared" si="1"/>
        <v>LDHS General Trading</v>
      </c>
      <c r="O52" t="str">
        <f t="shared" si="2"/>
        <v>W1315338158</v>
      </c>
      <c r="P52" t="str">
        <f t="shared" si="3"/>
        <v>AP771EL47LIU-562869</v>
      </c>
      <c r="Q52" t="str">
        <f t="shared" si="4"/>
        <v>PO044938</v>
      </c>
      <c r="R52" t="str">
        <f t="shared" si="5"/>
        <v>iPhone 7 Plus (256 GB, 4G LTE, Jet Black, With Facetime)</v>
      </c>
      <c r="S52" t="str">
        <f t="shared" si="6"/>
        <v>SA986643</v>
      </c>
      <c r="T52">
        <f t="shared" si="7"/>
        <v>1</v>
      </c>
      <c r="U52">
        <f t="shared" si="8"/>
        <v>3245</v>
      </c>
    </row>
    <row r="53" spans="1:21" x14ac:dyDescent="0.25">
      <c r="A53">
        <f t="shared" si="0"/>
        <v>3</v>
      </c>
      <c r="C53" t="s">
        <v>6289</v>
      </c>
      <c r="D53" t="s">
        <v>6290</v>
      </c>
      <c r="E53" t="s">
        <v>6292</v>
      </c>
      <c r="F53" t="s">
        <v>6291</v>
      </c>
      <c r="G53" t="s">
        <v>6288</v>
      </c>
      <c r="H53" s="2">
        <v>1</v>
      </c>
      <c r="I53" s="2">
        <v>2275</v>
      </c>
      <c r="N53" t="str">
        <f t="shared" si="1"/>
        <v>LDHS General Trading</v>
      </c>
      <c r="O53" t="str">
        <f t="shared" si="2"/>
        <v>W1315339031</v>
      </c>
      <c r="P53" t="str">
        <f t="shared" si="3"/>
        <v>AP771EL44QZB-573176</v>
      </c>
      <c r="Q53" t="str">
        <f t="shared" si="4"/>
        <v>PO044991</v>
      </c>
      <c r="R53" t="str">
        <f t="shared" si="5"/>
        <v>Watch Series 2 42mm Space Black Stainless Steel Case with Black Sport Band (MP4A2)</v>
      </c>
      <c r="S53" t="str">
        <f t="shared" si="6"/>
        <v>SA985933</v>
      </c>
      <c r="T53">
        <f t="shared" si="7"/>
        <v>1</v>
      </c>
      <c r="U53">
        <f t="shared" si="8"/>
        <v>2275</v>
      </c>
    </row>
    <row r="54" spans="1:21" x14ac:dyDescent="0.25">
      <c r="A54">
        <f t="shared" si="0"/>
        <v>3</v>
      </c>
      <c r="C54" t="s">
        <v>6610</v>
      </c>
      <c r="D54" t="s">
        <v>6611</v>
      </c>
      <c r="E54" t="s">
        <v>5138</v>
      </c>
      <c r="F54" t="s">
        <v>6612</v>
      </c>
      <c r="G54" t="s">
        <v>6609</v>
      </c>
      <c r="H54" s="2">
        <v>1</v>
      </c>
      <c r="I54" s="2">
        <v>80</v>
      </c>
      <c r="N54" t="str">
        <f t="shared" si="1"/>
        <v>LDHS General Trading</v>
      </c>
      <c r="O54" t="str">
        <f t="shared" si="2"/>
        <v>W1315454543</v>
      </c>
      <c r="P54" t="str">
        <f t="shared" si="3"/>
        <v>CA511AC51DGU-718449</v>
      </c>
      <c r="Q54" t="str">
        <f t="shared" si="4"/>
        <v>PO045021</v>
      </c>
      <c r="R54" t="str">
        <f t="shared" si="5"/>
        <v>Casio Analog Pink Dial Watch for Women (LTP-1165A-4CDF)</v>
      </c>
      <c r="S54" t="str">
        <f t="shared" si="6"/>
        <v>SA988751</v>
      </c>
      <c r="T54">
        <f t="shared" si="7"/>
        <v>1</v>
      </c>
      <c r="U54">
        <f t="shared" si="8"/>
        <v>80</v>
      </c>
    </row>
    <row r="55" spans="1:21" x14ac:dyDescent="0.25">
      <c r="A55">
        <f t="shared" si="0"/>
        <v>3</v>
      </c>
      <c r="C55" t="s">
        <v>6614</v>
      </c>
      <c r="D55" t="s">
        <v>6615</v>
      </c>
      <c r="E55" t="s">
        <v>6292</v>
      </c>
      <c r="F55" t="s">
        <v>6616</v>
      </c>
      <c r="G55" t="s">
        <v>6613</v>
      </c>
      <c r="H55" s="2">
        <v>1</v>
      </c>
      <c r="I55" s="2">
        <v>2220</v>
      </c>
      <c r="N55" t="str">
        <f t="shared" si="1"/>
        <v>LDHS General Trading</v>
      </c>
      <c r="O55" t="str">
        <f t="shared" si="2"/>
        <v>W1315154992</v>
      </c>
      <c r="P55" t="str">
        <f t="shared" si="3"/>
        <v>AP771EL73NEG-98262</v>
      </c>
      <c r="Q55" t="str">
        <f t="shared" si="4"/>
        <v>PO044991</v>
      </c>
      <c r="R55" t="str">
        <f t="shared" si="5"/>
        <v>Apple iPhone 6s Plus 64 GB, Space gray</v>
      </c>
      <c r="S55" t="str">
        <f t="shared" si="6"/>
        <v>SA989026</v>
      </c>
      <c r="T55">
        <f t="shared" si="7"/>
        <v>1</v>
      </c>
      <c r="U55">
        <f t="shared" si="8"/>
        <v>2220</v>
      </c>
    </row>
    <row r="56" spans="1:21" x14ac:dyDescent="0.25">
      <c r="A56">
        <f t="shared" si="0"/>
        <v>3</v>
      </c>
      <c r="C56" t="s">
        <v>6637</v>
      </c>
      <c r="D56" t="s">
        <v>6638</v>
      </c>
      <c r="E56" t="s">
        <v>5138</v>
      </c>
      <c r="F56" t="s">
        <v>6639</v>
      </c>
      <c r="G56" t="s">
        <v>6636</v>
      </c>
      <c r="H56" s="2">
        <v>1</v>
      </c>
      <c r="I56" s="2">
        <v>84</v>
      </c>
      <c r="N56" t="str">
        <f t="shared" si="1"/>
        <v>LDHS General Trading</v>
      </c>
      <c r="O56" t="str">
        <f t="shared" si="2"/>
        <v>W1315103608</v>
      </c>
      <c r="P56" t="str">
        <f t="shared" si="3"/>
        <v>CA511AC38QNH-25695</v>
      </c>
      <c r="Q56" t="str">
        <f t="shared" si="4"/>
        <v>PO045021</v>
      </c>
      <c r="R56" t="str">
        <f t="shared" si="5"/>
        <v>Casio Youth Series AW-80V-3BVDF</v>
      </c>
      <c r="S56" t="str">
        <f t="shared" si="6"/>
        <v>SA989263</v>
      </c>
      <c r="T56">
        <f t="shared" si="7"/>
        <v>1</v>
      </c>
      <c r="U56">
        <f t="shared" si="8"/>
        <v>84</v>
      </c>
    </row>
    <row r="57" spans="1:21" x14ac:dyDescent="0.25">
      <c r="A57">
        <f t="shared" si="0"/>
        <v>3</v>
      </c>
      <c r="C57" t="s">
        <v>6700</v>
      </c>
      <c r="D57" t="s">
        <v>6701</v>
      </c>
      <c r="E57" t="s">
        <v>5138</v>
      </c>
      <c r="F57" t="s">
        <v>6702</v>
      </c>
      <c r="G57" t="s">
        <v>6699</v>
      </c>
      <c r="H57" s="2">
        <v>1</v>
      </c>
      <c r="I57" s="2">
        <v>150</v>
      </c>
      <c r="N57" t="str">
        <f t="shared" si="1"/>
        <v>LDHS General Trading</v>
      </c>
      <c r="O57" t="str">
        <f t="shared" si="2"/>
        <v>W1315327321</v>
      </c>
      <c r="P57" t="str">
        <f t="shared" si="3"/>
        <v>CA511AC77WFI-530370</v>
      </c>
      <c r="Q57" t="str">
        <f t="shared" si="4"/>
        <v>PO045021</v>
      </c>
      <c r="R57" t="str">
        <f t="shared" si="5"/>
        <v>His &amp; Her Watch Set MTP V004G -9B + LTP V004G -9B (Analog Watch, Gold)</v>
      </c>
      <c r="S57" t="str">
        <f t="shared" si="6"/>
        <v>SA989614</v>
      </c>
      <c r="T57">
        <f t="shared" si="7"/>
        <v>1</v>
      </c>
      <c r="U57">
        <f t="shared" si="8"/>
        <v>150</v>
      </c>
    </row>
    <row r="58" spans="1:21" x14ac:dyDescent="0.25">
      <c r="A58">
        <f t="shared" si="0"/>
        <v>4</v>
      </c>
      <c r="B58" t="s">
        <v>448</v>
      </c>
      <c r="C58" t="s">
        <v>3774</v>
      </c>
      <c r="D58" t="s">
        <v>3775</v>
      </c>
      <c r="E58" t="s">
        <v>3777</v>
      </c>
      <c r="F58" t="s">
        <v>3776</v>
      </c>
      <c r="G58" t="s">
        <v>3773</v>
      </c>
      <c r="H58" s="2">
        <v>1</v>
      </c>
      <c r="I58" s="2">
        <v>325</v>
      </c>
      <c r="N58" t="str">
        <f t="shared" si="1"/>
        <v>Comcom Communications LLC</v>
      </c>
      <c r="O58" t="str">
        <f t="shared" si="2"/>
        <v>W1315293080</v>
      </c>
      <c r="P58" t="str">
        <f t="shared" si="3"/>
        <v>OU299EL01QJM-498180</v>
      </c>
      <c r="Q58" t="str">
        <f t="shared" si="4"/>
        <v>PO044254</v>
      </c>
      <c r="R58" t="str">
        <f t="shared" si="5"/>
        <v>K4000 Pro (16 GB, 4G LTE, Black Dual SIM)</v>
      </c>
      <c r="S58" t="str">
        <f t="shared" si="6"/>
        <v>SA958244</v>
      </c>
      <c r="T58">
        <f t="shared" si="7"/>
        <v>1</v>
      </c>
      <c r="U58">
        <f t="shared" si="8"/>
        <v>325</v>
      </c>
    </row>
    <row r="59" spans="1:21" x14ac:dyDescent="0.25">
      <c r="A59">
        <f t="shared" si="0"/>
        <v>4</v>
      </c>
      <c r="E59" t="s">
        <v>4658</v>
      </c>
      <c r="F59" t="s">
        <v>3776</v>
      </c>
      <c r="G59" t="s">
        <v>4657</v>
      </c>
      <c r="H59" s="2">
        <v>1</v>
      </c>
      <c r="I59" s="2">
        <v>325</v>
      </c>
      <c r="N59" t="str">
        <f t="shared" si="1"/>
        <v>Comcom Communications LLC</v>
      </c>
      <c r="O59" t="str">
        <f t="shared" si="2"/>
        <v>W1315293080</v>
      </c>
      <c r="P59" t="str">
        <f t="shared" si="3"/>
        <v>OU299EL01QJM-498180</v>
      </c>
      <c r="Q59" t="str">
        <f t="shared" si="4"/>
        <v>PO044580</v>
      </c>
      <c r="R59" t="str">
        <f t="shared" si="5"/>
        <v>K4000 Pro (16 GB, 4G LTE, Black Dual SIM)</v>
      </c>
      <c r="S59" t="str">
        <f t="shared" si="6"/>
        <v>SA975218</v>
      </c>
      <c r="T59">
        <f t="shared" si="7"/>
        <v>1</v>
      </c>
      <c r="U59">
        <f t="shared" si="8"/>
        <v>325</v>
      </c>
    </row>
    <row r="60" spans="1:21" x14ac:dyDescent="0.25">
      <c r="A60">
        <f t="shared" si="0"/>
        <v>5</v>
      </c>
      <c r="B60" t="s">
        <v>86</v>
      </c>
      <c r="C60" t="s">
        <v>3446</v>
      </c>
      <c r="D60" t="s">
        <v>3447</v>
      </c>
      <c r="E60" t="s">
        <v>3449</v>
      </c>
      <c r="F60" t="s">
        <v>3448</v>
      </c>
      <c r="G60" t="s">
        <v>3445</v>
      </c>
      <c r="H60" s="2">
        <v>1</v>
      </c>
      <c r="I60" s="2">
        <v>80</v>
      </c>
      <c r="N60" t="str">
        <f t="shared" si="1"/>
        <v>OSKAR PHONES LLC</v>
      </c>
      <c r="O60" t="str">
        <f t="shared" si="2"/>
        <v>W1315302527</v>
      </c>
      <c r="P60" t="str">
        <f t="shared" si="3"/>
        <v>AN087EL53ZTQ-510215</v>
      </c>
      <c r="Q60" t="str">
        <f t="shared" si="4"/>
        <v>PO043750</v>
      </c>
      <c r="R60" t="str">
        <f t="shared" si="5"/>
        <v>10400 mAh Powerbank (PowerCore, Black)</v>
      </c>
      <c r="S60" t="str">
        <f t="shared" si="6"/>
        <v>SA935680</v>
      </c>
      <c r="T60">
        <f t="shared" si="7"/>
        <v>1</v>
      </c>
      <c r="U60">
        <f t="shared" si="8"/>
        <v>80</v>
      </c>
    </row>
    <row r="61" spans="1:21" x14ac:dyDescent="0.25">
      <c r="A61">
        <f t="shared" si="0"/>
        <v>5</v>
      </c>
      <c r="E61" t="s">
        <v>3686</v>
      </c>
      <c r="F61" t="s">
        <v>3448</v>
      </c>
      <c r="G61" t="s">
        <v>3796</v>
      </c>
      <c r="H61" s="2">
        <v>1</v>
      </c>
      <c r="I61" s="2">
        <v>80</v>
      </c>
      <c r="N61" t="str">
        <f t="shared" si="1"/>
        <v>OSKAR PHONES LLC</v>
      </c>
      <c r="O61" t="str">
        <f t="shared" si="2"/>
        <v>W1315302527</v>
      </c>
      <c r="P61" t="str">
        <f t="shared" si="3"/>
        <v>AN087EL53ZTQ-510215</v>
      </c>
      <c r="Q61" t="str">
        <f t="shared" si="4"/>
        <v>PO044264</v>
      </c>
      <c r="R61" t="str">
        <f t="shared" si="5"/>
        <v>10400 mAh Powerbank (PowerCore, Black)</v>
      </c>
      <c r="S61" t="str">
        <f t="shared" si="6"/>
        <v>SA958927</v>
      </c>
      <c r="T61">
        <f t="shared" si="7"/>
        <v>1</v>
      </c>
      <c r="U61">
        <f t="shared" si="8"/>
        <v>80</v>
      </c>
    </row>
    <row r="62" spans="1:21" x14ac:dyDescent="0.25">
      <c r="A62">
        <f t="shared" si="0"/>
        <v>5</v>
      </c>
      <c r="C62" t="s">
        <v>3560</v>
      </c>
      <c r="D62" t="s">
        <v>3561</v>
      </c>
      <c r="E62" t="s">
        <v>4346</v>
      </c>
      <c r="F62" t="s">
        <v>3562</v>
      </c>
      <c r="G62" t="s">
        <v>4649</v>
      </c>
      <c r="H62" s="2">
        <v>1</v>
      </c>
      <c r="I62" s="2">
        <v>85</v>
      </c>
      <c r="N62" t="str">
        <f t="shared" si="1"/>
        <v>OSKAR PHONES LLC</v>
      </c>
      <c r="O62" t="str">
        <f t="shared" si="2"/>
        <v>W1315462037</v>
      </c>
      <c r="P62" t="str">
        <f t="shared" si="3"/>
        <v>AN087EL34VDX-711364</v>
      </c>
      <c r="Q62" t="str">
        <f t="shared" si="4"/>
        <v>PO044617</v>
      </c>
      <c r="R62" t="str">
        <f t="shared" si="5"/>
        <v>SoundBuds Sport In Ear Earphones (A32330M1, Black and Green)</v>
      </c>
      <c r="S62" t="str">
        <f t="shared" si="6"/>
        <v>SA974943</v>
      </c>
      <c r="T62">
        <f t="shared" si="7"/>
        <v>1</v>
      </c>
      <c r="U62">
        <f t="shared" si="8"/>
        <v>85</v>
      </c>
    </row>
    <row r="63" spans="1:21" x14ac:dyDescent="0.25">
      <c r="A63">
        <f t="shared" si="0"/>
        <v>5</v>
      </c>
      <c r="G63" t="s">
        <v>4656</v>
      </c>
      <c r="H63" s="2">
        <v>1</v>
      </c>
      <c r="I63" s="2">
        <v>85</v>
      </c>
      <c r="N63" t="str">
        <f t="shared" si="1"/>
        <v>OSKAR PHONES LLC</v>
      </c>
      <c r="O63" t="str">
        <f t="shared" si="2"/>
        <v>W1315462037</v>
      </c>
      <c r="P63" t="str">
        <f t="shared" si="3"/>
        <v>AN087EL34VDX-711364</v>
      </c>
      <c r="Q63" t="str">
        <f t="shared" si="4"/>
        <v>PO044617</v>
      </c>
      <c r="R63" t="str">
        <f t="shared" si="5"/>
        <v>SoundBuds Sport In Ear Earphones (A32330M1, Black and Green)</v>
      </c>
      <c r="S63" t="str">
        <f t="shared" si="6"/>
        <v>SA975150</v>
      </c>
      <c r="T63">
        <f t="shared" si="7"/>
        <v>1</v>
      </c>
      <c r="U63">
        <f t="shared" si="8"/>
        <v>85</v>
      </c>
    </row>
    <row r="64" spans="1:21" x14ac:dyDescent="0.25">
      <c r="A64">
        <f t="shared" si="0"/>
        <v>5</v>
      </c>
      <c r="G64" t="s">
        <v>4667</v>
      </c>
      <c r="H64" s="2">
        <v>1</v>
      </c>
      <c r="I64" s="2">
        <v>85</v>
      </c>
      <c r="N64" t="str">
        <f t="shared" si="1"/>
        <v>OSKAR PHONES LLC</v>
      </c>
      <c r="O64" t="str">
        <f t="shared" si="2"/>
        <v>W1315462037</v>
      </c>
      <c r="P64" t="str">
        <f t="shared" si="3"/>
        <v>AN087EL34VDX-711364</v>
      </c>
      <c r="Q64" t="str">
        <f t="shared" si="4"/>
        <v>PO044617</v>
      </c>
      <c r="R64" t="str">
        <f t="shared" si="5"/>
        <v>SoundBuds Sport In Ear Earphones (A32330M1, Black and Green)</v>
      </c>
      <c r="S64" t="str">
        <f t="shared" si="6"/>
        <v>SA975639</v>
      </c>
      <c r="T64">
        <f t="shared" si="7"/>
        <v>1</v>
      </c>
      <c r="U64">
        <f t="shared" si="8"/>
        <v>85</v>
      </c>
    </row>
    <row r="65" spans="1:21" x14ac:dyDescent="0.25">
      <c r="A65">
        <f t="shared" si="0"/>
        <v>5</v>
      </c>
      <c r="E65" t="s">
        <v>5186</v>
      </c>
      <c r="F65" t="s">
        <v>3562</v>
      </c>
      <c r="G65" t="s">
        <v>5185</v>
      </c>
      <c r="H65" s="2">
        <v>1</v>
      </c>
      <c r="I65" s="2">
        <v>85</v>
      </c>
      <c r="N65" t="str">
        <f t="shared" si="1"/>
        <v>OSKAR PHONES LLC</v>
      </c>
      <c r="O65" t="str">
        <f t="shared" si="2"/>
        <v>W1315462037</v>
      </c>
      <c r="P65" t="str">
        <f t="shared" si="3"/>
        <v>AN087EL34VDX-711364</v>
      </c>
      <c r="Q65" t="str">
        <f t="shared" si="4"/>
        <v>PO044775</v>
      </c>
      <c r="R65" t="str">
        <f t="shared" si="5"/>
        <v>SoundBuds Sport In Ear Earphones (A32330M1, Black and Green)</v>
      </c>
      <c r="S65" t="str">
        <f t="shared" si="6"/>
        <v>SA974880</v>
      </c>
      <c r="T65">
        <f t="shared" si="7"/>
        <v>1</v>
      </c>
      <c r="U65">
        <f t="shared" si="8"/>
        <v>85</v>
      </c>
    </row>
    <row r="66" spans="1:21" x14ac:dyDescent="0.25">
      <c r="A66">
        <f t="shared" si="0"/>
        <v>5</v>
      </c>
      <c r="G66" t="s">
        <v>5525</v>
      </c>
      <c r="H66" s="2">
        <v>1</v>
      </c>
      <c r="I66" s="2">
        <v>85</v>
      </c>
      <c r="N66" t="str">
        <f t="shared" si="1"/>
        <v>OSKAR PHONES LLC</v>
      </c>
      <c r="O66" t="str">
        <f t="shared" si="2"/>
        <v>W1315462037</v>
      </c>
      <c r="P66" t="str">
        <f t="shared" si="3"/>
        <v>AN087EL34VDX-711364</v>
      </c>
      <c r="Q66" t="str">
        <f t="shared" si="4"/>
        <v>PO044775</v>
      </c>
      <c r="R66" t="str">
        <f t="shared" si="5"/>
        <v>SoundBuds Sport In Ear Earphones (A32330M1, Black and Green)</v>
      </c>
      <c r="S66" t="str">
        <f t="shared" si="6"/>
        <v>SA979166</v>
      </c>
      <c r="T66">
        <f t="shared" si="7"/>
        <v>1</v>
      </c>
      <c r="U66">
        <f t="shared" si="8"/>
        <v>85</v>
      </c>
    </row>
    <row r="67" spans="1:21" x14ac:dyDescent="0.25">
      <c r="A67">
        <f t="shared" si="0"/>
        <v>5</v>
      </c>
      <c r="G67" t="s">
        <v>5532</v>
      </c>
      <c r="H67" s="2">
        <v>1</v>
      </c>
      <c r="I67" s="2">
        <v>85</v>
      </c>
      <c r="N67" t="str">
        <f t="shared" si="1"/>
        <v>OSKAR PHONES LLC</v>
      </c>
      <c r="O67" t="str">
        <f t="shared" si="2"/>
        <v>W1315462037</v>
      </c>
      <c r="P67" t="str">
        <f t="shared" si="3"/>
        <v>AN087EL34VDX-711364</v>
      </c>
      <c r="Q67" t="str">
        <f t="shared" si="4"/>
        <v>PO044775</v>
      </c>
      <c r="R67" t="str">
        <f t="shared" si="5"/>
        <v>SoundBuds Sport In Ear Earphones (A32330M1, Black and Green)</v>
      </c>
      <c r="S67" t="str">
        <f t="shared" si="6"/>
        <v>SA979336</v>
      </c>
      <c r="T67">
        <f t="shared" si="7"/>
        <v>1</v>
      </c>
      <c r="U67">
        <f t="shared" si="8"/>
        <v>85</v>
      </c>
    </row>
    <row r="68" spans="1:21" x14ac:dyDescent="0.25">
      <c r="A68">
        <f t="shared" ref="A68:A131" si="9">IF(ISBLANK(B68),A67,A67+1)</f>
        <v>5</v>
      </c>
      <c r="G68" t="s">
        <v>5641</v>
      </c>
      <c r="H68" s="2">
        <v>1</v>
      </c>
      <c r="I68" s="2">
        <v>85</v>
      </c>
      <c r="N68" t="str">
        <f t="shared" si="1"/>
        <v>OSKAR PHONES LLC</v>
      </c>
      <c r="O68" t="str">
        <f t="shared" si="2"/>
        <v>W1315462037</v>
      </c>
      <c r="P68" t="str">
        <f t="shared" si="3"/>
        <v>AN087EL34VDX-711364</v>
      </c>
      <c r="Q68" t="str">
        <f t="shared" si="4"/>
        <v>PO044775</v>
      </c>
      <c r="R68" t="str">
        <f t="shared" si="5"/>
        <v>SoundBuds Sport In Ear Earphones (A32330M1, Black and Green)</v>
      </c>
      <c r="S68" t="str">
        <f t="shared" si="6"/>
        <v>SA980314</v>
      </c>
      <c r="T68">
        <f t="shared" si="7"/>
        <v>1</v>
      </c>
      <c r="U68">
        <f t="shared" si="8"/>
        <v>85</v>
      </c>
    </row>
    <row r="69" spans="1:21" x14ac:dyDescent="0.25">
      <c r="A69">
        <f t="shared" si="9"/>
        <v>5</v>
      </c>
      <c r="G69" t="s">
        <v>5666</v>
      </c>
      <c r="H69" s="2">
        <v>1</v>
      </c>
      <c r="I69" s="2">
        <v>85</v>
      </c>
      <c r="N69" t="str">
        <f t="shared" si="1"/>
        <v>OSKAR PHONES LLC</v>
      </c>
      <c r="O69" t="str">
        <f t="shared" si="2"/>
        <v>W1315462037</v>
      </c>
      <c r="P69" t="str">
        <f t="shared" si="3"/>
        <v>AN087EL34VDX-711364</v>
      </c>
      <c r="Q69" t="str">
        <f t="shared" si="4"/>
        <v>PO044775</v>
      </c>
      <c r="R69" t="str">
        <f t="shared" si="5"/>
        <v>SoundBuds Sport In Ear Earphones (A32330M1, Black and Green)</v>
      </c>
      <c r="S69" t="str">
        <f t="shared" si="6"/>
        <v>SA980425</v>
      </c>
      <c r="T69">
        <f t="shared" si="7"/>
        <v>1</v>
      </c>
      <c r="U69">
        <f t="shared" si="8"/>
        <v>85</v>
      </c>
    </row>
    <row r="70" spans="1:21" x14ac:dyDescent="0.25">
      <c r="A70">
        <f t="shared" si="9"/>
        <v>5</v>
      </c>
      <c r="G70" t="s">
        <v>5873</v>
      </c>
      <c r="H70" s="2">
        <v>1</v>
      </c>
      <c r="I70" s="2">
        <v>85</v>
      </c>
      <c r="N70" t="str">
        <f t="shared" ref="N70:N133" si="10">IF(ISBLANK($A70),"",IF(ISBLANK(B70),N69,B70))</f>
        <v>OSKAR PHONES LLC</v>
      </c>
      <c r="O70" t="str">
        <f t="shared" ref="O70:O133" si="11">IF(ISBLANK($A70),"",IF(ISBLANK(C70),O69,C70))</f>
        <v>W1315462037</v>
      </c>
      <c r="P70" t="str">
        <f t="shared" ref="P70:P133" si="12">IF(ISBLANK($A70),"",IF(ISBLANK(D70),P69,D70))</f>
        <v>AN087EL34VDX-711364</v>
      </c>
      <c r="Q70" t="str">
        <f t="shared" ref="Q70:Q133" si="13">IF(ISBLANK($A70),"",IF(ISBLANK(E70),Q69,E70))</f>
        <v>PO044775</v>
      </c>
      <c r="R70" t="str">
        <f t="shared" ref="R70:R133" si="14">IF(ISBLANK($A70),"",IF(ISBLANK(F70),R69,F70))</f>
        <v>SoundBuds Sport In Ear Earphones (A32330M1, Black and Green)</v>
      </c>
      <c r="S70" t="str">
        <f t="shared" ref="S70:S133" si="15">IF(ISBLANK($A70),"",G70)</f>
        <v>SA981519</v>
      </c>
      <c r="T70">
        <f t="shared" ref="T70:T133" si="16">IF(ISBLANK($A70),"",H70)</f>
        <v>1</v>
      </c>
      <c r="U70">
        <f t="shared" ref="U70:U133" si="17">IF(ISBLANK($A70),"",I70)</f>
        <v>85</v>
      </c>
    </row>
    <row r="71" spans="1:21" x14ac:dyDescent="0.25">
      <c r="A71">
        <f t="shared" si="9"/>
        <v>5</v>
      </c>
      <c r="E71" t="s">
        <v>5664</v>
      </c>
      <c r="F71" t="s">
        <v>3562</v>
      </c>
      <c r="G71" t="s">
        <v>6091</v>
      </c>
      <c r="H71" s="2">
        <v>1</v>
      </c>
      <c r="I71" s="2">
        <v>85</v>
      </c>
      <c r="N71" t="str">
        <f t="shared" si="10"/>
        <v>OSKAR PHONES LLC</v>
      </c>
      <c r="O71" t="str">
        <f t="shared" si="11"/>
        <v>W1315462037</v>
      </c>
      <c r="P71" t="str">
        <f t="shared" si="12"/>
        <v>AN087EL34VDX-711364</v>
      </c>
      <c r="Q71" t="str">
        <f t="shared" si="13"/>
        <v>PO044848</v>
      </c>
      <c r="R71" t="str">
        <f t="shared" si="14"/>
        <v>SoundBuds Sport In Ear Earphones (A32330M1, Black and Green)</v>
      </c>
      <c r="S71" t="str">
        <f t="shared" si="15"/>
        <v>SA983661</v>
      </c>
      <c r="T71">
        <f t="shared" si="16"/>
        <v>1</v>
      </c>
      <c r="U71">
        <f t="shared" si="17"/>
        <v>85</v>
      </c>
    </row>
    <row r="72" spans="1:21" x14ac:dyDescent="0.25">
      <c r="A72">
        <f t="shared" si="9"/>
        <v>5</v>
      </c>
      <c r="G72" t="s">
        <v>6106</v>
      </c>
      <c r="H72" s="2">
        <v>1</v>
      </c>
      <c r="I72" s="2">
        <v>85</v>
      </c>
      <c r="N72" t="str">
        <f t="shared" si="10"/>
        <v>OSKAR PHONES LLC</v>
      </c>
      <c r="O72" t="str">
        <f t="shared" si="11"/>
        <v>W1315462037</v>
      </c>
      <c r="P72" t="str">
        <f t="shared" si="12"/>
        <v>AN087EL34VDX-711364</v>
      </c>
      <c r="Q72" t="str">
        <f t="shared" si="13"/>
        <v>PO044848</v>
      </c>
      <c r="R72" t="str">
        <f t="shared" si="14"/>
        <v>SoundBuds Sport In Ear Earphones (A32330M1, Black and Green)</v>
      </c>
      <c r="S72" t="str">
        <f t="shared" si="15"/>
        <v>SA983851</v>
      </c>
      <c r="T72">
        <f t="shared" si="16"/>
        <v>1</v>
      </c>
      <c r="U72">
        <f t="shared" si="17"/>
        <v>85</v>
      </c>
    </row>
    <row r="73" spans="1:21" x14ac:dyDescent="0.25">
      <c r="A73">
        <f t="shared" si="9"/>
        <v>5</v>
      </c>
      <c r="C73" t="s">
        <v>3584</v>
      </c>
      <c r="D73" t="s">
        <v>3585</v>
      </c>
      <c r="E73" t="s">
        <v>3702</v>
      </c>
      <c r="F73" t="s">
        <v>3586</v>
      </c>
      <c r="G73" t="s">
        <v>3701</v>
      </c>
      <c r="H73" s="2">
        <v>1</v>
      </c>
      <c r="I73" s="2">
        <v>140</v>
      </c>
      <c r="N73" t="str">
        <f t="shared" si="10"/>
        <v>OSKAR PHONES LLC</v>
      </c>
      <c r="O73" t="str">
        <f t="shared" si="11"/>
        <v>W1315290875</v>
      </c>
      <c r="P73" t="str">
        <f t="shared" si="12"/>
        <v>AP771EL55SNC-499875</v>
      </c>
      <c r="Q73" t="str">
        <f t="shared" si="13"/>
        <v>PO044322</v>
      </c>
      <c r="R73" t="str">
        <f t="shared" si="14"/>
        <v>Slim Case for iPhone 6s (MMM22, Midnight Blue)</v>
      </c>
      <c r="S73" t="str">
        <f t="shared" si="15"/>
        <v>SA955213</v>
      </c>
      <c r="T73">
        <f t="shared" si="16"/>
        <v>1</v>
      </c>
      <c r="U73">
        <f t="shared" si="17"/>
        <v>140</v>
      </c>
    </row>
    <row r="74" spans="1:21" x14ac:dyDescent="0.25">
      <c r="A74">
        <f t="shared" si="9"/>
        <v>5</v>
      </c>
      <c r="C74" t="s">
        <v>3865</v>
      </c>
      <c r="D74" t="s">
        <v>3866</v>
      </c>
      <c r="E74" t="s">
        <v>4979</v>
      </c>
      <c r="F74" t="s">
        <v>3867</v>
      </c>
      <c r="G74" t="s">
        <v>4978</v>
      </c>
      <c r="H74" s="2">
        <v>1</v>
      </c>
      <c r="I74" s="2">
        <v>40</v>
      </c>
      <c r="N74" t="str">
        <f t="shared" si="10"/>
        <v>OSKAR PHONES LLC</v>
      </c>
      <c r="O74" t="str">
        <f t="shared" si="11"/>
        <v>W1315328606</v>
      </c>
      <c r="P74" t="str">
        <f t="shared" si="12"/>
        <v>AN087EL56JVZ-560260</v>
      </c>
      <c r="Q74" t="str">
        <f t="shared" si="13"/>
        <v>PO045006</v>
      </c>
      <c r="R74" t="str">
        <f t="shared" si="14"/>
        <v>Anker Nylon Braided Lightning Cable 1.8m (Gold)</v>
      </c>
      <c r="S74" t="str">
        <f t="shared" si="15"/>
        <v>SA972160</v>
      </c>
      <c r="T74">
        <f t="shared" si="16"/>
        <v>1</v>
      </c>
      <c r="U74">
        <f t="shared" si="17"/>
        <v>40</v>
      </c>
    </row>
    <row r="75" spans="1:21" x14ac:dyDescent="0.25">
      <c r="A75">
        <f t="shared" si="9"/>
        <v>5</v>
      </c>
      <c r="G75" t="s">
        <v>5589</v>
      </c>
      <c r="H75" s="2">
        <v>1</v>
      </c>
      <c r="I75" s="2">
        <v>40</v>
      </c>
      <c r="N75" t="str">
        <f t="shared" si="10"/>
        <v>OSKAR PHONES LLC</v>
      </c>
      <c r="O75" t="str">
        <f t="shared" si="11"/>
        <v>W1315328606</v>
      </c>
      <c r="P75" t="str">
        <f t="shared" si="12"/>
        <v>AN087EL56JVZ-560260</v>
      </c>
      <c r="Q75" t="str">
        <f t="shared" si="13"/>
        <v>PO045006</v>
      </c>
      <c r="R75" t="str">
        <f t="shared" si="14"/>
        <v>Anker Nylon Braided Lightning Cable 1.8m (Gold)</v>
      </c>
      <c r="S75" t="str">
        <f t="shared" si="15"/>
        <v>SA979949</v>
      </c>
      <c r="T75">
        <f t="shared" si="16"/>
        <v>1</v>
      </c>
      <c r="U75">
        <f t="shared" si="17"/>
        <v>40</v>
      </c>
    </row>
    <row r="76" spans="1:21" x14ac:dyDescent="0.25">
      <c r="A76">
        <f t="shared" si="9"/>
        <v>5</v>
      </c>
      <c r="G76" t="s">
        <v>5781</v>
      </c>
      <c r="H76" s="2">
        <v>1</v>
      </c>
      <c r="I76" s="2">
        <v>40</v>
      </c>
      <c r="N76" t="str">
        <f t="shared" si="10"/>
        <v>OSKAR PHONES LLC</v>
      </c>
      <c r="O76" t="str">
        <f t="shared" si="11"/>
        <v>W1315328606</v>
      </c>
      <c r="P76" t="str">
        <f t="shared" si="12"/>
        <v>AN087EL56JVZ-560260</v>
      </c>
      <c r="Q76" t="str">
        <f t="shared" si="13"/>
        <v>PO045006</v>
      </c>
      <c r="R76" t="str">
        <f t="shared" si="14"/>
        <v>Anker Nylon Braided Lightning Cable 1.8m (Gold)</v>
      </c>
      <c r="S76" t="str">
        <f t="shared" si="15"/>
        <v>SA980837</v>
      </c>
      <c r="T76">
        <f t="shared" si="16"/>
        <v>1</v>
      </c>
      <c r="U76">
        <f t="shared" si="17"/>
        <v>40</v>
      </c>
    </row>
    <row r="77" spans="1:21" x14ac:dyDescent="0.25">
      <c r="A77">
        <f t="shared" si="9"/>
        <v>5</v>
      </c>
      <c r="G77" t="s">
        <v>6077</v>
      </c>
      <c r="H77" s="2">
        <v>1</v>
      </c>
      <c r="I77" s="2">
        <v>40</v>
      </c>
      <c r="N77" t="str">
        <f t="shared" si="10"/>
        <v>OSKAR PHONES LLC</v>
      </c>
      <c r="O77" t="str">
        <f t="shared" si="11"/>
        <v>W1315328606</v>
      </c>
      <c r="P77" t="str">
        <f t="shared" si="12"/>
        <v>AN087EL56JVZ-560260</v>
      </c>
      <c r="Q77" t="str">
        <f t="shared" si="13"/>
        <v>PO045006</v>
      </c>
      <c r="R77" t="str">
        <f t="shared" si="14"/>
        <v>Anker Nylon Braided Lightning Cable 1.8m (Gold)</v>
      </c>
      <c r="S77" t="str">
        <f t="shared" si="15"/>
        <v>SA983401</v>
      </c>
      <c r="T77">
        <f t="shared" si="16"/>
        <v>1</v>
      </c>
      <c r="U77">
        <f t="shared" si="17"/>
        <v>40</v>
      </c>
    </row>
    <row r="78" spans="1:21" x14ac:dyDescent="0.25">
      <c r="A78">
        <f t="shared" si="9"/>
        <v>5</v>
      </c>
      <c r="G78" t="s">
        <v>6092</v>
      </c>
      <c r="H78" s="2">
        <v>1</v>
      </c>
      <c r="I78" s="2">
        <v>40</v>
      </c>
      <c r="N78" t="str">
        <f t="shared" si="10"/>
        <v>OSKAR PHONES LLC</v>
      </c>
      <c r="O78" t="str">
        <f t="shared" si="11"/>
        <v>W1315328606</v>
      </c>
      <c r="P78" t="str">
        <f t="shared" si="12"/>
        <v>AN087EL56JVZ-560260</v>
      </c>
      <c r="Q78" t="str">
        <f t="shared" si="13"/>
        <v>PO045006</v>
      </c>
      <c r="R78" t="str">
        <f t="shared" si="14"/>
        <v>Anker Nylon Braided Lightning Cable 1.8m (Gold)</v>
      </c>
      <c r="S78" t="str">
        <f t="shared" si="15"/>
        <v>SA983698</v>
      </c>
      <c r="T78">
        <f t="shared" si="16"/>
        <v>1</v>
      </c>
      <c r="U78">
        <f t="shared" si="17"/>
        <v>40</v>
      </c>
    </row>
    <row r="79" spans="1:21" x14ac:dyDescent="0.25">
      <c r="A79">
        <f t="shared" si="9"/>
        <v>5</v>
      </c>
      <c r="G79" t="s">
        <v>6237</v>
      </c>
      <c r="H79" s="2">
        <v>1</v>
      </c>
      <c r="I79" s="2">
        <v>40</v>
      </c>
      <c r="N79" t="str">
        <f t="shared" si="10"/>
        <v>OSKAR PHONES LLC</v>
      </c>
      <c r="O79" t="str">
        <f t="shared" si="11"/>
        <v>W1315328606</v>
      </c>
      <c r="P79" t="str">
        <f t="shared" si="12"/>
        <v>AN087EL56JVZ-560260</v>
      </c>
      <c r="Q79" t="str">
        <f t="shared" si="13"/>
        <v>PO045006</v>
      </c>
      <c r="R79" t="str">
        <f t="shared" si="14"/>
        <v>Anker Nylon Braided Lightning Cable 1.8m (Gold)</v>
      </c>
      <c r="S79" t="str">
        <f t="shared" si="15"/>
        <v>SA985392</v>
      </c>
      <c r="T79">
        <f t="shared" si="16"/>
        <v>1</v>
      </c>
      <c r="U79">
        <f t="shared" si="17"/>
        <v>40</v>
      </c>
    </row>
    <row r="80" spans="1:21" x14ac:dyDescent="0.25">
      <c r="A80">
        <f t="shared" si="9"/>
        <v>5</v>
      </c>
      <c r="G80" t="s">
        <v>6258</v>
      </c>
      <c r="H80" s="2">
        <v>1</v>
      </c>
      <c r="I80" s="2">
        <v>40</v>
      </c>
      <c r="N80" t="str">
        <f t="shared" si="10"/>
        <v>OSKAR PHONES LLC</v>
      </c>
      <c r="O80" t="str">
        <f t="shared" si="11"/>
        <v>W1315328606</v>
      </c>
      <c r="P80" t="str">
        <f t="shared" si="12"/>
        <v>AN087EL56JVZ-560260</v>
      </c>
      <c r="Q80" t="str">
        <f t="shared" si="13"/>
        <v>PO045006</v>
      </c>
      <c r="R80" t="str">
        <f t="shared" si="14"/>
        <v>Anker Nylon Braided Lightning Cable 1.8m (Gold)</v>
      </c>
      <c r="S80" t="str">
        <f t="shared" si="15"/>
        <v>SA985588</v>
      </c>
      <c r="T80">
        <f t="shared" si="16"/>
        <v>1</v>
      </c>
      <c r="U80">
        <f t="shared" si="17"/>
        <v>40</v>
      </c>
    </row>
    <row r="81" spans="1:21" x14ac:dyDescent="0.25">
      <c r="A81">
        <f t="shared" si="9"/>
        <v>5</v>
      </c>
      <c r="G81" t="s">
        <v>6259</v>
      </c>
      <c r="H81" s="2">
        <v>1</v>
      </c>
      <c r="I81" s="2">
        <v>40</v>
      </c>
      <c r="N81" t="str">
        <f t="shared" si="10"/>
        <v>OSKAR PHONES LLC</v>
      </c>
      <c r="O81" t="str">
        <f t="shared" si="11"/>
        <v>W1315328606</v>
      </c>
      <c r="P81" t="str">
        <f t="shared" si="12"/>
        <v>AN087EL56JVZ-560260</v>
      </c>
      <c r="Q81" t="str">
        <f t="shared" si="13"/>
        <v>PO045006</v>
      </c>
      <c r="R81" t="str">
        <f t="shared" si="14"/>
        <v>Anker Nylon Braided Lightning Cable 1.8m (Gold)</v>
      </c>
      <c r="S81" t="str">
        <f t="shared" si="15"/>
        <v>SA985589</v>
      </c>
      <c r="T81">
        <f t="shared" si="16"/>
        <v>1</v>
      </c>
      <c r="U81">
        <f t="shared" si="17"/>
        <v>40</v>
      </c>
    </row>
    <row r="82" spans="1:21" x14ac:dyDescent="0.25">
      <c r="A82">
        <f t="shared" si="9"/>
        <v>5</v>
      </c>
      <c r="G82" t="s">
        <v>6350</v>
      </c>
      <c r="H82" s="2">
        <v>1</v>
      </c>
      <c r="I82" s="2">
        <v>40</v>
      </c>
      <c r="N82" t="str">
        <f t="shared" si="10"/>
        <v>OSKAR PHONES LLC</v>
      </c>
      <c r="O82" t="str">
        <f t="shared" si="11"/>
        <v>W1315328606</v>
      </c>
      <c r="P82" t="str">
        <f t="shared" si="12"/>
        <v>AN087EL56JVZ-560260</v>
      </c>
      <c r="Q82" t="str">
        <f t="shared" si="13"/>
        <v>PO045006</v>
      </c>
      <c r="R82" t="str">
        <f t="shared" si="14"/>
        <v>Anker Nylon Braided Lightning Cable 1.8m (Gold)</v>
      </c>
      <c r="S82" t="str">
        <f t="shared" si="15"/>
        <v>SA986262</v>
      </c>
      <c r="T82">
        <f t="shared" si="16"/>
        <v>1</v>
      </c>
      <c r="U82">
        <f t="shared" si="17"/>
        <v>40</v>
      </c>
    </row>
    <row r="83" spans="1:21" x14ac:dyDescent="0.25">
      <c r="A83">
        <f t="shared" si="9"/>
        <v>5</v>
      </c>
      <c r="G83" t="s">
        <v>6371</v>
      </c>
      <c r="H83" s="2">
        <v>1</v>
      </c>
      <c r="I83" s="2">
        <v>40</v>
      </c>
      <c r="N83" t="str">
        <f t="shared" si="10"/>
        <v>OSKAR PHONES LLC</v>
      </c>
      <c r="O83" t="str">
        <f t="shared" si="11"/>
        <v>W1315328606</v>
      </c>
      <c r="P83" t="str">
        <f t="shared" si="12"/>
        <v>AN087EL56JVZ-560260</v>
      </c>
      <c r="Q83" t="str">
        <f t="shared" si="13"/>
        <v>PO045006</v>
      </c>
      <c r="R83" t="str">
        <f t="shared" si="14"/>
        <v>Anker Nylon Braided Lightning Cable 1.8m (Gold)</v>
      </c>
      <c r="S83" t="str">
        <f t="shared" si="15"/>
        <v>SA986398</v>
      </c>
      <c r="T83">
        <f t="shared" si="16"/>
        <v>1</v>
      </c>
      <c r="U83">
        <f t="shared" si="17"/>
        <v>40</v>
      </c>
    </row>
    <row r="84" spans="1:21" x14ac:dyDescent="0.25">
      <c r="A84">
        <f t="shared" si="9"/>
        <v>5</v>
      </c>
      <c r="G84" t="s">
        <v>6372</v>
      </c>
      <c r="H84" s="2">
        <v>1</v>
      </c>
      <c r="I84" s="2">
        <v>40</v>
      </c>
      <c r="N84" t="str">
        <f t="shared" si="10"/>
        <v>OSKAR PHONES LLC</v>
      </c>
      <c r="O84" t="str">
        <f t="shared" si="11"/>
        <v>W1315328606</v>
      </c>
      <c r="P84" t="str">
        <f t="shared" si="12"/>
        <v>AN087EL56JVZ-560260</v>
      </c>
      <c r="Q84" t="str">
        <f t="shared" si="13"/>
        <v>PO045006</v>
      </c>
      <c r="R84" t="str">
        <f t="shared" si="14"/>
        <v>Anker Nylon Braided Lightning Cable 1.8m (Gold)</v>
      </c>
      <c r="S84" t="str">
        <f t="shared" si="15"/>
        <v>SA986399</v>
      </c>
      <c r="T84">
        <f t="shared" si="16"/>
        <v>1</v>
      </c>
      <c r="U84">
        <f t="shared" si="17"/>
        <v>40</v>
      </c>
    </row>
    <row r="85" spans="1:21" x14ac:dyDescent="0.25">
      <c r="A85">
        <f t="shared" si="9"/>
        <v>5</v>
      </c>
      <c r="G85" t="s">
        <v>6373</v>
      </c>
      <c r="H85" s="2">
        <v>1</v>
      </c>
      <c r="I85" s="2">
        <v>40</v>
      </c>
      <c r="N85" t="str">
        <f t="shared" si="10"/>
        <v>OSKAR PHONES LLC</v>
      </c>
      <c r="O85" t="str">
        <f t="shared" si="11"/>
        <v>W1315328606</v>
      </c>
      <c r="P85" t="str">
        <f t="shared" si="12"/>
        <v>AN087EL56JVZ-560260</v>
      </c>
      <c r="Q85" t="str">
        <f t="shared" si="13"/>
        <v>PO045006</v>
      </c>
      <c r="R85" t="str">
        <f t="shared" si="14"/>
        <v>Anker Nylon Braided Lightning Cable 1.8m (Gold)</v>
      </c>
      <c r="S85" t="str">
        <f t="shared" si="15"/>
        <v>SA986400</v>
      </c>
      <c r="T85">
        <f t="shared" si="16"/>
        <v>1</v>
      </c>
      <c r="U85">
        <f t="shared" si="17"/>
        <v>40</v>
      </c>
    </row>
    <row r="86" spans="1:21" x14ac:dyDescent="0.25">
      <c r="A86">
        <f t="shared" si="9"/>
        <v>5</v>
      </c>
      <c r="G86" t="s">
        <v>6377</v>
      </c>
      <c r="H86" s="2">
        <v>1</v>
      </c>
      <c r="I86" s="2">
        <v>40</v>
      </c>
      <c r="N86" t="str">
        <f t="shared" si="10"/>
        <v>OSKAR PHONES LLC</v>
      </c>
      <c r="O86" t="str">
        <f t="shared" si="11"/>
        <v>W1315328606</v>
      </c>
      <c r="P86" t="str">
        <f t="shared" si="12"/>
        <v>AN087EL56JVZ-560260</v>
      </c>
      <c r="Q86" t="str">
        <f t="shared" si="13"/>
        <v>PO045006</v>
      </c>
      <c r="R86" t="str">
        <f t="shared" si="14"/>
        <v>Anker Nylon Braided Lightning Cable 1.8m (Gold)</v>
      </c>
      <c r="S86" t="str">
        <f t="shared" si="15"/>
        <v>SA986414</v>
      </c>
      <c r="T86">
        <f t="shared" si="16"/>
        <v>1</v>
      </c>
      <c r="U86">
        <f t="shared" si="17"/>
        <v>40</v>
      </c>
    </row>
    <row r="87" spans="1:21" x14ac:dyDescent="0.25">
      <c r="A87">
        <f t="shared" si="9"/>
        <v>5</v>
      </c>
      <c r="G87" t="s">
        <v>6378</v>
      </c>
      <c r="H87" s="2">
        <v>1</v>
      </c>
      <c r="I87" s="2">
        <v>40</v>
      </c>
      <c r="N87" t="str">
        <f t="shared" si="10"/>
        <v>OSKAR PHONES LLC</v>
      </c>
      <c r="O87" t="str">
        <f t="shared" si="11"/>
        <v>W1315328606</v>
      </c>
      <c r="P87" t="str">
        <f t="shared" si="12"/>
        <v>AN087EL56JVZ-560260</v>
      </c>
      <c r="Q87" t="str">
        <f t="shared" si="13"/>
        <v>PO045006</v>
      </c>
      <c r="R87" t="str">
        <f t="shared" si="14"/>
        <v>Anker Nylon Braided Lightning Cable 1.8m (Gold)</v>
      </c>
      <c r="S87" t="str">
        <f t="shared" si="15"/>
        <v>SA986415</v>
      </c>
      <c r="T87">
        <f t="shared" si="16"/>
        <v>1</v>
      </c>
      <c r="U87">
        <f t="shared" si="17"/>
        <v>40</v>
      </c>
    </row>
    <row r="88" spans="1:21" x14ac:dyDescent="0.25">
      <c r="A88">
        <f t="shared" si="9"/>
        <v>5</v>
      </c>
      <c r="G88" t="s">
        <v>6398</v>
      </c>
      <c r="H88" s="2">
        <v>1</v>
      </c>
      <c r="I88" s="2">
        <v>40</v>
      </c>
      <c r="N88" t="str">
        <f t="shared" si="10"/>
        <v>OSKAR PHONES LLC</v>
      </c>
      <c r="O88" t="str">
        <f t="shared" si="11"/>
        <v>W1315328606</v>
      </c>
      <c r="P88" t="str">
        <f t="shared" si="12"/>
        <v>AN087EL56JVZ-560260</v>
      </c>
      <c r="Q88" t="str">
        <f t="shared" si="13"/>
        <v>PO045006</v>
      </c>
      <c r="R88" t="str">
        <f t="shared" si="14"/>
        <v>Anker Nylon Braided Lightning Cable 1.8m (Gold)</v>
      </c>
      <c r="S88" t="str">
        <f t="shared" si="15"/>
        <v>SA986657</v>
      </c>
      <c r="T88">
        <f t="shared" si="16"/>
        <v>1</v>
      </c>
      <c r="U88">
        <f t="shared" si="17"/>
        <v>40</v>
      </c>
    </row>
    <row r="89" spans="1:21" x14ac:dyDescent="0.25">
      <c r="A89">
        <f t="shared" si="9"/>
        <v>5</v>
      </c>
      <c r="G89" t="s">
        <v>6428</v>
      </c>
      <c r="H89" s="2">
        <v>1</v>
      </c>
      <c r="I89" s="2">
        <v>40</v>
      </c>
      <c r="N89" t="str">
        <f t="shared" si="10"/>
        <v>OSKAR PHONES LLC</v>
      </c>
      <c r="O89" t="str">
        <f t="shared" si="11"/>
        <v>W1315328606</v>
      </c>
      <c r="P89" t="str">
        <f t="shared" si="12"/>
        <v>AN087EL56JVZ-560260</v>
      </c>
      <c r="Q89" t="str">
        <f t="shared" si="13"/>
        <v>PO045006</v>
      </c>
      <c r="R89" t="str">
        <f t="shared" si="14"/>
        <v>Anker Nylon Braided Lightning Cable 1.8m (Gold)</v>
      </c>
      <c r="S89" t="str">
        <f t="shared" si="15"/>
        <v>SA986855</v>
      </c>
      <c r="T89">
        <f t="shared" si="16"/>
        <v>1</v>
      </c>
      <c r="U89">
        <f t="shared" si="17"/>
        <v>40</v>
      </c>
    </row>
    <row r="90" spans="1:21" x14ac:dyDescent="0.25">
      <c r="A90">
        <f t="shared" si="9"/>
        <v>5</v>
      </c>
      <c r="G90" t="s">
        <v>6459</v>
      </c>
      <c r="H90" s="2">
        <v>1</v>
      </c>
      <c r="I90" s="2">
        <v>40</v>
      </c>
      <c r="N90" t="str">
        <f t="shared" si="10"/>
        <v>OSKAR PHONES LLC</v>
      </c>
      <c r="O90" t="str">
        <f t="shared" si="11"/>
        <v>W1315328606</v>
      </c>
      <c r="P90" t="str">
        <f t="shared" si="12"/>
        <v>AN087EL56JVZ-560260</v>
      </c>
      <c r="Q90" t="str">
        <f t="shared" si="13"/>
        <v>PO045006</v>
      </c>
      <c r="R90" t="str">
        <f t="shared" si="14"/>
        <v>Anker Nylon Braided Lightning Cable 1.8m (Gold)</v>
      </c>
      <c r="S90" t="str">
        <f t="shared" si="15"/>
        <v>SA987376</v>
      </c>
      <c r="T90">
        <f t="shared" si="16"/>
        <v>1</v>
      </c>
      <c r="U90">
        <f t="shared" si="17"/>
        <v>40</v>
      </c>
    </row>
    <row r="91" spans="1:21" x14ac:dyDescent="0.25">
      <c r="A91">
        <f t="shared" si="9"/>
        <v>5</v>
      </c>
      <c r="G91" t="s">
        <v>6484</v>
      </c>
      <c r="H91" s="2">
        <v>1</v>
      </c>
      <c r="I91" s="2">
        <v>40</v>
      </c>
      <c r="N91" t="str">
        <f t="shared" si="10"/>
        <v>OSKAR PHONES LLC</v>
      </c>
      <c r="O91" t="str">
        <f t="shared" si="11"/>
        <v>W1315328606</v>
      </c>
      <c r="P91" t="str">
        <f t="shared" si="12"/>
        <v>AN087EL56JVZ-560260</v>
      </c>
      <c r="Q91" t="str">
        <f t="shared" si="13"/>
        <v>PO045006</v>
      </c>
      <c r="R91" t="str">
        <f t="shared" si="14"/>
        <v>Anker Nylon Braided Lightning Cable 1.8m (Gold)</v>
      </c>
      <c r="S91" t="str">
        <f t="shared" si="15"/>
        <v>SA987740</v>
      </c>
      <c r="T91">
        <f t="shared" si="16"/>
        <v>1</v>
      </c>
      <c r="U91">
        <f t="shared" si="17"/>
        <v>40</v>
      </c>
    </row>
    <row r="92" spans="1:21" x14ac:dyDescent="0.25">
      <c r="A92">
        <f t="shared" si="9"/>
        <v>5</v>
      </c>
      <c r="G92" t="s">
        <v>6494</v>
      </c>
      <c r="H92" s="2">
        <v>1</v>
      </c>
      <c r="I92" s="2">
        <v>40</v>
      </c>
      <c r="N92" t="str">
        <f t="shared" si="10"/>
        <v>OSKAR PHONES LLC</v>
      </c>
      <c r="O92" t="str">
        <f t="shared" si="11"/>
        <v>W1315328606</v>
      </c>
      <c r="P92" t="str">
        <f t="shared" si="12"/>
        <v>AN087EL56JVZ-560260</v>
      </c>
      <c r="Q92" t="str">
        <f t="shared" si="13"/>
        <v>PO045006</v>
      </c>
      <c r="R92" t="str">
        <f t="shared" si="14"/>
        <v>Anker Nylon Braided Lightning Cable 1.8m (Gold)</v>
      </c>
      <c r="S92" t="str">
        <f t="shared" si="15"/>
        <v>SA987787</v>
      </c>
      <c r="T92">
        <f t="shared" si="16"/>
        <v>1</v>
      </c>
      <c r="U92">
        <f t="shared" si="17"/>
        <v>40</v>
      </c>
    </row>
    <row r="93" spans="1:21" x14ac:dyDescent="0.25">
      <c r="A93">
        <f t="shared" si="9"/>
        <v>5</v>
      </c>
      <c r="G93" t="s">
        <v>6495</v>
      </c>
      <c r="H93" s="2">
        <v>1</v>
      </c>
      <c r="I93" s="2">
        <v>40</v>
      </c>
      <c r="N93" t="str">
        <f t="shared" si="10"/>
        <v>OSKAR PHONES LLC</v>
      </c>
      <c r="O93" t="str">
        <f t="shared" si="11"/>
        <v>W1315328606</v>
      </c>
      <c r="P93" t="str">
        <f t="shared" si="12"/>
        <v>AN087EL56JVZ-560260</v>
      </c>
      <c r="Q93" t="str">
        <f t="shared" si="13"/>
        <v>PO045006</v>
      </c>
      <c r="R93" t="str">
        <f t="shared" si="14"/>
        <v>Anker Nylon Braided Lightning Cable 1.8m (Gold)</v>
      </c>
      <c r="S93" t="str">
        <f t="shared" si="15"/>
        <v>SA987808</v>
      </c>
      <c r="T93">
        <f t="shared" si="16"/>
        <v>1</v>
      </c>
      <c r="U93">
        <f t="shared" si="17"/>
        <v>40</v>
      </c>
    </row>
    <row r="94" spans="1:21" x14ac:dyDescent="0.25">
      <c r="A94">
        <f t="shared" si="9"/>
        <v>5</v>
      </c>
      <c r="G94" t="s">
        <v>6556</v>
      </c>
      <c r="H94" s="2">
        <v>1</v>
      </c>
      <c r="I94" s="2">
        <v>40</v>
      </c>
      <c r="N94" t="str">
        <f t="shared" si="10"/>
        <v>OSKAR PHONES LLC</v>
      </c>
      <c r="O94" t="str">
        <f t="shared" si="11"/>
        <v>W1315328606</v>
      </c>
      <c r="P94" t="str">
        <f t="shared" si="12"/>
        <v>AN087EL56JVZ-560260</v>
      </c>
      <c r="Q94" t="str">
        <f t="shared" si="13"/>
        <v>PO045006</v>
      </c>
      <c r="R94" t="str">
        <f t="shared" si="14"/>
        <v>Anker Nylon Braided Lightning Cable 1.8m (Gold)</v>
      </c>
      <c r="S94" t="str">
        <f t="shared" si="15"/>
        <v>SA988491</v>
      </c>
      <c r="T94">
        <f t="shared" si="16"/>
        <v>1</v>
      </c>
      <c r="U94">
        <f t="shared" si="17"/>
        <v>40</v>
      </c>
    </row>
    <row r="95" spans="1:21" x14ac:dyDescent="0.25">
      <c r="A95">
        <f t="shared" si="9"/>
        <v>5</v>
      </c>
      <c r="G95" t="s">
        <v>6630</v>
      </c>
      <c r="H95" s="2">
        <v>1</v>
      </c>
      <c r="I95" s="2">
        <v>40</v>
      </c>
      <c r="N95" t="str">
        <f t="shared" si="10"/>
        <v>OSKAR PHONES LLC</v>
      </c>
      <c r="O95" t="str">
        <f t="shared" si="11"/>
        <v>W1315328606</v>
      </c>
      <c r="P95" t="str">
        <f t="shared" si="12"/>
        <v>AN087EL56JVZ-560260</v>
      </c>
      <c r="Q95" t="str">
        <f t="shared" si="13"/>
        <v>PO045006</v>
      </c>
      <c r="R95" t="str">
        <f t="shared" si="14"/>
        <v>Anker Nylon Braided Lightning Cable 1.8m (Gold)</v>
      </c>
      <c r="S95" t="str">
        <f t="shared" si="15"/>
        <v>SA989216</v>
      </c>
      <c r="T95">
        <f t="shared" si="16"/>
        <v>1</v>
      </c>
      <c r="U95">
        <f t="shared" si="17"/>
        <v>40</v>
      </c>
    </row>
    <row r="96" spans="1:21" x14ac:dyDescent="0.25">
      <c r="A96">
        <f t="shared" si="9"/>
        <v>5</v>
      </c>
      <c r="G96" t="s">
        <v>6640</v>
      </c>
      <c r="H96" s="2">
        <v>1</v>
      </c>
      <c r="I96" s="2">
        <v>40</v>
      </c>
      <c r="N96" t="str">
        <f t="shared" si="10"/>
        <v>OSKAR PHONES LLC</v>
      </c>
      <c r="O96" t="str">
        <f t="shared" si="11"/>
        <v>W1315328606</v>
      </c>
      <c r="P96" t="str">
        <f t="shared" si="12"/>
        <v>AN087EL56JVZ-560260</v>
      </c>
      <c r="Q96" t="str">
        <f t="shared" si="13"/>
        <v>PO045006</v>
      </c>
      <c r="R96" t="str">
        <f t="shared" si="14"/>
        <v>Anker Nylon Braided Lightning Cable 1.8m (Gold)</v>
      </c>
      <c r="S96" t="str">
        <f t="shared" si="15"/>
        <v>SA989281</v>
      </c>
      <c r="T96">
        <f t="shared" si="16"/>
        <v>1</v>
      </c>
      <c r="U96">
        <f t="shared" si="17"/>
        <v>40</v>
      </c>
    </row>
    <row r="97" spans="1:21" x14ac:dyDescent="0.25">
      <c r="A97">
        <f t="shared" si="9"/>
        <v>5</v>
      </c>
      <c r="E97" t="s">
        <v>5607</v>
      </c>
      <c r="F97" t="s">
        <v>3867</v>
      </c>
      <c r="G97" t="s">
        <v>5606</v>
      </c>
      <c r="H97" s="2">
        <v>1</v>
      </c>
      <c r="I97" s="2">
        <v>40</v>
      </c>
      <c r="N97" t="str">
        <f t="shared" si="10"/>
        <v>OSKAR PHONES LLC</v>
      </c>
      <c r="O97" t="str">
        <f t="shared" si="11"/>
        <v>W1315328606</v>
      </c>
      <c r="P97" t="str">
        <f t="shared" si="12"/>
        <v>AN087EL56JVZ-560260</v>
      </c>
      <c r="Q97" t="str">
        <f t="shared" si="13"/>
        <v>PO044821</v>
      </c>
      <c r="R97" t="str">
        <f t="shared" si="14"/>
        <v>Anker Nylon Braided Lightning Cable 1.8m (Gold)</v>
      </c>
      <c r="S97" t="str">
        <f t="shared" si="15"/>
        <v>SA980083</v>
      </c>
      <c r="T97">
        <f t="shared" si="16"/>
        <v>1</v>
      </c>
      <c r="U97">
        <f t="shared" si="17"/>
        <v>40</v>
      </c>
    </row>
    <row r="98" spans="1:21" x14ac:dyDescent="0.25">
      <c r="A98">
        <f t="shared" si="9"/>
        <v>5</v>
      </c>
      <c r="G98" t="s">
        <v>5654</v>
      </c>
      <c r="H98" s="2">
        <v>1</v>
      </c>
      <c r="I98" s="2">
        <v>40</v>
      </c>
      <c r="N98" t="str">
        <f t="shared" si="10"/>
        <v>OSKAR PHONES LLC</v>
      </c>
      <c r="O98" t="str">
        <f t="shared" si="11"/>
        <v>W1315328606</v>
      </c>
      <c r="P98" t="str">
        <f t="shared" si="12"/>
        <v>AN087EL56JVZ-560260</v>
      </c>
      <c r="Q98" t="str">
        <f t="shared" si="13"/>
        <v>PO044821</v>
      </c>
      <c r="R98" t="str">
        <f t="shared" si="14"/>
        <v>Anker Nylon Braided Lightning Cable 1.8m (Gold)</v>
      </c>
      <c r="S98" t="str">
        <f t="shared" si="15"/>
        <v>SA980352</v>
      </c>
      <c r="T98">
        <f t="shared" si="16"/>
        <v>1</v>
      </c>
      <c r="U98">
        <f t="shared" si="17"/>
        <v>40</v>
      </c>
    </row>
    <row r="99" spans="1:21" x14ac:dyDescent="0.25">
      <c r="A99">
        <f t="shared" si="9"/>
        <v>5</v>
      </c>
      <c r="G99" t="s">
        <v>5665</v>
      </c>
      <c r="H99" s="2">
        <v>1</v>
      </c>
      <c r="I99" s="2">
        <v>40</v>
      </c>
      <c r="N99" t="str">
        <f t="shared" si="10"/>
        <v>OSKAR PHONES LLC</v>
      </c>
      <c r="O99" t="str">
        <f t="shared" si="11"/>
        <v>W1315328606</v>
      </c>
      <c r="P99" t="str">
        <f t="shared" si="12"/>
        <v>AN087EL56JVZ-560260</v>
      </c>
      <c r="Q99" t="str">
        <f t="shared" si="13"/>
        <v>PO044821</v>
      </c>
      <c r="R99" t="str">
        <f t="shared" si="14"/>
        <v>Anker Nylon Braided Lightning Cable 1.8m (Gold)</v>
      </c>
      <c r="S99" t="str">
        <f t="shared" si="15"/>
        <v>SA980391</v>
      </c>
      <c r="T99">
        <f t="shared" si="16"/>
        <v>1</v>
      </c>
      <c r="U99">
        <f t="shared" si="17"/>
        <v>40</v>
      </c>
    </row>
    <row r="100" spans="1:21" x14ac:dyDescent="0.25">
      <c r="A100">
        <f t="shared" si="9"/>
        <v>5</v>
      </c>
      <c r="G100" t="s">
        <v>5667</v>
      </c>
      <c r="H100" s="2">
        <v>1</v>
      </c>
      <c r="I100" s="2">
        <v>40</v>
      </c>
      <c r="N100" t="str">
        <f t="shared" si="10"/>
        <v>OSKAR PHONES LLC</v>
      </c>
      <c r="O100" t="str">
        <f t="shared" si="11"/>
        <v>W1315328606</v>
      </c>
      <c r="P100" t="str">
        <f t="shared" si="12"/>
        <v>AN087EL56JVZ-560260</v>
      </c>
      <c r="Q100" t="str">
        <f t="shared" si="13"/>
        <v>PO044821</v>
      </c>
      <c r="R100" t="str">
        <f t="shared" si="14"/>
        <v>Anker Nylon Braided Lightning Cable 1.8m (Gold)</v>
      </c>
      <c r="S100" t="str">
        <f t="shared" si="15"/>
        <v>SA980426</v>
      </c>
      <c r="T100">
        <f t="shared" si="16"/>
        <v>1</v>
      </c>
      <c r="U100">
        <f t="shared" si="17"/>
        <v>40</v>
      </c>
    </row>
    <row r="101" spans="1:21" x14ac:dyDescent="0.25">
      <c r="A101">
        <f t="shared" si="9"/>
        <v>5</v>
      </c>
      <c r="G101" t="s">
        <v>5680</v>
      </c>
      <c r="H101" s="2">
        <v>1</v>
      </c>
      <c r="I101" s="2">
        <v>40</v>
      </c>
      <c r="N101" t="str">
        <f t="shared" si="10"/>
        <v>OSKAR PHONES LLC</v>
      </c>
      <c r="O101" t="str">
        <f t="shared" si="11"/>
        <v>W1315328606</v>
      </c>
      <c r="P101" t="str">
        <f t="shared" si="12"/>
        <v>AN087EL56JVZ-560260</v>
      </c>
      <c r="Q101" t="str">
        <f t="shared" si="13"/>
        <v>PO044821</v>
      </c>
      <c r="R101" t="str">
        <f t="shared" si="14"/>
        <v>Anker Nylon Braided Lightning Cable 1.8m (Gold)</v>
      </c>
      <c r="S101" t="str">
        <f t="shared" si="15"/>
        <v>SA980456</v>
      </c>
      <c r="T101">
        <f t="shared" si="16"/>
        <v>1</v>
      </c>
      <c r="U101">
        <f t="shared" si="17"/>
        <v>40</v>
      </c>
    </row>
    <row r="102" spans="1:21" x14ac:dyDescent="0.25">
      <c r="A102">
        <f t="shared" si="9"/>
        <v>5</v>
      </c>
      <c r="G102" t="s">
        <v>5681</v>
      </c>
      <c r="H102" s="2">
        <v>1</v>
      </c>
      <c r="I102" s="2">
        <v>40</v>
      </c>
      <c r="N102" t="str">
        <f t="shared" si="10"/>
        <v>OSKAR PHONES LLC</v>
      </c>
      <c r="O102" t="str">
        <f t="shared" si="11"/>
        <v>W1315328606</v>
      </c>
      <c r="P102" t="str">
        <f t="shared" si="12"/>
        <v>AN087EL56JVZ-560260</v>
      </c>
      <c r="Q102" t="str">
        <f t="shared" si="13"/>
        <v>PO044821</v>
      </c>
      <c r="R102" t="str">
        <f t="shared" si="14"/>
        <v>Anker Nylon Braided Lightning Cable 1.8m (Gold)</v>
      </c>
      <c r="S102" t="str">
        <f t="shared" si="15"/>
        <v>SA980457</v>
      </c>
      <c r="T102">
        <f t="shared" si="16"/>
        <v>1</v>
      </c>
      <c r="U102">
        <f t="shared" si="17"/>
        <v>40</v>
      </c>
    </row>
    <row r="103" spans="1:21" x14ac:dyDescent="0.25">
      <c r="A103">
        <f t="shared" si="9"/>
        <v>5</v>
      </c>
      <c r="G103" t="s">
        <v>5682</v>
      </c>
      <c r="H103" s="2">
        <v>1</v>
      </c>
      <c r="I103" s="2">
        <v>40</v>
      </c>
      <c r="N103" t="str">
        <f t="shared" si="10"/>
        <v>OSKAR PHONES LLC</v>
      </c>
      <c r="O103" t="str">
        <f t="shared" si="11"/>
        <v>W1315328606</v>
      </c>
      <c r="P103" t="str">
        <f t="shared" si="12"/>
        <v>AN087EL56JVZ-560260</v>
      </c>
      <c r="Q103" t="str">
        <f t="shared" si="13"/>
        <v>PO044821</v>
      </c>
      <c r="R103" t="str">
        <f t="shared" si="14"/>
        <v>Anker Nylon Braided Lightning Cable 1.8m (Gold)</v>
      </c>
      <c r="S103" t="str">
        <f t="shared" si="15"/>
        <v>SA980458</v>
      </c>
      <c r="T103">
        <f t="shared" si="16"/>
        <v>1</v>
      </c>
      <c r="U103">
        <f t="shared" si="17"/>
        <v>40</v>
      </c>
    </row>
    <row r="104" spans="1:21" x14ac:dyDescent="0.25">
      <c r="A104">
        <f t="shared" si="9"/>
        <v>5</v>
      </c>
      <c r="G104" t="s">
        <v>5709</v>
      </c>
      <c r="H104" s="2">
        <v>1</v>
      </c>
      <c r="I104" s="2">
        <v>40</v>
      </c>
      <c r="N104" t="str">
        <f t="shared" si="10"/>
        <v>OSKAR PHONES LLC</v>
      </c>
      <c r="O104" t="str">
        <f t="shared" si="11"/>
        <v>W1315328606</v>
      </c>
      <c r="P104" t="str">
        <f t="shared" si="12"/>
        <v>AN087EL56JVZ-560260</v>
      </c>
      <c r="Q104" t="str">
        <f t="shared" si="13"/>
        <v>PO044821</v>
      </c>
      <c r="R104" t="str">
        <f t="shared" si="14"/>
        <v>Anker Nylon Braided Lightning Cable 1.8m (Gold)</v>
      </c>
      <c r="S104" t="str">
        <f t="shared" si="15"/>
        <v>SA980536</v>
      </c>
      <c r="T104">
        <f t="shared" si="16"/>
        <v>1</v>
      </c>
      <c r="U104">
        <f t="shared" si="17"/>
        <v>40</v>
      </c>
    </row>
    <row r="105" spans="1:21" x14ac:dyDescent="0.25">
      <c r="A105">
        <f t="shared" si="9"/>
        <v>5</v>
      </c>
      <c r="G105" t="s">
        <v>5710</v>
      </c>
      <c r="H105" s="2">
        <v>1</v>
      </c>
      <c r="I105" s="2">
        <v>40</v>
      </c>
      <c r="N105" t="str">
        <f t="shared" si="10"/>
        <v>OSKAR PHONES LLC</v>
      </c>
      <c r="O105" t="str">
        <f t="shared" si="11"/>
        <v>W1315328606</v>
      </c>
      <c r="P105" t="str">
        <f t="shared" si="12"/>
        <v>AN087EL56JVZ-560260</v>
      </c>
      <c r="Q105" t="str">
        <f t="shared" si="13"/>
        <v>PO044821</v>
      </c>
      <c r="R105" t="str">
        <f t="shared" si="14"/>
        <v>Anker Nylon Braided Lightning Cable 1.8m (Gold)</v>
      </c>
      <c r="S105" t="str">
        <f t="shared" si="15"/>
        <v>SA980537</v>
      </c>
      <c r="T105">
        <f t="shared" si="16"/>
        <v>1</v>
      </c>
      <c r="U105">
        <f t="shared" si="17"/>
        <v>40</v>
      </c>
    </row>
    <row r="106" spans="1:21" x14ac:dyDescent="0.25">
      <c r="A106">
        <f t="shared" si="9"/>
        <v>5</v>
      </c>
      <c r="G106" t="s">
        <v>5780</v>
      </c>
      <c r="H106" s="2">
        <v>1</v>
      </c>
      <c r="I106" s="2">
        <v>40</v>
      </c>
      <c r="N106" t="str">
        <f t="shared" si="10"/>
        <v>OSKAR PHONES LLC</v>
      </c>
      <c r="O106" t="str">
        <f t="shared" si="11"/>
        <v>W1315328606</v>
      </c>
      <c r="P106" t="str">
        <f t="shared" si="12"/>
        <v>AN087EL56JVZ-560260</v>
      </c>
      <c r="Q106" t="str">
        <f t="shared" si="13"/>
        <v>PO044821</v>
      </c>
      <c r="R106" t="str">
        <f t="shared" si="14"/>
        <v>Anker Nylon Braided Lightning Cable 1.8m (Gold)</v>
      </c>
      <c r="S106" t="str">
        <f t="shared" si="15"/>
        <v>SA980826</v>
      </c>
      <c r="T106">
        <f t="shared" si="16"/>
        <v>1</v>
      </c>
      <c r="U106">
        <f t="shared" si="17"/>
        <v>40</v>
      </c>
    </row>
    <row r="107" spans="1:21" x14ac:dyDescent="0.25">
      <c r="A107">
        <f t="shared" si="9"/>
        <v>5</v>
      </c>
      <c r="G107" t="s">
        <v>5798</v>
      </c>
      <c r="H107" s="2">
        <v>1</v>
      </c>
      <c r="I107" s="2">
        <v>40</v>
      </c>
      <c r="N107" t="str">
        <f t="shared" si="10"/>
        <v>OSKAR PHONES LLC</v>
      </c>
      <c r="O107" t="str">
        <f t="shared" si="11"/>
        <v>W1315328606</v>
      </c>
      <c r="P107" t="str">
        <f t="shared" si="12"/>
        <v>AN087EL56JVZ-560260</v>
      </c>
      <c r="Q107" t="str">
        <f t="shared" si="13"/>
        <v>PO044821</v>
      </c>
      <c r="R107" t="str">
        <f t="shared" si="14"/>
        <v>Anker Nylon Braided Lightning Cable 1.8m (Gold)</v>
      </c>
      <c r="S107" t="str">
        <f t="shared" si="15"/>
        <v>SA980952</v>
      </c>
      <c r="T107">
        <f t="shared" si="16"/>
        <v>1</v>
      </c>
      <c r="U107">
        <f t="shared" si="17"/>
        <v>40</v>
      </c>
    </row>
    <row r="108" spans="1:21" x14ac:dyDescent="0.25">
      <c r="A108">
        <f t="shared" si="9"/>
        <v>5</v>
      </c>
      <c r="G108" t="s">
        <v>5804</v>
      </c>
      <c r="H108" s="2">
        <v>1</v>
      </c>
      <c r="I108" s="2">
        <v>40</v>
      </c>
      <c r="N108" t="str">
        <f t="shared" si="10"/>
        <v>OSKAR PHONES LLC</v>
      </c>
      <c r="O108" t="str">
        <f t="shared" si="11"/>
        <v>W1315328606</v>
      </c>
      <c r="P108" t="str">
        <f t="shared" si="12"/>
        <v>AN087EL56JVZ-560260</v>
      </c>
      <c r="Q108" t="str">
        <f t="shared" si="13"/>
        <v>PO044821</v>
      </c>
      <c r="R108" t="str">
        <f t="shared" si="14"/>
        <v>Anker Nylon Braided Lightning Cable 1.8m (Gold)</v>
      </c>
      <c r="S108" t="str">
        <f t="shared" si="15"/>
        <v>SA980963</v>
      </c>
      <c r="T108">
        <f t="shared" si="16"/>
        <v>1</v>
      </c>
      <c r="U108">
        <f t="shared" si="17"/>
        <v>40</v>
      </c>
    </row>
    <row r="109" spans="1:21" x14ac:dyDescent="0.25">
      <c r="A109">
        <f t="shared" si="9"/>
        <v>5</v>
      </c>
      <c r="G109" t="s">
        <v>5817</v>
      </c>
      <c r="H109" s="2">
        <v>1</v>
      </c>
      <c r="I109" s="2">
        <v>40</v>
      </c>
      <c r="N109" t="str">
        <f t="shared" si="10"/>
        <v>OSKAR PHONES LLC</v>
      </c>
      <c r="O109" t="str">
        <f t="shared" si="11"/>
        <v>W1315328606</v>
      </c>
      <c r="P109" t="str">
        <f t="shared" si="12"/>
        <v>AN087EL56JVZ-560260</v>
      </c>
      <c r="Q109" t="str">
        <f t="shared" si="13"/>
        <v>PO044821</v>
      </c>
      <c r="R109" t="str">
        <f t="shared" si="14"/>
        <v>Anker Nylon Braided Lightning Cable 1.8m (Gold)</v>
      </c>
      <c r="S109" t="str">
        <f t="shared" si="15"/>
        <v>SA980971</v>
      </c>
      <c r="T109">
        <f t="shared" si="16"/>
        <v>1</v>
      </c>
      <c r="U109">
        <f t="shared" si="17"/>
        <v>40</v>
      </c>
    </row>
    <row r="110" spans="1:21" x14ac:dyDescent="0.25">
      <c r="A110">
        <f t="shared" si="9"/>
        <v>5</v>
      </c>
      <c r="G110" t="s">
        <v>5818</v>
      </c>
      <c r="H110" s="2">
        <v>1</v>
      </c>
      <c r="I110" s="2">
        <v>40</v>
      </c>
      <c r="N110" t="str">
        <f t="shared" si="10"/>
        <v>OSKAR PHONES LLC</v>
      </c>
      <c r="O110" t="str">
        <f t="shared" si="11"/>
        <v>W1315328606</v>
      </c>
      <c r="P110" t="str">
        <f t="shared" si="12"/>
        <v>AN087EL56JVZ-560260</v>
      </c>
      <c r="Q110" t="str">
        <f t="shared" si="13"/>
        <v>PO044821</v>
      </c>
      <c r="R110" t="str">
        <f t="shared" si="14"/>
        <v>Anker Nylon Braided Lightning Cable 1.8m (Gold)</v>
      </c>
      <c r="S110" t="str">
        <f t="shared" si="15"/>
        <v>SA980972</v>
      </c>
      <c r="T110">
        <f t="shared" si="16"/>
        <v>1</v>
      </c>
      <c r="U110">
        <f t="shared" si="17"/>
        <v>40</v>
      </c>
    </row>
    <row r="111" spans="1:21" x14ac:dyDescent="0.25">
      <c r="A111">
        <f t="shared" si="9"/>
        <v>5</v>
      </c>
      <c r="G111" t="s">
        <v>5887</v>
      </c>
      <c r="H111" s="2">
        <v>1</v>
      </c>
      <c r="I111" s="2">
        <v>40</v>
      </c>
      <c r="N111" t="str">
        <f t="shared" si="10"/>
        <v>OSKAR PHONES LLC</v>
      </c>
      <c r="O111" t="str">
        <f t="shared" si="11"/>
        <v>W1315328606</v>
      </c>
      <c r="P111" t="str">
        <f t="shared" si="12"/>
        <v>AN087EL56JVZ-560260</v>
      </c>
      <c r="Q111" t="str">
        <f t="shared" si="13"/>
        <v>PO044821</v>
      </c>
      <c r="R111" t="str">
        <f t="shared" si="14"/>
        <v>Anker Nylon Braided Lightning Cable 1.8m (Gold)</v>
      </c>
      <c r="S111" t="str">
        <f t="shared" si="15"/>
        <v>SA981625</v>
      </c>
      <c r="T111">
        <f t="shared" si="16"/>
        <v>1</v>
      </c>
      <c r="U111">
        <f t="shared" si="17"/>
        <v>40</v>
      </c>
    </row>
    <row r="112" spans="1:21" x14ac:dyDescent="0.25">
      <c r="A112">
        <f t="shared" si="9"/>
        <v>5</v>
      </c>
      <c r="G112" t="s">
        <v>5888</v>
      </c>
      <c r="H112" s="2">
        <v>1</v>
      </c>
      <c r="I112" s="2">
        <v>40</v>
      </c>
      <c r="N112" t="str">
        <f t="shared" si="10"/>
        <v>OSKAR PHONES LLC</v>
      </c>
      <c r="O112" t="str">
        <f t="shared" si="11"/>
        <v>W1315328606</v>
      </c>
      <c r="P112" t="str">
        <f t="shared" si="12"/>
        <v>AN087EL56JVZ-560260</v>
      </c>
      <c r="Q112" t="str">
        <f t="shared" si="13"/>
        <v>PO044821</v>
      </c>
      <c r="R112" t="str">
        <f t="shared" si="14"/>
        <v>Anker Nylon Braided Lightning Cable 1.8m (Gold)</v>
      </c>
      <c r="S112" t="str">
        <f t="shared" si="15"/>
        <v>SA981626</v>
      </c>
      <c r="T112">
        <f t="shared" si="16"/>
        <v>1</v>
      </c>
      <c r="U112">
        <f t="shared" si="17"/>
        <v>40</v>
      </c>
    </row>
    <row r="113" spans="1:21" x14ac:dyDescent="0.25">
      <c r="A113">
        <f t="shared" si="9"/>
        <v>5</v>
      </c>
      <c r="G113" t="s">
        <v>5889</v>
      </c>
      <c r="H113" s="2">
        <v>1</v>
      </c>
      <c r="I113" s="2">
        <v>40</v>
      </c>
      <c r="N113" t="str">
        <f t="shared" si="10"/>
        <v>OSKAR PHONES LLC</v>
      </c>
      <c r="O113" t="str">
        <f t="shared" si="11"/>
        <v>W1315328606</v>
      </c>
      <c r="P113" t="str">
        <f t="shared" si="12"/>
        <v>AN087EL56JVZ-560260</v>
      </c>
      <c r="Q113" t="str">
        <f t="shared" si="13"/>
        <v>PO044821</v>
      </c>
      <c r="R113" t="str">
        <f t="shared" si="14"/>
        <v>Anker Nylon Braided Lightning Cable 1.8m (Gold)</v>
      </c>
      <c r="S113" t="str">
        <f t="shared" si="15"/>
        <v>SA981627</v>
      </c>
      <c r="T113">
        <f t="shared" si="16"/>
        <v>1</v>
      </c>
      <c r="U113">
        <f t="shared" si="17"/>
        <v>40</v>
      </c>
    </row>
    <row r="114" spans="1:21" x14ac:dyDescent="0.25">
      <c r="A114">
        <f t="shared" si="9"/>
        <v>5</v>
      </c>
      <c r="G114" t="s">
        <v>5913</v>
      </c>
      <c r="H114" s="2">
        <v>1</v>
      </c>
      <c r="I114" s="2">
        <v>40</v>
      </c>
      <c r="N114" t="str">
        <f t="shared" si="10"/>
        <v>OSKAR PHONES LLC</v>
      </c>
      <c r="O114" t="str">
        <f t="shared" si="11"/>
        <v>W1315328606</v>
      </c>
      <c r="P114" t="str">
        <f t="shared" si="12"/>
        <v>AN087EL56JVZ-560260</v>
      </c>
      <c r="Q114" t="str">
        <f t="shared" si="13"/>
        <v>PO044821</v>
      </c>
      <c r="R114" t="str">
        <f t="shared" si="14"/>
        <v>Anker Nylon Braided Lightning Cable 1.8m (Gold)</v>
      </c>
      <c r="S114" t="str">
        <f t="shared" si="15"/>
        <v>SA981827</v>
      </c>
      <c r="T114">
        <f t="shared" si="16"/>
        <v>1</v>
      </c>
      <c r="U114">
        <f t="shared" si="17"/>
        <v>40</v>
      </c>
    </row>
    <row r="115" spans="1:21" x14ac:dyDescent="0.25">
      <c r="A115">
        <f t="shared" si="9"/>
        <v>5</v>
      </c>
      <c r="G115" t="s">
        <v>5952</v>
      </c>
      <c r="H115" s="2">
        <v>1</v>
      </c>
      <c r="I115" s="2">
        <v>40</v>
      </c>
      <c r="N115" t="str">
        <f t="shared" si="10"/>
        <v>OSKAR PHONES LLC</v>
      </c>
      <c r="O115" t="str">
        <f t="shared" si="11"/>
        <v>W1315328606</v>
      </c>
      <c r="P115" t="str">
        <f t="shared" si="12"/>
        <v>AN087EL56JVZ-560260</v>
      </c>
      <c r="Q115" t="str">
        <f t="shared" si="13"/>
        <v>PO044821</v>
      </c>
      <c r="R115" t="str">
        <f t="shared" si="14"/>
        <v>Anker Nylon Braided Lightning Cable 1.8m (Gold)</v>
      </c>
      <c r="S115" t="str">
        <f t="shared" si="15"/>
        <v>SA982182</v>
      </c>
      <c r="T115">
        <f t="shared" si="16"/>
        <v>1</v>
      </c>
      <c r="U115">
        <f t="shared" si="17"/>
        <v>40</v>
      </c>
    </row>
    <row r="116" spans="1:21" x14ac:dyDescent="0.25">
      <c r="A116">
        <f t="shared" si="9"/>
        <v>5</v>
      </c>
      <c r="G116" t="s">
        <v>5970</v>
      </c>
      <c r="H116" s="2">
        <v>1</v>
      </c>
      <c r="I116" s="2">
        <v>40</v>
      </c>
      <c r="N116" t="str">
        <f t="shared" si="10"/>
        <v>OSKAR PHONES LLC</v>
      </c>
      <c r="O116" t="str">
        <f t="shared" si="11"/>
        <v>W1315328606</v>
      </c>
      <c r="P116" t="str">
        <f t="shared" si="12"/>
        <v>AN087EL56JVZ-560260</v>
      </c>
      <c r="Q116" t="str">
        <f t="shared" si="13"/>
        <v>PO044821</v>
      </c>
      <c r="R116" t="str">
        <f t="shared" si="14"/>
        <v>Anker Nylon Braided Lightning Cable 1.8m (Gold)</v>
      </c>
      <c r="S116" t="str">
        <f t="shared" si="15"/>
        <v>SA982414</v>
      </c>
      <c r="T116">
        <f t="shared" si="16"/>
        <v>1</v>
      </c>
      <c r="U116">
        <f t="shared" si="17"/>
        <v>40</v>
      </c>
    </row>
    <row r="117" spans="1:21" x14ac:dyDescent="0.25">
      <c r="A117">
        <f t="shared" si="9"/>
        <v>5</v>
      </c>
      <c r="G117" t="s">
        <v>6059</v>
      </c>
      <c r="H117" s="2">
        <v>1</v>
      </c>
      <c r="I117" s="2">
        <v>40</v>
      </c>
      <c r="N117" t="str">
        <f t="shared" si="10"/>
        <v>OSKAR PHONES LLC</v>
      </c>
      <c r="O117" t="str">
        <f t="shared" si="11"/>
        <v>W1315328606</v>
      </c>
      <c r="P117" t="str">
        <f t="shared" si="12"/>
        <v>AN087EL56JVZ-560260</v>
      </c>
      <c r="Q117" t="str">
        <f t="shared" si="13"/>
        <v>PO044821</v>
      </c>
      <c r="R117" t="str">
        <f t="shared" si="14"/>
        <v>Anker Nylon Braided Lightning Cable 1.8m (Gold)</v>
      </c>
      <c r="S117" t="str">
        <f t="shared" si="15"/>
        <v>SA983262</v>
      </c>
      <c r="T117">
        <f t="shared" si="16"/>
        <v>1</v>
      </c>
      <c r="U117">
        <f t="shared" si="17"/>
        <v>40</v>
      </c>
    </row>
    <row r="118" spans="1:21" x14ac:dyDescent="0.25">
      <c r="A118">
        <f t="shared" si="9"/>
        <v>5</v>
      </c>
      <c r="G118" t="s">
        <v>6073</v>
      </c>
      <c r="H118" s="2">
        <v>1</v>
      </c>
      <c r="I118" s="2">
        <v>40</v>
      </c>
      <c r="N118" t="str">
        <f t="shared" si="10"/>
        <v>OSKAR PHONES LLC</v>
      </c>
      <c r="O118" t="str">
        <f t="shared" si="11"/>
        <v>W1315328606</v>
      </c>
      <c r="P118" t="str">
        <f t="shared" si="12"/>
        <v>AN087EL56JVZ-560260</v>
      </c>
      <c r="Q118" t="str">
        <f t="shared" si="13"/>
        <v>PO044821</v>
      </c>
      <c r="R118" t="str">
        <f t="shared" si="14"/>
        <v>Anker Nylon Braided Lightning Cable 1.8m (Gold)</v>
      </c>
      <c r="S118" t="str">
        <f t="shared" si="15"/>
        <v>SA983340</v>
      </c>
      <c r="T118">
        <f t="shared" si="16"/>
        <v>1</v>
      </c>
      <c r="U118">
        <f t="shared" si="17"/>
        <v>40</v>
      </c>
    </row>
    <row r="119" spans="1:21" x14ac:dyDescent="0.25">
      <c r="A119">
        <f t="shared" si="9"/>
        <v>5</v>
      </c>
      <c r="G119" t="s">
        <v>6076</v>
      </c>
      <c r="H119" s="2">
        <v>1</v>
      </c>
      <c r="I119" s="2">
        <v>40</v>
      </c>
      <c r="N119" t="str">
        <f t="shared" si="10"/>
        <v>OSKAR PHONES LLC</v>
      </c>
      <c r="O119" t="str">
        <f t="shared" si="11"/>
        <v>W1315328606</v>
      </c>
      <c r="P119" t="str">
        <f t="shared" si="12"/>
        <v>AN087EL56JVZ-560260</v>
      </c>
      <c r="Q119" t="str">
        <f t="shared" si="13"/>
        <v>PO044821</v>
      </c>
      <c r="R119" t="str">
        <f t="shared" si="14"/>
        <v>Anker Nylon Braided Lightning Cable 1.8m (Gold)</v>
      </c>
      <c r="S119" t="str">
        <f t="shared" si="15"/>
        <v>SA983370</v>
      </c>
      <c r="T119">
        <f t="shared" si="16"/>
        <v>1</v>
      </c>
      <c r="U119">
        <f t="shared" si="17"/>
        <v>40</v>
      </c>
    </row>
    <row r="120" spans="1:21" x14ac:dyDescent="0.25">
      <c r="A120">
        <f t="shared" si="9"/>
        <v>5</v>
      </c>
      <c r="G120" t="s">
        <v>6078</v>
      </c>
      <c r="H120" s="2">
        <v>1</v>
      </c>
      <c r="I120" s="2">
        <v>40</v>
      </c>
      <c r="N120" t="str">
        <f t="shared" si="10"/>
        <v>OSKAR PHONES LLC</v>
      </c>
      <c r="O120" t="str">
        <f t="shared" si="11"/>
        <v>W1315328606</v>
      </c>
      <c r="P120" t="str">
        <f t="shared" si="12"/>
        <v>AN087EL56JVZ-560260</v>
      </c>
      <c r="Q120" t="str">
        <f t="shared" si="13"/>
        <v>PO044821</v>
      </c>
      <c r="R120" t="str">
        <f t="shared" si="14"/>
        <v>Anker Nylon Braided Lightning Cable 1.8m (Gold)</v>
      </c>
      <c r="S120" t="str">
        <f t="shared" si="15"/>
        <v>SA983476</v>
      </c>
      <c r="T120">
        <f t="shared" si="16"/>
        <v>1</v>
      </c>
      <c r="U120">
        <f t="shared" si="17"/>
        <v>40</v>
      </c>
    </row>
    <row r="121" spans="1:21" x14ac:dyDescent="0.25">
      <c r="A121">
        <f t="shared" si="9"/>
        <v>5</v>
      </c>
      <c r="G121" t="s">
        <v>6079</v>
      </c>
      <c r="H121" s="2">
        <v>1</v>
      </c>
      <c r="I121" s="2">
        <v>40</v>
      </c>
      <c r="N121" t="str">
        <f t="shared" si="10"/>
        <v>OSKAR PHONES LLC</v>
      </c>
      <c r="O121" t="str">
        <f t="shared" si="11"/>
        <v>W1315328606</v>
      </c>
      <c r="P121" t="str">
        <f t="shared" si="12"/>
        <v>AN087EL56JVZ-560260</v>
      </c>
      <c r="Q121" t="str">
        <f t="shared" si="13"/>
        <v>PO044821</v>
      </c>
      <c r="R121" t="str">
        <f t="shared" si="14"/>
        <v>Anker Nylon Braided Lightning Cable 1.8m (Gold)</v>
      </c>
      <c r="S121" t="str">
        <f t="shared" si="15"/>
        <v>SA983477</v>
      </c>
      <c r="T121">
        <f t="shared" si="16"/>
        <v>1</v>
      </c>
      <c r="U121">
        <f t="shared" si="17"/>
        <v>40</v>
      </c>
    </row>
    <row r="122" spans="1:21" x14ac:dyDescent="0.25">
      <c r="A122">
        <f t="shared" si="9"/>
        <v>5</v>
      </c>
      <c r="G122" t="s">
        <v>6145</v>
      </c>
      <c r="H122" s="2">
        <v>1</v>
      </c>
      <c r="I122" s="2">
        <v>40</v>
      </c>
      <c r="N122" t="str">
        <f t="shared" si="10"/>
        <v>OSKAR PHONES LLC</v>
      </c>
      <c r="O122" t="str">
        <f t="shared" si="11"/>
        <v>W1315328606</v>
      </c>
      <c r="P122" t="str">
        <f t="shared" si="12"/>
        <v>AN087EL56JVZ-560260</v>
      </c>
      <c r="Q122" t="str">
        <f t="shared" si="13"/>
        <v>PO044821</v>
      </c>
      <c r="R122" t="str">
        <f t="shared" si="14"/>
        <v>Anker Nylon Braided Lightning Cable 1.8m (Gold)</v>
      </c>
      <c r="S122" t="str">
        <f t="shared" si="15"/>
        <v>SA984323</v>
      </c>
      <c r="T122">
        <f t="shared" si="16"/>
        <v>1</v>
      </c>
      <c r="U122">
        <f t="shared" si="17"/>
        <v>40</v>
      </c>
    </row>
    <row r="123" spans="1:21" x14ac:dyDescent="0.25">
      <c r="A123">
        <f t="shared" si="9"/>
        <v>5</v>
      </c>
      <c r="G123" t="s">
        <v>6158</v>
      </c>
      <c r="H123" s="2">
        <v>1</v>
      </c>
      <c r="I123" s="2">
        <v>40</v>
      </c>
      <c r="N123" t="str">
        <f t="shared" si="10"/>
        <v>OSKAR PHONES LLC</v>
      </c>
      <c r="O123" t="str">
        <f t="shared" si="11"/>
        <v>W1315328606</v>
      </c>
      <c r="P123" t="str">
        <f t="shared" si="12"/>
        <v>AN087EL56JVZ-560260</v>
      </c>
      <c r="Q123" t="str">
        <f t="shared" si="13"/>
        <v>PO044821</v>
      </c>
      <c r="R123" t="str">
        <f t="shared" si="14"/>
        <v>Anker Nylon Braided Lightning Cable 1.8m (Gold)</v>
      </c>
      <c r="S123" t="str">
        <f t="shared" si="15"/>
        <v>SA984464</v>
      </c>
      <c r="T123">
        <f t="shared" si="16"/>
        <v>1</v>
      </c>
      <c r="U123">
        <f t="shared" si="17"/>
        <v>40</v>
      </c>
    </row>
    <row r="124" spans="1:21" x14ac:dyDescent="0.25">
      <c r="A124">
        <f t="shared" si="9"/>
        <v>5</v>
      </c>
      <c r="G124" t="s">
        <v>6170</v>
      </c>
      <c r="H124" s="2">
        <v>1</v>
      </c>
      <c r="I124" s="2">
        <v>40</v>
      </c>
      <c r="N124" t="str">
        <f t="shared" si="10"/>
        <v>OSKAR PHONES LLC</v>
      </c>
      <c r="O124" t="str">
        <f t="shared" si="11"/>
        <v>W1315328606</v>
      </c>
      <c r="P124" t="str">
        <f t="shared" si="12"/>
        <v>AN087EL56JVZ-560260</v>
      </c>
      <c r="Q124" t="str">
        <f t="shared" si="13"/>
        <v>PO044821</v>
      </c>
      <c r="R124" t="str">
        <f t="shared" si="14"/>
        <v>Anker Nylon Braided Lightning Cable 1.8m (Gold)</v>
      </c>
      <c r="S124" t="str">
        <f t="shared" si="15"/>
        <v>SA984678</v>
      </c>
      <c r="T124">
        <f t="shared" si="16"/>
        <v>1</v>
      </c>
      <c r="U124">
        <f t="shared" si="17"/>
        <v>40</v>
      </c>
    </row>
    <row r="125" spans="1:21" x14ac:dyDescent="0.25">
      <c r="A125">
        <f t="shared" si="9"/>
        <v>5</v>
      </c>
      <c r="G125" t="s">
        <v>6187</v>
      </c>
      <c r="H125" s="2">
        <v>1</v>
      </c>
      <c r="I125" s="2">
        <v>40</v>
      </c>
      <c r="N125" t="str">
        <f t="shared" si="10"/>
        <v>OSKAR PHONES LLC</v>
      </c>
      <c r="O125" t="str">
        <f t="shared" si="11"/>
        <v>W1315328606</v>
      </c>
      <c r="P125" t="str">
        <f t="shared" si="12"/>
        <v>AN087EL56JVZ-560260</v>
      </c>
      <c r="Q125" t="str">
        <f t="shared" si="13"/>
        <v>PO044821</v>
      </c>
      <c r="R125" t="str">
        <f t="shared" si="14"/>
        <v>Anker Nylon Braided Lightning Cable 1.8m (Gold)</v>
      </c>
      <c r="S125" t="str">
        <f t="shared" si="15"/>
        <v>SA984738</v>
      </c>
      <c r="T125">
        <f t="shared" si="16"/>
        <v>1</v>
      </c>
      <c r="U125">
        <f t="shared" si="17"/>
        <v>40</v>
      </c>
    </row>
    <row r="126" spans="1:21" x14ac:dyDescent="0.25">
      <c r="A126">
        <f t="shared" si="9"/>
        <v>5</v>
      </c>
      <c r="G126" t="s">
        <v>6198</v>
      </c>
      <c r="H126" s="2">
        <v>1</v>
      </c>
      <c r="I126" s="2">
        <v>40</v>
      </c>
      <c r="N126" t="str">
        <f t="shared" si="10"/>
        <v>OSKAR PHONES LLC</v>
      </c>
      <c r="O126" t="str">
        <f t="shared" si="11"/>
        <v>W1315328606</v>
      </c>
      <c r="P126" t="str">
        <f t="shared" si="12"/>
        <v>AN087EL56JVZ-560260</v>
      </c>
      <c r="Q126" t="str">
        <f t="shared" si="13"/>
        <v>PO044821</v>
      </c>
      <c r="R126" t="str">
        <f t="shared" si="14"/>
        <v>Anker Nylon Braided Lightning Cable 1.8m (Gold)</v>
      </c>
      <c r="S126" t="str">
        <f t="shared" si="15"/>
        <v>SA985085</v>
      </c>
      <c r="T126">
        <f t="shared" si="16"/>
        <v>1</v>
      </c>
      <c r="U126">
        <f t="shared" si="17"/>
        <v>40</v>
      </c>
    </row>
    <row r="127" spans="1:21" x14ac:dyDescent="0.25">
      <c r="A127">
        <f t="shared" si="9"/>
        <v>5</v>
      </c>
      <c r="G127" t="s">
        <v>6199</v>
      </c>
      <c r="H127" s="2">
        <v>1</v>
      </c>
      <c r="I127" s="2">
        <v>40</v>
      </c>
      <c r="N127" t="str">
        <f t="shared" si="10"/>
        <v>OSKAR PHONES LLC</v>
      </c>
      <c r="O127" t="str">
        <f t="shared" si="11"/>
        <v>W1315328606</v>
      </c>
      <c r="P127" t="str">
        <f t="shared" si="12"/>
        <v>AN087EL56JVZ-560260</v>
      </c>
      <c r="Q127" t="str">
        <f t="shared" si="13"/>
        <v>PO044821</v>
      </c>
      <c r="R127" t="str">
        <f t="shared" si="14"/>
        <v>Anker Nylon Braided Lightning Cable 1.8m (Gold)</v>
      </c>
      <c r="S127" t="str">
        <f t="shared" si="15"/>
        <v>SA985135</v>
      </c>
      <c r="T127">
        <f t="shared" si="16"/>
        <v>1</v>
      </c>
      <c r="U127">
        <f t="shared" si="17"/>
        <v>40</v>
      </c>
    </row>
    <row r="128" spans="1:21" x14ac:dyDescent="0.25">
      <c r="A128">
        <f t="shared" si="9"/>
        <v>5</v>
      </c>
      <c r="C128" t="s">
        <v>4074</v>
      </c>
      <c r="D128" t="s">
        <v>4075</v>
      </c>
      <c r="E128" t="s">
        <v>4771</v>
      </c>
      <c r="F128" t="s">
        <v>4076</v>
      </c>
      <c r="G128" t="s">
        <v>4770</v>
      </c>
      <c r="H128" s="2">
        <v>1</v>
      </c>
      <c r="I128" s="2">
        <v>40</v>
      </c>
      <c r="N128" t="str">
        <f t="shared" si="10"/>
        <v>OSKAR PHONES LLC</v>
      </c>
      <c r="O128" t="str">
        <f t="shared" si="11"/>
        <v>W1315328605</v>
      </c>
      <c r="P128" t="str">
        <f t="shared" si="12"/>
        <v>AN087EL57JVY-560259</v>
      </c>
      <c r="Q128" t="str">
        <f t="shared" si="13"/>
        <v>UPO011868</v>
      </c>
      <c r="R128" t="str">
        <f t="shared" si="14"/>
        <v>Anker Nylon Braided Lightning Cable 1.8m (Black)</v>
      </c>
      <c r="S128" t="str">
        <f t="shared" si="15"/>
        <v>AE62018</v>
      </c>
      <c r="T128">
        <f t="shared" si="16"/>
        <v>1</v>
      </c>
      <c r="U128">
        <f t="shared" si="17"/>
        <v>40</v>
      </c>
    </row>
    <row r="129" spans="1:21" x14ac:dyDescent="0.25">
      <c r="A129">
        <f t="shared" si="9"/>
        <v>5</v>
      </c>
      <c r="E129" t="s">
        <v>4979</v>
      </c>
      <c r="F129" t="s">
        <v>4076</v>
      </c>
      <c r="G129" t="s">
        <v>6238</v>
      </c>
      <c r="H129" s="2">
        <v>1</v>
      </c>
      <c r="I129" s="2">
        <v>40</v>
      </c>
      <c r="N129" t="str">
        <f t="shared" si="10"/>
        <v>OSKAR PHONES LLC</v>
      </c>
      <c r="O129" t="str">
        <f t="shared" si="11"/>
        <v>W1315328605</v>
      </c>
      <c r="P129" t="str">
        <f t="shared" si="12"/>
        <v>AN087EL57JVY-560259</v>
      </c>
      <c r="Q129" t="str">
        <f t="shared" si="13"/>
        <v>PO045006</v>
      </c>
      <c r="R129" t="str">
        <f t="shared" si="14"/>
        <v>Anker Nylon Braided Lightning Cable 1.8m (Black)</v>
      </c>
      <c r="S129" t="str">
        <f t="shared" si="15"/>
        <v>SA985422</v>
      </c>
      <c r="T129">
        <f t="shared" si="16"/>
        <v>1</v>
      </c>
      <c r="U129">
        <f t="shared" si="17"/>
        <v>40</v>
      </c>
    </row>
    <row r="130" spans="1:21" x14ac:dyDescent="0.25">
      <c r="A130">
        <f t="shared" si="9"/>
        <v>5</v>
      </c>
      <c r="G130" t="s">
        <v>6252</v>
      </c>
      <c r="H130" s="2">
        <v>1</v>
      </c>
      <c r="I130" s="2">
        <v>40</v>
      </c>
      <c r="N130" t="str">
        <f t="shared" si="10"/>
        <v>OSKAR PHONES LLC</v>
      </c>
      <c r="O130" t="str">
        <f t="shared" si="11"/>
        <v>W1315328605</v>
      </c>
      <c r="P130" t="str">
        <f t="shared" si="12"/>
        <v>AN087EL57JVY-560259</v>
      </c>
      <c r="Q130" t="str">
        <f t="shared" si="13"/>
        <v>PO045006</v>
      </c>
      <c r="R130" t="str">
        <f t="shared" si="14"/>
        <v>Anker Nylon Braided Lightning Cable 1.8m (Black)</v>
      </c>
      <c r="S130" t="str">
        <f t="shared" si="15"/>
        <v>SA985524</v>
      </c>
      <c r="T130">
        <f t="shared" si="16"/>
        <v>1</v>
      </c>
      <c r="U130">
        <f t="shared" si="17"/>
        <v>40</v>
      </c>
    </row>
    <row r="131" spans="1:21" x14ac:dyDescent="0.25">
      <c r="A131">
        <f t="shared" si="9"/>
        <v>5</v>
      </c>
      <c r="G131" t="s">
        <v>6518</v>
      </c>
      <c r="H131" s="2">
        <v>1</v>
      </c>
      <c r="I131" s="2">
        <v>40</v>
      </c>
      <c r="N131" t="str">
        <f t="shared" si="10"/>
        <v>OSKAR PHONES LLC</v>
      </c>
      <c r="O131" t="str">
        <f t="shared" si="11"/>
        <v>W1315328605</v>
      </c>
      <c r="P131" t="str">
        <f t="shared" si="12"/>
        <v>AN087EL57JVY-560259</v>
      </c>
      <c r="Q131" t="str">
        <f t="shared" si="13"/>
        <v>PO045006</v>
      </c>
      <c r="R131" t="str">
        <f t="shared" si="14"/>
        <v>Anker Nylon Braided Lightning Cable 1.8m (Black)</v>
      </c>
      <c r="S131" t="str">
        <f t="shared" si="15"/>
        <v>SA987997</v>
      </c>
      <c r="T131">
        <f t="shared" si="16"/>
        <v>1</v>
      </c>
      <c r="U131">
        <f t="shared" si="17"/>
        <v>40</v>
      </c>
    </row>
    <row r="132" spans="1:21" x14ac:dyDescent="0.25">
      <c r="A132">
        <f t="shared" ref="A132:A195" si="18">IF(ISBLANK(B132),A131,A131+1)</f>
        <v>5</v>
      </c>
      <c r="E132" t="s">
        <v>5607</v>
      </c>
      <c r="F132" t="s">
        <v>4076</v>
      </c>
      <c r="G132" t="s">
        <v>6024</v>
      </c>
      <c r="H132" s="2">
        <v>1</v>
      </c>
      <c r="I132" s="2">
        <v>40</v>
      </c>
      <c r="N132" t="str">
        <f t="shared" si="10"/>
        <v>OSKAR PHONES LLC</v>
      </c>
      <c r="O132" t="str">
        <f t="shared" si="11"/>
        <v>W1315328605</v>
      </c>
      <c r="P132" t="str">
        <f t="shared" si="12"/>
        <v>AN087EL57JVY-560259</v>
      </c>
      <c r="Q132" t="str">
        <f t="shared" si="13"/>
        <v>PO044821</v>
      </c>
      <c r="R132" t="str">
        <f t="shared" si="14"/>
        <v>Anker Nylon Braided Lightning Cable 1.8m (Black)</v>
      </c>
      <c r="S132" t="str">
        <f t="shared" si="15"/>
        <v>SA983021</v>
      </c>
      <c r="T132">
        <f t="shared" si="16"/>
        <v>1</v>
      </c>
      <c r="U132">
        <f t="shared" si="17"/>
        <v>40</v>
      </c>
    </row>
    <row r="133" spans="1:21" x14ac:dyDescent="0.25">
      <c r="A133">
        <f t="shared" si="18"/>
        <v>5</v>
      </c>
      <c r="G133" t="s">
        <v>6025</v>
      </c>
      <c r="H133" s="2">
        <v>1</v>
      </c>
      <c r="I133" s="2">
        <v>40</v>
      </c>
      <c r="N133" t="str">
        <f t="shared" si="10"/>
        <v>OSKAR PHONES LLC</v>
      </c>
      <c r="O133" t="str">
        <f t="shared" si="11"/>
        <v>W1315328605</v>
      </c>
      <c r="P133" t="str">
        <f t="shared" si="12"/>
        <v>AN087EL57JVY-560259</v>
      </c>
      <c r="Q133" t="str">
        <f t="shared" si="13"/>
        <v>PO044821</v>
      </c>
      <c r="R133" t="str">
        <f t="shared" si="14"/>
        <v>Anker Nylon Braided Lightning Cable 1.8m (Black)</v>
      </c>
      <c r="S133" t="str">
        <f t="shared" si="15"/>
        <v>SA983028</v>
      </c>
      <c r="T133">
        <f t="shared" si="16"/>
        <v>1</v>
      </c>
      <c r="U133">
        <f t="shared" si="17"/>
        <v>40</v>
      </c>
    </row>
    <row r="134" spans="1:21" x14ac:dyDescent="0.25">
      <c r="A134">
        <f t="shared" si="18"/>
        <v>5</v>
      </c>
      <c r="G134" t="s">
        <v>6072</v>
      </c>
      <c r="H134" s="2">
        <v>1</v>
      </c>
      <c r="I134" s="2">
        <v>40</v>
      </c>
      <c r="N134" t="str">
        <f t="shared" ref="N134:N197" si="19">IF(ISBLANK($A134),"",IF(ISBLANK(B134),N133,B134))</f>
        <v>OSKAR PHONES LLC</v>
      </c>
      <c r="O134" t="str">
        <f t="shared" ref="O134:O197" si="20">IF(ISBLANK($A134),"",IF(ISBLANK(C134),O133,C134))</f>
        <v>W1315328605</v>
      </c>
      <c r="P134" t="str">
        <f t="shared" ref="P134:P197" si="21">IF(ISBLANK($A134),"",IF(ISBLANK(D134),P133,D134))</f>
        <v>AN087EL57JVY-560259</v>
      </c>
      <c r="Q134" t="str">
        <f t="shared" ref="Q134:Q197" si="22">IF(ISBLANK($A134),"",IF(ISBLANK(E134),Q133,E134))</f>
        <v>PO044821</v>
      </c>
      <c r="R134" t="str">
        <f t="shared" ref="R134:R197" si="23">IF(ISBLANK($A134),"",IF(ISBLANK(F134),R133,F134))</f>
        <v>Anker Nylon Braided Lightning Cable 1.8m (Black)</v>
      </c>
      <c r="S134" t="str">
        <f t="shared" ref="S134:S197" si="24">IF(ISBLANK($A134),"",G134)</f>
        <v>SA983339</v>
      </c>
      <c r="T134">
        <f t="shared" ref="T134:T197" si="25">IF(ISBLANK($A134),"",H134)</f>
        <v>1</v>
      </c>
      <c r="U134">
        <f t="shared" ref="U134:U197" si="26">IF(ISBLANK($A134),"",I134)</f>
        <v>40</v>
      </c>
    </row>
    <row r="135" spans="1:21" x14ac:dyDescent="0.25">
      <c r="A135">
        <f t="shared" si="18"/>
        <v>5</v>
      </c>
      <c r="G135" t="s">
        <v>6074</v>
      </c>
      <c r="H135" s="2">
        <v>1</v>
      </c>
      <c r="I135" s="2">
        <v>40</v>
      </c>
      <c r="N135" t="str">
        <f t="shared" si="19"/>
        <v>OSKAR PHONES LLC</v>
      </c>
      <c r="O135" t="str">
        <f t="shared" si="20"/>
        <v>W1315328605</v>
      </c>
      <c r="P135" t="str">
        <f t="shared" si="21"/>
        <v>AN087EL57JVY-560259</v>
      </c>
      <c r="Q135" t="str">
        <f t="shared" si="22"/>
        <v>PO044821</v>
      </c>
      <c r="R135" t="str">
        <f t="shared" si="23"/>
        <v>Anker Nylon Braided Lightning Cable 1.8m (Black)</v>
      </c>
      <c r="S135" t="str">
        <f t="shared" si="24"/>
        <v>SA983368</v>
      </c>
      <c r="T135">
        <f t="shared" si="25"/>
        <v>1</v>
      </c>
      <c r="U135">
        <f t="shared" si="26"/>
        <v>40</v>
      </c>
    </row>
    <row r="136" spans="1:21" x14ac:dyDescent="0.25">
      <c r="A136">
        <f t="shared" si="18"/>
        <v>5</v>
      </c>
      <c r="G136" t="s">
        <v>6075</v>
      </c>
      <c r="H136" s="2">
        <v>1</v>
      </c>
      <c r="I136" s="2">
        <v>40</v>
      </c>
      <c r="N136" t="str">
        <f t="shared" si="19"/>
        <v>OSKAR PHONES LLC</v>
      </c>
      <c r="O136" t="str">
        <f t="shared" si="20"/>
        <v>W1315328605</v>
      </c>
      <c r="P136" t="str">
        <f t="shared" si="21"/>
        <v>AN087EL57JVY-560259</v>
      </c>
      <c r="Q136" t="str">
        <f t="shared" si="22"/>
        <v>PO044821</v>
      </c>
      <c r="R136" t="str">
        <f t="shared" si="23"/>
        <v>Anker Nylon Braided Lightning Cable 1.8m (Black)</v>
      </c>
      <c r="S136" t="str">
        <f t="shared" si="24"/>
        <v>SA983369</v>
      </c>
      <c r="T136">
        <f t="shared" si="25"/>
        <v>1</v>
      </c>
      <c r="U136">
        <f t="shared" si="26"/>
        <v>40</v>
      </c>
    </row>
    <row r="137" spans="1:21" x14ac:dyDescent="0.25">
      <c r="A137">
        <f t="shared" si="18"/>
        <v>5</v>
      </c>
      <c r="G137" t="s">
        <v>6107</v>
      </c>
      <c r="H137" s="2">
        <v>1</v>
      </c>
      <c r="I137" s="2">
        <v>40</v>
      </c>
      <c r="N137" t="str">
        <f t="shared" si="19"/>
        <v>OSKAR PHONES LLC</v>
      </c>
      <c r="O137" t="str">
        <f t="shared" si="20"/>
        <v>W1315328605</v>
      </c>
      <c r="P137" t="str">
        <f t="shared" si="21"/>
        <v>AN087EL57JVY-560259</v>
      </c>
      <c r="Q137" t="str">
        <f t="shared" si="22"/>
        <v>PO044821</v>
      </c>
      <c r="R137" t="str">
        <f t="shared" si="23"/>
        <v>Anker Nylon Braided Lightning Cable 1.8m (Black)</v>
      </c>
      <c r="S137" t="str">
        <f t="shared" si="24"/>
        <v>SA983853</v>
      </c>
      <c r="T137">
        <f t="shared" si="25"/>
        <v>1</v>
      </c>
      <c r="U137">
        <f t="shared" si="26"/>
        <v>40</v>
      </c>
    </row>
    <row r="138" spans="1:21" x14ac:dyDescent="0.25">
      <c r="A138">
        <f t="shared" si="18"/>
        <v>5</v>
      </c>
      <c r="G138" t="s">
        <v>6110</v>
      </c>
      <c r="H138" s="2">
        <v>1</v>
      </c>
      <c r="I138" s="2">
        <v>40</v>
      </c>
      <c r="N138" t="str">
        <f t="shared" si="19"/>
        <v>OSKAR PHONES LLC</v>
      </c>
      <c r="O138" t="str">
        <f t="shared" si="20"/>
        <v>W1315328605</v>
      </c>
      <c r="P138" t="str">
        <f t="shared" si="21"/>
        <v>AN087EL57JVY-560259</v>
      </c>
      <c r="Q138" t="str">
        <f t="shared" si="22"/>
        <v>PO044821</v>
      </c>
      <c r="R138" t="str">
        <f t="shared" si="23"/>
        <v>Anker Nylon Braided Lightning Cable 1.8m (Black)</v>
      </c>
      <c r="S138" t="str">
        <f t="shared" si="24"/>
        <v>SA983940</v>
      </c>
      <c r="T138">
        <f t="shared" si="25"/>
        <v>1</v>
      </c>
      <c r="U138">
        <f t="shared" si="26"/>
        <v>40</v>
      </c>
    </row>
    <row r="139" spans="1:21" x14ac:dyDescent="0.25">
      <c r="A139">
        <f t="shared" si="18"/>
        <v>5</v>
      </c>
      <c r="G139" t="s">
        <v>6111</v>
      </c>
      <c r="H139" s="2">
        <v>1</v>
      </c>
      <c r="I139" s="2">
        <v>40</v>
      </c>
      <c r="N139" t="str">
        <f t="shared" si="19"/>
        <v>OSKAR PHONES LLC</v>
      </c>
      <c r="O139" t="str">
        <f t="shared" si="20"/>
        <v>W1315328605</v>
      </c>
      <c r="P139" t="str">
        <f t="shared" si="21"/>
        <v>AN087EL57JVY-560259</v>
      </c>
      <c r="Q139" t="str">
        <f t="shared" si="22"/>
        <v>PO044821</v>
      </c>
      <c r="R139" t="str">
        <f t="shared" si="23"/>
        <v>Anker Nylon Braided Lightning Cable 1.8m (Black)</v>
      </c>
      <c r="S139" t="str">
        <f t="shared" si="24"/>
        <v>SA983941</v>
      </c>
      <c r="T139">
        <f t="shared" si="25"/>
        <v>1</v>
      </c>
      <c r="U139">
        <f t="shared" si="26"/>
        <v>40</v>
      </c>
    </row>
    <row r="140" spans="1:21" x14ac:dyDescent="0.25">
      <c r="A140">
        <f t="shared" si="18"/>
        <v>5</v>
      </c>
      <c r="G140" t="s">
        <v>6140</v>
      </c>
      <c r="H140" s="2">
        <v>1</v>
      </c>
      <c r="I140" s="2">
        <v>40</v>
      </c>
      <c r="N140" t="str">
        <f t="shared" si="19"/>
        <v>OSKAR PHONES LLC</v>
      </c>
      <c r="O140" t="str">
        <f t="shared" si="20"/>
        <v>W1315328605</v>
      </c>
      <c r="P140" t="str">
        <f t="shared" si="21"/>
        <v>AN087EL57JVY-560259</v>
      </c>
      <c r="Q140" t="str">
        <f t="shared" si="22"/>
        <v>PO044821</v>
      </c>
      <c r="R140" t="str">
        <f t="shared" si="23"/>
        <v>Anker Nylon Braided Lightning Cable 1.8m (Black)</v>
      </c>
      <c r="S140" t="str">
        <f t="shared" si="24"/>
        <v>SA984156</v>
      </c>
      <c r="T140">
        <f t="shared" si="25"/>
        <v>1</v>
      </c>
      <c r="U140">
        <f t="shared" si="26"/>
        <v>40</v>
      </c>
    </row>
    <row r="141" spans="1:21" x14ac:dyDescent="0.25">
      <c r="A141">
        <f t="shared" si="18"/>
        <v>5</v>
      </c>
      <c r="G141" t="s">
        <v>6141</v>
      </c>
      <c r="H141" s="2">
        <v>1</v>
      </c>
      <c r="I141" s="2">
        <v>40</v>
      </c>
      <c r="N141" t="str">
        <f t="shared" si="19"/>
        <v>OSKAR PHONES LLC</v>
      </c>
      <c r="O141" t="str">
        <f t="shared" si="20"/>
        <v>W1315328605</v>
      </c>
      <c r="P141" t="str">
        <f t="shared" si="21"/>
        <v>AN087EL57JVY-560259</v>
      </c>
      <c r="Q141" t="str">
        <f t="shared" si="22"/>
        <v>PO044821</v>
      </c>
      <c r="R141" t="str">
        <f t="shared" si="23"/>
        <v>Anker Nylon Braided Lightning Cable 1.8m (Black)</v>
      </c>
      <c r="S141" t="str">
        <f t="shared" si="24"/>
        <v>SA984157</v>
      </c>
      <c r="T141">
        <f t="shared" si="25"/>
        <v>1</v>
      </c>
      <c r="U141">
        <f t="shared" si="26"/>
        <v>40</v>
      </c>
    </row>
    <row r="142" spans="1:21" x14ac:dyDescent="0.25">
      <c r="A142">
        <f t="shared" si="18"/>
        <v>5</v>
      </c>
      <c r="G142" t="s">
        <v>6142</v>
      </c>
      <c r="H142" s="2">
        <v>1</v>
      </c>
      <c r="I142" s="2">
        <v>40</v>
      </c>
      <c r="N142" t="str">
        <f t="shared" si="19"/>
        <v>OSKAR PHONES LLC</v>
      </c>
      <c r="O142" t="str">
        <f t="shared" si="20"/>
        <v>W1315328605</v>
      </c>
      <c r="P142" t="str">
        <f t="shared" si="21"/>
        <v>AN087EL57JVY-560259</v>
      </c>
      <c r="Q142" t="str">
        <f t="shared" si="22"/>
        <v>PO044821</v>
      </c>
      <c r="R142" t="str">
        <f t="shared" si="23"/>
        <v>Anker Nylon Braided Lightning Cable 1.8m (Black)</v>
      </c>
      <c r="S142" t="str">
        <f t="shared" si="24"/>
        <v>SA984158</v>
      </c>
      <c r="T142">
        <f t="shared" si="25"/>
        <v>1</v>
      </c>
      <c r="U142">
        <f t="shared" si="26"/>
        <v>40</v>
      </c>
    </row>
    <row r="143" spans="1:21" x14ac:dyDescent="0.25">
      <c r="A143">
        <f t="shared" si="18"/>
        <v>5</v>
      </c>
      <c r="G143" t="s">
        <v>6144</v>
      </c>
      <c r="H143" s="2">
        <v>1</v>
      </c>
      <c r="I143" s="2">
        <v>40</v>
      </c>
      <c r="N143" t="str">
        <f t="shared" si="19"/>
        <v>OSKAR PHONES LLC</v>
      </c>
      <c r="O143" t="str">
        <f t="shared" si="20"/>
        <v>W1315328605</v>
      </c>
      <c r="P143" t="str">
        <f t="shared" si="21"/>
        <v>AN087EL57JVY-560259</v>
      </c>
      <c r="Q143" t="str">
        <f t="shared" si="22"/>
        <v>PO044821</v>
      </c>
      <c r="R143" t="str">
        <f t="shared" si="23"/>
        <v>Anker Nylon Braided Lightning Cable 1.8m (Black)</v>
      </c>
      <c r="S143" t="str">
        <f t="shared" si="24"/>
        <v>SA984321</v>
      </c>
      <c r="T143">
        <f t="shared" si="25"/>
        <v>1</v>
      </c>
      <c r="U143">
        <f t="shared" si="26"/>
        <v>40</v>
      </c>
    </row>
    <row r="144" spans="1:21" x14ac:dyDescent="0.25">
      <c r="A144">
        <f t="shared" si="18"/>
        <v>5</v>
      </c>
      <c r="G144" t="s">
        <v>6169</v>
      </c>
      <c r="H144" s="2">
        <v>1</v>
      </c>
      <c r="I144" s="2">
        <v>40</v>
      </c>
      <c r="N144" t="str">
        <f t="shared" si="19"/>
        <v>OSKAR PHONES LLC</v>
      </c>
      <c r="O144" t="str">
        <f t="shared" si="20"/>
        <v>W1315328605</v>
      </c>
      <c r="P144" t="str">
        <f t="shared" si="21"/>
        <v>AN087EL57JVY-560259</v>
      </c>
      <c r="Q144" t="str">
        <f t="shared" si="22"/>
        <v>PO044821</v>
      </c>
      <c r="R144" t="str">
        <f t="shared" si="23"/>
        <v>Anker Nylon Braided Lightning Cable 1.8m (Black)</v>
      </c>
      <c r="S144" t="str">
        <f t="shared" si="24"/>
        <v>SA984676</v>
      </c>
      <c r="T144">
        <f t="shared" si="25"/>
        <v>1</v>
      </c>
      <c r="U144">
        <f t="shared" si="26"/>
        <v>40</v>
      </c>
    </row>
    <row r="145" spans="1:21" x14ac:dyDescent="0.25">
      <c r="A145">
        <f t="shared" si="18"/>
        <v>5</v>
      </c>
      <c r="C145" t="s">
        <v>4351</v>
      </c>
      <c r="D145" t="s">
        <v>4352</v>
      </c>
      <c r="E145" t="s">
        <v>4913</v>
      </c>
      <c r="F145" t="s">
        <v>4353</v>
      </c>
      <c r="G145" t="s">
        <v>4912</v>
      </c>
      <c r="H145" s="2">
        <v>1</v>
      </c>
      <c r="I145" s="2">
        <v>85</v>
      </c>
      <c r="N145" t="str">
        <f t="shared" si="19"/>
        <v>OSKAR PHONES LLC</v>
      </c>
      <c r="O145" t="str">
        <f t="shared" si="20"/>
        <v>W1315462036</v>
      </c>
      <c r="P145" t="str">
        <f t="shared" si="21"/>
        <v>AN087EL35VDW-711363</v>
      </c>
      <c r="Q145" t="str">
        <f t="shared" si="22"/>
        <v>PO044987</v>
      </c>
      <c r="R145" t="str">
        <f t="shared" si="23"/>
        <v>SoundBuds Sport In Ear Earphones (A32330J1, Black and Blue)</v>
      </c>
      <c r="S145" t="str">
        <f t="shared" si="24"/>
        <v>SA962106</v>
      </c>
      <c r="T145">
        <f t="shared" si="25"/>
        <v>1</v>
      </c>
      <c r="U145">
        <f t="shared" si="26"/>
        <v>85</v>
      </c>
    </row>
    <row r="146" spans="1:21" x14ac:dyDescent="0.25">
      <c r="A146">
        <f t="shared" si="18"/>
        <v>5</v>
      </c>
      <c r="G146" t="s">
        <v>5136</v>
      </c>
      <c r="H146" s="2">
        <v>1</v>
      </c>
      <c r="I146" s="2">
        <v>85</v>
      </c>
      <c r="N146" t="str">
        <f t="shared" si="19"/>
        <v>OSKAR PHONES LLC</v>
      </c>
      <c r="O146" t="str">
        <f t="shared" si="20"/>
        <v>W1315462036</v>
      </c>
      <c r="P146" t="str">
        <f t="shared" si="21"/>
        <v>AN087EL35VDW-711363</v>
      </c>
      <c r="Q146" t="str">
        <f t="shared" si="22"/>
        <v>PO044987</v>
      </c>
      <c r="R146" t="str">
        <f t="shared" si="23"/>
        <v>SoundBuds Sport In Ear Earphones (A32330J1, Black and Blue)</v>
      </c>
      <c r="S146" t="str">
        <f t="shared" si="24"/>
        <v>SA974396</v>
      </c>
      <c r="T146">
        <f t="shared" si="25"/>
        <v>1</v>
      </c>
      <c r="U146">
        <f t="shared" si="26"/>
        <v>85</v>
      </c>
    </row>
    <row r="147" spans="1:21" x14ac:dyDescent="0.25">
      <c r="A147">
        <f t="shared" si="18"/>
        <v>5</v>
      </c>
      <c r="G147" t="s">
        <v>5288</v>
      </c>
      <c r="H147" s="2">
        <v>1</v>
      </c>
      <c r="I147" s="2">
        <v>85</v>
      </c>
      <c r="N147" t="str">
        <f t="shared" si="19"/>
        <v>OSKAR PHONES LLC</v>
      </c>
      <c r="O147" t="str">
        <f t="shared" si="20"/>
        <v>W1315462036</v>
      </c>
      <c r="P147" t="str">
        <f t="shared" si="21"/>
        <v>AN087EL35VDW-711363</v>
      </c>
      <c r="Q147" t="str">
        <f t="shared" si="22"/>
        <v>PO044987</v>
      </c>
      <c r="R147" t="str">
        <f t="shared" si="23"/>
        <v>SoundBuds Sport In Ear Earphones (A32330J1, Black and Blue)</v>
      </c>
      <c r="S147" t="str">
        <f t="shared" si="24"/>
        <v>SA976155</v>
      </c>
      <c r="T147">
        <f t="shared" si="25"/>
        <v>1</v>
      </c>
      <c r="U147">
        <f t="shared" si="26"/>
        <v>85</v>
      </c>
    </row>
    <row r="148" spans="1:21" x14ac:dyDescent="0.25">
      <c r="A148">
        <f t="shared" si="18"/>
        <v>5</v>
      </c>
      <c r="G148" t="s">
        <v>5289</v>
      </c>
      <c r="H148" s="2">
        <v>1</v>
      </c>
      <c r="I148" s="2">
        <v>85</v>
      </c>
      <c r="N148" t="str">
        <f t="shared" si="19"/>
        <v>OSKAR PHONES LLC</v>
      </c>
      <c r="O148" t="str">
        <f t="shared" si="20"/>
        <v>W1315462036</v>
      </c>
      <c r="P148" t="str">
        <f t="shared" si="21"/>
        <v>AN087EL35VDW-711363</v>
      </c>
      <c r="Q148" t="str">
        <f t="shared" si="22"/>
        <v>PO044987</v>
      </c>
      <c r="R148" t="str">
        <f t="shared" si="23"/>
        <v>SoundBuds Sport In Ear Earphones (A32330J1, Black and Blue)</v>
      </c>
      <c r="S148" t="str">
        <f t="shared" si="24"/>
        <v>SA976156</v>
      </c>
      <c r="T148">
        <f t="shared" si="25"/>
        <v>1</v>
      </c>
      <c r="U148">
        <f t="shared" si="26"/>
        <v>85</v>
      </c>
    </row>
    <row r="149" spans="1:21" x14ac:dyDescent="0.25">
      <c r="A149">
        <f t="shared" si="18"/>
        <v>5</v>
      </c>
      <c r="E149" t="s">
        <v>4955</v>
      </c>
      <c r="F149" t="s">
        <v>4353</v>
      </c>
      <c r="G149" t="s">
        <v>4350</v>
      </c>
      <c r="H149" s="2">
        <v>1</v>
      </c>
      <c r="I149" s="2">
        <v>85</v>
      </c>
      <c r="N149" t="str">
        <f t="shared" si="19"/>
        <v>OSKAR PHONES LLC</v>
      </c>
      <c r="O149" t="str">
        <f t="shared" si="20"/>
        <v>W1315462036</v>
      </c>
      <c r="P149" t="str">
        <f t="shared" si="21"/>
        <v>AN087EL35VDW-711363</v>
      </c>
      <c r="Q149" t="str">
        <f t="shared" si="22"/>
        <v>PO044892</v>
      </c>
      <c r="R149" t="str">
        <f t="shared" si="23"/>
        <v>SoundBuds Sport In Ear Earphones (A32330J1, Black and Blue)</v>
      </c>
      <c r="S149" t="str">
        <f t="shared" si="24"/>
        <v>SA970481</v>
      </c>
      <c r="T149">
        <f t="shared" si="25"/>
        <v>1</v>
      </c>
      <c r="U149">
        <f t="shared" si="26"/>
        <v>85</v>
      </c>
    </row>
    <row r="150" spans="1:21" x14ac:dyDescent="0.25">
      <c r="A150">
        <f t="shared" si="18"/>
        <v>5</v>
      </c>
      <c r="G150" t="s">
        <v>4622</v>
      </c>
      <c r="H150" s="2">
        <v>1</v>
      </c>
      <c r="I150" s="2">
        <v>85</v>
      </c>
      <c r="N150" t="str">
        <f t="shared" si="19"/>
        <v>OSKAR PHONES LLC</v>
      </c>
      <c r="O150" t="str">
        <f t="shared" si="20"/>
        <v>W1315462036</v>
      </c>
      <c r="P150" t="str">
        <f t="shared" si="21"/>
        <v>AN087EL35VDW-711363</v>
      </c>
      <c r="Q150" t="str">
        <f t="shared" si="22"/>
        <v>PO044892</v>
      </c>
      <c r="R150" t="str">
        <f t="shared" si="23"/>
        <v>SoundBuds Sport In Ear Earphones (A32330J1, Black and Blue)</v>
      </c>
      <c r="S150" t="str">
        <f t="shared" si="24"/>
        <v>SA973748</v>
      </c>
      <c r="T150">
        <f t="shared" si="25"/>
        <v>1</v>
      </c>
      <c r="U150">
        <f t="shared" si="26"/>
        <v>85</v>
      </c>
    </row>
    <row r="151" spans="1:21" x14ac:dyDescent="0.25">
      <c r="A151">
        <f t="shared" si="18"/>
        <v>5</v>
      </c>
      <c r="C151" t="s">
        <v>4400</v>
      </c>
      <c r="D151" t="s">
        <v>4401</v>
      </c>
      <c r="E151" t="s">
        <v>4346</v>
      </c>
      <c r="F151" t="s">
        <v>4402</v>
      </c>
      <c r="G151" t="s">
        <v>4399</v>
      </c>
      <c r="H151" s="2">
        <v>1</v>
      </c>
      <c r="I151" s="2">
        <v>110</v>
      </c>
      <c r="N151" t="str">
        <f t="shared" si="19"/>
        <v>OSKAR PHONES LLC</v>
      </c>
      <c r="O151" t="str">
        <f t="shared" si="20"/>
        <v>W1315462042</v>
      </c>
      <c r="P151" t="str">
        <f t="shared" si="21"/>
        <v>AN087EL29VEC-711369</v>
      </c>
      <c r="Q151" t="str">
        <f t="shared" si="22"/>
        <v>PO044617</v>
      </c>
      <c r="R151" t="str">
        <f t="shared" si="23"/>
        <v>SoundCore Bluetooth Portable Speakers (A3102011, Black)</v>
      </c>
      <c r="S151" t="str">
        <f t="shared" si="24"/>
        <v>SA970841</v>
      </c>
      <c r="T151">
        <f t="shared" si="25"/>
        <v>1</v>
      </c>
      <c r="U151">
        <f t="shared" si="26"/>
        <v>110</v>
      </c>
    </row>
    <row r="152" spans="1:21" x14ac:dyDescent="0.25">
      <c r="A152">
        <f t="shared" si="18"/>
        <v>5</v>
      </c>
      <c r="G152" t="s">
        <v>4688</v>
      </c>
      <c r="H152" s="2">
        <v>1</v>
      </c>
      <c r="I152" s="2">
        <v>110</v>
      </c>
      <c r="N152" t="str">
        <f t="shared" si="19"/>
        <v>OSKAR PHONES LLC</v>
      </c>
      <c r="O152" t="str">
        <f t="shared" si="20"/>
        <v>W1315462042</v>
      </c>
      <c r="P152" t="str">
        <f t="shared" si="21"/>
        <v>AN087EL29VEC-711369</v>
      </c>
      <c r="Q152" t="str">
        <f t="shared" si="22"/>
        <v>PO044617</v>
      </c>
      <c r="R152" t="str">
        <f t="shared" si="23"/>
        <v>SoundCore Bluetooth Portable Speakers (A3102011, Black)</v>
      </c>
      <c r="S152" t="str">
        <f t="shared" si="24"/>
        <v>SA977839</v>
      </c>
      <c r="T152">
        <f t="shared" si="25"/>
        <v>1</v>
      </c>
      <c r="U152">
        <f t="shared" si="26"/>
        <v>110</v>
      </c>
    </row>
    <row r="153" spans="1:21" x14ac:dyDescent="0.25">
      <c r="A153">
        <f t="shared" si="18"/>
        <v>5</v>
      </c>
      <c r="E153" t="s">
        <v>5664</v>
      </c>
      <c r="F153" t="s">
        <v>4402</v>
      </c>
      <c r="G153" t="s">
        <v>5663</v>
      </c>
      <c r="H153" s="2">
        <v>1</v>
      </c>
      <c r="I153" s="2">
        <v>110</v>
      </c>
      <c r="N153" t="str">
        <f t="shared" si="19"/>
        <v>OSKAR PHONES LLC</v>
      </c>
      <c r="O153" t="str">
        <f t="shared" si="20"/>
        <v>W1315462042</v>
      </c>
      <c r="P153" t="str">
        <f t="shared" si="21"/>
        <v>AN087EL29VEC-711369</v>
      </c>
      <c r="Q153" t="str">
        <f t="shared" si="22"/>
        <v>PO044848</v>
      </c>
      <c r="R153" t="str">
        <f t="shared" si="23"/>
        <v>SoundCore Bluetooth Portable Speakers (A3102011, Black)</v>
      </c>
      <c r="S153" t="str">
        <f t="shared" si="24"/>
        <v>SA980380</v>
      </c>
      <c r="T153">
        <f t="shared" si="25"/>
        <v>1</v>
      </c>
      <c r="U153">
        <f t="shared" si="26"/>
        <v>110</v>
      </c>
    </row>
    <row r="154" spans="1:21" x14ac:dyDescent="0.25">
      <c r="A154">
        <f t="shared" si="18"/>
        <v>5</v>
      </c>
      <c r="G154" t="s">
        <v>6143</v>
      </c>
      <c r="H154" s="2">
        <v>1</v>
      </c>
      <c r="I154" s="2">
        <v>110</v>
      </c>
      <c r="N154" t="str">
        <f t="shared" si="19"/>
        <v>OSKAR PHONES LLC</v>
      </c>
      <c r="O154" t="str">
        <f t="shared" si="20"/>
        <v>W1315462042</v>
      </c>
      <c r="P154" t="str">
        <f t="shared" si="21"/>
        <v>AN087EL29VEC-711369</v>
      </c>
      <c r="Q154" t="str">
        <f t="shared" si="22"/>
        <v>PO044848</v>
      </c>
      <c r="R154" t="str">
        <f t="shared" si="23"/>
        <v>SoundCore Bluetooth Portable Speakers (A3102011, Black)</v>
      </c>
      <c r="S154" t="str">
        <f t="shared" si="24"/>
        <v>SA984262</v>
      </c>
      <c r="T154">
        <f t="shared" si="25"/>
        <v>1</v>
      </c>
      <c r="U154">
        <f t="shared" si="26"/>
        <v>110</v>
      </c>
    </row>
    <row r="155" spans="1:21" x14ac:dyDescent="0.25">
      <c r="A155">
        <f t="shared" si="18"/>
        <v>5</v>
      </c>
      <c r="C155" t="s">
        <v>4525</v>
      </c>
      <c r="D155" t="s">
        <v>4526</v>
      </c>
      <c r="E155" t="s">
        <v>4913</v>
      </c>
      <c r="F155" t="s">
        <v>4527</v>
      </c>
      <c r="G155" t="s">
        <v>6349</v>
      </c>
      <c r="H155" s="2">
        <v>1</v>
      </c>
      <c r="I155" s="2">
        <v>70</v>
      </c>
      <c r="N155" t="str">
        <f t="shared" si="19"/>
        <v>OSKAR PHONES LLC</v>
      </c>
      <c r="O155" t="str">
        <f t="shared" si="20"/>
        <v>W1315327606</v>
      </c>
      <c r="P155" t="str">
        <f t="shared" si="21"/>
        <v>HU814EL03DWI-548445</v>
      </c>
      <c r="Q155" t="str">
        <f t="shared" si="22"/>
        <v>PO044987</v>
      </c>
      <c r="R155" t="str">
        <f t="shared" si="23"/>
        <v>13000 mAh Powerbank for All Phones and Tablets (AP007, Silver)</v>
      </c>
      <c r="S155" t="str">
        <f t="shared" si="24"/>
        <v>SA986261</v>
      </c>
      <c r="T155">
        <f t="shared" si="25"/>
        <v>1</v>
      </c>
      <c r="U155">
        <f t="shared" si="26"/>
        <v>70</v>
      </c>
    </row>
    <row r="156" spans="1:21" x14ac:dyDescent="0.25">
      <c r="A156">
        <f t="shared" si="18"/>
        <v>5</v>
      </c>
      <c r="E156" t="s">
        <v>4955</v>
      </c>
      <c r="F156" t="s">
        <v>4527</v>
      </c>
      <c r="G156" t="s">
        <v>6236</v>
      </c>
      <c r="H156" s="2">
        <v>1</v>
      </c>
      <c r="I156" s="2">
        <v>70</v>
      </c>
      <c r="N156" t="str">
        <f t="shared" si="19"/>
        <v>OSKAR PHONES LLC</v>
      </c>
      <c r="O156" t="str">
        <f t="shared" si="20"/>
        <v>W1315327606</v>
      </c>
      <c r="P156" t="str">
        <f t="shared" si="21"/>
        <v>HU814EL03DWI-548445</v>
      </c>
      <c r="Q156" t="str">
        <f t="shared" si="22"/>
        <v>PO044892</v>
      </c>
      <c r="R156" t="str">
        <f t="shared" si="23"/>
        <v>13000 mAh Powerbank for All Phones and Tablets (AP007, Silver)</v>
      </c>
      <c r="S156" t="str">
        <f t="shared" si="24"/>
        <v>SA985375</v>
      </c>
      <c r="T156">
        <f t="shared" si="25"/>
        <v>1</v>
      </c>
      <c r="U156">
        <f t="shared" si="26"/>
        <v>70</v>
      </c>
    </row>
    <row r="157" spans="1:21" x14ac:dyDescent="0.25">
      <c r="A157">
        <f t="shared" si="18"/>
        <v>5</v>
      </c>
      <c r="C157" t="s">
        <v>4644</v>
      </c>
      <c r="D157" t="s">
        <v>4645</v>
      </c>
      <c r="E157" t="s">
        <v>4346</v>
      </c>
      <c r="F157" t="s">
        <v>5155</v>
      </c>
      <c r="G157" t="s">
        <v>4643</v>
      </c>
      <c r="H157" s="2">
        <v>1</v>
      </c>
      <c r="I157" s="2">
        <v>140</v>
      </c>
      <c r="N157" t="str">
        <f t="shared" si="19"/>
        <v>OSKAR PHONES LLC</v>
      </c>
      <c r="O157" t="str">
        <f t="shared" si="20"/>
        <v>W1315109134</v>
      </c>
      <c r="P157" t="str">
        <f t="shared" si="21"/>
        <v>AP771EL28UBZ-28105</v>
      </c>
      <c r="Q157" t="str">
        <f t="shared" si="22"/>
        <v>PO044617</v>
      </c>
      <c r="R157" t="str">
        <f t="shared" si="23"/>
        <v>Apple Lightning Digital AV Adapter MD826 (Compatible with Mobile Phones)</v>
      </c>
      <c r="S157" t="str">
        <f t="shared" si="24"/>
        <v>SA974745</v>
      </c>
      <c r="T157">
        <f t="shared" si="25"/>
        <v>1</v>
      </c>
      <c r="U157">
        <f t="shared" si="26"/>
        <v>140</v>
      </c>
    </row>
    <row r="158" spans="1:21" x14ac:dyDescent="0.25">
      <c r="A158">
        <f t="shared" si="18"/>
        <v>6</v>
      </c>
      <c r="B158" t="s">
        <v>161</v>
      </c>
      <c r="C158" t="s">
        <v>4404</v>
      </c>
      <c r="D158" t="s">
        <v>4405</v>
      </c>
      <c r="E158" t="s">
        <v>6300</v>
      </c>
      <c r="F158" t="s">
        <v>4406</v>
      </c>
      <c r="G158" t="s">
        <v>6299</v>
      </c>
      <c r="H158" s="2">
        <v>1</v>
      </c>
      <c r="I158" s="2">
        <v>1595</v>
      </c>
      <c r="N158" t="str">
        <f t="shared" si="19"/>
        <v>Al Wakil Trading LLC</v>
      </c>
      <c r="O158" t="str">
        <f t="shared" si="20"/>
        <v>W1315100217</v>
      </c>
      <c r="P158" t="str">
        <f t="shared" si="21"/>
        <v>AP771EL49ARI-449</v>
      </c>
      <c r="Q158" t="str">
        <f t="shared" si="22"/>
        <v>PO045001</v>
      </c>
      <c r="R158" t="str">
        <f t="shared" si="23"/>
        <v>iPad Air 2 (WiFi 64 GB Space Grey)</v>
      </c>
      <c r="S158" t="str">
        <f t="shared" si="24"/>
        <v>SA985949</v>
      </c>
      <c r="T158">
        <f t="shared" si="25"/>
        <v>1</v>
      </c>
      <c r="U158">
        <f t="shared" si="26"/>
        <v>1595</v>
      </c>
    </row>
    <row r="159" spans="1:21" x14ac:dyDescent="0.25">
      <c r="A159">
        <f t="shared" si="18"/>
        <v>6</v>
      </c>
      <c r="C159" t="s">
        <v>4672</v>
      </c>
      <c r="D159" t="s">
        <v>4673</v>
      </c>
      <c r="E159" t="s">
        <v>6390</v>
      </c>
      <c r="F159" t="s">
        <v>4674</v>
      </c>
      <c r="G159" t="s">
        <v>6389</v>
      </c>
      <c r="H159" s="2">
        <v>1</v>
      </c>
      <c r="I159" s="2">
        <v>2675</v>
      </c>
      <c r="N159" t="str">
        <f t="shared" si="19"/>
        <v>Al Wakil Trading LLC</v>
      </c>
      <c r="O159" t="str">
        <f t="shared" si="20"/>
        <v>W1315216285</v>
      </c>
      <c r="P159" t="str">
        <f t="shared" si="21"/>
        <v>MI794EL96BFN-409444</v>
      </c>
      <c r="Q159" t="str">
        <f t="shared" si="22"/>
        <v>PO044954</v>
      </c>
      <c r="R159" t="str">
        <f t="shared" si="23"/>
        <v>Microsoft Surface Pro 4 (12.3 Inches, Intel Core i5, 128GB, WiFi, Windows 10 Pro, Silver)</v>
      </c>
      <c r="S159" t="str">
        <f t="shared" si="24"/>
        <v>SA986547</v>
      </c>
      <c r="T159">
        <f t="shared" si="25"/>
        <v>1</v>
      </c>
      <c r="U159">
        <f t="shared" si="26"/>
        <v>2675</v>
      </c>
    </row>
    <row r="160" spans="1:21" x14ac:dyDescent="0.25">
      <c r="A160">
        <f t="shared" si="18"/>
        <v>6</v>
      </c>
      <c r="G160" t="s">
        <v>6552</v>
      </c>
      <c r="H160" s="2">
        <v>1</v>
      </c>
      <c r="I160" s="2">
        <v>2675</v>
      </c>
      <c r="N160" t="str">
        <f t="shared" si="19"/>
        <v>Al Wakil Trading LLC</v>
      </c>
      <c r="O160" t="str">
        <f t="shared" si="20"/>
        <v>W1315216285</v>
      </c>
      <c r="P160" t="str">
        <f t="shared" si="21"/>
        <v>MI794EL96BFN-409444</v>
      </c>
      <c r="Q160" t="str">
        <f t="shared" si="22"/>
        <v>PO044954</v>
      </c>
      <c r="R160" t="str">
        <f t="shared" si="23"/>
        <v>Microsoft Surface Pro 4 (12.3 Inches, Intel Core i5, 128GB, WiFi, Windows 10 Pro, Silver)</v>
      </c>
      <c r="S160" t="str">
        <f t="shared" si="24"/>
        <v>SA988375</v>
      </c>
      <c r="T160">
        <f t="shared" si="25"/>
        <v>1</v>
      </c>
      <c r="U160">
        <f t="shared" si="26"/>
        <v>2675</v>
      </c>
    </row>
    <row r="161" spans="1:21" x14ac:dyDescent="0.25">
      <c r="A161">
        <f t="shared" si="18"/>
        <v>6</v>
      </c>
      <c r="C161" t="s">
        <v>4691</v>
      </c>
      <c r="D161" t="s">
        <v>4692</v>
      </c>
      <c r="E161" t="s">
        <v>4689</v>
      </c>
      <c r="F161" t="s">
        <v>5458</v>
      </c>
      <c r="G161" t="s">
        <v>4690</v>
      </c>
      <c r="H161" s="2">
        <v>1</v>
      </c>
      <c r="I161" s="2">
        <v>404</v>
      </c>
      <c r="N161" t="str">
        <f t="shared" si="19"/>
        <v>Al Wakil Trading LLC</v>
      </c>
      <c r="O161" t="str">
        <f t="shared" si="20"/>
        <v>W1315237670</v>
      </c>
      <c r="P161" t="str">
        <f t="shared" si="21"/>
        <v>CA511AC37VSO-441083</v>
      </c>
      <c r="Q161" t="str">
        <f t="shared" si="22"/>
        <v>PO044660</v>
      </c>
      <c r="R161" t="str">
        <f t="shared" si="23"/>
        <v>Edifice EFR-549SG-1AVUDF For Men (Analog-Chronograph Watch Black)</v>
      </c>
      <c r="S161" t="str">
        <f t="shared" si="24"/>
        <v>SA978481</v>
      </c>
      <c r="T161">
        <f t="shared" si="25"/>
        <v>1</v>
      </c>
      <c r="U161">
        <f t="shared" si="26"/>
        <v>404</v>
      </c>
    </row>
    <row r="162" spans="1:21" x14ac:dyDescent="0.25">
      <c r="A162">
        <f t="shared" si="18"/>
        <v>6</v>
      </c>
      <c r="C162" t="s">
        <v>5235</v>
      </c>
      <c r="D162" t="s">
        <v>5236</v>
      </c>
      <c r="E162" t="s">
        <v>5238</v>
      </c>
      <c r="F162" t="s">
        <v>5237</v>
      </c>
      <c r="G162" t="s">
        <v>5234</v>
      </c>
      <c r="H162" s="2">
        <v>1</v>
      </c>
      <c r="I162" s="2">
        <v>198</v>
      </c>
      <c r="N162" t="str">
        <f t="shared" si="19"/>
        <v>Al Wakil Trading LLC</v>
      </c>
      <c r="O162" t="str">
        <f t="shared" si="20"/>
        <v>W1315249197</v>
      </c>
      <c r="P162" t="str">
        <f t="shared" si="21"/>
        <v>CA511AC31YAI-508579</v>
      </c>
      <c r="Q162" t="str">
        <f t="shared" si="22"/>
        <v>PO044764</v>
      </c>
      <c r="R162" t="str">
        <f t="shared" si="23"/>
        <v>Edifice EF-129D-1AVUDF for Men (Analog-Chronograph Watch Black)</v>
      </c>
      <c r="S162" t="str">
        <f t="shared" si="24"/>
        <v>SA975461</v>
      </c>
      <c r="T162">
        <f t="shared" si="25"/>
        <v>1</v>
      </c>
      <c r="U162">
        <f t="shared" si="26"/>
        <v>198</v>
      </c>
    </row>
    <row r="163" spans="1:21" x14ac:dyDescent="0.25">
      <c r="A163">
        <f t="shared" si="18"/>
        <v>7</v>
      </c>
      <c r="B163" t="s">
        <v>643</v>
      </c>
      <c r="C163" t="s">
        <v>3475</v>
      </c>
      <c r="D163" t="s">
        <v>3476</v>
      </c>
      <c r="E163" t="s">
        <v>4379</v>
      </c>
      <c r="F163" t="s">
        <v>4958</v>
      </c>
      <c r="G163" t="s">
        <v>4378</v>
      </c>
      <c r="H163" s="2">
        <v>1</v>
      </c>
      <c r="I163" s="2">
        <v>138</v>
      </c>
      <c r="N163" t="str">
        <f t="shared" si="19"/>
        <v>Jaseena Trading Co LLC</v>
      </c>
      <c r="O163" t="str">
        <f t="shared" si="20"/>
        <v>W1315122206</v>
      </c>
      <c r="P163" t="str">
        <f t="shared" si="21"/>
        <v>VA280BE19GJO-36414</v>
      </c>
      <c r="Q163" t="str">
        <f t="shared" si="22"/>
        <v>PO044634</v>
      </c>
      <c r="R163" t="str">
        <f t="shared" si="23"/>
        <v>Valentino Valentino Uomo for men - 50 ml - EDT</v>
      </c>
      <c r="S163" t="str">
        <f t="shared" si="24"/>
        <v>SA970687</v>
      </c>
      <c r="T163">
        <f t="shared" si="25"/>
        <v>1</v>
      </c>
      <c r="U163">
        <f t="shared" si="26"/>
        <v>138</v>
      </c>
    </row>
    <row r="164" spans="1:21" x14ac:dyDescent="0.25">
      <c r="A164">
        <f t="shared" si="18"/>
        <v>7</v>
      </c>
      <c r="E164" t="s">
        <v>5197</v>
      </c>
      <c r="F164" t="s">
        <v>4958</v>
      </c>
      <c r="G164" t="s">
        <v>5196</v>
      </c>
      <c r="H164" s="2">
        <v>1</v>
      </c>
      <c r="I164" s="2">
        <v>138</v>
      </c>
      <c r="N164" t="str">
        <f t="shared" si="19"/>
        <v>Jaseena Trading Co LLC</v>
      </c>
      <c r="O164" t="str">
        <f t="shared" si="20"/>
        <v>W1315122206</v>
      </c>
      <c r="P164" t="str">
        <f t="shared" si="21"/>
        <v>VA280BE19GJO-36414</v>
      </c>
      <c r="Q164" t="str">
        <f t="shared" si="22"/>
        <v>PO044680</v>
      </c>
      <c r="R164" t="str">
        <f t="shared" si="23"/>
        <v>Valentino Valentino Uomo for men - 50 ml - EDT</v>
      </c>
      <c r="S164" t="str">
        <f t="shared" si="24"/>
        <v>SA975022</v>
      </c>
      <c r="T164">
        <f t="shared" si="25"/>
        <v>1</v>
      </c>
      <c r="U164">
        <f t="shared" si="26"/>
        <v>138</v>
      </c>
    </row>
    <row r="165" spans="1:21" x14ac:dyDescent="0.25">
      <c r="A165">
        <f t="shared" si="18"/>
        <v>7</v>
      </c>
      <c r="E165" t="s">
        <v>6134</v>
      </c>
      <c r="F165" t="s">
        <v>4958</v>
      </c>
      <c r="G165" t="s">
        <v>6133</v>
      </c>
      <c r="H165" s="2">
        <v>1</v>
      </c>
      <c r="I165" s="2">
        <v>138</v>
      </c>
      <c r="N165" t="str">
        <f t="shared" si="19"/>
        <v>Jaseena Trading Co LLC</v>
      </c>
      <c r="O165" t="str">
        <f t="shared" si="20"/>
        <v>W1315122206</v>
      </c>
      <c r="P165" t="str">
        <f t="shared" si="21"/>
        <v>VA280BE19GJO-36414</v>
      </c>
      <c r="Q165" t="str">
        <f t="shared" si="22"/>
        <v>PO044887</v>
      </c>
      <c r="R165" t="str">
        <f t="shared" si="23"/>
        <v>Valentino Valentino Uomo for men - 50 ml - EDT</v>
      </c>
      <c r="S165" t="str">
        <f t="shared" si="24"/>
        <v>SA984129</v>
      </c>
      <c r="T165">
        <f t="shared" si="25"/>
        <v>1</v>
      </c>
      <c r="U165">
        <f t="shared" si="26"/>
        <v>138</v>
      </c>
    </row>
    <row r="166" spans="1:21" x14ac:dyDescent="0.25">
      <c r="A166">
        <f t="shared" si="18"/>
        <v>7</v>
      </c>
      <c r="G166" t="s">
        <v>6235</v>
      </c>
      <c r="H166" s="2">
        <v>1</v>
      </c>
      <c r="I166" s="2">
        <v>138</v>
      </c>
      <c r="N166" t="str">
        <f t="shared" si="19"/>
        <v>Jaseena Trading Co LLC</v>
      </c>
      <c r="O166" t="str">
        <f t="shared" si="20"/>
        <v>W1315122206</v>
      </c>
      <c r="P166" t="str">
        <f t="shared" si="21"/>
        <v>VA280BE19GJO-36414</v>
      </c>
      <c r="Q166" t="str">
        <f t="shared" si="22"/>
        <v>PO044887</v>
      </c>
      <c r="R166" t="str">
        <f t="shared" si="23"/>
        <v>Valentino Valentino Uomo for men - 50 ml - EDT</v>
      </c>
      <c r="S166" t="str">
        <f t="shared" si="24"/>
        <v>SA985368</v>
      </c>
      <c r="T166">
        <f t="shared" si="25"/>
        <v>1</v>
      </c>
      <c r="U166">
        <f t="shared" si="26"/>
        <v>138</v>
      </c>
    </row>
    <row r="167" spans="1:21" x14ac:dyDescent="0.25">
      <c r="A167">
        <f t="shared" si="18"/>
        <v>7</v>
      </c>
      <c r="C167" t="s">
        <v>3677</v>
      </c>
      <c r="D167" t="s">
        <v>3678</v>
      </c>
      <c r="E167" t="s">
        <v>4871</v>
      </c>
      <c r="F167" t="s">
        <v>4870</v>
      </c>
      <c r="G167" t="s">
        <v>3676</v>
      </c>
      <c r="H167" s="2">
        <v>1</v>
      </c>
      <c r="I167" s="2">
        <v>104</v>
      </c>
      <c r="N167" t="str">
        <f t="shared" si="19"/>
        <v>Jaseena Trading Co LLC</v>
      </c>
      <c r="O167" t="str">
        <f t="shared" si="20"/>
        <v>W1315121677</v>
      </c>
      <c r="P167" t="str">
        <f t="shared" si="21"/>
        <v>VE740BE15GCA-36218</v>
      </c>
      <c r="Q167" t="str">
        <f t="shared" si="22"/>
        <v>PO044833</v>
      </c>
      <c r="R167" t="str">
        <f t="shared" si="23"/>
        <v>Versace Eros for men - 50 ml - EDT</v>
      </c>
      <c r="S167" t="str">
        <f t="shared" si="24"/>
        <v>SA952139</v>
      </c>
      <c r="T167">
        <f t="shared" si="25"/>
        <v>1</v>
      </c>
      <c r="U167">
        <f t="shared" si="26"/>
        <v>104</v>
      </c>
    </row>
    <row r="168" spans="1:21" x14ac:dyDescent="0.25">
      <c r="A168">
        <f t="shared" si="18"/>
        <v>7</v>
      </c>
      <c r="G168" t="s">
        <v>3706</v>
      </c>
      <c r="H168" s="2">
        <v>1</v>
      </c>
      <c r="I168" s="2">
        <v>104</v>
      </c>
      <c r="N168" t="str">
        <f t="shared" si="19"/>
        <v>Jaseena Trading Co LLC</v>
      </c>
      <c r="O168" t="str">
        <f t="shared" si="20"/>
        <v>W1315121677</v>
      </c>
      <c r="P168" t="str">
        <f t="shared" si="21"/>
        <v>VE740BE15GCA-36218</v>
      </c>
      <c r="Q168" t="str">
        <f t="shared" si="22"/>
        <v>PO044833</v>
      </c>
      <c r="R168" t="str">
        <f t="shared" si="23"/>
        <v>Versace Eros for men - 50 ml - EDT</v>
      </c>
      <c r="S168" t="str">
        <f t="shared" si="24"/>
        <v>SA955250</v>
      </c>
      <c r="T168">
        <f t="shared" si="25"/>
        <v>1</v>
      </c>
      <c r="U168">
        <f t="shared" si="26"/>
        <v>104</v>
      </c>
    </row>
    <row r="169" spans="1:21" x14ac:dyDescent="0.25">
      <c r="A169">
        <f t="shared" si="18"/>
        <v>7</v>
      </c>
      <c r="G169" t="s">
        <v>3738</v>
      </c>
      <c r="H169" s="2">
        <v>1</v>
      </c>
      <c r="I169" s="2">
        <v>104</v>
      </c>
      <c r="N169" t="str">
        <f t="shared" si="19"/>
        <v>Jaseena Trading Co LLC</v>
      </c>
      <c r="O169" t="str">
        <f t="shared" si="20"/>
        <v>W1315121677</v>
      </c>
      <c r="P169" t="str">
        <f t="shared" si="21"/>
        <v>VE740BE15GCA-36218</v>
      </c>
      <c r="Q169" t="str">
        <f t="shared" si="22"/>
        <v>PO044833</v>
      </c>
      <c r="R169" t="str">
        <f t="shared" si="23"/>
        <v>Versace Eros for men - 50 ml - EDT</v>
      </c>
      <c r="S169" t="str">
        <f t="shared" si="24"/>
        <v>SA956724</v>
      </c>
      <c r="T169">
        <f t="shared" si="25"/>
        <v>1</v>
      </c>
      <c r="U169">
        <f t="shared" si="26"/>
        <v>104</v>
      </c>
    </row>
    <row r="170" spans="1:21" x14ac:dyDescent="0.25">
      <c r="A170">
        <f t="shared" si="18"/>
        <v>7</v>
      </c>
      <c r="C170" t="s">
        <v>3718</v>
      </c>
      <c r="D170" t="s">
        <v>3719</v>
      </c>
      <c r="E170" t="s">
        <v>4871</v>
      </c>
      <c r="F170" t="s">
        <v>4872</v>
      </c>
      <c r="G170" t="s">
        <v>3717</v>
      </c>
      <c r="H170" s="2">
        <v>1</v>
      </c>
      <c r="I170" s="2">
        <v>82</v>
      </c>
      <c r="N170" t="str">
        <f t="shared" si="19"/>
        <v>Jaseena Trading Co LLC</v>
      </c>
      <c r="O170" t="str">
        <f t="shared" si="20"/>
        <v>W1315121052</v>
      </c>
      <c r="P170" t="str">
        <f t="shared" si="21"/>
        <v>CA811BE14GNP-36519</v>
      </c>
      <c r="Q170" t="str">
        <f t="shared" si="22"/>
        <v>PO044833</v>
      </c>
      <c r="R170" t="str">
        <f t="shared" si="23"/>
        <v>Carolina Herrera 212 Summer for women - 60 ml - EDT</v>
      </c>
      <c r="S170" t="str">
        <f t="shared" si="24"/>
        <v>SA955914</v>
      </c>
      <c r="T170">
        <f t="shared" si="25"/>
        <v>1</v>
      </c>
      <c r="U170">
        <f t="shared" si="26"/>
        <v>82</v>
      </c>
    </row>
    <row r="171" spans="1:21" x14ac:dyDescent="0.25">
      <c r="A171">
        <f t="shared" si="18"/>
        <v>7</v>
      </c>
      <c r="C171" t="s">
        <v>3966</v>
      </c>
      <c r="D171" t="s">
        <v>3967</v>
      </c>
      <c r="E171" t="s">
        <v>4871</v>
      </c>
      <c r="F171" t="s">
        <v>6153</v>
      </c>
      <c r="G171" t="s">
        <v>6152</v>
      </c>
      <c r="H171" s="2">
        <v>1</v>
      </c>
      <c r="I171" s="2">
        <v>46</v>
      </c>
      <c r="N171" t="str">
        <f t="shared" si="19"/>
        <v>Jaseena Trading Co LLC</v>
      </c>
      <c r="O171" t="str">
        <f t="shared" si="20"/>
        <v>W1315121930</v>
      </c>
      <c r="P171" t="str">
        <f t="shared" si="21"/>
        <v>JA802BE58GIB-36375</v>
      </c>
      <c r="Q171" t="str">
        <f t="shared" si="22"/>
        <v>PO044833</v>
      </c>
      <c r="R171" t="str">
        <f t="shared" si="23"/>
        <v>Jaguar Men Evolution for Men - 100 ml - EDT</v>
      </c>
      <c r="S171" t="str">
        <f t="shared" si="24"/>
        <v>SA984415</v>
      </c>
      <c r="T171">
        <f t="shared" si="25"/>
        <v>1</v>
      </c>
      <c r="U171">
        <f t="shared" si="26"/>
        <v>46</v>
      </c>
    </row>
    <row r="172" spans="1:21" x14ac:dyDescent="0.25">
      <c r="A172">
        <f t="shared" si="18"/>
        <v>7</v>
      </c>
      <c r="C172" t="s">
        <v>3991</v>
      </c>
      <c r="D172" t="s">
        <v>3992</v>
      </c>
      <c r="E172" t="s">
        <v>4871</v>
      </c>
      <c r="F172" t="s">
        <v>6132</v>
      </c>
      <c r="G172" t="s">
        <v>6131</v>
      </c>
      <c r="H172" s="2">
        <v>1</v>
      </c>
      <c r="I172" s="2">
        <v>38</v>
      </c>
      <c r="N172" t="str">
        <f t="shared" si="19"/>
        <v>Jaseena Trading Co LLC</v>
      </c>
      <c r="O172" t="str">
        <f t="shared" si="20"/>
        <v>W1315121746</v>
      </c>
      <c r="P172" t="str">
        <f t="shared" si="21"/>
        <v>BE422BE90GON-36543</v>
      </c>
      <c r="Q172" t="str">
        <f t="shared" si="22"/>
        <v>PO044833</v>
      </c>
      <c r="R172" t="str">
        <f t="shared" si="23"/>
        <v>Beyonce Midnight Heat for women - 100 ml - EDP</v>
      </c>
      <c r="S172" t="str">
        <f t="shared" si="24"/>
        <v>SA984107</v>
      </c>
      <c r="T172">
        <f t="shared" si="25"/>
        <v>1</v>
      </c>
      <c r="U172">
        <f t="shared" si="26"/>
        <v>38</v>
      </c>
    </row>
    <row r="173" spans="1:21" x14ac:dyDescent="0.25">
      <c r="A173">
        <f t="shared" si="18"/>
        <v>7</v>
      </c>
      <c r="E173" t="s">
        <v>4957</v>
      </c>
      <c r="F173" t="s">
        <v>6132</v>
      </c>
      <c r="G173" t="s">
        <v>6391</v>
      </c>
      <c r="H173" s="2">
        <v>1</v>
      </c>
      <c r="I173" s="2">
        <v>38</v>
      </c>
      <c r="N173" t="str">
        <f t="shared" si="19"/>
        <v>Jaseena Trading Co LLC</v>
      </c>
      <c r="O173" t="str">
        <f t="shared" si="20"/>
        <v>W1315121746</v>
      </c>
      <c r="P173" t="str">
        <f t="shared" si="21"/>
        <v>BE422BE90GON-36543</v>
      </c>
      <c r="Q173" t="str">
        <f t="shared" si="22"/>
        <v>PO044951</v>
      </c>
      <c r="R173" t="str">
        <f t="shared" si="23"/>
        <v>Beyonce Midnight Heat for women - 100 ml - EDP</v>
      </c>
      <c r="S173" t="str">
        <f t="shared" si="24"/>
        <v>SA986593</v>
      </c>
      <c r="T173">
        <f t="shared" si="25"/>
        <v>1</v>
      </c>
      <c r="U173">
        <f t="shared" si="26"/>
        <v>38</v>
      </c>
    </row>
    <row r="174" spans="1:21" x14ac:dyDescent="0.25">
      <c r="A174">
        <f t="shared" si="18"/>
        <v>7</v>
      </c>
      <c r="C174" t="s">
        <v>4047</v>
      </c>
      <c r="D174" t="s">
        <v>4048</v>
      </c>
      <c r="E174" t="s">
        <v>4379</v>
      </c>
      <c r="F174" t="s">
        <v>5347</v>
      </c>
      <c r="G174" t="s">
        <v>4679</v>
      </c>
      <c r="H174" s="2">
        <v>1</v>
      </c>
      <c r="I174" s="2">
        <v>504</v>
      </c>
      <c r="N174" t="str">
        <f t="shared" si="19"/>
        <v>Jaseena Trading Co LLC</v>
      </c>
      <c r="O174" t="str">
        <f t="shared" si="20"/>
        <v>W1315121725</v>
      </c>
      <c r="P174" t="str">
        <f t="shared" si="21"/>
        <v>AM952BE06GNX-36527</v>
      </c>
      <c r="Q174" t="str">
        <f t="shared" si="22"/>
        <v>PO044634</v>
      </c>
      <c r="R174" t="str">
        <f t="shared" si="23"/>
        <v>Amouage Interlude for women - 100 ml - EDP</v>
      </c>
      <c r="S174" t="str">
        <f t="shared" si="24"/>
        <v>SA976933</v>
      </c>
      <c r="T174">
        <f t="shared" si="25"/>
        <v>1</v>
      </c>
      <c r="U174">
        <f t="shared" si="26"/>
        <v>504</v>
      </c>
    </row>
    <row r="175" spans="1:21" x14ac:dyDescent="0.25">
      <c r="A175">
        <f t="shared" si="18"/>
        <v>7</v>
      </c>
      <c r="E175" t="s">
        <v>4957</v>
      </c>
      <c r="F175" t="s">
        <v>5347</v>
      </c>
      <c r="G175" t="s">
        <v>6525</v>
      </c>
      <c r="H175" s="2">
        <v>1</v>
      </c>
      <c r="I175" s="2">
        <v>504</v>
      </c>
      <c r="N175" t="str">
        <f t="shared" si="19"/>
        <v>Jaseena Trading Co LLC</v>
      </c>
      <c r="O175" t="str">
        <f t="shared" si="20"/>
        <v>W1315121725</v>
      </c>
      <c r="P175" t="str">
        <f t="shared" si="21"/>
        <v>AM952BE06GNX-36527</v>
      </c>
      <c r="Q175" t="str">
        <f t="shared" si="22"/>
        <v>PO044951</v>
      </c>
      <c r="R175" t="str">
        <f t="shared" si="23"/>
        <v>Amouage Interlude for women - 100 ml - EDP</v>
      </c>
      <c r="S175" t="str">
        <f t="shared" si="24"/>
        <v>SA988188</v>
      </c>
      <c r="T175">
        <f t="shared" si="25"/>
        <v>1</v>
      </c>
      <c r="U175">
        <f t="shared" si="26"/>
        <v>504</v>
      </c>
    </row>
    <row r="176" spans="1:21" x14ac:dyDescent="0.25">
      <c r="A176">
        <f t="shared" si="18"/>
        <v>7</v>
      </c>
      <c r="C176" t="s">
        <v>4085</v>
      </c>
      <c r="D176" t="s">
        <v>4086</v>
      </c>
      <c r="E176" t="s">
        <v>4379</v>
      </c>
      <c r="F176" t="s">
        <v>5153</v>
      </c>
      <c r="G176" t="s">
        <v>4640</v>
      </c>
      <c r="H176" s="2">
        <v>1</v>
      </c>
      <c r="I176" s="2">
        <v>50</v>
      </c>
      <c r="N176" t="str">
        <f t="shared" si="19"/>
        <v>Jaseena Trading Co LLC</v>
      </c>
      <c r="O176" t="str">
        <f t="shared" si="20"/>
        <v>W1315121739</v>
      </c>
      <c r="P176" t="str">
        <f t="shared" si="21"/>
        <v>BE421BE96GOH-36537</v>
      </c>
      <c r="Q176" t="str">
        <f t="shared" si="22"/>
        <v>PO044634</v>
      </c>
      <c r="R176" t="str">
        <f t="shared" si="23"/>
        <v>Bebe Nouveau for women - 100 ml - EDP</v>
      </c>
      <c r="S176" t="str">
        <f t="shared" si="24"/>
        <v>SA974664</v>
      </c>
      <c r="T176">
        <f t="shared" si="25"/>
        <v>1</v>
      </c>
      <c r="U176">
        <f t="shared" si="26"/>
        <v>50</v>
      </c>
    </row>
    <row r="177" spans="1:21" x14ac:dyDescent="0.25">
      <c r="A177">
        <f t="shared" si="18"/>
        <v>7</v>
      </c>
      <c r="E177" t="s">
        <v>4871</v>
      </c>
      <c r="F177" t="s">
        <v>5153</v>
      </c>
      <c r="G177" t="s">
        <v>5731</v>
      </c>
      <c r="H177" s="2">
        <v>1</v>
      </c>
      <c r="I177" s="2">
        <v>50</v>
      </c>
      <c r="N177" t="str">
        <f t="shared" si="19"/>
        <v>Jaseena Trading Co LLC</v>
      </c>
      <c r="O177" t="str">
        <f t="shared" si="20"/>
        <v>W1315121739</v>
      </c>
      <c r="P177" t="str">
        <f t="shared" si="21"/>
        <v>BE421BE96GOH-36537</v>
      </c>
      <c r="Q177" t="str">
        <f t="shared" si="22"/>
        <v>PO044833</v>
      </c>
      <c r="R177" t="str">
        <f t="shared" si="23"/>
        <v>Bebe Nouveau for women - 100 ml - EDP</v>
      </c>
      <c r="S177" t="str">
        <f t="shared" si="24"/>
        <v>SA980615</v>
      </c>
      <c r="T177">
        <f t="shared" si="25"/>
        <v>1</v>
      </c>
      <c r="U177">
        <f t="shared" si="26"/>
        <v>50</v>
      </c>
    </row>
    <row r="178" spans="1:21" x14ac:dyDescent="0.25">
      <c r="A178">
        <f t="shared" si="18"/>
        <v>7</v>
      </c>
      <c r="G178" t="s">
        <v>6053</v>
      </c>
      <c r="H178" s="2">
        <v>1</v>
      </c>
      <c r="I178" s="2">
        <v>50</v>
      </c>
      <c r="N178" t="str">
        <f t="shared" si="19"/>
        <v>Jaseena Trading Co LLC</v>
      </c>
      <c r="O178" t="str">
        <f t="shared" si="20"/>
        <v>W1315121739</v>
      </c>
      <c r="P178" t="str">
        <f t="shared" si="21"/>
        <v>BE421BE96GOH-36537</v>
      </c>
      <c r="Q178" t="str">
        <f t="shared" si="22"/>
        <v>PO044833</v>
      </c>
      <c r="R178" t="str">
        <f t="shared" si="23"/>
        <v>Bebe Nouveau for women - 100 ml - EDP</v>
      </c>
      <c r="S178" t="str">
        <f t="shared" si="24"/>
        <v>SA983169</v>
      </c>
      <c r="T178">
        <f t="shared" si="25"/>
        <v>1</v>
      </c>
      <c r="U178">
        <f t="shared" si="26"/>
        <v>50</v>
      </c>
    </row>
    <row r="179" spans="1:21" x14ac:dyDescent="0.25">
      <c r="A179">
        <f t="shared" si="18"/>
        <v>7</v>
      </c>
      <c r="G179" t="s">
        <v>6105</v>
      </c>
      <c r="H179" s="2">
        <v>1</v>
      </c>
      <c r="I179" s="2">
        <v>50</v>
      </c>
      <c r="N179" t="str">
        <f t="shared" si="19"/>
        <v>Jaseena Trading Co LLC</v>
      </c>
      <c r="O179" t="str">
        <f t="shared" si="20"/>
        <v>W1315121739</v>
      </c>
      <c r="P179" t="str">
        <f t="shared" si="21"/>
        <v>BE421BE96GOH-36537</v>
      </c>
      <c r="Q179" t="str">
        <f t="shared" si="22"/>
        <v>PO044833</v>
      </c>
      <c r="R179" t="str">
        <f t="shared" si="23"/>
        <v>Bebe Nouveau for women - 100 ml - EDP</v>
      </c>
      <c r="S179" t="str">
        <f t="shared" si="24"/>
        <v>SA983842</v>
      </c>
      <c r="T179">
        <f t="shared" si="25"/>
        <v>1</v>
      </c>
      <c r="U179">
        <f t="shared" si="26"/>
        <v>50</v>
      </c>
    </row>
    <row r="180" spans="1:21" x14ac:dyDescent="0.25">
      <c r="A180">
        <f t="shared" si="18"/>
        <v>7</v>
      </c>
      <c r="C180" t="s">
        <v>4117</v>
      </c>
      <c r="D180" t="s">
        <v>4118</v>
      </c>
      <c r="E180" t="s">
        <v>3968</v>
      </c>
      <c r="F180" t="s">
        <v>4928</v>
      </c>
      <c r="G180" t="s">
        <v>4116</v>
      </c>
      <c r="H180" s="2">
        <v>1</v>
      </c>
      <c r="I180" s="2">
        <v>78</v>
      </c>
      <c r="N180" t="str">
        <f t="shared" si="19"/>
        <v>Jaseena Trading Co LLC</v>
      </c>
      <c r="O180" t="str">
        <f t="shared" si="20"/>
        <v>W1315121733</v>
      </c>
      <c r="P180" t="str">
        <f t="shared" si="21"/>
        <v>AN426BE02GOB-36531</v>
      </c>
      <c r="Q180" t="str">
        <f t="shared" si="22"/>
        <v>PO044383</v>
      </c>
      <c r="R180" t="str">
        <f t="shared" si="23"/>
        <v>Angel Schlesser Essential for women - 100 ml - EDP</v>
      </c>
      <c r="S180" t="str">
        <f t="shared" si="24"/>
        <v>SA965969</v>
      </c>
      <c r="T180">
        <f t="shared" si="25"/>
        <v>1</v>
      </c>
      <c r="U180">
        <f t="shared" si="26"/>
        <v>78</v>
      </c>
    </row>
    <row r="181" spans="1:21" x14ac:dyDescent="0.25">
      <c r="A181">
        <f t="shared" si="18"/>
        <v>7</v>
      </c>
      <c r="C181" t="s">
        <v>4174</v>
      </c>
      <c r="D181" t="s">
        <v>4175</v>
      </c>
      <c r="E181" t="s">
        <v>4379</v>
      </c>
      <c r="F181" t="s">
        <v>5217</v>
      </c>
      <c r="G181" t="s">
        <v>4659</v>
      </c>
      <c r="H181" s="2">
        <v>1</v>
      </c>
      <c r="I181" s="2">
        <v>42</v>
      </c>
      <c r="N181" t="str">
        <f t="shared" si="19"/>
        <v>Jaseena Trading Co LLC</v>
      </c>
      <c r="O181" t="str">
        <f t="shared" si="20"/>
        <v>W1315121017</v>
      </c>
      <c r="P181" t="str">
        <f t="shared" si="21"/>
        <v>CA787BE47GEQ-36286</v>
      </c>
      <c r="Q181" t="str">
        <f t="shared" si="22"/>
        <v>PO044634</v>
      </c>
      <c r="R181" t="str">
        <f t="shared" si="23"/>
        <v>Calvin Klein Encounter for men - 50 ml - EDT</v>
      </c>
      <c r="S181" t="str">
        <f t="shared" si="24"/>
        <v>SA975255</v>
      </c>
      <c r="T181">
        <f t="shared" si="25"/>
        <v>1</v>
      </c>
      <c r="U181">
        <f t="shared" si="26"/>
        <v>42</v>
      </c>
    </row>
    <row r="182" spans="1:21" x14ac:dyDescent="0.25">
      <c r="A182">
        <f t="shared" si="18"/>
        <v>7</v>
      </c>
      <c r="G182" t="s">
        <v>4660</v>
      </c>
      <c r="H182" s="2">
        <v>1</v>
      </c>
      <c r="I182" s="2">
        <v>42</v>
      </c>
      <c r="N182" t="str">
        <f t="shared" si="19"/>
        <v>Jaseena Trading Co LLC</v>
      </c>
      <c r="O182" t="str">
        <f t="shared" si="20"/>
        <v>W1315121017</v>
      </c>
      <c r="P182" t="str">
        <f t="shared" si="21"/>
        <v>CA787BE47GEQ-36286</v>
      </c>
      <c r="Q182" t="str">
        <f t="shared" si="22"/>
        <v>PO044634</v>
      </c>
      <c r="R182" t="str">
        <f t="shared" si="23"/>
        <v>Calvin Klein Encounter for men - 50 ml - EDT</v>
      </c>
      <c r="S182" t="str">
        <f t="shared" si="24"/>
        <v>SA975256</v>
      </c>
      <c r="T182">
        <f t="shared" si="25"/>
        <v>1</v>
      </c>
      <c r="U182">
        <f t="shared" si="26"/>
        <v>42</v>
      </c>
    </row>
    <row r="183" spans="1:21" x14ac:dyDescent="0.25">
      <c r="A183">
        <f t="shared" si="18"/>
        <v>7</v>
      </c>
      <c r="G183" t="s">
        <v>4661</v>
      </c>
      <c r="H183" s="2">
        <v>1</v>
      </c>
      <c r="I183" s="2">
        <v>42</v>
      </c>
      <c r="N183" t="str">
        <f t="shared" si="19"/>
        <v>Jaseena Trading Co LLC</v>
      </c>
      <c r="O183" t="str">
        <f t="shared" si="20"/>
        <v>W1315121017</v>
      </c>
      <c r="P183" t="str">
        <f t="shared" si="21"/>
        <v>CA787BE47GEQ-36286</v>
      </c>
      <c r="Q183" t="str">
        <f t="shared" si="22"/>
        <v>PO044634</v>
      </c>
      <c r="R183" t="str">
        <f t="shared" si="23"/>
        <v>Calvin Klein Encounter for men - 50 ml - EDT</v>
      </c>
      <c r="S183" t="str">
        <f t="shared" si="24"/>
        <v>SA975257</v>
      </c>
      <c r="T183">
        <f t="shared" si="25"/>
        <v>1</v>
      </c>
      <c r="U183">
        <f t="shared" si="26"/>
        <v>42</v>
      </c>
    </row>
    <row r="184" spans="1:21" x14ac:dyDescent="0.25">
      <c r="A184">
        <f t="shared" si="18"/>
        <v>7</v>
      </c>
      <c r="E184" t="s">
        <v>4871</v>
      </c>
      <c r="F184" t="s">
        <v>5217</v>
      </c>
      <c r="G184" t="s">
        <v>5526</v>
      </c>
      <c r="H184" s="2">
        <v>1</v>
      </c>
      <c r="I184" s="2">
        <v>42</v>
      </c>
      <c r="N184" t="str">
        <f t="shared" si="19"/>
        <v>Jaseena Trading Co LLC</v>
      </c>
      <c r="O184" t="str">
        <f t="shared" si="20"/>
        <v>W1315121017</v>
      </c>
      <c r="P184" t="str">
        <f t="shared" si="21"/>
        <v>CA787BE47GEQ-36286</v>
      </c>
      <c r="Q184" t="str">
        <f t="shared" si="22"/>
        <v>PO044833</v>
      </c>
      <c r="R184" t="str">
        <f t="shared" si="23"/>
        <v>Calvin Klein Encounter for men - 50 ml - EDT</v>
      </c>
      <c r="S184" t="str">
        <f t="shared" si="24"/>
        <v>SA979198</v>
      </c>
      <c r="T184">
        <f t="shared" si="25"/>
        <v>1</v>
      </c>
      <c r="U184">
        <f t="shared" si="26"/>
        <v>42</v>
      </c>
    </row>
    <row r="185" spans="1:21" x14ac:dyDescent="0.25">
      <c r="A185">
        <f t="shared" si="18"/>
        <v>7</v>
      </c>
      <c r="G185" t="s">
        <v>5732</v>
      </c>
      <c r="H185" s="2">
        <v>1</v>
      </c>
      <c r="I185" s="2">
        <v>42</v>
      </c>
      <c r="N185" t="str">
        <f t="shared" si="19"/>
        <v>Jaseena Trading Co LLC</v>
      </c>
      <c r="O185" t="str">
        <f t="shared" si="20"/>
        <v>W1315121017</v>
      </c>
      <c r="P185" t="str">
        <f t="shared" si="21"/>
        <v>CA787BE47GEQ-36286</v>
      </c>
      <c r="Q185" t="str">
        <f t="shared" si="22"/>
        <v>PO044833</v>
      </c>
      <c r="R185" t="str">
        <f t="shared" si="23"/>
        <v>Calvin Klein Encounter for men - 50 ml - EDT</v>
      </c>
      <c r="S185" t="str">
        <f t="shared" si="24"/>
        <v>SA980616</v>
      </c>
      <c r="T185">
        <f t="shared" si="25"/>
        <v>1</v>
      </c>
      <c r="U185">
        <f t="shared" si="26"/>
        <v>42</v>
      </c>
    </row>
    <row r="186" spans="1:21" x14ac:dyDescent="0.25">
      <c r="A186">
        <f t="shared" si="18"/>
        <v>7</v>
      </c>
      <c r="G186" t="s">
        <v>6151</v>
      </c>
      <c r="H186" s="2">
        <v>1</v>
      </c>
      <c r="I186" s="2">
        <v>42</v>
      </c>
      <c r="N186" t="str">
        <f t="shared" si="19"/>
        <v>Jaseena Trading Co LLC</v>
      </c>
      <c r="O186" t="str">
        <f t="shared" si="20"/>
        <v>W1315121017</v>
      </c>
      <c r="P186" t="str">
        <f t="shared" si="21"/>
        <v>CA787BE47GEQ-36286</v>
      </c>
      <c r="Q186" t="str">
        <f t="shared" si="22"/>
        <v>PO044833</v>
      </c>
      <c r="R186" t="str">
        <f t="shared" si="23"/>
        <v>Calvin Klein Encounter for men - 50 ml - EDT</v>
      </c>
      <c r="S186" t="str">
        <f t="shared" si="24"/>
        <v>SA984370</v>
      </c>
      <c r="T186">
        <f t="shared" si="25"/>
        <v>1</v>
      </c>
      <c r="U186">
        <f t="shared" si="26"/>
        <v>42</v>
      </c>
    </row>
    <row r="187" spans="1:21" x14ac:dyDescent="0.25">
      <c r="A187">
        <f t="shared" si="18"/>
        <v>7</v>
      </c>
      <c r="C187" t="s">
        <v>4191</v>
      </c>
      <c r="D187" t="s">
        <v>4192</v>
      </c>
      <c r="E187" t="s">
        <v>4871</v>
      </c>
      <c r="F187" t="s">
        <v>5495</v>
      </c>
      <c r="G187" t="s">
        <v>5494</v>
      </c>
      <c r="H187" s="2">
        <v>1</v>
      </c>
      <c r="I187" s="2">
        <v>95</v>
      </c>
      <c r="N187" t="str">
        <f t="shared" si="19"/>
        <v>Jaseena Trading Co LLC</v>
      </c>
      <c r="O187" t="str">
        <f t="shared" si="20"/>
        <v>W1315121681</v>
      </c>
      <c r="P187" t="str">
        <f t="shared" si="21"/>
        <v>VE740BE12GCD-36221</v>
      </c>
      <c r="Q187" t="str">
        <f t="shared" si="22"/>
        <v>PO044833</v>
      </c>
      <c r="R187" t="str">
        <f t="shared" si="23"/>
        <v>Versace Pour Homme for men - 50 ml - EDT</v>
      </c>
      <c r="S187" t="str">
        <f t="shared" si="24"/>
        <v>SA978861</v>
      </c>
      <c r="T187">
        <f t="shared" si="25"/>
        <v>1</v>
      </c>
      <c r="U187">
        <f t="shared" si="26"/>
        <v>95</v>
      </c>
    </row>
    <row r="188" spans="1:21" x14ac:dyDescent="0.25">
      <c r="A188">
        <f t="shared" si="18"/>
        <v>7</v>
      </c>
      <c r="G188" t="s">
        <v>6193</v>
      </c>
      <c r="H188" s="2">
        <v>1</v>
      </c>
      <c r="I188" s="2">
        <v>95</v>
      </c>
      <c r="N188" t="str">
        <f t="shared" si="19"/>
        <v>Jaseena Trading Co LLC</v>
      </c>
      <c r="O188" t="str">
        <f t="shared" si="20"/>
        <v>W1315121681</v>
      </c>
      <c r="P188" t="str">
        <f t="shared" si="21"/>
        <v>VE740BE12GCD-36221</v>
      </c>
      <c r="Q188" t="str">
        <f t="shared" si="22"/>
        <v>PO044833</v>
      </c>
      <c r="R188" t="str">
        <f t="shared" si="23"/>
        <v>Versace Pour Homme for men - 50 ml - EDT</v>
      </c>
      <c r="S188" t="str">
        <f t="shared" si="24"/>
        <v>SA984971</v>
      </c>
      <c r="T188">
        <f t="shared" si="25"/>
        <v>1</v>
      </c>
      <c r="U188">
        <f t="shared" si="26"/>
        <v>95</v>
      </c>
    </row>
    <row r="189" spans="1:21" x14ac:dyDescent="0.25">
      <c r="A189">
        <f t="shared" si="18"/>
        <v>7</v>
      </c>
      <c r="C189" t="s">
        <v>4230</v>
      </c>
      <c r="D189" t="s">
        <v>4231</v>
      </c>
      <c r="E189" t="s">
        <v>4871</v>
      </c>
      <c r="F189" t="s">
        <v>6130</v>
      </c>
      <c r="G189" t="s">
        <v>6129</v>
      </c>
      <c r="H189" s="2">
        <v>1</v>
      </c>
      <c r="I189" s="2">
        <v>46</v>
      </c>
      <c r="N189" t="str">
        <f t="shared" si="19"/>
        <v>Jaseena Trading Co LLC</v>
      </c>
      <c r="O189" t="str">
        <f t="shared" si="20"/>
        <v>W1315122007</v>
      </c>
      <c r="P189" t="str">
        <f t="shared" si="21"/>
        <v>KH475BE94JJL-38439</v>
      </c>
      <c r="Q189" t="str">
        <f t="shared" si="22"/>
        <v>PO044833</v>
      </c>
      <c r="R189" t="str">
        <f t="shared" si="23"/>
        <v>Khloe And Lamar Unbreakable Bond for Unisex - 100 ml - EDT</v>
      </c>
      <c r="S189" t="str">
        <f t="shared" si="24"/>
        <v>SA984106</v>
      </c>
      <c r="T189">
        <f t="shared" si="25"/>
        <v>1</v>
      </c>
      <c r="U189">
        <f t="shared" si="26"/>
        <v>46</v>
      </c>
    </row>
    <row r="190" spans="1:21" x14ac:dyDescent="0.25">
      <c r="A190">
        <f t="shared" si="18"/>
        <v>7</v>
      </c>
      <c r="E190" t="s">
        <v>6134</v>
      </c>
      <c r="F190" t="s">
        <v>6130</v>
      </c>
      <c r="G190" t="s">
        <v>6283</v>
      </c>
      <c r="H190" s="2">
        <v>1</v>
      </c>
      <c r="I190" s="2">
        <v>46</v>
      </c>
      <c r="N190" t="str">
        <f t="shared" si="19"/>
        <v>Jaseena Trading Co LLC</v>
      </c>
      <c r="O190" t="str">
        <f t="shared" si="20"/>
        <v>W1315122007</v>
      </c>
      <c r="P190" t="str">
        <f t="shared" si="21"/>
        <v>KH475BE94JJL-38439</v>
      </c>
      <c r="Q190" t="str">
        <f t="shared" si="22"/>
        <v>PO044887</v>
      </c>
      <c r="R190" t="str">
        <f t="shared" si="23"/>
        <v>Khloe And Lamar Unbreakable Bond for Unisex - 100 ml - EDT</v>
      </c>
      <c r="S190" t="str">
        <f t="shared" si="24"/>
        <v>SA985786</v>
      </c>
      <c r="T190">
        <f t="shared" si="25"/>
        <v>1</v>
      </c>
      <c r="U190">
        <f t="shared" si="26"/>
        <v>46</v>
      </c>
    </row>
    <row r="191" spans="1:21" x14ac:dyDescent="0.25">
      <c r="A191">
        <f t="shared" si="18"/>
        <v>7</v>
      </c>
      <c r="E191" t="s">
        <v>6510</v>
      </c>
      <c r="F191" t="s">
        <v>6130</v>
      </c>
      <c r="G191" t="s">
        <v>6509</v>
      </c>
      <c r="H191" s="2">
        <v>1</v>
      </c>
      <c r="I191" s="2">
        <v>46</v>
      </c>
      <c r="N191" t="str">
        <f t="shared" si="19"/>
        <v>Jaseena Trading Co LLC</v>
      </c>
      <c r="O191" t="str">
        <f t="shared" si="20"/>
        <v>W1315122007</v>
      </c>
      <c r="P191" t="str">
        <f t="shared" si="21"/>
        <v>KH475BE94JJL-38439</v>
      </c>
      <c r="Q191" t="str">
        <f t="shared" si="22"/>
        <v>PO045028</v>
      </c>
      <c r="R191" t="str">
        <f t="shared" si="23"/>
        <v>Khloe And Lamar Unbreakable Bond for Unisex - 100 ml - EDT</v>
      </c>
      <c r="S191" t="str">
        <f t="shared" si="24"/>
        <v>SA987927</v>
      </c>
      <c r="T191">
        <f t="shared" si="25"/>
        <v>1</v>
      </c>
      <c r="U191">
        <f t="shared" si="26"/>
        <v>46</v>
      </c>
    </row>
    <row r="192" spans="1:21" x14ac:dyDescent="0.25">
      <c r="A192">
        <f t="shared" si="18"/>
        <v>7</v>
      </c>
      <c r="G192" t="s">
        <v>6617</v>
      </c>
      <c r="H192" s="2">
        <v>1</v>
      </c>
      <c r="I192" s="2">
        <v>46</v>
      </c>
      <c r="N192" t="str">
        <f t="shared" si="19"/>
        <v>Jaseena Trading Co LLC</v>
      </c>
      <c r="O192" t="str">
        <f t="shared" si="20"/>
        <v>W1315122007</v>
      </c>
      <c r="P192" t="str">
        <f t="shared" si="21"/>
        <v>KH475BE94JJL-38439</v>
      </c>
      <c r="Q192" t="str">
        <f t="shared" si="22"/>
        <v>PO045028</v>
      </c>
      <c r="R192" t="str">
        <f t="shared" si="23"/>
        <v>Khloe And Lamar Unbreakable Bond for Unisex - 100 ml - EDT</v>
      </c>
      <c r="S192" t="str">
        <f t="shared" si="24"/>
        <v>SA989027</v>
      </c>
      <c r="T192">
        <f t="shared" si="25"/>
        <v>1</v>
      </c>
      <c r="U192">
        <f t="shared" si="26"/>
        <v>46</v>
      </c>
    </row>
    <row r="193" spans="1:21" x14ac:dyDescent="0.25">
      <c r="A193">
        <f t="shared" si="18"/>
        <v>7</v>
      </c>
      <c r="C193" t="s">
        <v>4371</v>
      </c>
      <c r="D193" t="s">
        <v>4372</v>
      </c>
      <c r="E193" t="s">
        <v>4871</v>
      </c>
      <c r="F193" t="s">
        <v>4956</v>
      </c>
      <c r="G193" t="s">
        <v>6071</v>
      </c>
      <c r="H193" s="2">
        <v>1</v>
      </c>
      <c r="I193" s="2">
        <v>58</v>
      </c>
      <c r="N193" t="str">
        <f t="shared" si="19"/>
        <v>Jaseena Trading Co LLC</v>
      </c>
      <c r="O193" t="str">
        <f t="shared" si="20"/>
        <v>W1315121042</v>
      </c>
      <c r="P193" t="str">
        <f t="shared" si="21"/>
        <v>CA787BE37GFA-36296</v>
      </c>
      <c r="Q193" t="str">
        <f t="shared" si="22"/>
        <v>PO044833</v>
      </c>
      <c r="R193" t="str">
        <f t="shared" si="23"/>
        <v>Calvin Klein One Shock For Him for men - 200 ml - EDT</v>
      </c>
      <c r="S193" t="str">
        <f t="shared" si="24"/>
        <v>SA983367</v>
      </c>
      <c r="T193">
        <f t="shared" si="25"/>
        <v>1</v>
      </c>
      <c r="U193">
        <f t="shared" si="26"/>
        <v>58</v>
      </c>
    </row>
    <row r="194" spans="1:21" x14ac:dyDescent="0.25">
      <c r="A194">
        <f t="shared" si="18"/>
        <v>7</v>
      </c>
      <c r="E194" t="s">
        <v>4957</v>
      </c>
      <c r="F194" t="s">
        <v>4956</v>
      </c>
      <c r="G194" t="s">
        <v>4370</v>
      </c>
      <c r="H194" s="2">
        <v>1</v>
      </c>
      <c r="I194" s="2">
        <v>74</v>
      </c>
      <c r="N194" t="str">
        <f t="shared" si="19"/>
        <v>Jaseena Trading Co LLC</v>
      </c>
      <c r="O194" t="str">
        <f t="shared" si="20"/>
        <v>W1315121042</v>
      </c>
      <c r="P194" t="str">
        <f t="shared" si="21"/>
        <v>CA787BE37GFA-36296</v>
      </c>
      <c r="Q194" t="str">
        <f t="shared" si="22"/>
        <v>PO044951</v>
      </c>
      <c r="R194" t="str">
        <f t="shared" si="23"/>
        <v>Calvin Klein One Shock For Him for men - 200 ml - EDT</v>
      </c>
      <c r="S194" t="str">
        <f t="shared" si="24"/>
        <v>SA970638</v>
      </c>
      <c r="T194">
        <f t="shared" si="25"/>
        <v>1</v>
      </c>
      <c r="U194">
        <f t="shared" si="26"/>
        <v>74</v>
      </c>
    </row>
    <row r="195" spans="1:21" x14ac:dyDescent="0.25">
      <c r="A195">
        <f t="shared" si="18"/>
        <v>7</v>
      </c>
      <c r="G195" t="s">
        <v>4618</v>
      </c>
      <c r="H195" s="2">
        <v>1</v>
      </c>
      <c r="I195" s="2">
        <v>74</v>
      </c>
      <c r="N195" t="str">
        <f t="shared" si="19"/>
        <v>Jaseena Trading Co LLC</v>
      </c>
      <c r="O195" t="str">
        <f t="shared" si="20"/>
        <v>W1315121042</v>
      </c>
      <c r="P195" t="str">
        <f t="shared" si="21"/>
        <v>CA787BE37GFA-36296</v>
      </c>
      <c r="Q195" t="str">
        <f t="shared" si="22"/>
        <v>PO044951</v>
      </c>
      <c r="R195" t="str">
        <f t="shared" si="23"/>
        <v>Calvin Klein One Shock For Him for men - 200 ml - EDT</v>
      </c>
      <c r="S195" t="str">
        <f t="shared" si="24"/>
        <v>SA973631</v>
      </c>
      <c r="T195">
        <f t="shared" si="25"/>
        <v>1</v>
      </c>
      <c r="U195">
        <f t="shared" si="26"/>
        <v>74</v>
      </c>
    </row>
    <row r="196" spans="1:21" x14ac:dyDescent="0.25">
      <c r="A196">
        <f t="shared" ref="A196:A259" si="27">IF(ISBLANK(B196),A195,A195+1)</f>
        <v>7</v>
      </c>
      <c r="C196" t="s">
        <v>4381</v>
      </c>
      <c r="D196" t="s">
        <v>4382</v>
      </c>
      <c r="E196" t="s">
        <v>4373</v>
      </c>
      <c r="F196" t="s">
        <v>4959</v>
      </c>
      <c r="G196" t="s">
        <v>4380</v>
      </c>
      <c r="H196" s="2">
        <v>1</v>
      </c>
      <c r="I196" s="2">
        <v>43</v>
      </c>
      <c r="N196" t="str">
        <f t="shared" si="19"/>
        <v>Jaseena Trading Co LLC</v>
      </c>
      <c r="O196" t="str">
        <f t="shared" si="20"/>
        <v>W1315121224</v>
      </c>
      <c r="P196" t="str">
        <f t="shared" si="21"/>
        <v>EL793BE23GRC-36610</v>
      </c>
      <c r="Q196" t="str">
        <f t="shared" si="22"/>
        <v>PO044559</v>
      </c>
      <c r="R196" t="str">
        <f t="shared" si="23"/>
        <v>Elizabeth Arden True Love for Women - 100 ml - EDT</v>
      </c>
      <c r="S196" t="str">
        <f t="shared" si="24"/>
        <v>SA970696</v>
      </c>
      <c r="T196">
        <f t="shared" si="25"/>
        <v>1</v>
      </c>
      <c r="U196">
        <f t="shared" si="26"/>
        <v>43</v>
      </c>
    </row>
    <row r="197" spans="1:21" x14ac:dyDescent="0.25">
      <c r="A197">
        <f t="shared" si="27"/>
        <v>7</v>
      </c>
      <c r="E197" t="s">
        <v>4379</v>
      </c>
      <c r="F197" t="s">
        <v>4959</v>
      </c>
      <c r="G197" t="s">
        <v>4675</v>
      </c>
      <c r="H197" s="2">
        <v>1</v>
      </c>
      <c r="I197" s="2">
        <v>43</v>
      </c>
      <c r="N197" t="str">
        <f t="shared" si="19"/>
        <v>Jaseena Trading Co LLC</v>
      </c>
      <c r="O197" t="str">
        <f t="shared" si="20"/>
        <v>W1315121224</v>
      </c>
      <c r="P197" t="str">
        <f t="shared" si="21"/>
        <v>EL793BE23GRC-36610</v>
      </c>
      <c r="Q197" t="str">
        <f t="shared" si="22"/>
        <v>PO044634</v>
      </c>
      <c r="R197" t="str">
        <f t="shared" si="23"/>
        <v>Elizabeth Arden True Love for Women - 100 ml - EDT</v>
      </c>
      <c r="S197" t="str">
        <f t="shared" si="24"/>
        <v>SA976442</v>
      </c>
      <c r="T197">
        <f t="shared" si="25"/>
        <v>1</v>
      </c>
      <c r="U197">
        <f t="shared" si="26"/>
        <v>43</v>
      </c>
    </row>
    <row r="198" spans="1:21" x14ac:dyDescent="0.25">
      <c r="A198">
        <f t="shared" si="27"/>
        <v>7</v>
      </c>
      <c r="E198" t="s">
        <v>4871</v>
      </c>
      <c r="F198" t="s">
        <v>4959</v>
      </c>
      <c r="G198" t="s">
        <v>6054</v>
      </c>
      <c r="H198" s="2">
        <v>1</v>
      </c>
      <c r="I198" s="2">
        <v>43</v>
      </c>
      <c r="N198" t="str">
        <f t="shared" ref="N198:N261" si="28">IF(ISBLANK($A198),"",IF(ISBLANK(B198),N197,B198))</f>
        <v>Jaseena Trading Co LLC</v>
      </c>
      <c r="O198" t="str">
        <f t="shared" ref="O198:O261" si="29">IF(ISBLANK($A198),"",IF(ISBLANK(C198),O197,C198))</f>
        <v>W1315121224</v>
      </c>
      <c r="P198" t="str">
        <f t="shared" ref="P198:P261" si="30">IF(ISBLANK($A198),"",IF(ISBLANK(D198),P197,D198))</f>
        <v>EL793BE23GRC-36610</v>
      </c>
      <c r="Q198" t="str">
        <f t="shared" ref="Q198:Q261" si="31">IF(ISBLANK($A198),"",IF(ISBLANK(E198),Q197,E198))</f>
        <v>PO044833</v>
      </c>
      <c r="R198" t="str">
        <f t="shared" ref="R198:R261" si="32">IF(ISBLANK($A198),"",IF(ISBLANK(F198),R197,F198))</f>
        <v>Elizabeth Arden True Love for Women - 100 ml - EDT</v>
      </c>
      <c r="S198" t="str">
        <f t="shared" ref="S198:S261" si="33">IF(ISBLANK($A198),"",G198)</f>
        <v>SA983171</v>
      </c>
      <c r="T198">
        <f t="shared" ref="T198:T261" si="34">IF(ISBLANK($A198),"",H198)</f>
        <v>1</v>
      </c>
      <c r="U198">
        <f t="shared" ref="U198:U261" si="35">IF(ISBLANK($A198),"",I198)</f>
        <v>43</v>
      </c>
    </row>
    <row r="199" spans="1:21" x14ac:dyDescent="0.25">
      <c r="A199">
        <f t="shared" si="27"/>
        <v>7</v>
      </c>
      <c r="E199" t="s">
        <v>4957</v>
      </c>
      <c r="F199" t="s">
        <v>4959</v>
      </c>
      <c r="G199" t="s">
        <v>6298</v>
      </c>
      <c r="H199" s="2">
        <v>1</v>
      </c>
      <c r="I199" s="2">
        <v>43</v>
      </c>
      <c r="N199" t="str">
        <f t="shared" si="28"/>
        <v>Jaseena Trading Co LLC</v>
      </c>
      <c r="O199" t="str">
        <f t="shared" si="29"/>
        <v>W1315121224</v>
      </c>
      <c r="P199" t="str">
        <f t="shared" si="30"/>
        <v>EL793BE23GRC-36610</v>
      </c>
      <c r="Q199" t="str">
        <f t="shared" si="31"/>
        <v>PO044951</v>
      </c>
      <c r="R199" t="str">
        <f t="shared" si="32"/>
        <v>Elizabeth Arden True Love for Women - 100 ml - EDT</v>
      </c>
      <c r="S199" t="str">
        <f t="shared" si="33"/>
        <v>SA985945</v>
      </c>
      <c r="T199">
        <f t="shared" si="34"/>
        <v>1</v>
      </c>
      <c r="U199">
        <f t="shared" si="35"/>
        <v>43</v>
      </c>
    </row>
    <row r="200" spans="1:21" x14ac:dyDescent="0.25">
      <c r="A200">
        <f t="shared" si="27"/>
        <v>7</v>
      </c>
      <c r="C200" t="s">
        <v>4523</v>
      </c>
      <c r="D200" t="s">
        <v>4524</v>
      </c>
      <c r="E200" t="s">
        <v>4957</v>
      </c>
      <c r="F200" t="s">
        <v>6461</v>
      </c>
      <c r="G200" t="s">
        <v>6460</v>
      </c>
      <c r="H200" s="2">
        <v>1</v>
      </c>
      <c r="I200" s="2">
        <v>58</v>
      </c>
      <c r="N200" t="str">
        <f t="shared" si="28"/>
        <v>Jaseena Trading Co LLC</v>
      </c>
      <c r="O200" t="str">
        <f t="shared" si="29"/>
        <v>W1315121609</v>
      </c>
      <c r="P200" t="str">
        <f t="shared" si="30"/>
        <v>RO030BE33GBI-36200</v>
      </c>
      <c r="Q200" t="str">
        <f t="shared" si="31"/>
        <v>PO044951</v>
      </c>
      <c r="R200" t="str">
        <f t="shared" si="32"/>
        <v>Roberto Cavalli Just Cavalli for men - 50 ml - EDT</v>
      </c>
      <c r="S200" t="str">
        <f t="shared" si="33"/>
        <v>SA987408</v>
      </c>
      <c r="T200">
        <f t="shared" si="34"/>
        <v>1</v>
      </c>
      <c r="U200">
        <f t="shared" si="35"/>
        <v>58</v>
      </c>
    </row>
    <row r="201" spans="1:21" x14ac:dyDescent="0.25">
      <c r="A201">
        <f t="shared" si="27"/>
        <v>7</v>
      </c>
      <c r="C201" t="s">
        <v>4641</v>
      </c>
      <c r="D201" t="s">
        <v>4642</v>
      </c>
      <c r="E201" t="s">
        <v>4871</v>
      </c>
      <c r="F201" t="s">
        <v>5872</v>
      </c>
      <c r="G201" t="s">
        <v>5871</v>
      </c>
      <c r="H201" s="2">
        <v>1</v>
      </c>
      <c r="I201" s="2">
        <v>71</v>
      </c>
      <c r="N201" t="str">
        <f t="shared" si="28"/>
        <v>Jaseena Trading Co LLC</v>
      </c>
      <c r="O201" t="str">
        <f t="shared" si="29"/>
        <v>W1315121763</v>
      </c>
      <c r="P201" t="str">
        <f t="shared" si="30"/>
        <v>BU784BE77GPA-36556</v>
      </c>
      <c r="Q201" t="str">
        <f t="shared" si="31"/>
        <v>PO044833</v>
      </c>
      <c r="R201" t="str">
        <f t="shared" si="32"/>
        <v>Burberry Brit for women - 50 ml - EDP</v>
      </c>
      <c r="S201" t="str">
        <f t="shared" si="33"/>
        <v>SA981450</v>
      </c>
      <c r="T201">
        <f t="shared" si="34"/>
        <v>1</v>
      </c>
      <c r="U201">
        <f t="shared" si="35"/>
        <v>71</v>
      </c>
    </row>
    <row r="202" spans="1:21" x14ac:dyDescent="0.25">
      <c r="A202">
        <f t="shared" si="27"/>
        <v>7</v>
      </c>
      <c r="E202" t="s">
        <v>4957</v>
      </c>
      <c r="F202" t="s">
        <v>5872</v>
      </c>
      <c r="G202" t="s">
        <v>6430</v>
      </c>
      <c r="H202" s="2">
        <v>1</v>
      </c>
      <c r="I202" s="2">
        <v>71</v>
      </c>
      <c r="N202" t="str">
        <f t="shared" si="28"/>
        <v>Jaseena Trading Co LLC</v>
      </c>
      <c r="O202" t="str">
        <f t="shared" si="29"/>
        <v>W1315121763</v>
      </c>
      <c r="P202" t="str">
        <f t="shared" si="30"/>
        <v>BU784BE77GPA-36556</v>
      </c>
      <c r="Q202" t="str">
        <f t="shared" si="31"/>
        <v>PO044951</v>
      </c>
      <c r="R202" t="str">
        <f t="shared" si="32"/>
        <v>Burberry Brit for women - 50 ml - EDP</v>
      </c>
      <c r="S202" t="str">
        <f t="shared" si="33"/>
        <v>SA986905</v>
      </c>
      <c r="T202">
        <f t="shared" si="34"/>
        <v>1</v>
      </c>
      <c r="U202">
        <f t="shared" si="35"/>
        <v>71</v>
      </c>
    </row>
    <row r="203" spans="1:21" x14ac:dyDescent="0.25">
      <c r="A203">
        <f t="shared" si="27"/>
        <v>7</v>
      </c>
      <c r="C203" t="s">
        <v>4654</v>
      </c>
      <c r="D203" t="s">
        <v>4655</v>
      </c>
      <c r="E203" t="s">
        <v>4379</v>
      </c>
      <c r="F203" t="s">
        <v>5195</v>
      </c>
      <c r="G203" t="s">
        <v>4653</v>
      </c>
      <c r="H203" s="2">
        <v>1</v>
      </c>
      <c r="I203" s="2">
        <v>98</v>
      </c>
      <c r="N203" t="str">
        <f t="shared" si="28"/>
        <v>Jaseena Trading Co LLC</v>
      </c>
      <c r="O203" t="str">
        <f t="shared" si="29"/>
        <v>W1315121516</v>
      </c>
      <c r="P203" t="str">
        <f t="shared" si="30"/>
        <v>LA807BE29FMC-35804</v>
      </c>
      <c r="Q203" t="str">
        <f t="shared" si="31"/>
        <v>PO044634</v>
      </c>
      <c r="R203" t="str">
        <f t="shared" si="32"/>
        <v>Lanvin Eau De Lacoste Sensuelle for women - 100 ml - EDP</v>
      </c>
      <c r="S203" t="str">
        <f t="shared" si="33"/>
        <v>SA974966</v>
      </c>
      <c r="T203">
        <f t="shared" si="34"/>
        <v>1</v>
      </c>
      <c r="U203">
        <f t="shared" si="35"/>
        <v>98</v>
      </c>
    </row>
    <row r="204" spans="1:21" x14ac:dyDescent="0.25">
      <c r="A204">
        <f t="shared" si="27"/>
        <v>7</v>
      </c>
      <c r="G204" t="s">
        <v>4683</v>
      </c>
      <c r="H204" s="2">
        <v>1</v>
      </c>
      <c r="I204" s="2">
        <v>98</v>
      </c>
      <c r="N204" t="str">
        <f t="shared" si="28"/>
        <v>Jaseena Trading Co LLC</v>
      </c>
      <c r="O204" t="str">
        <f t="shared" si="29"/>
        <v>W1315121516</v>
      </c>
      <c r="P204" t="str">
        <f t="shared" si="30"/>
        <v>LA807BE29FMC-35804</v>
      </c>
      <c r="Q204" t="str">
        <f t="shared" si="31"/>
        <v>PO044634</v>
      </c>
      <c r="R204" t="str">
        <f t="shared" si="32"/>
        <v>Lanvin Eau De Lacoste Sensuelle for women - 100 ml - EDP</v>
      </c>
      <c r="S204" t="str">
        <f t="shared" si="33"/>
        <v>SA977084</v>
      </c>
      <c r="T204">
        <f t="shared" si="34"/>
        <v>1</v>
      </c>
      <c r="U204">
        <f t="shared" si="35"/>
        <v>98</v>
      </c>
    </row>
    <row r="205" spans="1:21" x14ac:dyDescent="0.25">
      <c r="A205">
        <f t="shared" si="27"/>
        <v>7</v>
      </c>
      <c r="C205" t="s">
        <v>4677</v>
      </c>
      <c r="D205" t="s">
        <v>4678</v>
      </c>
      <c r="E205" t="s">
        <v>4379</v>
      </c>
      <c r="F205" t="s">
        <v>5346</v>
      </c>
      <c r="G205" t="s">
        <v>4676</v>
      </c>
      <c r="H205" s="2">
        <v>1</v>
      </c>
      <c r="I205" s="2">
        <v>96</v>
      </c>
      <c r="N205" t="str">
        <f t="shared" si="28"/>
        <v>Jaseena Trading Co LLC</v>
      </c>
      <c r="O205" t="str">
        <f t="shared" si="29"/>
        <v>W1315121610</v>
      </c>
      <c r="P205" t="str">
        <f t="shared" si="30"/>
        <v>RO030BE32GBJ-36201</v>
      </c>
      <c r="Q205" t="str">
        <f t="shared" si="31"/>
        <v>PO044634</v>
      </c>
      <c r="R205" t="str">
        <f t="shared" si="32"/>
        <v>Roberto Cavalli Just Cavalli for men - 90 ml - EDt</v>
      </c>
      <c r="S205" t="str">
        <f t="shared" si="33"/>
        <v>SA976837</v>
      </c>
      <c r="T205">
        <f t="shared" si="34"/>
        <v>1</v>
      </c>
      <c r="U205">
        <f t="shared" si="35"/>
        <v>96</v>
      </c>
    </row>
    <row r="206" spans="1:21" x14ac:dyDescent="0.25">
      <c r="A206">
        <f t="shared" si="27"/>
        <v>7</v>
      </c>
      <c r="C206" t="s">
        <v>4766</v>
      </c>
      <c r="D206" t="s">
        <v>4767</v>
      </c>
      <c r="E206" t="s">
        <v>4769</v>
      </c>
      <c r="F206" t="s">
        <v>4768</v>
      </c>
      <c r="G206" t="s">
        <v>4765</v>
      </c>
      <c r="H206" s="2">
        <v>1</v>
      </c>
      <c r="I206" s="2">
        <v>179</v>
      </c>
      <c r="N206" t="str">
        <f t="shared" si="28"/>
        <v>Jaseena Trading Co LLC</v>
      </c>
      <c r="O206" t="str">
        <f t="shared" si="29"/>
        <v>W1315110762</v>
      </c>
      <c r="P206" t="str">
        <f t="shared" si="30"/>
        <v>CA787AC00WEX-29533</v>
      </c>
      <c r="Q206" t="str">
        <f t="shared" si="31"/>
        <v>UPO011854</v>
      </c>
      <c r="R206" t="str">
        <f t="shared" si="32"/>
        <v>Calvin Klein Euphoria Liquid Gold for Men - 100 ml -EDP</v>
      </c>
      <c r="S206" t="str">
        <f t="shared" si="33"/>
        <v>AE62035</v>
      </c>
      <c r="T206">
        <f t="shared" si="34"/>
        <v>1</v>
      </c>
      <c r="U206">
        <f t="shared" si="35"/>
        <v>179</v>
      </c>
    </row>
    <row r="207" spans="1:21" x14ac:dyDescent="0.25">
      <c r="A207">
        <f t="shared" si="27"/>
        <v>7</v>
      </c>
      <c r="C207" t="s">
        <v>4811</v>
      </c>
      <c r="D207" t="s">
        <v>4812</v>
      </c>
      <c r="E207" t="s">
        <v>4814</v>
      </c>
      <c r="F207" t="s">
        <v>4813</v>
      </c>
      <c r="G207" t="s">
        <v>4810</v>
      </c>
      <c r="H207" s="2">
        <v>1</v>
      </c>
      <c r="I207" s="2">
        <v>186</v>
      </c>
      <c r="N207" t="str">
        <f t="shared" si="28"/>
        <v>Jaseena Trading Co LLC</v>
      </c>
      <c r="O207" t="str">
        <f t="shared" si="29"/>
        <v>W1315121356</v>
      </c>
      <c r="P207" t="str">
        <f t="shared" si="30"/>
        <v>GU798BE06FYN-36127</v>
      </c>
      <c r="Q207" t="str">
        <f t="shared" si="31"/>
        <v>UPO011820</v>
      </c>
      <c r="R207" t="str">
        <f t="shared" si="32"/>
        <v>Guerlain Habit Rouge for Men - 100 ml - EDP</v>
      </c>
      <c r="S207" t="str">
        <f t="shared" si="33"/>
        <v>AE61952</v>
      </c>
      <c r="T207">
        <f t="shared" si="34"/>
        <v>1</v>
      </c>
      <c r="U207">
        <f t="shared" si="35"/>
        <v>186</v>
      </c>
    </row>
    <row r="208" spans="1:21" x14ac:dyDescent="0.25">
      <c r="A208">
        <f t="shared" si="27"/>
        <v>7</v>
      </c>
      <c r="E208" t="s">
        <v>4871</v>
      </c>
      <c r="F208" t="s">
        <v>4813</v>
      </c>
      <c r="G208" t="s">
        <v>5605</v>
      </c>
      <c r="H208" s="2">
        <v>1</v>
      </c>
      <c r="I208" s="2">
        <v>186</v>
      </c>
      <c r="N208" t="str">
        <f t="shared" si="28"/>
        <v>Jaseena Trading Co LLC</v>
      </c>
      <c r="O208" t="str">
        <f t="shared" si="29"/>
        <v>W1315121356</v>
      </c>
      <c r="P208" t="str">
        <f t="shared" si="30"/>
        <v>GU798BE06FYN-36127</v>
      </c>
      <c r="Q208" t="str">
        <f t="shared" si="31"/>
        <v>PO044833</v>
      </c>
      <c r="R208" t="str">
        <f t="shared" si="32"/>
        <v>Guerlain Habit Rouge for Men - 100 ml - EDP</v>
      </c>
      <c r="S208" t="str">
        <f t="shared" si="33"/>
        <v>SA980055</v>
      </c>
      <c r="T208">
        <f t="shared" si="34"/>
        <v>1</v>
      </c>
      <c r="U208">
        <f t="shared" si="35"/>
        <v>186</v>
      </c>
    </row>
    <row r="209" spans="1:21" x14ac:dyDescent="0.25">
      <c r="A209">
        <f t="shared" si="27"/>
        <v>7</v>
      </c>
      <c r="C209" t="s">
        <v>5557</v>
      </c>
      <c r="D209" t="s">
        <v>5558</v>
      </c>
      <c r="E209" t="s">
        <v>4871</v>
      </c>
      <c r="F209" t="s">
        <v>5559</v>
      </c>
      <c r="G209" t="s">
        <v>5556</v>
      </c>
      <c r="H209" s="2">
        <v>1</v>
      </c>
      <c r="I209" s="2">
        <v>70</v>
      </c>
      <c r="N209" t="str">
        <f t="shared" si="28"/>
        <v>Jaseena Trading Co LLC</v>
      </c>
      <c r="O209" t="str">
        <f t="shared" si="29"/>
        <v>W1315121046</v>
      </c>
      <c r="P209" t="str">
        <f t="shared" si="30"/>
        <v>CA787BE35GFC-36298</v>
      </c>
      <c r="Q209" t="str">
        <f t="shared" si="31"/>
        <v>PO044833</v>
      </c>
      <c r="R209" t="str">
        <f t="shared" si="32"/>
        <v>Calvin Klein Truth for men - 100 ml - EDT</v>
      </c>
      <c r="S209" t="str">
        <f t="shared" si="33"/>
        <v>SA979716</v>
      </c>
      <c r="T209">
        <f t="shared" si="34"/>
        <v>1</v>
      </c>
      <c r="U209">
        <f t="shared" si="35"/>
        <v>70</v>
      </c>
    </row>
    <row r="210" spans="1:21" x14ac:dyDescent="0.25">
      <c r="A210">
        <f t="shared" si="27"/>
        <v>7</v>
      </c>
      <c r="C210" t="s">
        <v>5625</v>
      </c>
      <c r="D210" t="s">
        <v>5626</v>
      </c>
      <c r="E210" t="s">
        <v>4871</v>
      </c>
      <c r="F210" t="s">
        <v>5627</v>
      </c>
      <c r="G210" t="s">
        <v>5624</v>
      </c>
      <c r="H210" s="2">
        <v>1</v>
      </c>
      <c r="I210" s="2">
        <v>113</v>
      </c>
      <c r="N210" t="str">
        <f t="shared" si="28"/>
        <v>Jaseena Trading Co LLC</v>
      </c>
      <c r="O210" t="str">
        <f t="shared" si="29"/>
        <v>W1315121853</v>
      </c>
      <c r="P210" t="str">
        <f t="shared" si="30"/>
        <v>ES795BE16NIL-47783</v>
      </c>
      <c r="Q210" t="str">
        <f t="shared" si="31"/>
        <v>PO044833</v>
      </c>
      <c r="R210" t="str">
        <f t="shared" si="32"/>
        <v>Estee Lauder Pleasures for women - 50 ml - EDP</v>
      </c>
      <c r="S210" t="str">
        <f t="shared" si="33"/>
        <v>SA980240</v>
      </c>
      <c r="T210">
        <f t="shared" si="34"/>
        <v>1</v>
      </c>
      <c r="U210">
        <f t="shared" si="35"/>
        <v>113</v>
      </c>
    </row>
    <row r="211" spans="1:21" x14ac:dyDescent="0.25">
      <c r="A211">
        <f t="shared" si="27"/>
        <v>7</v>
      </c>
      <c r="C211" t="s">
        <v>5884</v>
      </c>
      <c r="D211" t="s">
        <v>5885</v>
      </c>
      <c r="E211" t="s">
        <v>4871</v>
      </c>
      <c r="F211" t="s">
        <v>5886</v>
      </c>
      <c r="G211" t="s">
        <v>5883</v>
      </c>
      <c r="H211" s="2">
        <v>1</v>
      </c>
      <c r="I211" s="2">
        <v>178</v>
      </c>
      <c r="N211" t="str">
        <f t="shared" si="28"/>
        <v>Jaseena Trading Co LLC</v>
      </c>
      <c r="O211" t="str">
        <f t="shared" si="29"/>
        <v>W1315121169</v>
      </c>
      <c r="P211" t="str">
        <f t="shared" si="30"/>
        <v>DI035BE80FVR-36053</v>
      </c>
      <c r="Q211" t="str">
        <f t="shared" si="31"/>
        <v>PO044833</v>
      </c>
      <c r="R211" t="str">
        <f t="shared" si="32"/>
        <v>Diesel Only the Brave for Men - 125 ml - EDT</v>
      </c>
      <c r="S211" t="str">
        <f t="shared" si="33"/>
        <v>SA981597</v>
      </c>
      <c r="T211">
        <f t="shared" si="34"/>
        <v>1</v>
      </c>
      <c r="U211">
        <f t="shared" si="35"/>
        <v>178</v>
      </c>
    </row>
    <row r="212" spans="1:21" x14ac:dyDescent="0.25">
      <c r="A212">
        <f t="shared" si="27"/>
        <v>7</v>
      </c>
      <c r="C212" t="s">
        <v>5915</v>
      </c>
      <c r="D212" t="s">
        <v>5916</v>
      </c>
      <c r="E212" t="s">
        <v>4871</v>
      </c>
      <c r="F212" t="s">
        <v>5917</v>
      </c>
      <c r="G212" t="s">
        <v>5914</v>
      </c>
      <c r="H212" s="2">
        <v>1</v>
      </c>
      <c r="I212" s="2">
        <v>95</v>
      </c>
      <c r="N212" t="str">
        <f t="shared" si="28"/>
        <v>Jaseena Trading Co LLC</v>
      </c>
      <c r="O212" t="str">
        <f t="shared" si="29"/>
        <v>W1315122092</v>
      </c>
      <c r="P212" t="str">
        <f t="shared" si="30"/>
        <v>MO809BE38HFX-36995</v>
      </c>
      <c r="Q212" t="str">
        <f t="shared" si="31"/>
        <v>PO044833</v>
      </c>
      <c r="R212" t="str">
        <f t="shared" si="32"/>
        <v>Moschino Cheap &amp; Chic for women - 100 ml - EDT</v>
      </c>
      <c r="S212" t="str">
        <f t="shared" si="33"/>
        <v>SA981831</v>
      </c>
      <c r="T212">
        <f t="shared" si="34"/>
        <v>1</v>
      </c>
      <c r="U212">
        <f t="shared" si="35"/>
        <v>95</v>
      </c>
    </row>
    <row r="213" spans="1:21" x14ac:dyDescent="0.25">
      <c r="A213">
        <f t="shared" si="27"/>
        <v>7</v>
      </c>
      <c r="C213" t="s">
        <v>5942</v>
      </c>
      <c r="D213" t="s">
        <v>5943</v>
      </c>
      <c r="E213" t="s">
        <v>4871</v>
      </c>
      <c r="F213" t="s">
        <v>5944</v>
      </c>
      <c r="G213" t="s">
        <v>5941</v>
      </c>
      <c r="H213" s="2">
        <v>1</v>
      </c>
      <c r="I213" s="2">
        <v>84</v>
      </c>
      <c r="N213" t="str">
        <f t="shared" si="28"/>
        <v>Jaseena Trading Co LLC</v>
      </c>
      <c r="O213" t="str">
        <f t="shared" si="29"/>
        <v>W1315121758</v>
      </c>
      <c r="P213" t="str">
        <f t="shared" si="30"/>
        <v>BU784BE82GOV-36551</v>
      </c>
      <c r="Q213" t="str">
        <f t="shared" si="31"/>
        <v>PO044833</v>
      </c>
      <c r="R213" t="str">
        <f t="shared" si="32"/>
        <v>Burberry Body for women - 85 ml - EDP</v>
      </c>
      <c r="S213" t="str">
        <f t="shared" si="33"/>
        <v>SA982035</v>
      </c>
      <c r="T213">
        <f t="shared" si="34"/>
        <v>1</v>
      </c>
      <c r="U213">
        <f t="shared" si="35"/>
        <v>84</v>
      </c>
    </row>
    <row r="214" spans="1:21" x14ac:dyDescent="0.25">
      <c r="A214">
        <f t="shared" si="27"/>
        <v>7</v>
      </c>
      <c r="E214" t="s">
        <v>4957</v>
      </c>
      <c r="F214" t="s">
        <v>5944</v>
      </c>
      <c r="G214" t="s">
        <v>6493</v>
      </c>
      <c r="H214" s="2">
        <v>1</v>
      </c>
      <c r="I214" s="2">
        <v>84</v>
      </c>
      <c r="N214" t="str">
        <f t="shared" si="28"/>
        <v>Jaseena Trading Co LLC</v>
      </c>
      <c r="O214" t="str">
        <f t="shared" si="29"/>
        <v>W1315121758</v>
      </c>
      <c r="P214" t="str">
        <f t="shared" si="30"/>
        <v>BU784BE82GOV-36551</v>
      </c>
      <c r="Q214" t="str">
        <f t="shared" si="31"/>
        <v>PO044951</v>
      </c>
      <c r="R214" t="str">
        <f t="shared" si="32"/>
        <v>Burberry Body for women - 85 ml - EDP</v>
      </c>
      <c r="S214" t="str">
        <f t="shared" si="33"/>
        <v>SA987781</v>
      </c>
      <c r="T214">
        <f t="shared" si="34"/>
        <v>1</v>
      </c>
      <c r="U214">
        <f t="shared" si="35"/>
        <v>84</v>
      </c>
    </row>
    <row r="215" spans="1:21" x14ac:dyDescent="0.25">
      <c r="A215">
        <f t="shared" si="27"/>
        <v>7</v>
      </c>
      <c r="G215" t="s">
        <v>6511</v>
      </c>
      <c r="H215" s="2">
        <v>1</v>
      </c>
      <c r="I215" s="2">
        <v>84</v>
      </c>
      <c r="N215" t="str">
        <f t="shared" si="28"/>
        <v>Jaseena Trading Co LLC</v>
      </c>
      <c r="O215" t="str">
        <f t="shared" si="29"/>
        <v>W1315121758</v>
      </c>
      <c r="P215" t="str">
        <f t="shared" si="30"/>
        <v>BU784BE82GOV-36551</v>
      </c>
      <c r="Q215" t="str">
        <f t="shared" si="31"/>
        <v>PO044951</v>
      </c>
      <c r="R215" t="str">
        <f t="shared" si="32"/>
        <v>Burberry Body for women - 85 ml - EDP</v>
      </c>
      <c r="S215" t="str">
        <f t="shared" si="33"/>
        <v>SA987948</v>
      </c>
      <c r="T215">
        <f t="shared" si="34"/>
        <v>1</v>
      </c>
      <c r="U215">
        <f t="shared" si="35"/>
        <v>84</v>
      </c>
    </row>
    <row r="216" spans="1:21" x14ac:dyDescent="0.25">
      <c r="A216">
        <f t="shared" si="27"/>
        <v>7</v>
      </c>
      <c r="C216" t="s">
        <v>5958</v>
      </c>
      <c r="D216" t="s">
        <v>5959</v>
      </c>
      <c r="E216" t="s">
        <v>4871</v>
      </c>
      <c r="F216" t="s">
        <v>5960</v>
      </c>
      <c r="G216" t="s">
        <v>5957</v>
      </c>
      <c r="H216" s="2">
        <v>1</v>
      </c>
      <c r="I216" s="2">
        <v>32</v>
      </c>
      <c r="N216" t="str">
        <f t="shared" si="28"/>
        <v>Jaseena Trading Co LLC</v>
      </c>
      <c r="O216" t="str">
        <f t="shared" si="29"/>
        <v>W1315121966</v>
      </c>
      <c r="P216" t="str">
        <f t="shared" si="30"/>
        <v>JO434BE75GWU-36758</v>
      </c>
      <c r="Q216" t="str">
        <f t="shared" si="31"/>
        <v>PO044833</v>
      </c>
      <c r="R216" t="str">
        <f t="shared" si="32"/>
        <v>John Richmond Viva Rock for women - 100 ml - EDT</v>
      </c>
      <c r="S216" t="str">
        <f t="shared" si="33"/>
        <v>SA982332</v>
      </c>
      <c r="T216">
        <f t="shared" si="34"/>
        <v>1</v>
      </c>
      <c r="U216">
        <f t="shared" si="35"/>
        <v>32</v>
      </c>
    </row>
    <row r="217" spans="1:21" x14ac:dyDescent="0.25">
      <c r="A217">
        <f t="shared" si="27"/>
        <v>7</v>
      </c>
      <c r="G217" t="s">
        <v>6128</v>
      </c>
      <c r="H217" s="2">
        <v>1</v>
      </c>
      <c r="I217" s="2">
        <v>32</v>
      </c>
      <c r="N217" t="str">
        <f t="shared" si="28"/>
        <v>Jaseena Trading Co LLC</v>
      </c>
      <c r="O217" t="str">
        <f t="shared" si="29"/>
        <v>W1315121966</v>
      </c>
      <c r="P217" t="str">
        <f t="shared" si="30"/>
        <v>JO434BE75GWU-36758</v>
      </c>
      <c r="Q217" t="str">
        <f t="shared" si="31"/>
        <v>PO044833</v>
      </c>
      <c r="R217" t="str">
        <f t="shared" si="32"/>
        <v>John Richmond Viva Rock for women - 100 ml - EDT</v>
      </c>
      <c r="S217" t="str">
        <f t="shared" si="33"/>
        <v>SA984105</v>
      </c>
      <c r="T217">
        <f t="shared" si="34"/>
        <v>1</v>
      </c>
      <c r="U217">
        <f t="shared" si="35"/>
        <v>32</v>
      </c>
    </row>
    <row r="218" spans="1:21" x14ac:dyDescent="0.25">
      <c r="A218">
        <f t="shared" si="27"/>
        <v>7</v>
      </c>
      <c r="E218" t="s">
        <v>4957</v>
      </c>
      <c r="F218" t="s">
        <v>5960</v>
      </c>
      <c r="G218" t="s">
        <v>6009</v>
      </c>
      <c r="H218" s="2">
        <v>1</v>
      </c>
      <c r="I218" s="2">
        <v>32</v>
      </c>
      <c r="N218" t="str">
        <f t="shared" si="28"/>
        <v>Jaseena Trading Co LLC</v>
      </c>
      <c r="O218" t="str">
        <f t="shared" si="29"/>
        <v>W1315121966</v>
      </c>
      <c r="P218" t="str">
        <f t="shared" si="30"/>
        <v>JO434BE75GWU-36758</v>
      </c>
      <c r="Q218" t="str">
        <f t="shared" si="31"/>
        <v>PO044951</v>
      </c>
      <c r="R218" t="str">
        <f t="shared" si="32"/>
        <v>John Richmond Viva Rock for women - 100 ml - EDT</v>
      </c>
      <c r="S218" t="str">
        <f t="shared" si="33"/>
        <v>SA982824</v>
      </c>
      <c r="T218">
        <f t="shared" si="34"/>
        <v>1</v>
      </c>
      <c r="U218">
        <f t="shared" si="35"/>
        <v>32</v>
      </c>
    </row>
    <row r="219" spans="1:21" x14ac:dyDescent="0.25">
      <c r="A219">
        <f t="shared" si="27"/>
        <v>7</v>
      </c>
      <c r="C219" t="s">
        <v>6044</v>
      </c>
      <c r="D219" t="s">
        <v>6045</v>
      </c>
      <c r="E219" t="s">
        <v>4871</v>
      </c>
      <c r="F219" t="s">
        <v>6046</v>
      </c>
      <c r="G219" t="s">
        <v>6043</v>
      </c>
      <c r="H219" s="2">
        <v>1</v>
      </c>
      <c r="I219" s="2">
        <v>72</v>
      </c>
      <c r="N219" t="str">
        <f t="shared" si="28"/>
        <v>Jaseena Trading Co LLC</v>
      </c>
      <c r="O219" t="str">
        <f t="shared" si="29"/>
        <v>W1315121045</v>
      </c>
      <c r="P219" t="str">
        <f t="shared" si="30"/>
        <v>CA787BE17GNM-36516</v>
      </c>
      <c r="Q219" t="str">
        <f t="shared" si="31"/>
        <v>PO044833</v>
      </c>
      <c r="R219" t="str">
        <f t="shared" si="32"/>
        <v>Calvin Klein Truth for women - 100 ml - EDP</v>
      </c>
      <c r="S219" t="str">
        <f t="shared" si="33"/>
        <v>SA983146</v>
      </c>
      <c r="T219">
        <f t="shared" si="34"/>
        <v>1</v>
      </c>
      <c r="U219">
        <f t="shared" si="35"/>
        <v>72</v>
      </c>
    </row>
    <row r="220" spans="1:21" x14ac:dyDescent="0.25">
      <c r="A220">
        <f t="shared" si="27"/>
        <v>7</v>
      </c>
      <c r="C220" t="s">
        <v>6155</v>
      </c>
      <c r="D220" t="s">
        <v>6156</v>
      </c>
      <c r="E220" t="s">
        <v>4871</v>
      </c>
      <c r="F220" t="s">
        <v>6157</v>
      </c>
      <c r="G220" t="s">
        <v>6154</v>
      </c>
      <c r="H220" s="2">
        <v>1</v>
      </c>
      <c r="I220" s="2">
        <v>89</v>
      </c>
      <c r="N220" t="str">
        <f t="shared" si="28"/>
        <v>Jaseena Trading Co LLC</v>
      </c>
      <c r="O220" t="str">
        <f t="shared" si="29"/>
        <v>W1315121495</v>
      </c>
      <c r="P220" t="str">
        <f t="shared" si="30"/>
        <v>LA282BE48FLJ-35785</v>
      </c>
      <c r="Q220" t="str">
        <f t="shared" si="31"/>
        <v>PO044833</v>
      </c>
      <c r="R220" t="str">
        <f t="shared" si="32"/>
        <v>Lalique Nilang for women - 100 ml - EDP</v>
      </c>
      <c r="S220" t="str">
        <f t="shared" si="33"/>
        <v>SA984462</v>
      </c>
      <c r="T220">
        <f t="shared" si="34"/>
        <v>1</v>
      </c>
      <c r="U220">
        <f t="shared" si="35"/>
        <v>89</v>
      </c>
    </row>
    <row r="221" spans="1:21" x14ac:dyDescent="0.25">
      <c r="A221">
        <f t="shared" si="27"/>
        <v>7</v>
      </c>
      <c r="C221" t="s">
        <v>6474</v>
      </c>
      <c r="D221" t="s">
        <v>6475</v>
      </c>
      <c r="E221" t="s">
        <v>4957</v>
      </c>
      <c r="F221" t="s">
        <v>6476</v>
      </c>
      <c r="G221" t="s">
        <v>6473</v>
      </c>
      <c r="H221" s="2">
        <v>1</v>
      </c>
      <c r="I221" s="2">
        <v>119</v>
      </c>
      <c r="N221" t="str">
        <f t="shared" si="28"/>
        <v>Jaseena Trading Co LLC</v>
      </c>
      <c r="O221" t="str">
        <f t="shared" si="29"/>
        <v>W1315120999</v>
      </c>
      <c r="P221" t="str">
        <f t="shared" si="30"/>
        <v>BV737BE40GMP-36493</v>
      </c>
      <c r="Q221" t="str">
        <f t="shared" si="31"/>
        <v>PO044951</v>
      </c>
      <c r="R221" t="str">
        <f t="shared" si="32"/>
        <v>Bvlgari Rose Essentielle for women (EDP, 50 ml)</v>
      </c>
      <c r="S221" t="str">
        <f t="shared" si="33"/>
        <v>SA987687</v>
      </c>
      <c r="T221">
        <f t="shared" si="34"/>
        <v>1</v>
      </c>
      <c r="U221">
        <f t="shared" si="35"/>
        <v>119</v>
      </c>
    </row>
    <row r="222" spans="1:21" x14ac:dyDescent="0.25">
      <c r="A222">
        <f t="shared" si="27"/>
        <v>7</v>
      </c>
      <c r="C222" t="s">
        <v>6606</v>
      </c>
      <c r="D222" t="s">
        <v>6607</v>
      </c>
      <c r="E222" t="s">
        <v>6510</v>
      </c>
      <c r="F222" t="s">
        <v>6608</v>
      </c>
      <c r="G222" t="s">
        <v>6605</v>
      </c>
      <c r="H222" s="2">
        <v>1</v>
      </c>
      <c r="I222" s="2">
        <v>336</v>
      </c>
      <c r="N222" t="str">
        <f t="shared" si="28"/>
        <v>Jaseena Trading Co LLC</v>
      </c>
      <c r="O222" t="str">
        <f t="shared" si="29"/>
        <v>W1315121087</v>
      </c>
      <c r="P222" t="str">
        <f t="shared" si="30"/>
        <v>CH269BE13FIW-35720</v>
      </c>
      <c r="Q222" t="str">
        <f t="shared" si="31"/>
        <v>PO045028</v>
      </c>
      <c r="R222" t="str">
        <f t="shared" si="32"/>
        <v>Chanel Coco for women - 100 ml - EDT</v>
      </c>
      <c r="S222" t="str">
        <f t="shared" si="33"/>
        <v>SA988937</v>
      </c>
      <c r="T222">
        <f t="shared" si="34"/>
        <v>1</v>
      </c>
      <c r="U222">
        <f t="shared" si="35"/>
        <v>336</v>
      </c>
    </row>
    <row r="223" spans="1:21" x14ac:dyDescent="0.25">
      <c r="A223">
        <f t="shared" si="27"/>
        <v>8</v>
      </c>
      <c r="B223" t="s">
        <v>2195</v>
      </c>
      <c r="C223" t="s">
        <v>4409</v>
      </c>
      <c r="D223" t="s">
        <v>4410</v>
      </c>
      <c r="E223" t="s">
        <v>4412</v>
      </c>
      <c r="F223" t="s">
        <v>4411</v>
      </c>
      <c r="G223" t="s">
        <v>4408</v>
      </c>
      <c r="H223" s="2">
        <v>1</v>
      </c>
      <c r="I223" s="2">
        <v>75</v>
      </c>
      <c r="N223" t="str">
        <f t="shared" si="28"/>
        <v>Muhammad Talha General Trading LLC</v>
      </c>
      <c r="O223" t="str">
        <f t="shared" si="29"/>
        <v>W1315337535</v>
      </c>
      <c r="P223" t="str">
        <f t="shared" si="30"/>
        <v>AU677EL03RQA-573668</v>
      </c>
      <c r="Q223" t="str">
        <f t="shared" si="31"/>
        <v>PO044562</v>
      </c>
      <c r="R223" t="str">
        <f t="shared" si="32"/>
        <v>Max-5U Speakers (Black)</v>
      </c>
      <c r="S223" t="str">
        <f t="shared" si="33"/>
        <v>SA971022</v>
      </c>
      <c r="T223">
        <f t="shared" si="34"/>
        <v>1</v>
      </c>
      <c r="U223">
        <f t="shared" si="35"/>
        <v>75</v>
      </c>
    </row>
    <row r="224" spans="1:21" x14ac:dyDescent="0.25">
      <c r="A224">
        <f t="shared" si="27"/>
        <v>8</v>
      </c>
      <c r="C224" t="s">
        <v>4637</v>
      </c>
      <c r="D224" t="s">
        <v>4638</v>
      </c>
      <c r="E224" t="s">
        <v>6629</v>
      </c>
      <c r="F224" t="s">
        <v>4639</v>
      </c>
      <c r="G224" t="s">
        <v>6676</v>
      </c>
      <c r="H224" s="2">
        <v>1</v>
      </c>
      <c r="I224" s="2">
        <v>6</v>
      </c>
      <c r="N224" t="str">
        <f t="shared" si="28"/>
        <v>Muhammad Talha General Trading LLC</v>
      </c>
      <c r="O224" t="str">
        <f t="shared" si="29"/>
        <v>W1315337528</v>
      </c>
      <c r="P224" t="str">
        <f t="shared" si="30"/>
        <v>AU677EL31OME-571149</v>
      </c>
      <c r="Q224" t="str">
        <f t="shared" si="31"/>
        <v>PO045004</v>
      </c>
      <c r="R224" t="str">
        <f t="shared" si="32"/>
        <v>Listen &amp; Talk In-Ear Earphones (LT-487, White/Black)</v>
      </c>
      <c r="S224" t="str">
        <f t="shared" si="33"/>
        <v>SA989371</v>
      </c>
      <c r="T224">
        <f t="shared" si="34"/>
        <v>1</v>
      </c>
      <c r="U224">
        <f t="shared" si="35"/>
        <v>6</v>
      </c>
    </row>
    <row r="225" spans="1:21" x14ac:dyDescent="0.25">
      <c r="A225">
        <f t="shared" si="27"/>
        <v>8</v>
      </c>
      <c r="C225" t="s">
        <v>6626</v>
      </c>
      <c r="D225" t="s">
        <v>6627</v>
      </c>
      <c r="E225" t="s">
        <v>6629</v>
      </c>
      <c r="F225" t="s">
        <v>6628</v>
      </c>
      <c r="G225" t="s">
        <v>6625</v>
      </c>
      <c r="H225" s="2">
        <v>1</v>
      </c>
      <c r="I225" s="2">
        <v>90</v>
      </c>
      <c r="N225" t="str">
        <f t="shared" si="28"/>
        <v>Muhammad Talha General Trading LLC</v>
      </c>
      <c r="O225" t="str">
        <f t="shared" si="29"/>
        <v>W1315399004</v>
      </c>
      <c r="P225" t="str">
        <f t="shared" si="30"/>
        <v>AU677EL99CIY-643700</v>
      </c>
      <c r="Q225" t="str">
        <f t="shared" si="31"/>
        <v>PO045004</v>
      </c>
      <c r="R225" t="str">
        <f t="shared" si="32"/>
        <v>Portable Speaker (REX-10, Black)</v>
      </c>
      <c r="S225" t="str">
        <f t="shared" si="33"/>
        <v>SA989189</v>
      </c>
      <c r="T225">
        <f t="shared" si="34"/>
        <v>1</v>
      </c>
      <c r="U225">
        <f t="shared" si="35"/>
        <v>90</v>
      </c>
    </row>
    <row r="226" spans="1:21" x14ac:dyDescent="0.25">
      <c r="A226">
        <f t="shared" si="27"/>
        <v>8</v>
      </c>
      <c r="C226" t="s">
        <v>6678</v>
      </c>
      <c r="D226" t="s">
        <v>6679</v>
      </c>
      <c r="E226" t="s">
        <v>6629</v>
      </c>
      <c r="F226" t="s">
        <v>6680</v>
      </c>
      <c r="G226" t="s">
        <v>6677</v>
      </c>
      <c r="H226" s="2">
        <v>1</v>
      </c>
      <c r="I226" s="2">
        <v>36</v>
      </c>
      <c r="N226" t="str">
        <f t="shared" si="28"/>
        <v>Muhammad Talha General Trading LLC</v>
      </c>
      <c r="O226" t="str">
        <f t="shared" si="29"/>
        <v>W1315337511</v>
      </c>
      <c r="P226" t="str">
        <f t="shared" si="30"/>
        <v>AU677EL46OLP-571134</v>
      </c>
      <c r="Q226" t="str">
        <f t="shared" si="31"/>
        <v>PO045004</v>
      </c>
      <c r="R226" t="str">
        <f t="shared" si="32"/>
        <v>Glance Speakers (G-5, Black)</v>
      </c>
      <c r="S226" t="str">
        <f t="shared" si="33"/>
        <v>SA989373</v>
      </c>
      <c r="T226">
        <f t="shared" si="34"/>
        <v>1</v>
      </c>
      <c r="U226">
        <f t="shared" si="35"/>
        <v>36</v>
      </c>
    </row>
    <row r="227" spans="1:21" x14ac:dyDescent="0.25">
      <c r="A227">
        <f t="shared" si="27"/>
        <v>8</v>
      </c>
      <c r="G227" t="s">
        <v>6698</v>
      </c>
      <c r="H227" s="2">
        <v>1</v>
      </c>
      <c r="I227" s="2">
        <v>36</v>
      </c>
      <c r="N227" t="str">
        <f t="shared" si="28"/>
        <v>Muhammad Talha General Trading LLC</v>
      </c>
      <c r="O227" t="str">
        <f t="shared" si="29"/>
        <v>W1315337511</v>
      </c>
      <c r="P227" t="str">
        <f t="shared" si="30"/>
        <v>AU677EL46OLP-571134</v>
      </c>
      <c r="Q227" t="str">
        <f t="shared" si="31"/>
        <v>PO045004</v>
      </c>
      <c r="R227" t="str">
        <f t="shared" si="32"/>
        <v>Glance Speakers (G-5, Black)</v>
      </c>
      <c r="S227" t="str">
        <f t="shared" si="33"/>
        <v>SA989453</v>
      </c>
      <c r="T227">
        <f t="shared" si="34"/>
        <v>1</v>
      </c>
      <c r="U227">
        <f t="shared" si="35"/>
        <v>36</v>
      </c>
    </row>
    <row r="228" spans="1:21" x14ac:dyDescent="0.25">
      <c r="A228">
        <f t="shared" si="27"/>
        <v>9</v>
      </c>
      <c r="B228" t="s">
        <v>1956</v>
      </c>
      <c r="C228" t="s">
        <v>4773</v>
      </c>
      <c r="D228" t="s">
        <v>4774</v>
      </c>
      <c r="E228" t="s">
        <v>4776</v>
      </c>
      <c r="F228" t="s">
        <v>4775</v>
      </c>
      <c r="G228" t="s">
        <v>4772</v>
      </c>
      <c r="H228" s="2">
        <v>1</v>
      </c>
      <c r="I228" s="2">
        <v>75</v>
      </c>
      <c r="N228" t="str">
        <f t="shared" si="28"/>
        <v>Al Arqam General Trading LLC</v>
      </c>
      <c r="O228" t="str">
        <f t="shared" si="29"/>
        <v>W1315123540</v>
      </c>
      <c r="P228" t="str">
        <f t="shared" si="30"/>
        <v>XB396EL24OUP-48775</v>
      </c>
      <c r="Q228" t="str">
        <f t="shared" si="31"/>
        <v>UPO011833</v>
      </c>
      <c r="R228" t="str">
        <f t="shared" si="32"/>
        <v>Naruto Shippuden Ultimate Ninja Storm 3 Full Bu for Xbox 360</v>
      </c>
      <c r="S228" t="str">
        <f t="shared" si="33"/>
        <v>AE62015</v>
      </c>
      <c r="T228">
        <f t="shared" si="34"/>
        <v>1</v>
      </c>
      <c r="U228">
        <f t="shared" si="35"/>
        <v>75</v>
      </c>
    </row>
    <row r="229" spans="1:21" x14ac:dyDescent="0.25">
      <c r="A229">
        <f t="shared" si="27"/>
        <v>9</v>
      </c>
      <c r="C229" t="s">
        <v>4796</v>
      </c>
      <c r="D229" t="s">
        <v>4797</v>
      </c>
      <c r="E229" t="s">
        <v>4799</v>
      </c>
      <c r="F229" t="s">
        <v>4798</v>
      </c>
      <c r="G229" t="s">
        <v>4795</v>
      </c>
      <c r="H229" s="2">
        <v>1</v>
      </c>
      <c r="I229" s="2">
        <v>75</v>
      </c>
      <c r="N229" t="str">
        <f t="shared" si="28"/>
        <v>Al Arqam General Trading LLC</v>
      </c>
      <c r="O229" t="str">
        <f t="shared" si="29"/>
        <v>W1315117138</v>
      </c>
      <c r="P229" t="str">
        <f t="shared" si="30"/>
        <v>PS264EL76CTB-33957</v>
      </c>
      <c r="Q229" t="str">
        <f t="shared" si="31"/>
        <v>UPO011852</v>
      </c>
      <c r="R229" t="str">
        <f t="shared" si="32"/>
        <v>Watch Dogs for PS3</v>
      </c>
      <c r="S229" t="str">
        <f t="shared" si="33"/>
        <v>AE61984</v>
      </c>
      <c r="T229">
        <f t="shared" si="34"/>
        <v>1</v>
      </c>
      <c r="U229">
        <f t="shared" si="35"/>
        <v>75</v>
      </c>
    </row>
    <row r="230" spans="1:21" x14ac:dyDescent="0.25">
      <c r="A230">
        <f t="shared" si="27"/>
        <v>9</v>
      </c>
      <c r="C230" t="s">
        <v>5972</v>
      </c>
      <c r="D230" t="s">
        <v>5973</v>
      </c>
      <c r="E230" t="s">
        <v>5975</v>
      </c>
      <c r="F230" t="s">
        <v>5974</v>
      </c>
      <c r="G230" t="s">
        <v>5971</v>
      </c>
      <c r="H230" s="2">
        <v>1</v>
      </c>
      <c r="I230" s="2">
        <v>85</v>
      </c>
      <c r="N230" t="str">
        <f t="shared" si="28"/>
        <v>Al Arqam General Trading LLC</v>
      </c>
      <c r="O230" t="str">
        <f t="shared" si="29"/>
        <v>W1315117188</v>
      </c>
      <c r="P230" t="str">
        <f t="shared" si="30"/>
        <v>XB395EL26CJL-33707</v>
      </c>
      <c r="Q230" t="str">
        <f t="shared" si="31"/>
        <v>PO044809</v>
      </c>
      <c r="R230" t="str">
        <f t="shared" si="32"/>
        <v>Definitive Edition for XBOX ONE</v>
      </c>
      <c r="S230" t="str">
        <f t="shared" si="33"/>
        <v>SA982449</v>
      </c>
      <c r="T230">
        <f t="shared" si="34"/>
        <v>1</v>
      </c>
      <c r="U230">
        <f t="shared" si="35"/>
        <v>85</v>
      </c>
    </row>
    <row r="231" spans="1:21" x14ac:dyDescent="0.25">
      <c r="A231">
        <f t="shared" si="27"/>
        <v>10</v>
      </c>
      <c r="B231" t="s">
        <v>78</v>
      </c>
      <c r="C231" t="s">
        <v>4558</v>
      </c>
      <c r="D231" t="s">
        <v>4559</v>
      </c>
      <c r="E231" t="s">
        <v>4561</v>
      </c>
      <c r="F231" t="s">
        <v>4560</v>
      </c>
      <c r="G231" t="s">
        <v>4557</v>
      </c>
      <c r="H231" s="2">
        <v>1</v>
      </c>
      <c r="I231" s="2">
        <v>125</v>
      </c>
      <c r="N231" t="str">
        <f t="shared" si="28"/>
        <v>MK TRADING FZE</v>
      </c>
      <c r="O231" t="str">
        <f t="shared" si="29"/>
        <v>W1315114133</v>
      </c>
      <c r="P231" t="str">
        <f t="shared" si="30"/>
        <v>PH088EL45XEC-30188</v>
      </c>
      <c r="Q231" t="str">
        <f t="shared" si="31"/>
        <v>PO044573</v>
      </c>
      <c r="R231" t="str">
        <f t="shared" si="32"/>
        <v>Phottix 7 in 1 Light Multi Collapsible Reflector 107 CM, Lighting &amp; Studio (Compatible with Any Camera)</v>
      </c>
      <c r="S231" t="str">
        <f t="shared" si="33"/>
        <v>SA972632</v>
      </c>
      <c r="T231">
        <f t="shared" si="34"/>
        <v>1</v>
      </c>
      <c r="U231">
        <f t="shared" si="35"/>
        <v>125</v>
      </c>
    </row>
    <row r="232" spans="1:21" x14ac:dyDescent="0.25">
      <c r="A232">
        <f t="shared" si="27"/>
        <v>10</v>
      </c>
      <c r="C232" t="s">
        <v>4840</v>
      </c>
      <c r="D232" t="s">
        <v>4841</v>
      </c>
      <c r="E232" t="s">
        <v>4843</v>
      </c>
      <c r="F232" t="s">
        <v>4842</v>
      </c>
      <c r="G232" t="s">
        <v>4839</v>
      </c>
      <c r="H232" s="2">
        <v>1</v>
      </c>
      <c r="I232" s="2">
        <v>265</v>
      </c>
      <c r="N232" t="str">
        <f t="shared" si="28"/>
        <v>MK TRADING FZE</v>
      </c>
      <c r="O232" t="str">
        <f t="shared" si="29"/>
        <v>W1315141019</v>
      </c>
      <c r="P232" t="str">
        <f t="shared" si="30"/>
        <v>HO339EL83PQI-72285</v>
      </c>
      <c r="Q232" t="str">
        <f t="shared" si="31"/>
        <v>UPO011813</v>
      </c>
      <c r="R232" t="str">
        <f t="shared" si="32"/>
        <v>Hoya Kit Lens Filters 77MM UV + PLC + ND8, Filters (Compatible with Cameras &amp; Camcorders Lenses.)</v>
      </c>
      <c r="S232" t="str">
        <f t="shared" si="33"/>
        <v>AE61865</v>
      </c>
      <c r="T232">
        <f t="shared" si="34"/>
        <v>1</v>
      </c>
      <c r="U232">
        <f t="shared" si="35"/>
        <v>265</v>
      </c>
    </row>
    <row r="233" spans="1:21" x14ac:dyDescent="0.25">
      <c r="A233">
        <f t="shared" si="27"/>
        <v>10</v>
      </c>
      <c r="C233" t="s">
        <v>6222</v>
      </c>
      <c r="D233" t="s">
        <v>6223</v>
      </c>
      <c r="E233" t="s">
        <v>6225</v>
      </c>
      <c r="F233" t="s">
        <v>6224</v>
      </c>
      <c r="G233" t="s">
        <v>6221</v>
      </c>
      <c r="H233" s="2">
        <v>1</v>
      </c>
      <c r="I233" s="2">
        <v>185</v>
      </c>
      <c r="N233" t="str">
        <f t="shared" si="28"/>
        <v>MK TRADING FZE</v>
      </c>
      <c r="O233" t="str">
        <f t="shared" si="29"/>
        <v>W1315114215</v>
      </c>
      <c r="P233" t="str">
        <f t="shared" si="30"/>
        <v>JO329EL69XHA-30264</v>
      </c>
      <c r="Q233" t="str">
        <f t="shared" si="31"/>
        <v>PO044869</v>
      </c>
      <c r="R233" t="str">
        <f t="shared" si="32"/>
        <v>Joby Gorillapod SLR-Zoom + Ballhead, Tripods &amp; Monopods (Compatible with DSLRs with Zoom Lenses, Camcorders, Mics, Off-Camera Flashes)</v>
      </c>
      <c r="S233" t="str">
        <f t="shared" si="33"/>
        <v>SA985222</v>
      </c>
      <c r="T233">
        <f t="shared" si="34"/>
        <v>1</v>
      </c>
      <c r="U233">
        <f t="shared" si="35"/>
        <v>185</v>
      </c>
    </row>
    <row r="234" spans="1:21" x14ac:dyDescent="0.25">
      <c r="A234">
        <f t="shared" si="27"/>
        <v>10</v>
      </c>
      <c r="C234" t="s">
        <v>6534</v>
      </c>
      <c r="D234" t="s">
        <v>6535</v>
      </c>
      <c r="E234" t="s">
        <v>6537</v>
      </c>
      <c r="F234" t="s">
        <v>6536</v>
      </c>
      <c r="G234" t="s">
        <v>6533</v>
      </c>
      <c r="H234" s="2">
        <v>1</v>
      </c>
      <c r="I234" s="2">
        <v>450</v>
      </c>
      <c r="N234" t="str">
        <f t="shared" si="28"/>
        <v>MK TRADING FZE</v>
      </c>
      <c r="O234" t="str">
        <f t="shared" si="29"/>
        <v>W1315114298</v>
      </c>
      <c r="P234" t="str">
        <f t="shared" si="30"/>
        <v>SE330EL82XOF-30451</v>
      </c>
      <c r="Q234" t="str">
        <f t="shared" si="31"/>
        <v>PO044899</v>
      </c>
      <c r="R234" t="str">
        <f t="shared" si="32"/>
        <v>Sevenoak Steadycam Pro-Small Size SK-SW03, Tripods &amp; Monopods (Compatible with Digital Cameras)</v>
      </c>
      <c r="S234" t="str">
        <f t="shared" si="33"/>
        <v>SA988281</v>
      </c>
      <c r="T234">
        <f t="shared" si="34"/>
        <v>1</v>
      </c>
      <c r="U234">
        <f t="shared" si="35"/>
        <v>450</v>
      </c>
    </row>
    <row r="235" spans="1:21" x14ac:dyDescent="0.25">
      <c r="A235">
        <f t="shared" si="27"/>
        <v>11</v>
      </c>
      <c r="B235" t="s">
        <v>654</v>
      </c>
      <c r="C235" t="s">
        <v>3161</v>
      </c>
      <c r="D235" t="s">
        <v>3162</v>
      </c>
      <c r="E235" t="s">
        <v>3164</v>
      </c>
      <c r="F235" t="s">
        <v>3163</v>
      </c>
      <c r="G235" t="s">
        <v>3160</v>
      </c>
      <c r="H235" s="2">
        <v>1</v>
      </c>
      <c r="I235" s="2">
        <v>53</v>
      </c>
      <c r="N235" t="str">
        <f t="shared" si="28"/>
        <v>Al Kunuz General Trading LLC</v>
      </c>
      <c r="O235" t="str">
        <f t="shared" si="29"/>
        <v>W1315435462</v>
      </c>
      <c r="P235" t="str">
        <f t="shared" si="30"/>
        <v>BE247BE90VUB-693619</v>
      </c>
      <c r="Q235" t="str">
        <f t="shared" si="31"/>
        <v>UPO011757</v>
      </c>
      <c r="R235" t="str">
        <f t="shared" si="32"/>
        <v>Beardo Hair Growth Oil</v>
      </c>
      <c r="S235" t="str">
        <f t="shared" si="33"/>
        <v>AE61711</v>
      </c>
      <c r="T235">
        <f t="shared" si="34"/>
        <v>1</v>
      </c>
      <c r="U235">
        <f t="shared" si="35"/>
        <v>53</v>
      </c>
    </row>
    <row r="236" spans="1:21" x14ac:dyDescent="0.25">
      <c r="A236">
        <f t="shared" si="27"/>
        <v>11</v>
      </c>
      <c r="E236" t="s">
        <v>4900</v>
      </c>
      <c r="F236" t="s">
        <v>3163</v>
      </c>
      <c r="G236" t="s">
        <v>5847</v>
      </c>
      <c r="H236" s="2">
        <v>1</v>
      </c>
      <c r="I236" s="2">
        <v>53</v>
      </c>
      <c r="N236" t="str">
        <f t="shared" si="28"/>
        <v>Al Kunuz General Trading LLC</v>
      </c>
      <c r="O236" t="str">
        <f t="shared" si="29"/>
        <v>W1315435462</v>
      </c>
      <c r="P236" t="str">
        <f t="shared" si="30"/>
        <v>BE247BE90VUB-693619</v>
      </c>
      <c r="Q236" t="str">
        <f t="shared" si="31"/>
        <v>PO044697</v>
      </c>
      <c r="R236" t="str">
        <f t="shared" si="32"/>
        <v>Beardo Hair Growth Oil</v>
      </c>
      <c r="S236" t="str">
        <f t="shared" si="33"/>
        <v>SA981120</v>
      </c>
      <c r="T236">
        <f t="shared" si="34"/>
        <v>1</v>
      </c>
      <c r="U236">
        <f t="shared" si="35"/>
        <v>53</v>
      </c>
    </row>
    <row r="237" spans="1:21" x14ac:dyDescent="0.25">
      <c r="A237">
        <f t="shared" si="27"/>
        <v>11</v>
      </c>
      <c r="C237" t="s">
        <v>3166</v>
      </c>
      <c r="D237" t="s">
        <v>3167</v>
      </c>
      <c r="E237" t="s">
        <v>3164</v>
      </c>
      <c r="F237" t="s">
        <v>3168</v>
      </c>
      <c r="G237" t="s">
        <v>3165</v>
      </c>
      <c r="H237" s="2">
        <v>1</v>
      </c>
      <c r="I237" s="2">
        <v>74</v>
      </c>
      <c r="N237" t="str">
        <f t="shared" si="28"/>
        <v>Al Kunuz General Trading LLC</v>
      </c>
      <c r="O237" t="str">
        <f t="shared" si="29"/>
        <v>W1315389552</v>
      </c>
      <c r="P237" t="str">
        <f t="shared" si="30"/>
        <v>LO860BE76SEL-634642</v>
      </c>
      <c r="Q237" t="str">
        <f t="shared" si="31"/>
        <v>UPO011757</v>
      </c>
      <c r="R237" t="str">
        <f t="shared" si="32"/>
        <v>L'Oreal Youth Code Youth Boosting Night Cream</v>
      </c>
      <c r="S237" t="str">
        <f t="shared" si="33"/>
        <v>AE61679</v>
      </c>
      <c r="T237">
        <f t="shared" si="34"/>
        <v>1</v>
      </c>
      <c r="U237">
        <f t="shared" si="35"/>
        <v>74</v>
      </c>
    </row>
    <row r="238" spans="1:21" x14ac:dyDescent="0.25">
      <c r="A238">
        <f t="shared" si="27"/>
        <v>11</v>
      </c>
      <c r="C238" t="s">
        <v>3170</v>
      </c>
      <c r="D238" t="s">
        <v>3171</v>
      </c>
      <c r="E238" t="s">
        <v>3164</v>
      </c>
      <c r="F238" t="s">
        <v>3172</v>
      </c>
      <c r="G238" t="s">
        <v>3169</v>
      </c>
      <c r="H238" s="2">
        <v>1</v>
      </c>
      <c r="I238" s="2">
        <v>57</v>
      </c>
      <c r="N238" t="str">
        <f t="shared" si="28"/>
        <v>Al Kunuz General Trading LLC</v>
      </c>
      <c r="O238" t="str">
        <f t="shared" si="29"/>
        <v>W1315210564</v>
      </c>
      <c r="P238" t="str">
        <f t="shared" si="30"/>
        <v>MR178AT03FXK-382763</v>
      </c>
      <c r="Q238" t="str">
        <f t="shared" si="31"/>
        <v>UPO011757</v>
      </c>
      <c r="R238" t="str">
        <f t="shared" si="32"/>
        <v>Mr Button Black T Shirt With Leather Yoke</v>
      </c>
      <c r="S238" t="str">
        <f t="shared" si="33"/>
        <v>AE61658</v>
      </c>
      <c r="T238">
        <f t="shared" si="34"/>
        <v>1</v>
      </c>
      <c r="U238">
        <f t="shared" si="35"/>
        <v>57</v>
      </c>
    </row>
    <row r="239" spans="1:21" x14ac:dyDescent="0.25">
      <c r="A239">
        <f t="shared" si="27"/>
        <v>11</v>
      </c>
      <c r="C239" t="s">
        <v>3174</v>
      </c>
      <c r="D239" t="s">
        <v>3175</v>
      </c>
      <c r="E239" t="s">
        <v>3164</v>
      </c>
      <c r="F239" t="s">
        <v>3176</v>
      </c>
      <c r="G239" t="s">
        <v>3173</v>
      </c>
      <c r="H239" s="2">
        <v>1</v>
      </c>
      <c r="I239" s="2">
        <v>13</v>
      </c>
      <c r="N239" t="str">
        <f t="shared" si="28"/>
        <v>Al Kunuz General Trading LLC</v>
      </c>
      <c r="O239" t="str">
        <f t="shared" si="29"/>
        <v>W1315329949</v>
      </c>
      <c r="P239" t="str">
        <f t="shared" si="30"/>
        <v>YE659AT62LEJ-562520</v>
      </c>
      <c r="Q239" t="str">
        <f t="shared" si="31"/>
        <v>UPO011757</v>
      </c>
      <c r="R239" t="str">
        <f t="shared" si="32"/>
        <v>Claude Muscle Vest, Red</v>
      </c>
      <c r="S239" t="str">
        <f t="shared" si="33"/>
        <v>AE61662</v>
      </c>
      <c r="T239">
        <f t="shared" si="34"/>
        <v>1</v>
      </c>
      <c r="U239">
        <f t="shared" si="35"/>
        <v>13</v>
      </c>
    </row>
    <row r="240" spans="1:21" x14ac:dyDescent="0.25">
      <c r="A240">
        <f t="shared" si="27"/>
        <v>11</v>
      </c>
      <c r="C240" t="s">
        <v>3178</v>
      </c>
      <c r="D240" t="s">
        <v>3179</v>
      </c>
      <c r="E240" t="s">
        <v>3164</v>
      </c>
      <c r="F240" t="s">
        <v>3180</v>
      </c>
      <c r="G240" t="s">
        <v>3177</v>
      </c>
      <c r="H240" s="2">
        <v>1</v>
      </c>
      <c r="I240" s="2">
        <v>55</v>
      </c>
      <c r="N240" t="str">
        <f t="shared" si="28"/>
        <v>Al Kunuz General Trading LLC</v>
      </c>
      <c r="O240" t="str">
        <f t="shared" si="29"/>
        <v>W1315187102</v>
      </c>
      <c r="P240" t="str">
        <f t="shared" si="30"/>
        <v>TH718AT88OXR-368163</v>
      </c>
      <c r="Q240" t="str">
        <f t="shared" si="31"/>
        <v>UPO011757</v>
      </c>
      <c r="R240" t="str">
        <f t="shared" si="32"/>
        <v>THREADCURRY Fishernaut Graphic Printed Tee</v>
      </c>
      <c r="S240" t="str">
        <f t="shared" si="33"/>
        <v>AE61663</v>
      </c>
      <c r="T240">
        <f t="shared" si="34"/>
        <v>1</v>
      </c>
      <c r="U240">
        <f t="shared" si="35"/>
        <v>55</v>
      </c>
    </row>
    <row r="241" spans="1:21" x14ac:dyDescent="0.25">
      <c r="A241">
        <f t="shared" si="27"/>
        <v>11</v>
      </c>
      <c r="C241" t="s">
        <v>3182</v>
      </c>
      <c r="D241" t="s">
        <v>3183</v>
      </c>
      <c r="E241" t="s">
        <v>3164</v>
      </c>
      <c r="F241" t="s">
        <v>3184</v>
      </c>
      <c r="G241" t="s">
        <v>3181</v>
      </c>
      <c r="H241" s="2">
        <v>1</v>
      </c>
      <c r="I241" s="2">
        <v>26</v>
      </c>
      <c r="N241" t="str">
        <f t="shared" si="28"/>
        <v>Al Kunuz General Trading LLC</v>
      </c>
      <c r="O241" t="str">
        <f t="shared" si="29"/>
        <v>W1315316774</v>
      </c>
      <c r="P241" t="str">
        <f t="shared" si="30"/>
        <v>UN563AC99OAY-522620</v>
      </c>
      <c r="Q241" t="str">
        <f t="shared" si="31"/>
        <v>UPO011757</v>
      </c>
      <c r="R241" t="str">
        <f t="shared" si="32"/>
        <v>Hand Crafted Genuine Leather Wallet for Men (UN168, Brown)</v>
      </c>
      <c r="S241" t="str">
        <f t="shared" si="33"/>
        <v>AE61644</v>
      </c>
      <c r="T241">
        <f t="shared" si="34"/>
        <v>1</v>
      </c>
      <c r="U241">
        <f t="shared" si="35"/>
        <v>26</v>
      </c>
    </row>
    <row r="242" spans="1:21" x14ac:dyDescent="0.25">
      <c r="A242">
        <f t="shared" si="27"/>
        <v>11</v>
      </c>
      <c r="E242" t="s">
        <v>3436</v>
      </c>
      <c r="F242" t="s">
        <v>3184</v>
      </c>
      <c r="G242" t="s">
        <v>3537</v>
      </c>
      <c r="H242" s="2">
        <v>1</v>
      </c>
      <c r="I242" s="2">
        <v>26</v>
      </c>
      <c r="N242" t="str">
        <f t="shared" si="28"/>
        <v>Al Kunuz General Trading LLC</v>
      </c>
      <c r="O242" t="str">
        <f t="shared" si="29"/>
        <v>W1315316774</v>
      </c>
      <c r="P242" t="str">
        <f t="shared" si="30"/>
        <v>UN563AC99OAY-522620</v>
      </c>
      <c r="Q242" t="str">
        <f t="shared" si="31"/>
        <v>PO044029</v>
      </c>
      <c r="R242" t="str">
        <f t="shared" si="32"/>
        <v>Hand Crafted Genuine Leather Wallet for Men (UN168, Brown)</v>
      </c>
      <c r="S242" t="str">
        <f t="shared" si="33"/>
        <v>SA944870</v>
      </c>
      <c r="T242">
        <f t="shared" si="34"/>
        <v>1</v>
      </c>
      <c r="U242">
        <f t="shared" si="35"/>
        <v>26</v>
      </c>
    </row>
    <row r="243" spans="1:21" x14ac:dyDescent="0.25">
      <c r="A243">
        <f t="shared" si="27"/>
        <v>11</v>
      </c>
      <c r="E243" t="s">
        <v>3771</v>
      </c>
      <c r="F243" t="s">
        <v>3184</v>
      </c>
      <c r="G243" t="s">
        <v>4013</v>
      </c>
      <c r="H243" s="2">
        <v>1</v>
      </c>
      <c r="I243" s="2">
        <v>26</v>
      </c>
      <c r="N243" t="str">
        <f t="shared" si="28"/>
        <v>Al Kunuz General Trading LLC</v>
      </c>
      <c r="O243" t="str">
        <f t="shared" si="29"/>
        <v>W1315316774</v>
      </c>
      <c r="P243" t="str">
        <f t="shared" si="30"/>
        <v>UN563AC99OAY-522620</v>
      </c>
      <c r="Q243" t="str">
        <f t="shared" si="31"/>
        <v>PO044367</v>
      </c>
      <c r="R243" t="str">
        <f t="shared" si="32"/>
        <v>Hand Crafted Genuine Leather Wallet for Men (UN168, Brown)</v>
      </c>
      <c r="S243" t="str">
        <f t="shared" si="33"/>
        <v>SA963970</v>
      </c>
      <c r="T243">
        <f t="shared" si="34"/>
        <v>1</v>
      </c>
      <c r="U243">
        <f t="shared" si="35"/>
        <v>26</v>
      </c>
    </row>
    <row r="244" spans="1:21" x14ac:dyDescent="0.25">
      <c r="A244">
        <f t="shared" si="27"/>
        <v>11</v>
      </c>
      <c r="E244" t="s">
        <v>4900</v>
      </c>
      <c r="F244" t="s">
        <v>3184</v>
      </c>
      <c r="G244" t="s">
        <v>5471</v>
      </c>
      <c r="H244" s="2">
        <v>1</v>
      </c>
      <c r="I244" s="2">
        <v>26</v>
      </c>
      <c r="N244" t="str">
        <f t="shared" si="28"/>
        <v>Al Kunuz General Trading LLC</v>
      </c>
      <c r="O244" t="str">
        <f t="shared" si="29"/>
        <v>W1315316774</v>
      </c>
      <c r="P244" t="str">
        <f t="shared" si="30"/>
        <v>UN563AC99OAY-522620</v>
      </c>
      <c r="Q244" t="str">
        <f t="shared" si="31"/>
        <v>PO044697</v>
      </c>
      <c r="R244" t="str">
        <f t="shared" si="32"/>
        <v>Hand Crafted Genuine Leather Wallet for Men (UN168, Brown)</v>
      </c>
      <c r="S244" t="str">
        <f t="shared" si="33"/>
        <v>SA978578</v>
      </c>
      <c r="T244">
        <f t="shared" si="34"/>
        <v>1</v>
      </c>
      <c r="U244">
        <f t="shared" si="35"/>
        <v>26</v>
      </c>
    </row>
    <row r="245" spans="1:21" x14ac:dyDescent="0.25">
      <c r="A245">
        <f t="shared" si="27"/>
        <v>11</v>
      </c>
      <c r="C245" t="s">
        <v>3186</v>
      </c>
      <c r="D245" t="s">
        <v>3187</v>
      </c>
      <c r="E245" t="s">
        <v>3189</v>
      </c>
      <c r="F245" t="s">
        <v>3188</v>
      </c>
      <c r="G245" t="s">
        <v>3185</v>
      </c>
      <c r="H245" s="2">
        <v>1</v>
      </c>
      <c r="I245" s="2">
        <v>60</v>
      </c>
      <c r="N245" t="str">
        <f t="shared" si="28"/>
        <v>Al Kunuz General Trading LLC</v>
      </c>
      <c r="O245" t="str">
        <f t="shared" si="29"/>
        <v>W1315391427</v>
      </c>
      <c r="P245" t="str">
        <f t="shared" si="30"/>
        <v>LO860BE03SHG-634715</v>
      </c>
      <c r="Q245" t="str">
        <f t="shared" si="31"/>
        <v>UPO011708</v>
      </c>
      <c r="R245" t="str">
        <f t="shared" si="32"/>
        <v>Faux Cils Superstar Mascara</v>
      </c>
      <c r="S245" t="str">
        <f t="shared" si="33"/>
        <v>AE61484</v>
      </c>
      <c r="T245">
        <f t="shared" si="34"/>
        <v>1</v>
      </c>
      <c r="U245">
        <f t="shared" si="35"/>
        <v>60</v>
      </c>
    </row>
    <row r="246" spans="1:21" x14ac:dyDescent="0.25">
      <c r="A246">
        <f t="shared" si="27"/>
        <v>11</v>
      </c>
      <c r="C246" t="s">
        <v>3194</v>
      </c>
      <c r="D246" t="s">
        <v>3195</v>
      </c>
      <c r="E246" t="s">
        <v>3189</v>
      </c>
      <c r="F246" t="s">
        <v>3196</v>
      </c>
      <c r="G246" t="s">
        <v>3193</v>
      </c>
      <c r="H246" s="2">
        <v>1</v>
      </c>
      <c r="I246" s="2">
        <v>55</v>
      </c>
      <c r="N246" t="str">
        <f t="shared" si="28"/>
        <v>Al Kunuz General Trading LLC</v>
      </c>
      <c r="O246" t="str">
        <f t="shared" si="29"/>
        <v>W1315440039</v>
      </c>
      <c r="P246" t="str">
        <f t="shared" si="30"/>
        <v>VA225BE55PPW-689454</v>
      </c>
      <c r="Q246" t="str">
        <f t="shared" si="31"/>
        <v>UPO011708</v>
      </c>
      <c r="R246" t="str">
        <f t="shared" si="32"/>
        <v>Vaadi Herbals Saffron-Sandal Facial Kit</v>
      </c>
      <c r="S246" t="str">
        <f t="shared" si="33"/>
        <v>AE61471</v>
      </c>
      <c r="T246">
        <f t="shared" si="34"/>
        <v>1</v>
      </c>
      <c r="U246">
        <f t="shared" si="35"/>
        <v>55</v>
      </c>
    </row>
    <row r="247" spans="1:21" x14ac:dyDescent="0.25">
      <c r="A247">
        <f t="shared" si="27"/>
        <v>11</v>
      </c>
      <c r="C247" t="s">
        <v>3198</v>
      </c>
      <c r="D247" t="s">
        <v>3199</v>
      </c>
      <c r="E247" t="s">
        <v>3189</v>
      </c>
      <c r="F247" t="s">
        <v>3200</v>
      </c>
      <c r="G247" t="s">
        <v>3197</v>
      </c>
      <c r="H247" s="2">
        <v>1</v>
      </c>
      <c r="I247" s="2">
        <v>39</v>
      </c>
      <c r="N247" t="str">
        <f t="shared" si="28"/>
        <v>Al Kunuz General Trading LLC</v>
      </c>
      <c r="O247" t="str">
        <f t="shared" si="29"/>
        <v>W1315439890</v>
      </c>
      <c r="P247" t="str">
        <f t="shared" si="30"/>
        <v>IR338BE91SJO-691318</v>
      </c>
      <c r="Q247" t="str">
        <f t="shared" si="31"/>
        <v>UPO011708</v>
      </c>
      <c r="R247" t="str">
        <f t="shared" si="32"/>
        <v>Iris Amogha Reed Diffuser with 8 Sticks - French Lavender</v>
      </c>
      <c r="S247" t="str">
        <f t="shared" si="33"/>
        <v>AE61472</v>
      </c>
      <c r="T247">
        <f t="shared" si="34"/>
        <v>1</v>
      </c>
      <c r="U247">
        <f t="shared" si="35"/>
        <v>39</v>
      </c>
    </row>
    <row r="248" spans="1:21" x14ac:dyDescent="0.25">
      <c r="A248">
        <f t="shared" si="27"/>
        <v>11</v>
      </c>
      <c r="C248" t="s">
        <v>3213</v>
      </c>
      <c r="D248" t="s">
        <v>3214</v>
      </c>
      <c r="E248" t="s">
        <v>3211</v>
      </c>
      <c r="F248" t="s">
        <v>3215</v>
      </c>
      <c r="G248" t="s">
        <v>3212</v>
      </c>
      <c r="H248" s="2">
        <v>1</v>
      </c>
      <c r="I248" s="2">
        <v>57</v>
      </c>
      <c r="N248" t="str">
        <f t="shared" si="28"/>
        <v>Al Kunuz General Trading LLC</v>
      </c>
      <c r="O248" t="str">
        <f t="shared" si="29"/>
        <v>W1315390651</v>
      </c>
      <c r="P248" t="str">
        <f t="shared" si="30"/>
        <v>MA096BE44QPJ-633550</v>
      </c>
      <c r="Q248" t="str">
        <f t="shared" si="31"/>
        <v>UPO011571</v>
      </c>
      <c r="R248" t="str">
        <f t="shared" si="32"/>
        <v>The Nudes Eyeshadow Palette</v>
      </c>
      <c r="S248" t="str">
        <f t="shared" si="33"/>
        <v>AE60844</v>
      </c>
      <c r="T248">
        <f t="shared" si="34"/>
        <v>1</v>
      </c>
      <c r="U248">
        <f t="shared" si="35"/>
        <v>57</v>
      </c>
    </row>
    <row r="249" spans="1:21" x14ac:dyDescent="0.25">
      <c r="A249">
        <f t="shared" si="27"/>
        <v>11</v>
      </c>
      <c r="E249" t="s">
        <v>3771</v>
      </c>
      <c r="F249" t="s">
        <v>3215</v>
      </c>
      <c r="G249" t="s">
        <v>3887</v>
      </c>
      <c r="H249" s="2">
        <v>1</v>
      </c>
      <c r="I249" s="2">
        <v>57</v>
      </c>
      <c r="N249" t="str">
        <f t="shared" si="28"/>
        <v>Al Kunuz General Trading LLC</v>
      </c>
      <c r="O249" t="str">
        <f t="shared" si="29"/>
        <v>W1315390651</v>
      </c>
      <c r="P249" t="str">
        <f t="shared" si="30"/>
        <v>MA096BE44QPJ-633550</v>
      </c>
      <c r="Q249" t="str">
        <f t="shared" si="31"/>
        <v>PO044367</v>
      </c>
      <c r="R249" t="str">
        <f t="shared" si="32"/>
        <v>The Nudes Eyeshadow Palette</v>
      </c>
      <c r="S249" t="str">
        <f t="shared" si="33"/>
        <v>SA961909</v>
      </c>
      <c r="T249">
        <f t="shared" si="34"/>
        <v>1</v>
      </c>
      <c r="U249">
        <f t="shared" si="35"/>
        <v>57</v>
      </c>
    </row>
    <row r="250" spans="1:21" x14ac:dyDescent="0.25">
      <c r="A250">
        <f t="shared" si="27"/>
        <v>11</v>
      </c>
      <c r="G250" t="s">
        <v>3888</v>
      </c>
      <c r="H250" s="2">
        <v>1</v>
      </c>
      <c r="I250" s="2">
        <v>57</v>
      </c>
      <c r="N250" t="str">
        <f t="shared" si="28"/>
        <v>Al Kunuz General Trading LLC</v>
      </c>
      <c r="O250" t="str">
        <f t="shared" si="29"/>
        <v>W1315390651</v>
      </c>
      <c r="P250" t="str">
        <f t="shared" si="30"/>
        <v>MA096BE44QPJ-633550</v>
      </c>
      <c r="Q250" t="str">
        <f t="shared" si="31"/>
        <v>PO044367</v>
      </c>
      <c r="R250" t="str">
        <f t="shared" si="32"/>
        <v>The Nudes Eyeshadow Palette</v>
      </c>
      <c r="S250" t="str">
        <f t="shared" si="33"/>
        <v>SA961956</v>
      </c>
      <c r="T250">
        <f t="shared" si="34"/>
        <v>1</v>
      </c>
      <c r="U250">
        <f t="shared" si="35"/>
        <v>57</v>
      </c>
    </row>
    <row r="251" spans="1:21" x14ac:dyDescent="0.25">
      <c r="A251">
        <f t="shared" si="27"/>
        <v>11</v>
      </c>
      <c r="C251" t="s">
        <v>3257</v>
      </c>
      <c r="D251" t="s">
        <v>3258</v>
      </c>
      <c r="E251" t="s">
        <v>5091</v>
      </c>
      <c r="F251" t="s">
        <v>3259</v>
      </c>
      <c r="G251" t="s">
        <v>5090</v>
      </c>
      <c r="H251" s="2">
        <v>1</v>
      </c>
      <c r="I251" s="2">
        <v>14</v>
      </c>
      <c r="N251" t="str">
        <f t="shared" si="28"/>
        <v>Al Kunuz General Trading LLC</v>
      </c>
      <c r="O251" t="str">
        <f t="shared" si="29"/>
        <v>W1315389384</v>
      </c>
      <c r="P251" t="str">
        <f t="shared" si="30"/>
        <v>LA081BE59RTO-634359</v>
      </c>
      <c r="Q251" t="str">
        <f t="shared" si="31"/>
        <v>PO044978</v>
      </c>
      <c r="R251" t="str">
        <f t="shared" si="32"/>
        <v>9 to 5 Black Impact Eye Liner</v>
      </c>
      <c r="S251" t="str">
        <f t="shared" si="33"/>
        <v>SA973949</v>
      </c>
      <c r="T251">
        <f t="shared" si="34"/>
        <v>1</v>
      </c>
      <c r="U251">
        <f t="shared" si="35"/>
        <v>14</v>
      </c>
    </row>
    <row r="252" spans="1:21" x14ac:dyDescent="0.25">
      <c r="A252">
        <f t="shared" si="27"/>
        <v>11</v>
      </c>
      <c r="C252" t="s">
        <v>3260</v>
      </c>
      <c r="D252" t="s">
        <v>3261</v>
      </c>
      <c r="E252" t="s">
        <v>4750</v>
      </c>
      <c r="F252" t="s">
        <v>3262</v>
      </c>
      <c r="G252" t="s">
        <v>4809</v>
      </c>
      <c r="H252" s="2">
        <v>1</v>
      </c>
      <c r="I252" s="2">
        <v>21</v>
      </c>
      <c r="N252" t="str">
        <f t="shared" si="28"/>
        <v>Al Kunuz General Trading LLC</v>
      </c>
      <c r="O252" t="str">
        <f t="shared" si="29"/>
        <v>W1315390710</v>
      </c>
      <c r="P252" t="str">
        <f t="shared" si="30"/>
        <v>MA096BE76PNF-632818</v>
      </c>
      <c r="Q252" t="str">
        <f t="shared" si="31"/>
        <v>UPO011861</v>
      </c>
      <c r="R252" t="str">
        <f t="shared" si="32"/>
        <v>Color Show Matte Lipstick - Lively Violet M401</v>
      </c>
      <c r="S252" t="str">
        <f t="shared" si="33"/>
        <v>AE61955</v>
      </c>
      <c r="T252">
        <f t="shared" si="34"/>
        <v>1</v>
      </c>
      <c r="U252">
        <f t="shared" si="35"/>
        <v>21</v>
      </c>
    </row>
    <row r="253" spans="1:21" x14ac:dyDescent="0.25">
      <c r="A253">
        <f t="shared" si="27"/>
        <v>11</v>
      </c>
      <c r="E253" t="s">
        <v>5091</v>
      </c>
      <c r="F253" t="s">
        <v>3262</v>
      </c>
      <c r="G253" t="s">
        <v>5355</v>
      </c>
      <c r="H253" s="2">
        <v>1</v>
      </c>
      <c r="I253" s="2">
        <v>21</v>
      </c>
      <c r="N253" t="str">
        <f t="shared" si="28"/>
        <v>Al Kunuz General Trading LLC</v>
      </c>
      <c r="O253" t="str">
        <f t="shared" si="29"/>
        <v>W1315390710</v>
      </c>
      <c r="P253" t="str">
        <f t="shared" si="30"/>
        <v>MA096BE76PNF-632818</v>
      </c>
      <c r="Q253" t="str">
        <f t="shared" si="31"/>
        <v>PO044978</v>
      </c>
      <c r="R253" t="str">
        <f t="shared" si="32"/>
        <v>Color Show Matte Lipstick - Lively Violet M401</v>
      </c>
      <c r="S253" t="str">
        <f t="shared" si="33"/>
        <v>SA977307</v>
      </c>
      <c r="T253">
        <f t="shared" si="34"/>
        <v>1</v>
      </c>
      <c r="U253">
        <f t="shared" si="35"/>
        <v>21</v>
      </c>
    </row>
    <row r="254" spans="1:21" x14ac:dyDescent="0.25">
      <c r="A254">
        <f t="shared" si="27"/>
        <v>11</v>
      </c>
      <c r="G254" t="s">
        <v>6531</v>
      </c>
      <c r="H254" s="2">
        <v>1</v>
      </c>
      <c r="I254" s="2">
        <v>21</v>
      </c>
      <c r="N254" t="str">
        <f t="shared" si="28"/>
        <v>Al Kunuz General Trading LLC</v>
      </c>
      <c r="O254" t="str">
        <f t="shared" si="29"/>
        <v>W1315390710</v>
      </c>
      <c r="P254" t="str">
        <f t="shared" si="30"/>
        <v>MA096BE76PNF-632818</v>
      </c>
      <c r="Q254" t="str">
        <f t="shared" si="31"/>
        <v>PO044978</v>
      </c>
      <c r="R254" t="str">
        <f t="shared" si="32"/>
        <v>Color Show Matte Lipstick - Lively Violet M401</v>
      </c>
      <c r="S254" t="str">
        <f t="shared" si="33"/>
        <v>SA988238</v>
      </c>
      <c r="T254">
        <f t="shared" si="34"/>
        <v>1</v>
      </c>
      <c r="U254">
        <f t="shared" si="35"/>
        <v>21</v>
      </c>
    </row>
    <row r="255" spans="1:21" x14ac:dyDescent="0.25">
      <c r="A255">
        <f t="shared" si="27"/>
        <v>11</v>
      </c>
      <c r="C255" t="s">
        <v>3267</v>
      </c>
      <c r="D255" t="s">
        <v>3268</v>
      </c>
      <c r="E255" t="s">
        <v>3264</v>
      </c>
      <c r="F255" t="s">
        <v>3269</v>
      </c>
      <c r="G255" t="s">
        <v>3266</v>
      </c>
      <c r="H255" s="2">
        <v>1</v>
      </c>
      <c r="I255" s="2">
        <v>25</v>
      </c>
      <c r="N255" t="str">
        <f t="shared" si="28"/>
        <v>Al Kunuz General Trading LLC</v>
      </c>
      <c r="O255" t="str">
        <f t="shared" si="29"/>
        <v>W1315316776</v>
      </c>
      <c r="P255" t="str">
        <f t="shared" si="30"/>
        <v>UN563AC97OBA-522622</v>
      </c>
      <c r="Q255" t="str">
        <f t="shared" si="31"/>
        <v>PO042940</v>
      </c>
      <c r="R255" t="str">
        <f t="shared" si="32"/>
        <v>Hand Crafted Genuine Leather Wallet for Men (UN173, Black)</v>
      </c>
      <c r="S255" t="str">
        <f t="shared" si="33"/>
        <v>SA896553</v>
      </c>
      <c r="T255">
        <f t="shared" si="34"/>
        <v>1</v>
      </c>
      <c r="U255">
        <f t="shared" si="35"/>
        <v>25</v>
      </c>
    </row>
    <row r="256" spans="1:21" x14ac:dyDescent="0.25">
      <c r="A256">
        <f t="shared" si="27"/>
        <v>11</v>
      </c>
      <c r="C256" t="s">
        <v>3271</v>
      </c>
      <c r="D256" t="s">
        <v>3272</v>
      </c>
      <c r="E256" t="s">
        <v>3264</v>
      </c>
      <c r="F256" t="s">
        <v>3273</v>
      </c>
      <c r="G256" t="s">
        <v>3270</v>
      </c>
      <c r="H256" s="2">
        <v>1</v>
      </c>
      <c r="I256" s="2">
        <v>7</v>
      </c>
      <c r="N256" t="str">
        <f t="shared" si="28"/>
        <v>Al Kunuz General Trading LLC</v>
      </c>
      <c r="O256" t="str">
        <f t="shared" si="29"/>
        <v>W1315437977</v>
      </c>
      <c r="P256" t="str">
        <f t="shared" si="30"/>
        <v>HI211BE57THY-691952</v>
      </c>
      <c r="Q256" t="str">
        <f t="shared" si="31"/>
        <v>PO042940</v>
      </c>
      <c r="R256" t="str">
        <f t="shared" si="32"/>
        <v>Himalaya Herbals Baby Powder - 200 gm</v>
      </c>
      <c r="S256" t="str">
        <f t="shared" si="33"/>
        <v>SA898668</v>
      </c>
      <c r="T256">
        <f t="shared" si="34"/>
        <v>1</v>
      </c>
      <c r="U256">
        <f t="shared" si="35"/>
        <v>7</v>
      </c>
    </row>
    <row r="257" spans="1:21" x14ac:dyDescent="0.25">
      <c r="A257">
        <f t="shared" si="27"/>
        <v>11</v>
      </c>
      <c r="C257" t="s">
        <v>3275</v>
      </c>
      <c r="D257" t="s">
        <v>3276</v>
      </c>
      <c r="E257" t="s">
        <v>4900</v>
      </c>
      <c r="F257" t="s">
        <v>3277</v>
      </c>
      <c r="G257" t="s">
        <v>5135</v>
      </c>
      <c r="H257" s="2">
        <v>1</v>
      </c>
      <c r="I257" s="2">
        <v>105</v>
      </c>
      <c r="N257" t="str">
        <f t="shared" si="28"/>
        <v>Al Kunuz General Trading LLC</v>
      </c>
      <c r="O257" t="str">
        <f t="shared" si="29"/>
        <v>W1315399025</v>
      </c>
      <c r="P257" t="str">
        <f t="shared" si="30"/>
        <v>SA222AT70CCJ-642944</v>
      </c>
      <c r="Q257" t="str">
        <f t="shared" si="31"/>
        <v>PO044697</v>
      </c>
      <c r="R257" t="str">
        <f t="shared" si="32"/>
        <v>Ikkat Belted Maxi Dress, Black/White</v>
      </c>
      <c r="S257" t="str">
        <f t="shared" si="33"/>
        <v>SA974160</v>
      </c>
      <c r="T257">
        <f t="shared" si="34"/>
        <v>1</v>
      </c>
      <c r="U257">
        <f t="shared" si="35"/>
        <v>105</v>
      </c>
    </row>
    <row r="258" spans="1:21" x14ac:dyDescent="0.25">
      <c r="A258">
        <f t="shared" si="27"/>
        <v>11</v>
      </c>
      <c r="C258" t="s">
        <v>3280</v>
      </c>
      <c r="D258" t="s">
        <v>3281</v>
      </c>
      <c r="E258" t="s">
        <v>3283</v>
      </c>
      <c r="F258" t="s">
        <v>3282</v>
      </c>
      <c r="G258" t="s">
        <v>3279</v>
      </c>
      <c r="H258" s="2">
        <v>1</v>
      </c>
      <c r="I258" s="2">
        <v>18</v>
      </c>
      <c r="N258" t="str">
        <f t="shared" si="28"/>
        <v>Al Kunuz General Trading LLC</v>
      </c>
      <c r="O258" t="str">
        <f t="shared" si="29"/>
        <v>W1315325889</v>
      </c>
      <c r="P258" t="str">
        <f t="shared" si="30"/>
        <v>AD592AC40DUX-548408</v>
      </c>
      <c r="Q258" t="str">
        <f t="shared" si="31"/>
        <v>PO043078</v>
      </c>
      <c r="R258" t="str">
        <f t="shared" si="32"/>
        <v>Adine Metal Unisex Aviator Sunglasses 3026 SILVER-BLUE</v>
      </c>
      <c r="S258" t="str">
        <f t="shared" si="33"/>
        <v>SA900847</v>
      </c>
      <c r="T258">
        <f t="shared" si="34"/>
        <v>1</v>
      </c>
      <c r="U258">
        <f t="shared" si="35"/>
        <v>18</v>
      </c>
    </row>
    <row r="259" spans="1:21" x14ac:dyDescent="0.25">
      <c r="A259">
        <f t="shared" si="27"/>
        <v>11</v>
      </c>
      <c r="C259" t="s">
        <v>3290</v>
      </c>
      <c r="D259" t="s">
        <v>3291</v>
      </c>
      <c r="E259" t="s">
        <v>3310</v>
      </c>
      <c r="F259" t="s">
        <v>3292</v>
      </c>
      <c r="G259" t="s">
        <v>3311</v>
      </c>
      <c r="H259" s="2">
        <v>1</v>
      </c>
      <c r="I259" s="2">
        <v>42</v>
      </c>
      <c r="N259" t="str">
        <f t="shared" si="28"/>
        <v>Al Kunuz General Trading LLC</v>
      </c>
      <c r="O259" t="str">
        <f t="shared" si="29"/>
        <v>W1315277824</v>
      </c>
      <c r="P259" t="str">
        <f t="shared" si="30"/>
        <v>SA222AT07BOQ-475443</v>
      </c>
      <c r="Q259" t="str">
        <f t="shared" si="31"/>
        <v>PO043203</v>
      </c>
      <c r="R259" t="str">
        <f t="shared" si="32"/>
        <v>Half Shirt, Ivory/Black</v>
      </c>
      <c r="S259" t="str">
        <f t="shared" si="33"/>
        <v>SA912169</v>
      </c>
      <c r="T259">
        <f t="shared" si="34"/>
        <v>1</v>
      </c>
      <c r="U259">
        <f t="shared" si="35"/>
        <v>42</v>
      </c>
    </row>
    <row r="260" spans="1:21" x14ac:dyDescent="0.25">
      <c r="A260">
        <f t="shared" ref="A260:A323" si="36">IF(ISBLANK(B260),A259,A259+1)</f>
        <v>11</v>
      </c>
      <c r="C260" t="s">
        <v>3293</v>
      </c>
      <c r="D260" t="s">
        <v>3294</v>
      </c>
      <c r="E260" t="s">
        <v>4900</v>
      </c>
      <c r="F260" t="s">
        <v>3295</v>
      </c>
      <c r="G260" t="s">
        <v>5348</v>
      </c>
      <c r="H260" s="2">
        <v>1</v>
      </c>
      <c r="I260" s="2">
        <v>18</v>
      </c>
      <c r="N260" t="str">
        <f t="shared" si="28"/>
        <v>Al Kunuz General Trading LLC</v>
      </c>
      <c r="O260" t="str">
        <f t="shared" si="29"/>
        <v>W1315325304</v>
      </c>
      <c r="P260" t="str">
        <f t="shared" si="30"/>
        <v>SI601AC93TVE-528505</v>
      </c>
      <c r="Q260" t="str">
        <f t="shared" si="31"/>
        <v>PO044697</v>
      </c>
      <c r="R260" t="str">
        <f t="shared" si="32"/>
        <v>Simaya Fashion Cuff (FB 0280, Gold tone)</v>
      </c>
      <c r="S260" t="str">
        <f t="shared" si="33"/>
        <v>SA976976</v>
      </c>
      <c r="T260">
        <f t="shared" si="34"/>
        <v>1</v>
      </c>
      <c r="U260">
        <f t="shared" si="35"/>
        <v>18</v>
      </c>
    </row>
    <row r="261" spans="1:21" x14ac:dyDescent="0.25">
      <c r="A261">
        <f t="shared" si="36"/>
        <v>11</v>
      </c>
      <c r="C261" t="s">
        <v>3297</v>
      </c>
      <c r="D261" t="s">
        <v>3298</v>
      </c>
      <c r="E261" t="s">
        <v>3300</v>
      </c>
      <c r="F261" t="s">
        <v>3299</v>
      </c>
      <c r="G261" t="s">
        <v>3296</v>
      </c>
      <c r="H261" s="2">
        <v>1</v>
      </c>
      <c r="I261" s="2">
        <v>105</v>
      </c>
      <c r="N261" t="str">
        <f t="shared" si="28"/>
        <v>Al Kunuz General Trading LLC</v>
      </c>
      <c r="O261" t="str">
        <f t="shared" si="29"/>
        <v>W1315412679</v>
      </c>
      <c r="P261" t="str">
        <f t="shared" si="30"/>
        <v>MU172AT24FAD-678148</v>
      </c>
      <c r="Q261" t="str">
        <f t="shared" si="31"/>
        <v>PO043284</v>
      </c>
      <c r="R261" t="str">
        <f t="shared" si="32"/>
        <v>Dress, White</v>
      </c>
      <c r="S261" t="str">
        <f t="shared" si="33"/>
        <v>SA909784</v>
      </c>
      <c r="T261">
        <f t="shared" si="34"/>
        <v>1</v>
      </c>
      <c r="U261">
        <f t="shared" si="35"/>
        <v>105</v>
      </c>
    </row>
    <row r="262" spans="1:21" x14ac:dyDescent="0.25">
      <c r="A262">
        <f t="shared" si="36"/>
        <v>11</v>
      </c>
      <c r="C262" t="s">
        <v>3302</v>
      </c>
      <c r="D262" t="s">
        <v>3303</v>
      </c>
      <c r="E262" t="s">
        <v>3305</v>
      </c>
      <c r="F262" t="s">
        <v>3304</v>
      </c>
      <c r="G262" t="s">
        <v>3301</v>
      </c>
      <c r="H262" s="2">
        <v>1</v>
      </c>
      <c r="I262" s="2">
        <v>40</v>
      </c>
      <c r="N262" t="str">
        <f t="shared" ref="N262:N325" si="37">IF(ISBLANK($A262),"",IF(ISBLANK(B262),N261,B262))</f>
        <v>Al Kunuz General Trading LLC</v>
      </c>
      <c r="O262" t="str">
        <f t="shared" ref="O262:O325" si="38">IF(ISBLANK($A262),"",IF(ISBLANK(C262),O261,C262))</f>
        <v>W1315380779</v>
      </c>
      <c r="P262" t="str">
        <f t="shared" ref="P262:P325" si="39">IF(ISBLANK($A262),"",IF(ISBLANK(D262),P261,D262))</f>
        <v>FA080AT05PAO-631943</v>
      </c>
      <c r="Q262" t="str">
        <f t="shared" ref="Q262:Q325" si="40">IF(ISBLANK($A262),"",IF(ISBLANK(E262),Q261,E262))</f>
        <v>PO043127</v>
      </c>
      <c r="R262" t="str">
        <f t="shared" ref="R262:R325" si="41">IF(ISBLANK($A262),"",IF(ISBLANK(F262),R261,F262))</f>
        <v>Casual Track Pants, Grey</v>
      </c>
      <c r="S262" t="str">
        <f t="shared" ref="S262:S325" si="42">IF(ISBLANK($A262),"",G262)</f>
        <v>SA910930</v>
      </c>
      <c r="T262">
        <f t="shared" ref="T262:T325" si="43">IF(ISBLANK($A262),"",H262)</f>
        <v>1</v>
      </c>
      <c r="U262">
        <f t="shared" ref="U262:U325" si="44">IF(ISBLANK($A262),"",I262)</f>
        <v>40</v>
      </c>
    </row>
    <row r="263" spans="1:21" x14ac:dyDescent="0.25">
      <c r="A263">
        <f t="shared" si="36"/>
        <v>11</v>
      </c>
      <c r="C263" t="s">
        <v>3307</v>
      </c>
      <c r="D263" t="s">
        <v>3308</v>
      </c>
      <c r="E263" t="s">
        <v>3310</v>
      </c>
      <c r="F263" t="s">
        <v>3309</v>
      </c>
      <c r="G263" t="s">
        <v>3306</v>
      </c>
      <c r="H263" s="2">
        <v>1</v>
      </c>
      <c r="I263" s="2">
        <v>54</v>
      </c>
      <c r="N263" t="str">
        <f t="shared" si="37"/>
        <v>Al Kunuz General Trading LLC</v>
      </c>
      <c r="O263" t="str">
        <f t="shared" si="38"/>
        <v>W1315364370</v>
      </c>
      <c r="P263" t="str">
        <f t="shared" si="39"/>
        <v>ST879AT54SPX-596960</v>
      </c>
      <c r="Q263" t="str">
        <f t="shared" si="40"/>
        <v>PO043203</v>
      </c>
      <c r="R263" t="str">
        <f t="shared" si="41"/>
        <v>Smuptuous Pleated Top, Wine</v>
      </c>
      <c r="S263" t="str">
        <f t="shared" si="42"/>
        <v>SA912167</v>
      </c>
      <c r="T263">
        <f t="shared" si="43"/>
        <v>1</v>
      </c>
      <c r="U263">
        <f t="shared" si="44"/>
        <v>54</v>
      </c>
    </row>
    <row r="264" spans="1:21" x14ac:dyDescent="0.25">
      <c r="A264">
        <f t="shared" si="36"/>
        <v>11</v>
      </c>
      <c r="C264" t="s">
        <v>3313</v>
      </c>
      <c r="D264" t="s">
        <v>3314</v>
      </c>
      <c r="E264" t="s">
        <v>3310</v>
      </c>
      <c r="F264" t="s">
        <v>3315</v>
      </c>
      <c r="G264" t="s">
        <v>3312</v>
      </c>
      <c r="H264" s="2">
        <v>1</v>
      </c>
      <c r="I264" s="2">
        <v>51</v>
      </c>
      <c r="N264" t="str">
        <f t="shared" si="37"/>
        <v>Al Kunuz General Trading LLC</v>
      </c>
      <c r="O264" t="str">
        <f t="shared" si="38"/>
        <v>W1315364521</v>
      </c>
      <c r="P264" t="str">
        <f t="shared" si="39"/>
        <v>ST879AT16SRJ-597111</v>
      </c>
      <c r="Q264" t="str">
        <f t="shared" si="40"/>
        <v>PO043203</v>
      </c>
      <c r="R264" t="str">
        <f t="shared" si="41"/>
        <v>Forever Ebony n Ivory Top, Pink</v>
      </c>
      <c r="S264" t="str">
        <f t="shared" si="42"/>
        <v>SA912170</v>
      </c>
      <c r="T264">
        <f t="shared" si="43"/>
        <v>1</v>
      </c>
      <c r="U264">
        <f t="shared" si="44"/>
        <v>51</v>
      </c>
    </row>
    <row r="265" spans="1:21" x14ac:dyDescent="0.25">
      <c r="A265">
        <f t="shared" si="36"/>
        <v>11</v>
      </c>
      <c r="C265" t="s">
        <v>3317</v>
      </c>
      <c r="D265" t="s">
        <v>3318</v>
      </c>
      <c r="E265" t="s">
        <v>3310</v>
      </c>
      <c r="F265" t="s">
        <v>3319</v>
      </c>
      <c r="G265" t="s">
        <v>3316</v>
      </c>
      <c r="H265" s="2">
        <v>1</v>
      </c>
      <c r="I265" s="2">
        <v>69</v>
      </c>
      <c r="N265" t="str">
        <f t="shared" si="37"/>
        <v>Al Kunuz General Trading LLC</v>
      </c>
      <c r="O265" t="str">
        <f t="shared" si="38"/>
        <v>W1315381280</v>
      </c>
      <c r="P265" t="str">
        <f t="shared" si="39"/>
        <v>MO687AT13UMO-636742</v>
      </c>
      <c r="Q265" t="str">
        <f t="shared" si="40"/>
        <v>PO043203</v>
      </c>
      <c r="R265" t="str">
        <f t="shared" si="41"/>
        <v>Casual Top, Multicolor</v>
      </c>
      <c r="S265" t="str">
        <f t="shared" si="42"/>
        <v>SA912836</v>
      </c>
      <c r="T265">
        <f t="shared" si="43"/>
        <v>1</v>
      </c>
      <c r="U265">
        <f t="shared" si="44"/>
        <v>69</v>
      </c>
    </row>
    <row r="266" spans="1:21" x14ac:dyDescent="0.25">
      <c r="A266">
        <f t="shared" si="36"/>
        <v>11</v>
      </c>
      <c r="C266" t="s">
        <v>3321</v>
      </c>
      <c r="D266" t="s">
        <v>3322</v>
      </c>
      <c r="E266" t="s">
        <v>3310</v>
      </c>
      <c r="F266" t="s">
        <v>3323</v>
      </c>
      <c r="G266" t="s">
        <v>3320</v>
      </c>
      <c r="H266" s="2">
        <v>1</v>
      </c>
      <c r="I266" s="2">
        <v>21</v>
      </c>
      <c r="N266" t="str">
        <f t="shared" si="37"/>
        <v>Al Kunuz General Trading LLC</v>
      </c>
      <c r="O266" t="str">
        <f t="shared" si="38"/>
        <v>W1315439631</v>
      </c>
      <c r="P266" t="str">
        <f t="shared" si="39"/>
        <v>MA093BE52RZN-691057</v>
      </c>
      <c r="Q266" t="str">
        <f t="shared" si="40"/>
        <v>PO043203</v>
      </c>
      <c r="R266" t="str">
        <f t="shared" si="41"/>
        <v>Makeup Revolution Eyeshadow - Smokin 2</v>
      </c>
      <c r="S266" t="str">
        <f t="shared" si="42"/>
        <v>SA912865</v>
      </c>
      <c r="T266">
        <f t="shared" si="43"/>
        <v>1</v>
      </c>
      <c r="U266">
        <f t="shared" si="44"/>
        <v>21</v>
      </c>
    </row>
    <row r="267" spans="1:21" x14ac:dyDescent="0.25">
      <c r="A267">
        <f t="shared" si="36"/>
        <v>11</v>
      </c>
      <c r="C267" t="s">
        <v>3326</v>
      </c>
      <c r="D267" t="s">
        <v>3327</v>
      </c>
      <c r="E267" t="s">
        <v>3329</v>
      </c>
      <c r="F267" t="s">
        <v>3328</v>
      </c>
      <c r="G267" t="s">
        <v>3325</v>
      </c>
      <c r="H267" s="2">
        <v>1</v>
      </c>
      <c r="I267" s="2">
        <v>333</v>
      </c>
      <c r="N267" t="str">
        <f t="shared" si="37"/>
        <v>Al Kunuz General Trading LLC</v>
      </c>
      <c r="O267" t="str">
        <f t="shared" si="38"/>
        <v>W1315416525</v>
      </c>
      <c r="P267" t="str">
        <f t="shared" si="39"/>
        <v>MU172AT38YUB-668994</v>
      </c>
      <c r="Q267" t="str">
        <f t="shared" si="40"/>
        <v>PO043321</v>
      </c>
      <c r="R267" t="str">
        <f t="shared" si="41"/>
        <v>Abaya, Navy</v>
      </c>
      <c r="S267" t="str">
        <f t="shared" si="42"/>
        <v>SA914070</v>
      </c>
      <c r="T267">
        <f t="shared" si="43"/>
        <v>1</v>
      </c>
      <c r="U267">
        <f t="shared" si="44"/>
        <v>333</v>
      </c>
    </row>
    <row r="268" spans="1:21" x14ac:dyDescent="0.25">
      <c r="A268">
        <f t="shared" si="36"/>
        <v>11</v>
      </c>
      <c r="C268" t="s">
        <v>3331</v>
      </c>
      <c r="D268" t="s">
        <v>3332</v>
      </c>
      <c r="E268" t="s">
        <v>3329</v>
      </c>
      <c r="F268" t="s">
        <v>2516</v>
      </c>
      <c r="G268" t="s">
        <v>3330</v>
      </c>
      <c r="H268" s="2">
        <v>1</v>
      </c>
      <c r="I268" s="2">
        <v>136</v>
      </c>
      <c r="N268" t="str">
        <f t="shared" si="37"/>
        <v>Al Kunuz General Trading LLC</v>
      </c>
      <c r="O268" t="str">
        <f t="shared" si="38"/>
        <v>W1315405495</v>
      </c>
      <c r="P268" t="str">
        <f t="shared" si="39"/>
        <v>MU172AT95WTW-665948</v>
      </c>
      <c r="Q268" t="str">
        <f t="shared" si="40"/>
        <v>PO043321</v>
      </c>
      <c r="R268" t="str">
        <f t="shared" si="41"/>
        <v>Abaya, Black</v>
      </c>
      <c r="S268" t="str">
        <f t="shared" si="42"/>
        <v>SA914071</v>
      </c>
      <c r="T268">
        <f t="shared" si="43"/>
        <v>1</v>
      </c>
      <c r="U268">
        <f t="shared" si="44"/>
        <v>136</v>
      </c>
    </row>
    <row r="269" spans="1:21" x14ac:dyDescent="0.25">
      <c r="A269">
        <f t="shared" si="36"/>
        <v>11</v>
      </c>
      <c r="C269" t="s">
        <v>3333</v>
      </c>
      <c r="D269" t="s">
        <v>3334</v>
      </c>
      <c r="E269" t="s">
        <v>3771</v>
      </c>
      <c r="F269" t="s">
        <v>3335</v>
      </c>
      <c r="G269" t="s">
        <v>3770</v>
      </c>
      <c r="H269" s="2">
        <v>1</v>
      </c>
      <c r="I269" s="2">
        <v>25</v>
      </c>
      <c r="N269" t="str">
        <f t="shared" si="37"/>
        <v>Al Kunuz General Trading LLC</v>
      </c>
      <c r="O269" t="str">
        <f t="shared" si="38"/>
        <v>W1315436132</v>
      </c>
      <c r="P269" t="str">
        <f t="shared" si="39"/>
        <v>TH257BE29PJE-689280</v>
      </c>
      <c r="Q269" t="str">
        <f t="shared" si="40"/>
        <v>PO044367</v>
      </c>
      <c r="R269" t="str">
        <f t="shared" si="41"/>
        <v>The Man Company Argan &amp; Geranium Beard Oil</v>
      </c>
      <c r="S269" t="str">
        <f t="shared" si="42"/>
        <v>SA957883</v>
      </c>
      <c r="T269">
        <f t="shared" si="43"/>
        <v>1</v>
      </c>
      <c r="U269">
        <f t="shared" si="44"/>
        <v>25</v>
      </c>
    </row>
    <row r="270" spans="1:21" x14ac:dyDescent="0.25">
      <c r="A270">
        <f t="shared" si="36"/>
        <v>11</v>
      </c>
      <c r="C270" t="s">
        <v>3337</v>
      </c>
      <c r="D270" t="s">
        <v>3338</v>
      </c>
      <c r="E270" t="s">
        <v>3310</v>
      </c>
      <c r="F270" t="s">
        <v>3339</v>
      </c>
      <c r="G270" t="s">
        <v>3336</v>
      </c>
      <c r="H270" s="2">
        <v>1</v>
      </c>
      <c r="I270" s="2">
        <v>88</v>
      </c>
      <c r="N270" t="str">
        <f t="shared" si="37"/>
        <v>Al Kunuz General Trading LLC</v>
      </c>
      <c r="O270" t="str">
        <f t="shared" si="38"/>
        <v>W1315399514</v>
      </c>
      <c r="P270" t="str">
        <f t="shared" si="39"/>
        <v>SA222AT70CGF-643433</v>
      </c>
      <c r="Q270" t="str">
        <f t="shared" si="40"/>
        <v>PO043203</v>
      </c>
      <c r="R270" t="str">
        <f t="shared" si="41"/>
        <v>Double Breasted Jacket, Navy Blue</v>
      </c>
      <c r="S270" t="str">
        <f t="shared" si="42"/>
        <v>SA914260</v>
      </c>
      <c r="T270">
        <f t="shared" si="43"/>
        <v>1</v>
      </c>
      <c r="U270">
        <f t="shared" si="44"/>
        <v>88</v>
      </c>
    </row>
    <row r="271" spans="1:21" x14ac:dyDescent="0.25">
      <c r="A271">
        <f t="shared" si="36"/>
        <v>11</v>
      </c>
      <c r="C271" t="s">
        <v>3341</v>
      </c>
      <c r="D271" t="s">
        <v>3342</v>
      </c>
      <c r="E271" t="s">
        <v>3300</v>
      </c>
      <c r="F271" t="s">
        <v>3343</v>
      </c>
      <c r="G271" t="s">
        <v>3340</v>
      </c>
      <c r="H271" s="2">
        <v>1</v>
      </c>
      <c r="I271" s="2">
        <v>46</v>
      </c>
      <c r="N271" t="str">
        <f t="shared" si="37"/>
        <v>Al Kunuz General Trading LLC</v>
      </c>
      <c r="O271" t="str">
        <f t="shared" si="38"/>
        <v>W1315399208</v>
      </c>
      <c r="P271" t="str">
        <f t="shared" si="39"/>
        <v>SA222AT32CDV-643127</v>
      </c>
      <c r="Q271" t="str">
        <f t="shared" si="40"/>
        <v>PO043284</v>
      </c>
      <c r="R271" t="str">
        <f t="shared" si="41"/>
        <v>Laser Cut-Out Top, Navy Blue</v>
      </c>
      <c r="S271" t="str">
        <f t="shared" si="42"/>
        <v>SA916527</v>
      </c>
      <c r="T271">
        <f t="shared" si="43"/>
        <v>1</v>
      </c>
      <c r="U271">
        <f t="shared" si="44"/>
        <v>46</v>
      </c>
    </row>
    <row r="272" spans="1:21" x14ac:dyDescent="0.25">
      <c r="A272">
        <f t="shared" si="36"/>
        <v>11</v>
      </c>
      <c r="C272" t="s">
        <v>3345</v>
      </c>
      <c r="D272" t="s">
        <v>3346</v>
      </c>
      <c r="E272" t="s">
        <v>3348</v>
      </c>
      <c r="F272" t="s">
        <v>3347</v>
      </c>
      <c r="G272" t="s">
        <v>3344</v>
      </c>
      <c r="H272" s="2">
        <v>1</v>
      </c>
      <c r="I272" s="2">
        <v>52</v>
      </c>
      <c r="N272" t="str">
        <f t="shared" si="37"/>
        <v>Al Kunuz General Trading LLC</v>
      </c>
      <c r="O272" t="str">
        <f t="shared" si="38"/>
        <v>W1315399369</v>
      </c>
      <c r="P272" t="str">
        <f t="shared" si="39"/>
        <v>SA222AT00CFB-643288</v>
      </c>
      <c r="Q272" t="str">
        <f t="shared" si="40"/>
        <v>PO043389</v>
      </c>
      <c r="R272" t="str">
        <f t="shared" si="41"/>
        <v>Peplum Scuba Top, Green</v>
      </c>
      <c r="S272" t="str">
        <f t="shared" si="42"/>
        <v>SA917770</v>
      </c>
      <c r="T272">
        <f t="shared" si="43"/>
        <v>1</v>
      </c>
      <c r="U272">
        <f t="shared" si="44"/>
        <v>52</v>
      </c>
    </row>
    <row r="273" spans="1:21" x14ac:dyDescent="0.25">
      <c r="A273">
        <f t="shared" si="36"/>
        <v>11</v>
      </c>
      <c r="C273" t="s">
        <v>3350</v>
      </c>
      <c r="D273" t="s">
        <v>3351</v>
      </c>
      <c r="E273" t="s">
        <v>3329</v>
      </c>
      <c r="F273" t="s">
        <v>3352</v>
      </c>
      <c r="G273" t="s">
        <v>3349</v>
      </c>
      <c r="H273" s="2">
        <v>1</v>
      </c>
      <c r="I273" s="2">
        <v>19</v>
      </c>
      <c r="N273" t="str">
        <f t="shared" si="37"/>
        <v>Al Kunuz General Trading LLC</v>
      </c>
      <c r="O273" t="str">
        <f t="shared" si="38"/>
        <v>W1315390586</v>
      </c>
      <c r="P273" t="str">
        <f t="shared" si="39"/>
        <v>MA093BE71RPG-634223</v>
      </c>
      <c r="Q273" t="str">
        <f t="shared" si="40"/>
        <v>PO043321</v>
      </c>
      <c r="R273" t="str">
        <f t="shared" si="41"/>
        <v>Eyeshadow - Adore Moi</v>
      </c>
      <c r="S273" t="str">
        <f t="shared" si="42"/>
        <v>SA918001</v>
      </c>
      <c r="T273">
        <f t="shared" si="43"/>
        <v>1</v>
      </c>
      <c r="U273">
        <f t="shared" si="44"/>
        <v>19</v>
      </c>
    </row>
    <row r="274" spans="1:21" x14ac:dyDescent="0.25">
      <c r="A274">
        <f t="shared" si="36"/>
        <v>11</v>
      </c>
      <c r="C274" t="s">
        <v>3354</v>
      </c>
      <c r="D274" t="s">
        <v>3355</v>
      </c>
      <c r="E274" t="s">
        <v>3329</v>
      </c>
      <c r="F274" t="s">
        <v>3356</v>
      </c>
      <c r="G274" t="s">
        <v>3353</v>
      </c>
      <c r="H274" s="2">
        <v>1</v>
      </c>
      <c r="I274" s="2">
        <v>13</v>
      </c>
      <c r="N274" t="str">
        <f t="shared" si="37"/>
        <v>Al Kunuz General Trading LLC</v>
      </c>
      <c r="O274" t="str">
        <f t="shared" si="38"/>
        <v>W1315389385</v>
      </c>
      <c r="P274" t="str">
        <f t="shared" si="39"/>
        <v>LA081BE77RLE-634117</v>
      </c>
      <c r="Q274" t="str">
        <f t="shared" si="40"/>
        <v>PO043321</v>
      </c>
      <c r="R274" t="str">
        <f t="shared" si="41"/>
        <v>Eyeconic Kajal - Black</v>
      </c>
      <c r="S274" t="str">
        <f t="shared" si="42"/>
        <v>SA918308</v>
      </c>
      <c r="T274">
        <f t="shared" si="43"/>
        <v>1</v>
      </c>
      <c r="U274">
        <f t="shared" si="44"/>
        <v>13</v>
      </c>
    </row>
    <row r="275" spans="1:21" x14ac:dyDescent="0.25">
      <c r="A275">
        <f t="shared" si="36"/>
        <v>11</v>
      </c>
      <c r="C275" t="s">
        <v>3358</v>
      </c>
      <c r="D275" t="s">
        <v>3359</v>
      </c>
      <c r="E275" t="s">
        <v>3329</v>
      </c>
      <c r="F275" t="s">
        <v>4867</v>
      </c>
      <c r="G275" t="s">
        <v>3357</v>
      </c>
      <c r="H275" s="2">
        <v>1</v>
      </c>
      <c r="I275" s="2">
        <v>111</v>
      </c>
      <c r="N275" t="str">
        <f t="shared" si="37"/>
        <v>Al Kunuz General Trading LLC</v>
      </c>
      <c r="O275" t="str">
        <f t="shared" si="38"/>
        <v>W1315244129</v>
      </c>
      <c r="P275" t="str">
        <f t="shared" si="39"/>
        <v>TH106AT00UPF-438466</v>
      </c>
      <c r="Q275" t="str">
        <f t="shared" si="40"/>
        <v>PO043321</v>
      </c>
      <c r="R275" t="str">
        <f t="shared" si="41"/>
        <v>The Vanca Maxi Dress In Black Color With Printed Body Part Detail - Black</v>
      </c>
      <c r="S275" t="str">
        <f t="shared" si="42"/>
        <v>SA918331</v>
      </c>
      <c r="T275">
        <f t="shared" si="43"/>
        <v>1</v>
      </c>
      <c r="U275">
        <f t="shared" si="44"/>
        <v>111</v>
      </c>
    </row>
    <row r="276" spans="1:21" x14ac:dyDescent="0.25">
      <c r="A276">
        <f t="shared" si="36"/>
        <v>11</v>
      </c>
      <c r="C276" t="s">
        <v>3361</v>
      </c>
      <c r="D276" t="s">
        <v>3362</v>
      </c>
      <c r="E276" t="s">
        <v>3348</v>
      </c>
      <c r="F276" t="s">
        <v>3363</v>
      </c>
      <c r="G276" t="s">
        <v>3360</v>
      </c>
      <c r="H276" s="2">
        <v>1</v>
      </c>
      <c r="I276" s="2">
        <v>179</v>
      </c>
      <c r="N276" t="str">
        <f t="shared" si="37"/>
        <v>Al Kunuz General Trading LLC</v>
      </c>
      <c r="O276" t="str">
        <f t="shared" si="38"/>
        <v>W1315405215</v>
      </c>
      <c r="P276" t="str">
        <f t="shared" si="39"/>
        <v>MU172AT05XIW-666837</v>
      </c>
      <c r="Q276" t="str">
        <f t="shared" si="40"/>
        <v>PO043389</v>
      </c>
      <c r="R276" t="str">
        <f t="shared" si="41"/>
        <v>Abaya, Mink</v>
      </c>
      <c r="S276" t="str">
        <f t="shared" si="42"/>
        <v>SA919168</v>
      </c>
      <c r="T276">
        <f t="shared" si="43"/>
        <v>1</v>
      </c>
      <c r="U276">
        <f t="shared" si="44"/>
        <v>179</v>
      </c>
    </row>
    <row r="277" spans="1:21" x14ac:dyDescent="0.25">
      <c r="A277">
        <f t="shared" si="36"/>
        <v>11</v>
      </c>
      <c r="C277" t="s">
        <v>3365</v>
      </c>
      <c r="D277" t="s">
        <v>3366</v>
      </c>
      <c r="E277" t="s">
        <v>3368</v>
      </c>
      <c r="F277" t="s">
        <v>3367</v>
      </c>
      <c r="G277" t="s">
        <v>3364</v>
      </c>
      <c r="H277" s="2">
        <v>1</v>
      </c>
      <c r="I277" s="2">
        <v>15</v>
      </c>
      <c r="N277" t="str">
        <f t="shared" si="37"/>
        <v>Al Kunuz General Trading LLC</v>
      </c>
      <c r="O277" t="str">
        <f t="shared" si="38"/>
        <v>W1315325761</v>
      </c>
      <c r="P277" t="str">
        <f t="shared" si="39"/>
        <v>SI601AC26UUV-529373</v>
      </c>
      <c r="Q277" t="str">
        <f t="shared" si="40"/>
        <v>PO043597</v>
      </c>
      <c r="R277" t="str">
        <f t="shared" si="41"/>
        <v>Simaya Fashion Hand Harness (FH 0110, Rhodium tone)</v>
      </c>
      <c r="S277" t="str">
        <f t="shared" si="42"/>
        <v>SA919697</v>
      </c>
      <c r="T277">
        <f t="shared" si="43"/>
        <v>1</v>
      </c>
      <c r="U277">
        <f t="shared" si="44"/>
        <v>15</v>
      </c>
    </row>
    <row r="278" spans="1:21" x14ac:dyDescent="0.25">
      <c r="A278">
        <f t="shared" si="36"/>
        <v>11</v>
      </c>
      <c r="C278" t="s">
        <v>3370</v>
      </c>
      <c r="D278" t="s">
        <v>3371</v>
      </c>
      <c r="E278" t="s">
        <v>3265</v>
      </c>
      <c r="F278" t="s">
        <v>3372</v>
      </c>
      <c r="G278" t="s">
        <v>3369</v>
      </c>
      <c r="H278" s="2">
        <v>1</v>
      </c>
      <c r="I278" s="2">
        <v>36</v>
      </c>
      <c r="N278" t="str">
        <f t="shared" si="37"/>
        <v>Al Kunuz General Trading LLC</v>
      </c>
      <c r="O278" t="str">
        <f t="shared" si="38"/>
        <v>W1315397939</v>
      </c>
      <c r="P278" t="str">
        <f t="shared" si="39"/>
        <v>CA149AC43BRW-642496</v>
      </c>
      <c r="Q278" t="str">
        <f t="shared" si="40"/>
        <v>PO043441</v>
      </c>
      <c r="R278" t="str">
        <f t="shared" si="41"/>
        <v>Round Unisex Sunglasses (SAG108, Black)</v>
      </c>
      <c r="S278" t="str">
        <f t="shared" si="42"/>
        <v>SA921641</v>
      </c>
      <c r="T278">
        <f t="shared" si="43"/>
        <v>1</v>
      </c>
      <c r="U278">
        <f t="shared" si="44"/>
        <v>36</v>
      </c>
    </row>
    <row r="279" spans="1:21" x14ac:dyDescent="0.25">
      <c r="A279">
        <f t="shared" si="36"/>
        <v>11</v>
      </c>
      <c r="C279" t="s">
        <v>3374</v>
      </c>
      <c r="D279" t="s">
        <v>3375</v>
      </c>
      <c r="E279" t="s">
        <v>3265</v>
      </c>
      <c r="F279" t="s">
        <v>3376</v>
      </c>
      <c r="G279" t="s">
        <v>3373</v>
      </c>
      <c r="H279" s="2">
        <v>1</v>
      </c>
      <c r="I279" s="2">
        <v>38</v>
      </c>
      <c r="N279" t="str">
        <f t="shared" si="37"/>
        <v>Al Kunuz General Trading LLC</v>
      </c>
      <c r="O279" t="str">
        <f t="shared" si="38"/>
        <v>W1315277842</v>
      </c>
      <c r="P279" t="str">
        <f t="shared" si="39"/>
        <v>SA222AT03BOU-475461</v>
      </c>
      <c r="Q279" t="str">
        <f t="shared" si="40"/>
        <v>PO043441</v>
      </c>
      <c r="R279" t="str">
        <f t="shared" si="41"/>
        <v>Shirts and Blouses, Black/White</v>
      </c>
      <c r="S279" t="str">
        <f t="shared" si="42"/>
        <v>SA922618</v>
      </c>
      <c r="T279">
        <f t="shared" si="43"/>
        <v>1</v>
      </c>
      <c r="U279">
        <f t="shared" si="44"/>
        <v>38</v>
      </c>
    </row>
    <row r="280" spans="1:21" x14ac:dyDescent="0.25">
      <c r="A280">
        <f t="shared" si="36"/>
        <v>11</v>
      </c>
      <c r="C280" t="s">
        <v>3378</v>
      </c>
      <c r="D280" t="s">
        <v>3379</v>
      </c>
      <c r="E280" t="s">
        <v>3265</v>
      </c>
      <c r="F280" t="s">
        <v>3380</v>
      </c>
      <c r="G280" t="s">
        <v>3377</v>
      </c>
      <c r="H280" s="2">
        <v>1</v>
      </c>
      <c r="I280" s="2">
        <v>46</v>
      </c>
      <c r="N280" t="str">
        <f t="shared" si="37"/>
        <v>Al Kunuz General Trading LLC</v>
      </c>
      <c r="O280" t="str">
        <f t="shared" si="38"/>
        <v>W1315399175</v>
      </c>
      <c r="P280" t="str">
        <f t="shared" si="39"/>
        <v>SA222AT39CDO-643094</v>
      </c>
      <c r="Q280" t="str">
        <f t="shared" si="40"/>
        <v>PO043441</v>
      </c>
      <c r="R280" t="str">
        <f t="shared" si="41"/>
        <v>Midnight Color Block Top, Ivory/Navy/Mustard</v>
      </c>
      <c r="S280" t="str">
        <f t="shared" si="42"/>
        <v>SA922755</v>
      </c>
      <c r="T280">
        <f t="shared" si="43"/>
        <v>1</v>
      </c>
      <c r="U280">
        <f t="shared" si="44"/>
        <v>46</v>
      </c>
    </row>
    <row r="281" spans="1:21" x14ac:dyDescent="0.25">
      <c r="A281">
        <f t="shared" si="36"/>
        <v>11</v>
      </c>
      <c r="E281" t="s">
        <v>3398</v>
      </c>
      <c r="F281" t="s">
        <v>3380</v>
      </c>
      <c r="G281" t="s">
        <v>3397</v>
      </c>
      <c r="H281" s="2">
        <v>1</v>
      </c>
      <c r="I281" s="2">
        <v>46</v>
      </c>
      <c r="N281" t="str">
        <f t="shared" si="37"/>
        <v>Al Kunuz General Trading LLC</v>
      </c>
      <c r="O281" t="str">
        <f t="shared" si="38"/>
        <v>W1315399175</v>
      </c>
      <c r="P281" t="str">
        <f t="shared" si="39"/>
        <v>SA222AT39CDO-643094</v>
      </c>
      <c r="Q281" t="str">
        <f t="shared" si="40"/>
        <v>PO043510</v>
      </c>
      <c r="R281" t="str">
        <f t="shared" si="41"/>
        <v>Midnight Color Block Top, Ivory/Navy/Mustard</v>
      </c>
      <c r="S281" t="str">
        <f t="shared" si="42"/>
        <v>SA925787</v>
      </c>
      <c r="T281">
        <f t="shared" si="43"/>
        <v>1</v>
      </c>
      <c r="U281">
        <f t="shared" si="44"/>
        <v>46</v>
      </c>
    </row>
    <row r="282" spans="1:21" x14ac:dyDescent="0.25">
      <c r="A282">
        <f t="shared" si="36"/>
        <v>11</v>
      </c>
      <c r="C282" t="s">
        <v>3382</v>
      </c>
      <c r="D282" t="s">
        <v>3383</v>
      </c>
      <c r="E282" t="s">
        <v>3265</v>
      </c>
      <c r="F282" t="s">
        <v>3384</v>
      </c>
      <c r="G282" t="s">
        <v>3381</v>
      </c>
      <c r="H282" s="2">
        <v>1</v>
      </c>
      <c r="I282" s="2">
        <v>49</v>
      </c>
      <c r="N282" t="str">
        <f t="shared" si="37"/>
        <v>Al Kunuz General Trading LLC</v>
      </c>
      <c r="O282" t="str">
        <f t="shared" si="38"/>
        <v>W1315334849</v>
      </c>
      <c r="P282" t="str">
        <f t="shared" si="39"/>
        <v>YE659AT33NDM-567935</v>
      </c>
      <c r="Q282" t="str">
        <f t="shared" si="40"/>
        <v>PO043441</v>
      </c>
      <c r="R282" t="str">
        <f t="shared" si="41"/>
        <v>Garine Culotte, Grey</v>
      </c>
      <c r="S282" t="str">
        <f t="shared" si="42"/>
        <v>SA923043</v>
      </c>
      <c r="T282">
        <f t="shared" si="43"/>
        <v>1</v>
      </c>
      <c r="U282">
        <f t="shared" si="44"/>
        <v>49</v>
      </c>
    </row>
    <row r="283" spans="1:21" x14ac:dyDescent="0.25">
      <c r="A283">
        <f t="shared" si="36"/>
        <v>11</v>
      </c>
      <c r="C283" t="s">
        <v>3386</v>
      </c>
      <c r="D283" t="s">
        <v>3387</v>
      </c>
      <c r="E283" t="s">
        <v>3265</v>
      </c>
      <c r="F283" t="s">
        <v>3388</v>
      </c>
      <c r="G283" t="s">
        <v>3385</v>
      </c>
      <c r="H283" s="2">
        <v>1</v>
      </c>
      <c r="I283" s="2">
        <v>167</v>
      </c>
      <c r="N283" t="str">
        <f t="shared" si="37"/>
        <v>Al Kunuz General Trading LLC</v>
      </c>
      <c r="O283" t="str">
        <f t="shared" si="38"/>
        <v>W1315410560</v>
      </c>
      <c r="P283" t="str">
        <f t="shared" si="39"/>
        <v>MU172AT32DYX-676623</v>
      </c>
      <c r="Q283" t="str">
        <f t="shared" si="40"/>
        <v>PO043441</v>
      </c>
      <c r="R283" t="str">
        <f t="shared" si="41"/>
        <v>Dress, Brown</v>
      </c>
      <c r="S283" t="str">
        <f t="shared" si="42"/>
        <v>SA924328</v>
      </c>
      <c r="T283">
        <f t="shared" si="43"/>
        <v>1</v>
      </c>
      <c r="U283">
        <f t="shared" si="44"/>
        <v>167</v>
      </c>
    </row>
    <row r="284" spans="1:21" x14ac:dyDescent="0.25">
      <c r="A284">
        <f t="shared" si="36"/>
        <v>11</v>
      </c>
      <c r="C284" t="s">
        <v>3390</v>
      </c>
      <c r="D284" t="s">
        <v>3391</v>
      </c>
      <c r="E284" t="s">
        <v>3265</v>
      </c>
      <c r="F284" t="s">
        <v>3392</v>
      </c>
      <c r="G284" t="s">
        <v>3389</v>
      </c>
      <c r="H284" s="2">
        <v>1</v>
      </c>
      <c r="I284" s="2">
        <v>50</v>
      </c>
      <c r="N284" t="str">
        <f t="shared" si="37"/>
        <v>Al Kunuz General Trading LLC</v>
      </c>
      <c r="O284" t="str">
        <f t="shared" si="38"/>
        <v>W1315327278</v>
      </c>
      <c r="P284" t="str">
        <f t="shared" si="39"/>
        <v>ST879AT89WEW-530342</v>
      </c>
      <c r="Q284" t="str">
        <f t="shared" si="40"/>
        <v>PO043441</v>
      </c>
      <c r="R284" t="str">
        <f t="shared" si="41"/>
        <v>T-Shirt with Lace (Pack of 2), White &amp; Grey Melange</v>
      </c>
      <c r="S284" t="str">
        <f t="shared" si="42"/>
        <v>SA925496</v>
      </c>
      <c r="T284">
        <f t="shared" si="43"/>
        <v>1</v>
      </c>
      <c r="U284">
        <f t="shared" si="44"/>
        <v>50</v>
      </c>
    </row>
    <row r="285" spans="1:21" x14ac:dyDescent="0.25">
      <c r="A285">
        <f t="shared" si="36"/>
        <v>11</v>
      </c>
      <c r="C285" t="s">
        <v>3394</v>
      </c>
      <c r="D285" t="s">
        <v>3395</v>
      </c>
      <c r="E285" t="s">
        <v>3368</v>
      </c>
      <c r="F285" t="s">
        <v>3396</v>
      </c>
      <c r="G285" t="s">
        <v>3393</v>
      </c>
      <c r="H285" s="2">
        <v>1</v>
      </c>
      <c r="I285" s="2">
        <v>23</v>
      </c>
      <c r="N285" t="str">
        <f t="shared" si="37"/>
        <v>Al Kunuz General Trading LLC</v>
      </c>
      <c r="O285" t="str">
        <f t="shared" si="38"/>
        <v>W1315339334</v>
      </c>
      <c r="P285" t="str">
        <f t="shared" si="39"/>
        <v>SR372AC21RHQ-573450</v>
      </c>
      <c r="Q285" t="str">
        <f t="shared" si="40"/>
        <v>PO043597</v>
      </c>
      <c r="R285" t="str">
        <f t="shared" si="41"/>
        <v>Clutches for Women (SWB0007TN, Tan)</v>
      </c>
      <c r="S285" t="str">
        <f t="shared" si="42"/>
        <v>SA925764</v>
      </c>
      <c r="T285">
        <f t="shared" si="43"/>
        <v>1</v>
      </c>
      <c r="U285">
        <f t="shared" si="44"/>
        <v>23</v>
      </c>
    </row>
    <row r="286" spans="1:21" x14ac:dyDescent="0.25">
      <c r="A286">
        <f t="shared" si="36"/>
        <v>11</v>
      </c>
      <c r="E286" t="s">
        <v>3417</v>
      </c>
      <c r="F286" t="s">
        <v>3396</v>
      </c>
      <c r="G286" t="s">
        <v>3416</v>
      </c>
      <c r="H286" s="2">
        <v>1</v>
      </c>
      <c r="I286" s="2">
        <v>23</v>
      </c>
      <c r="N286" t="str">
        <f t="shared" si="37"/>
        <v>Al Kunuz General Trading LLC</v>
      </c>
      <c r="O286" t="str">
        <f t="shared" si="38"/>
        <v>W1315339334</v>
      </c>
      <c r="P286" t="str">
        <f t="shared" si="39"/>
        <v>SR372AC21RHQ-573450</v>
      </c>
      <c r="Q286" t="str">
        <f t="shared" si="40"/>
        <v>PO043767</v>
      </c>
      <c r="R286" t="str">
        <f t="shared" si="41"/>
        <v>Clutches for Women (SWB0007TN, Tan)</v>
      </c>
      <c r="S286" t="str">
        <f t="shared" si="42"/>
        <v>SA931707</v>
      </c>
      <c r="T286">
        <f t="shared" si="43"/>
        <v>1</v>
      </c>
      <c r="U286">
        <f t="shared" si="44"/>
        <v>23</v>
      </c>
    </row>
    <row r="287" spans="1:21" x14ac:dyDescent="0.25">
      <c r="A287">
        <f t="shared" si="36"/>
        <v>11</v>
      </c>
      <c r="C287" t="s">
        <v>3400</v>
      </c>
      <c r="D287" t="s">
        <v>3401</v>
      </c>
      <c r="E287" t="s">
        <v>3368</v>
      </c>
      <c r="F287" t="s">
        <v>3402</v>
      </c>
      <c r="G287" t="s">
        <v>3399</v>
      </c>
      <c r="H287" s="2">
        <v>1</v>
      </c>
      <c r="I287" s="2">
        <v>65</v>
      </c>
      <c r="N287" t="str">
        <f t="shared" si="37"/>
        <v>Al Kunuz General Trading LLC</v>
      </c>
      <c r="O287" t="str">
        <f t="shared" si="38"/>
        <v>W1315389355</v>
      </c>
      <c r="P287" t="str">
        <f t="shared" si="39"/>
        <v>LO860BE98RZT-634520</v>
      </c>
      <c r="Q287" t="str">
        <f t="shared" si="40"/>
        <v>PO043597</v>
      </c>
      <c r="R287" t="str">
        <f t="shared" si="41"/>
        <v>True Match Liquid Foundation - Golden Capuccino</v>
      </c>
      <c r="S287" t="str">
        <f t="shared" si="42"/>
        <v>SA926451</v>
      </c>
      <c r="T287">
        <f t="shared" si="43"/>
        <v>1</v>
      </c>
      <c r="U287">
        <f t="shared" si="44"/>
        <v>65</v>
      </c>
    </row>
    <row r="288" spans="1:21" x14ac:dyDescent="0.25">
      <c r="A288">
        <f t="shared" si="36"/>
        <v>11</v>
      </c>
      <c r="C288" t="s">
        <v>3405</v>
      </c>
      <c r="D288" t="s">
        <v>3406</v>
      </c>
      <c r="E288" t="s">
        <v>4900</v>
      </c>
      <c r="F288" t="s">
        <v>3407</v>
      </c>
      <c r="G288" t="s">
        <v>5127</v>
      </c>
      <c r="H288" s="2">
        <v>1</v>
      </c>
      <c r="I288" s="2">
        <v>59</v>
      </c>
      <c r="N288" t="str">
        <f t="shared" si="37"/>
        <v>Al Kunuz General Trading LLC</v>
      </c>
      <c r="O288" t="str">
        <f t="shared" si="38"/>
        <v>W1315277856</v>
      </c>
      <c r="P288" t="str">
        <f t="shared" si="39"/>
        <v>SA222AT88BPJ-475487</v>
      </c>
      <c r="Q288" t="str">
        <f t="shared" si="40"/>
        <v>PO044697</v>
      </c>
      <c r="R288" t="str">
        <f t="shared" si="41"/>
        <v>Shoulder Cut Shirt, Maroon</v>
      </c>
      <c r="S288" t="str">
        <f t="shared" si="42"/>
        <v>SA974126</v>
      </c>
      <c r="T288">
        <f t="shared" si="43"/>
        <v>1</v>
      </c>
      <c r="U288">
        <f t="shared" si="44"/>
        <v>59</v>
      </c>
    </row>
    <row r="289" spans="1:21" x14ac:dyDescent="0.25">
      <c r="A289">
        <f t="shared" si="36"/>
        <v>11</v>
      </c>
      <c r="C289" t="s">
        <v>3413</v>
      </c>
      <c r="D289" t="s">
        <v>3414</v>
      </c>
      <c r="E289" t="s">
        <v>3368</v>
      </c>
      <c r="F289" t="s">
        <v>3415</v>
      </c>
      <c r="G289" t="s">
        <v>3412</v>
      </c>
      <c r="H289" s="2">
        <v>1</v>
      </c>
      <c r="I289" s="2">
        <v>59</v>
      </c>
      <c r="N289" t="str">
        <f t="shared" si="37"/>
        <v>Al Kunuz General Trading LLC</v>
      </c>
      <c r="O289" t="str">
        <f t="shared" si="38"/>
        <v>W1315399707</v>
      </c>
      <c r="P289" t="str">
        <f t="shared" si="39"/>
        <v>SA222AT31CHS-643626</v>
      </c>
      <c r="Q289" t="str">
        <f t="shared" si="40"/>
        <v>PO043597</v>
      </c>
      <c r="R289" t="str">
        <f t="shared" si="41"/>
        <v>Cuffed Sleeve Blouse, Navy Blue</v>
      </c>
      <c r="S289" t="str">
        <f t="shared" si="42"/>
        <v>SA930120</v>
      </c>
      <c r="T289">
        <f t="shared" si="43"/>
        <v>1</v>
      </c>
      <c r="U289">
        <f t="shared" si="44"/>
        <v>59</v>
      </c>
    </row>
    <row r="290" spans="1:21" x14ac:dyDescent="0.25">
      <c r="A290">
        <f t="shared" si="36"/>
        <v>11</v>
      </c>
      <c r="E290" t="s">
        <v>3436</v>
      </c>
      <c r="F290" t="s">
        <v>3415</v>
      </c>
      <c r="G290" t="s">
        <v>3646</v>
      </c>
      <c r="H290" s="2">
        <v>1</v>
      </c>
      <c r="I290" s="2">
        <v>59</v>
      </c>
      <c r="N290" t="str">
        <f t="shared" si="37"/>
        <v>Al Kunuz General Trading LLC</v>
      </c>
      <c r="O290" t="str">
        <f t="shared" si="38"/>
        <v>W1315399707</v>
      </c>
      <c r="P290" t="str">
        <f t="shared" si="39"/>
        <v>SA222AT31CHS-643626</v>
      </c>
      <c r="Q290" t="str">
        <f t="shared" si="40"/>
        <v>PO044029</v>
      </c>
      <c r="R290" t="str">
        <f t="shared" si="41"/>
        <v>Cuffed Sleeve Blouse, Navy Blue</v>
      </c>
      <c r="S290" t="str">
        <f t="shared" si="42"/>
        <v>SA950008</v>
      </c>
      <c r="T290">
        <f t="shared" si="43"/>
        <v>1</v>
      </c>
      <c r="U290">
        <f t="shared" si="44"/>
        <v>59</v>
      </c>
    </row>
    <row r="291" spans="1:21" x14ac:dyDescent="0.25">
      <c r="A291">
        <f t="shared" si="36"/>
        <v>11</v>
      </c>
      <c r="C291" t="s">
        <v>3422</v>
      </c>
      <c r="D291" t="s">
        <v>3423</v>
      </c>
      <c r="E291" t="s">
        <v>3420</v>
      </c>
      <c r="F291" t="s">
        <v>3424</v>
      </c>
      <c r="G291" t="s">
        <v>3421</v>
      </c>
      <c r="H291" s="2">
        <v>1</v>
      </c>
      <c r="I291" s="2">
        <v>53</v>
      </c>
      <c r="N291" t="str">
        <f t="shared" si="37"/>
        <v>Al Kunuz General Trading LLC</v>
      </c>
      <c r="O291" t="str">
        <f t="shared" si="38"/>
        <v>W1315278136</v>
      </c>
      <c r="P291" t="str">
        <f t="shared" si="39"/>
        <v>SA222AT80BTN-475810</v>
      </c>
      <c r="Q291" t="str">
        <f t="shared" si="40"/>
        <v>PO043703</v>
      </c>
      <c r="R291" t="str">
        <f t="shared" si="41"/>
        <v>Long Sleeves Top, Black</v>
      </c>
      <c r="S291" t="str">
        <f t="shared" si="42"/>
        <v>SA933539</v>
      </c>
      <c r="T291">
        <f t="shared" si="43"/>
        <v>1</v>
      </c>
      <c r="U291">
        <f t="shared" si="44"/>
        <v>53</v>
      </c>
    </row>
    <row r="292" spans="1:21" x14ac:dyDescent="0.25">
      <c r="A292">
        <f t="shared" si="36"/>
        <v>11</v>
      </c>
      <c r="C292" t="s">
        <v>3426</v>
      </c>
      <c r="D292" t="s">
        <v>3427</v>
      </c>
      <c r="E292" t="s">
        <v>3404</v>
      </c>
      <c r="F292" t="s">
        <v>3428</v>
      </c>
      <c r="G292" t="s">
        <v>3425</v>
      </c>
      <c r="H292" s="2">
        <v>1</v>
      </c>
      <c r="I292" s="2">
        <v>92</v>
      </c>
      <c r="N292" t="str">
        <f t="shared" si="37"/>
        <v>Al Kunuz General Trading LLC</v>
      </c>
      <c r="O292" t="str">
        <f t="shared" si="38"/>
        <v>W1315347854</v>
      </c>
      <c r="P292" t="str">
        <f t="shared" si="39"/>
        <v>RI918AT33EXA-583618</v>
      </c>
      <c r="Q292" t="str">
        <f t="shared" si="40"/>
        <v>PO043914</v>
      </c>
      <c r="R292" t="str">
        <f t="shared" si="41"/>
        <v>Pleated Sleve High Neck Blouse, Black</v>
      </c>
      <c r="S292" t="str">
        <f t="shared" si="42"/>
        <v>SA933564</v>
      </c>
      <c r="T292">
        <f t="shared" si="43"/>
        <v>1</v>
      </c>
      <c r="U292">
        <f t="shared" si="44"/>
        <v>92</v>
      </c>
    </row>
    <row r="293" spans="1:21" x14ac:dyDescent="0.25">
      <c r="A293">
        <f t="shared" si="36"/>
        <v>11</v>
      </c>
      <c r="C293" t="s">
        <v>3430</v>
      </c>
      <c r="D293" t="s">
        <v>3431</v>
      </c>
      <c r="E293" t="s">
        <v>3420</v>
      </c>
      <c r="F293" t="s">
        <v>3432</v>
      </c>
      <c r="G293" t="s">
        <v>3429</v>
      </c>
      <c r="H293" s="2">
        <v>1</v>
      </c>
      <c r="I293" s="2">
        <v>58</v>
      </c>
      <c r="N293" t="str">
        <f t="shared" si="37"/>
        <v>Al Kunuz General Trading LLC</v>
      </c>
      <c r="O293" t="str">
        <f t="shared" si="38"/>
        <v>W1315276919</v>
      </c>
      <c r="P293" t="str">
        <f t="shared" si="39"/>
        <v>SP976AT57NEO-494346</v>
      </c>
      <c r="Q293" t="str">
        <f t="shared" si="40"/>
        <v>PO043703</v>
      </c>
      <c r="R293" t="str">
        <f t="shared" si="41"/>
        <v>Top, White</v>
      </c>
      <c r="S293" t="str">
        <f t="shared" si="42"/>
        <v>SA933744</v>
      </c>
      <c r="T293">
        <f t="shared" si="43"/>
        <v>1</v>
      </c>
      <c r="U293">
        <f t="shared" si="44"/>
        <v>58</v>
      </c>
    </row>
    <row r="294" spans="1:21" x14ac:dyDescent="0.25">
      <c r="A294">
        <f t="shared" si="36"/>
        <v>11</v>
      </c>
      <c r="C294" t="s">
        <v>3434</v>
      </c>
      <c r="D294" t="s">
        <v>3435</v>
      </c>
      <c r="E294" t="s">
        <v>3436</v>
      </c>
      <c r="F294" t="s">
        <v>3388</v>
      </c>
      <c r="G294" t="s">
        <v>3433</v>
      </c>
      <c r="H294" s="2">
        <v>1</v>
      </c>
      <c r="I294" s="2">
        <v>105</v>
      </c>
      <c r="N294" t="str">
        <f t="shared" si="37"/>
        <v>Al Kunuz General Trading LLC</v>
      </c>
      <c r="O294" t="str">
        <f t="shared" si="38"/>
        <v>W1315406630</v>
      </c>
      <c r="P294" t="str">
        <f t="shared" si="39"/>
        <v>MU172AT85WEW-665038</v>
      </c>
      <c r="Q294" t="str">
        <f t="shared" si="40"/>
        <v>PO044029</v>
      </c>
      <c r="R294" t="str">
        <f t="shared" si="41"/>
        <v>Dress, Brown</v>
      </c>
      <c r="S294" t="str">
        <f t="shared" si="42"/>
        <v>SA934215</v>
      </c>
      <c r="T294">
        <f t="shared" si="43"/>
        <v>1</v>
      </c>
      <c r="U294">
        <f t="shared" si="44"/>
        <v>105</v>
      </c>
    </row>
    <row r="295" spans="1:21" x14ac:dyDescent="0.25">
      <c r="A295">
        <f t="shared" si="36"/>
        <v>11</v>
      </c>
      <c r="C295" t="s">
        <v>3438</v>
      </c>
      <c r="D295" t="s">
        <v>3439</v>
      </c>
      <c r="E295" t="s">
        <v>3420</v>
      </c>
      <c r="F295" t="s">
        <v>3440</v>
      </c>
      <c r="G295" t="s">
        <v>3437</v>
      </c>
      <c r="H295" s="2">
        <v>1</v>
      </c>
      <c r="I295" s="2">
        <v>39</v>
      </c>
      <c r="N295" t="str">
        <f t="shared" si="37"/>
        <v>Al Kunuz General Trading LLC</v>
      </c>
      <c r="O295" t="str">
        <f t="shared" si="38"/>
        <v>W1315381440</v>
      </c>
      <c r="P295" t="str">
        <f t="shared" si="39"/>
        <v>YE659AC63OFC-630822</v>
      </c>
      <c r="Q295" t="str">
        <f t="shared" si="40"/>
        <v>PO043703</v>
      </c>
      <c r="R295" t="str">
        <f t="shared" si="41"/>
        <v>1912 for Women (Analog Watch, White)</v>
      </c>
      <c r="S295" t="str">
        <f t="shared" si="42"/>
        <v>SA934489</v>
      </c>
      <c r="T295">
        <f t="shared" si="43"/>
        <v>1</v>
      </c>
      <c r="U295">
        <f t="shared" si="44"/>
        <v>39</v>
      </c>
    </row>
    <row r="296" spans="1:21" x14ac:dyDescent="0.25">
      <c r="A296">
        <f t="shared" si="36"/>
        <v>11</v>
      </c>
      <c r="C296" t="s">
        <v>3451</v>
      </c>
      <c r="D296" t="s">
        <v>3452</v>
      </c>
      <c r="E296" t="s">
        <v>3420</v>
      </c>
      <c r="F296" t="s">
        <v>3453</v>
      </c>
      <c r="G296" t="s">
        <v>3450</v>
      </c>
      <c r="H296" s="2">
        <v>1</v>
      </c>
      <c r="I296" s="2">
        <v>44</v>
      </c>
      <c r="N296" t="str">
        <f t="shared" si="37"/>
        <v>Al Kunuz General Trading LLC</v>
      </c>
      <c r="O296" t="str">
        <f t="shared" si="38"/>
        <v>W1315399352</v>
      </c>
      <c r="P296" t="str">
        <f t="shared" si="39"/>
        <v>SA222AT03CEY-643271</v>
      </c>
      <c r="Q296" t="str">
        <f t="shared" si="40"/>
        <v>PO043703</v>
      </c>
      <c r="R296" t="str">
        <f t="shared" si="41"/>
        <v>Tie &amp; Dye Crop Top, Green/White</v>
      </c>
      <c r="S296" t="str">
        <f t="shared" si="42"/>
        <v>SA935969</v>
      </c>
      <c r="T296">
        <f t="shared" si="43"/>
        <v>1</v>
      </c>
      <c r="U296">
        <f t="shared" si="44"/>
        <v>44</v>
      </c>
    </row>
    <row r="297" spans="1:21" x14ac:dyDescent="0.25">
      <c r="A297">
        <f t="shared" si="36"/>
        <v>11</v>
      </c>
      <c r="C297" t="s">
        <v>3455</v>
      </c>
      <c r="D297" t="s">
        <v>3456</v>
      </c>
      <c r="E297" t="s">
        <v>3420</v>
      </c>
      <c r="F297" t="s">
        <v>3457</v>
      </c>
      <c r="G297" t="s">
        <v>3454</v>
      </c>
      <c r="H297" s="2">
        <v>1</v>
      </c>
      <c r="I297" s="2">
        <v>21</v>
      </c>
      <c r="N297" t="str">
        <f t="shared" si="37"/>
        <v>Al Kunuz General Trading LLC</v>
      </c>
      <c r="O297" t="str">
        <f t="shared" si="38"/>
        <v>W1315389375</v>
      </c>
      <c r="P297" t="str">
        <f t="shared" si="39"/>
        <v>MA096BE43SJO-634775</v>
      </c>
      <c r="Q297" t="str">
        <f t="shared" si="40"/>
        <v>PO043703</v>
      </c>
      <c r="R297" t="str">
        <f t="shared" si="41"/>
        <v>Volum Express Hyper Curl Mascara - Waterproof Very Black</v>
      </c>
      <c r="S297" t="str">
        <f t="shared" si="42"/>
        <v>SA935991</v>
      </c>
      <c r="T297">
        <f t="shared" si="43"/>
        <v>1</v>
      </c>
      <c r="U297">
        <f t="shared" si="44"/>
        <v>21</v>
      </c>
    </row>
    <row r="298" spans="1:21" x14ac:dyDescent="0.25">
      <c r="A298">
        <f t="shared" si="36"/>
        <v>11</v>
      </c>
      <c r="C298" t="s">
        <v>3459</v>
      </c>
      <c r="D298" t="s">
        <v>3460</v>
      </c>
      <c r="E298" t="s">
        <v>3420</v>
      </c>
      <c r="F298" t="s">
        <v>3461</v>
      </c>
      <c r="G298" t="s">
        <v>3458</v>
      </c>
      <c r="H298" s="2">
        <v>1</v>
      </c>
      <c r="I298" s="2">
        <v>22</v>
      </c>
      <c r="N298" t="str">
        <f t="shared" si="37"/>
        <v>Al Kunuz General Trading LLC</v>
      </c>
      <c r="O298" t="str">
        <f t="shared" si="38"/>
        <v>W1315153578</v>
      </c>
      <c r="P298" t="str">
        <f t="shared" si="39"/>
        <v>ST879AT84MCX-97530</v>
      </c>
      <c r="Q298" t="str">
        <f t="shared" si="40"/>
        <v>PO043703</v>
      </c>
      <c r="R298" t="str">
        <f t="shared" si="41"/>
        <v>Stoee Printed Top Light Blue Floral Printed Cotton Top</v>
      </c>
      <c r="S298" t="str">
        <f t="shared" si="42"/>
        <v>SA936074</v>
      </c>
      <c r="T298">
        <f t="shared" si="43"/>
        <v>1</v>
      </c>
      <c r="U298">
        <f t="shared" si="44"/>
        <v>22</v>
      </c>
    </row>
    <row r="299" spans="1:21" x14ac:dyDescent="0.25">
      <c r="A299">
        <f t="shared" si="36"/>
        <v>11</v>
      </c>
      <c r="C299" t="s">
        <v>3463</v>
      </c>
      <c r="D299" t="s">
        <v>3464</v>
      </c>
      <c r="E299" t="s">
        <v>3420</v>
      </c>
      <c r="F299" t="s">
        <v>3465</v>
      </c>
      <c r="G299" t="s">
        <v>3462</v>
      </c>
      <c r="H299" s="2">
        <v>1</v>
      </c>
      <c r="I299" s="2">
        <v>39</v>
      </c>
      <c r="N299" t="str">
        <f t="shared" si="37"/>
        <v>Al Kunuz General Trading LLC</v>
      </c>
      <c r="O299" t="str">
        <f t="shared" si="38"/>
        <v>W1315381424</v>
      </c>
      <c r="P299" t="str">
        <f t="shared" si="39"/>
        <v>YE659AC94ODX-630749</v>
      </c>
      <c r="Q299" t="str">
        <f t="shared" si="40"/>
        <v>PO043703</v>
      </c>
      <c r="R299" t="str">
        <f t="shared" si="41"/>
        <v>1862 for Women (Analog Watch, Black)</v>
      </c>
      <c r="S299" t="str">
        <f t="shared" si="42"/>
        <v>SA936834</v>
      </c>
      <c r="T299">
        <f t="shared" si="43"/>
        <v>1</v>
      </c>
      <c r="U299">
        <f t="shared" si="44"/>
        <v>39</v>
      </c>
    </row>
    <row r="300" spans="1:21" x14ac:dyDescent="0.25">
      <c r="A300">
        <f t="shared" si="36"/>
        <v>11</v>
      </c>
      <c r="C300" t="s">
        <v>3467</v>
      </c>
      <c r="D300" t="s">
        <v>3468</v>
      </c>
      <c r="E300" t="s">
        <v>3420</v>
      </c>
      <c r="F300" t="s">
        <v>3469</v>
      </c>
      <c r="G300" t="s">
        <v>3466</v>
      </c>
      <c r="H300" s="2">
        <v>1</v>
      </c>
      <c r="I300" s="2">
        <v>26</v>
      </c>
      <c r="N300" t="str">
        <f t="shared" si="37"/>
        <v>Al Kunuz General Trading LLC</v>
      </c>
      <c r="O300" t="str">
        <f t="shared" si="38"/>
        <v>W1315203644</v>
      </c>
      <c r="P300" t="str">
        <f t="shared" si="39"/>
        <v>CR884AC35INK-387022</v>
      </c>
      <c r="Q300" t="str">
        <f t="shared" si="40"/>
        <v>PO043703</v>
      </c>
      <c r="R300" t="str">
        <f t="shared" si="41"/>
        <v>Crunchy Fashion Veronika Ring (Red) - CFR0165</v>
      </c>
      <c r="S300" t="str">
        <f t="shared" si="42"/>
        <v>SA937435</v>
      </c>
      <c r="T300">
        <f t="shared" si="43"/>
        <v>1</v>
      </c>
      <c r="U300">
        <f t="shared" si="44"/>
        <v>26</v>
      </c>
    </row>
    <row r="301" spans="1:21" x14ac:dyDescent="0.25">
      <c r="A301">
        <f t="shared" si="36"/>
        <v>11</v>
      </c>
      <c r="G301" t="s">
        <v>3470</v>
      </c>
      <c r="H301" s="2">
        <v>1</v>
      </c>
      <c r="I301" s="2">
        <v>26</v>
      </c>
      <c r="N301" t="str">
        <f t="shared" si="37"/>
        <v>Al Kunuz General Trading LLC</v>
      </c>
      <c r="O301" t="str">
        <f t="shared" si="38"/>
        <v>W1315203644</v>
      </c>
      <c r="P301" t="str">
        <f t="shared" si="39"/>
        <v>CR884AC35INK-387022</v>
      </c>
      <c r="Q301" t="str">
        <f t="shared" si="40"/>
        <v>PO043703</v>
      </c>
      <c r="R301" t="str">
        <f t="shared" si="41"/>
        <v>Crunchy Fashion Veronika Ring (Red) - CFR0165</v>
      </c>
      <c r="S301" t="str">
        <f t="shared" si="42"/>
        <v>SA937436</v>
      </c>
      <c r="T301">
        <f t="shared" si="43"/>
        <v>1</v>
      </c>
      <c r="U301">
        <f t="shared" si="44"/>
        <v>26</v>
      </c>
    </row>
    <row r="302" spans="1:21" x14ac:dyDescent="0.25">
      <c r="A302">
        <f t="shared" si="36"/>
        <v>11</v>
      </c>
      <c r="C302" t="s">
        <v>3473</v>
      </c>
      <c r="D302" t="s">
        <v>3474</v>
      </c>
      <c r="E302" t="s">
        <v>3417</v>
      </c>
      <c r="F302" t="s">
        <v>3277</v>
      </c>
      <c r="G302" t="s">
        <v>3472</v>
      </c>
      <c r="H302" s="2">
        <v>1</v>
      </c>
      <c r="I302" s="2">
        <v>105</v>
      </c>
      <c r="N302" t="str">
        <f t="shared" si="37"/>
        <v>Al Kunuz General Trading LLC</v>
      </c>
      <c r="O302" t="str">
        <f t="shared" si="38"/>
        <v>W1315399024</v>
      </c>
      <c r="P302" t="str">
        <f t="shared" si="39"/>
        <v>SA222AT70CCJ-642943</v>
      </c>
      <c r="Q302" t="str">
        <f t="shared" si="40"/>
        <v>PO043767</v>
      </c>
      <c r="R302" t="str">
        <f t="shared" si="41"/>
        <v>Ikkat Belted Maxi Dress, Black/White</v>
      </c>
      <c r="S302" t="str">
        <f t="shared" si="42"/>
        <v>SA937700</v>
      </c>
      <c r="T302">
        <f t="shared" si="43"/>
        <v>1</v>
      </c>
      <c r="U302">
        <f t="shared" si="44"/>
        <v>105</v>
      </c>
    </row>
    <row r="303" spans="1:21" x14ac:dyDescent="0.25">
      <c r="A303">
        <f t="shared" si="36"/>
        <v>11</v>
      </c>
      <c r="C303" t="s">
        <v>3478</v>
      </c>
      <c r="D303" t="s">
        <v>3479</v>
      </c>
      <c r="E303" t="s">
        <v>3481</v>
      </c>
      <c r="F303" t="s">
        <v>3480</v>
      </c>
      <c r="G303" t="s">
        <v>3477</v>
      </c>
      <c r="H303" s="2">
        <v>1</v>
      </c>
      <c r="I303" s="2">
        <v>87</v>
      </c>
      <c r="N303" t="str">
        <f t="shared" si="37"/>
        <v>Al Kunuz General Trading LLC</v>
      </c>
      <c r="O303" t="str">
        <f t="shared" si="38"/>
        <v>W1315380016</v>
      </c>
      <c r="P303" t="str">
        <f t="shared" si="39"/>
        <v>SH079AT24OSD-631404</v>
      </c>
      <c r="Q303" t="str">
        <f t="shared" si="40"/>
        <v>PO043792</v>
      </c>
      <c r="R303" t="str">
        <f t="shared" si="41"/>
        <v>Casual Shorts, Black</v>
      </c>
      <c r="S303" t="str">
        <f t="shared" si="42"/>
        <v>SA938067</v>
      </c>
      <c r="T303">
        <f t="shared" si="43"/>
        <v>1</v>
      </c>
      <c r="U303">
        <f t="shared" si="44"/>
        <v>87</v>
      </c>
    </row>
    <row r="304" spans="1:21" x14ac:dyDescent="0.25">
      <c r="A304">
        <f t="shared" si="36"/>
        <v>11</v>
      </c>
      <c r="C304" t="s">
        <v>3483</v>
      </c>
      <c r="D304" t="s">
        <v>3484</v>
      </c>
      <c r="E304" t="s">
        <v>3481</v>
      </c>
      <c r="F304" t="s">
        <v>3485</v>
      </c>
      <c r="G304" t="s">
        <v>3482</v>
      </c>
      <c r="H304" s="2">
        <v>1</v>
      </c>
      <c r="I304" s="2">
        <v>40</v>
      </c>
      <c r="N304" t="str">
        <f t="shared" si="37"/>
        <v>Al Kunuz General Trading LLC</v>
      </c>
      <c r="O304" t="str">
        <f t="shared" si="38"/>
        <v>W1315380787</v>
      </c>
      <c r="P304" t="str">
        <f t="shared" si="39"/>
        <v>FA080AT03PAQ-631951</v>
      </c>
      <c r="Q304" t="str">
        <f t="shared" si="40"/>
        <v>PO043792</v>
      </c>
      <c r="R304" t="str">
        <f t="shared" si="41"/>
        <v>Casual Track Pants, Navy</v>
      </c>
      <c r="S304" t="str">
        <f t="shared" si="42"/>
        <v>SA938070</v>
      </c>
      <c r="T304">
        <f t="shared" si="43"/>
        <v>1</v>
      </c>
      <c r="U304">
        <f t="shared" si="44"/>
        <v>40</v>
      </c>
    </row>
    <row r="305" spans="1:21" x14ac:dyDescent="0.25">
      <c r="A305">
        <f t="shared" si="36"/>
        <v>11</v>
      </c>
      <c r="C305" t="s">
        <v>3487</v>
      </c>
      <c r="D305" t="s">
        <v>3488</v>
      </c>
      <c r="E305" t="s">
        <v>3418</v>
      </c>
      <c r="F305" t="s">
        <v>3489</v>
      </c>
      <c r="G305" t="s">
        <v>3486</v>
      </c>
      <c r="H305" s="2">
        <v>1</v>
      </c>
      <c r="I305" s="2">
        <v>173</v>
      </c>
      <c r="N305" t="str">
        <f t="shared" si="37"/>
        <v>Al Kunuz General Trading LLC</v>
      </c>
      <c r="O305" t="str">
        <f t="shared" si="38"/>
        <v>W1315409370</v>
      </c>
      <c r="P305" t="str">
        <f t="shared" si="39"/>
        <v>MU172AT82WBD-664807</v>
      </c>
      <c r="Q305" t="str">
        <f t="shared" si="40"/>
        <v>PO043822</v>
      </c>
      <c r="R305" t="str">
        <f t="shared" si="41"/>
        <v>Swimwear, Navy</v>
      </c>
      <c r="S305" t="str">
        <f t="shared" si="42"/>
        <v>SA938568</v>
      </c>
      <c r="T305">
        <f t="shared" si="43"/>
        <v>1</v>
      </c>
      <c r="U305">
        <f t="shared" si="44"/>
        <v>173</v>
      </c>
    </row>
    <row r="306" spans="1:21" x14ac:dyDescent="0.25">
      <c r="A306">
        <f t="shared" si="36"/>
        <v>11</v>
      </c>
      <c r="C306" t="s">
        <v>3491</v>
      </c>
      <c r="D306" t="s">
        <v>3492</v>
      </c>
      <c r="E306" t="s">
        <v>3418</v>
      </c>
      <c r="F306" t="s">
        <v>3493</v>
      </c>
      <c r="G306" t="s">
        <v>3490</v>
      </c>
      <c r="H306" s="2">
        <v>1</v>
      </c>
      <c r="I306" s="2">
        <v>51</v>
      </c>
      <c r="N306" t="str">
        <f t="shared" si="37"/>
        <v>Al Kunuz General Trading LLC</v>
      </c>
      <c r="O306" t="str">
        <f t="shared" si="38"/>
        <v>W1315353915</v>
      </c>
      <c r="P306" t="str">
        <f t="shared" si="39"/>
        <v>AM977AT81QNA-595471</v>
      </c>
      <c r="Q306" t="str">
        <f t="shared" si="40"/>
        <v>PO043822</v>
      </c>
      <c r="R306" t="str">
        <f t="shared" si="41"/>
        <v>Baby doll Nighty Set of 3, Multicolor</v>
      </c>
      <c r="S306" t="str">
        <f t="shared" si="42"/>
        <v>SA938618</v>
      </c>
      <c r="T306">
        <f t="shared" si="43"/>
        <v>1</v>
      </c>
      <c r="U306">
        <f t="shared" si="44"/>
        <v>51</v>
      </c>
    </row>
    <row r="307" spans="1:21" x14ac:dyDescent="0.25">
      <c r="A307">
        <f t="shared" si="36"/>
        <v>11</v>
      </c>
      <c r="C307" t="s">
        <v>3495</v>
      </c>
      <c r="D307" t="s">
        <v>3496</v>
      </c>
      <c r="E307" t="s">
        <v>3418</v>
      </c>
      <c r="F307" t="s">
        <v>3497</v>
      </c>
      <c r="G307" t="s">
        <v>3494</v>
      </c>
      <c r="H307" s="2">
        <v>1</v>
      </c>
      <c r="I307" s="2">
        <v>37</v>
      </c>
      <c r="N307" t="str">
        <f t="shared" si="37"/>
        <v>Al Kunuz General Trading LLC</v>
      </c>
      <c r="O307" t="str">
        <f t="shared" si="38"/>
        <v>W1315397594</v>
      </c>
      <c r="P307" t="str">
        <f t="shared" si="39"/>
        <v>CA149AC20BLB-642319</v>
      </c>
      <c r="Q307" t="str">
        <f t="shared" si="40"/>
        <v>PO043822</v>
      </c>
      <c r="R307" t="str">
        <f t="shared" si="41"/>
        <v>Aviator Unisex Sunglasses (SA2B, Black)</v>
      </c>
      <c r="S307" t="str">
        <f t="shared" si="42"/>
        <v>SA939783</v>
      </c>
      <c r="T307">
        <f t="shared" si="43"/>
        <v>1</v>
      </c>
      <c r="U307">
        <f t="shared" si="44"/>
        <v>37</v>
      </c>
    </row>
    <row r="308" spans="1:21" x14ac:dyDescent="0.25">
      <c r="A308">
        <f t="shared" si="36"/>
        <v>11</v>
      </c>
      <c r="G308" t="s">
        <v>3521</v>
      </c>
      <c r="H308" s="2">
        <v>1</v>
      </c>
      <c r="I308" s="2">
        <v>37</v>
      </c>
      <c r="N308" t="str">
        <f t="shared" si="37"/>
        <v>Al Kunuz General Trading LLC</v>
      </c>
      <c r="O308" t="str">
        <f t="shared" si="38"/>
        <v>W1315397594</v>
      </c>
      <c r="P308" t="str">
        <f t="shared" si="39"/>
        <v>CA149AC20BLB-642319</v>
      </c>
      <c r="Q308" t="str">
        <f t="shared" si="40"/>
        <v>PO043822</v>
      </c>
      <c r="R308" t="str">
        <f t="shared" si="41"/>
        <v>Aviator Unisex Sunglasses (SA2B, Black)</v>
      </c>
      <c r="S308" t="str">
        <f t="shared" si="42"/>
        <v>SA940987</v>
      </c>
      <c r="T308">
        <f t="shared" si="43"/>
        <v>1</v>
      </c>
      <c r="U308">
        <f t="shared" si="44"/>
        <v>37</v>
      </c>
    </row>
    <row r="309" spans="1:21" x14ac:dyDescent="0.25">
      <c r="A309">
        <f t="shared" si="36"/>
        <v>11</v>
      </c>
      <c r="C309" t="s">
        <v>3499</v>
      </c>
      <c r="D309" t="s">
        <v>3500</v>
      </c>
      <c r="E309" t="s">
        <v>3418</v>
      </c>
      <c r="F309" t="s">
        <v>3501</v>
      </c>
      <c r="G309" t="s">
        <v>3498</v>
      </c>
      <c r="H309" s="2">
        <v>1</v>
      </c>
      <c r="I309" s="2">
        <v>57</v>
      </c>
      <c r="N309" t="str">
        <f t="shared" si="37"/>
        <v>Al Kunuz General Trading LLC</v>
      </c>
      <c r="O309" t="str">
        <f t="shared" si="38"/>
        <v>W1315364570</v>
      </c>
      <c r="P309" t="str">
        <f t="shared" si="39"/>
        <v>ST879AT04SRV-597160</v>
      </c>
      <c r="Q309" t="str">
        <f t="shared" si="40"/>
        <v>PO043822</v>
      </c>
      <c r="R309" t="str">
        <f t="shared" si="41"/>
        <v>Peppy Ruffle Top, Wine</v>
      </c>
      <c r="S309" t="str">
        <f t="shared" si="42"/>
        <v>SA939945</v>
      </c>
      <c r="T309">
        <f t="shared" si="43"/>
        <v>1</v>
      </c>
      <c r="U309">
        <f t="shared" si="44"/>
        <v>57</v>
      </c>
    </row>
    <row r="310" spans="1:21" x14ac:dyDescent="0.25">
      <c r="A310">
        <f t="shared" si="36"/>
        <v>11</v>
      </c>
      <c r="C310" t="s">
        <v>3503</v>
      </c>
      <c r="D310" t="s">
        <v>3504</v>
      </c>
      <c r="E310" t="s">
        <v>3418</v>
      </c>
      <c r="F310" t="s">
        <v>3505</v>
      </c>
      <c r="G310" t="s">
        <v>3502</v>
      </c>
      <c r="H310" s="2">
        <v>1</v>
      </c>
      <c r="I310" s="2">
        <v>23</v>
      </c>
      <c r="N310" t="str">
        <f t="shared" si="37"/>
        <v>Al Kunuz General Trading LLC</v>
      </c>
      <c r="O310" t="str">
        <f t="shared" si="38"/>
        <v>W1315238017</v>
      </c>
      <c r="P310" t="str">
        <f t="shared" si="39"/>
        <v>TR435AT68OSP-431975</v>
      </c>
      <c r="Q310" t="str">
        <f t="shared" si="40"/>
        <v>PO043822</v>
      </c>
      <c r="R310" t="str">
        <f t="shared" si="41"/>
        <v>Trend18 Black Multi Printed Top</v>
      </c>
      <c r="S310" t="str">
        <f t="shared" si="42"/>
        <v>SA940616</v>
      </c>
      <c r="T310">
        <f t="shared" si="43"/>
        <v>1</v>
      </c>
      <c r="U310">
        <f t="shared" si="44"/>
        <v>23</v>
      </c>
    </row>
    <row r="311" spans="1:21" x14ac:dyDescent="0.25">
      <c r="A311">
        <f t="shared" si="36"/>
        <v>11</v>
      </c>
      <c r="C311" t="s">
        <v>3507</v>
      </c>
      <c r="D311" t="s">
        <v>3508</v>
      </c>
      <c r="E311" t="s">
        <v>3418</v>
      </c>
      <c r="F311" t="s">
        <v>3509</v>
      </c>
      <c r="G311" t="s">
        <v>3506</v>
      </c>
      <c r="H311" s="2">
        <v>1</v>
      </c>
      <c r="I311" s="2">
        <v>46</v>
      </c>
      <c r="N311" t="str">
        <f t="shared" si="37"/>
        <v>Al Kunuz General Trading LLC</v>
      </c>
      <c r="O311" t="str">
        <f t="shared" si="38"/>
        <v>W1315452805</v>
      </c>
      <c r="P311" t="str">
        <f t="shared" si="39"/>
        <v>RE047AC48IKP-702561</v>
      </c>
      <c r="Q311" t="str">
        <f t="shared" si="40"/>
        <v>PO043822</v>
      </c>
      <c r="R311" t="str">
        <f t="shared" si="41"/>
        <v>Wallet for Men (RGWL000021, Black)</v>
      </c>
      <c r="S311" t="str">
        <f t="shared" si="42"/>
        <v>SA940692</v>
      </c>
      <c r="T311">
        <f t="shared" si="43"/>
        <v>1</v>
      </c>
      <c r="U311">
        <f t="shared" si="44"/>
        <v>46</v>
      </c>
    </row>
    <row r="312" spans="1:21" x14ac:dyDescent="0.25">
      <c r="A312">
        <f t="shared" si="36"/>
        <v>11</v>
      </c>
      <c r="C312" t="s">
        <v>3514</v>
      </c>
      <c r="D312" t="s">
        <v>3515</v>
      </c>
      <c r="E312" t="s">
        <v>3418</v>
      </c>
      <c r="F312" t="s">
        <v>3516</v>
      </c>
      <c r="G312" t="s">
        <v>3513</v>
      </c>
      <c r="H312" s="2">
        <v>1</v>
      </c>
      <c r="I312" s="2">
        <v>52</v>
      </c>
      <c r="N312" t="str">
        <f t="shared" si="37"/>
        <v>Al Kunuz General Trading LLC</v>
      </c>
      <c r="O312" t="str">
        <f t="shared" si="38"/>
        <v>W1315400962</v>
      </c>
      <c r="P312" t="str">
        <f t="shared" si="39"/>
        <v>MI070AT06DVD-644742</v>
      </c>
      <c r="Q312" t="str">
        <f t="shared" si="40"/>
        <v>PO043822</v>
      </c>
      <c r="R312" t="str">
        <f t="shared" si="41"/>
        <v>Fullsleeve Round Neck Striped Top, Navy/White</v>
      </c>
      <c r="S312" t="str">
        <f t="shared" si="42"/>
        <v>SA940960</v>
      </c>
      <c r="T312">
        <f t="shared" si="43"/>
        <v>1</v>
      </c>
      <c r="U312">
        <f t="shared" si="44"/>
        <v>52</v>
      </c>
    </row>
    <row r="313" spans="1:21" x14ac:dyDescent="0.25">
      <c r="A313">
        <f t="shared" si="36"/>
        <v>11</v>
      </c>
      <c r="C313" t="s">
        <v>3518</v>
      </c>
      <c r="D313" t="s">
        <v>3519</v>
      </c>
      <c r="E313" t="s">
        <v>3418</v>
      </c>
      <c r="F313" t="s">
        <v>3520</v>
      </c>
      <c r="G313" t="s">
        <v>3517</v>
      </c>
      <c r="H313" s="2">
        <v>1</v>
      </c>
      <c r="I313" s="2">
        <v>45</v>
      </c>
      <c r="N313" t="str">
        <f t="shared" si="37"/>
        <v>Al Kunuz General Trading LLC</v>
      </c>
      <c r="O313" t="str">
        <f t="shared" si="38"/>
        <v>W1315397593</v>
      </c>
      <c r="P313" t="str">
        <f t="shared" si="39"/>
        <v>CA149AC21BLA-642318</v>
      </c>
      <c r="Q313" t="str">
        <f t="shared" si="40"/>
        <v>PO043822</v>
      </c>
      <c r="R313" t="str">
        <f t="shared" si="41"/>
        <v>Aviator Unisex Sunglasses (SA23, Black)</v>
      </c>
      <c r="S313" t="str">
        <f t="shared" si="42"/>
        <v>SA940986</v>
      </c>
      <c r="T313">
        <f t="shared" si="43"/>
        <v>1</v>
      </c>
      <c r="U313">
        <f t="shared" si="44"/>
        <v>45</v>
      </c>
    </row>
    <row r="314" spans="1:21" x14ac:dyDescent="0.25">
      <c r="A314">
        <f t="shared" si="36"/>
        <v>11</v>
      </c>
      <c r="C314" t="s">
        <v>3523</v>
      </c>
      <c r="D314" t="s">
        <v>3524</v>
      </c>
      <c r="E314" t="s">
        <v>3418</v>
      </c>
      <c r="F314" t="s">
        <v>3525</v>
      </c>
      <c r="G314" t="s">
        <v>3522</v>
      </c>
      <c r="H314" s="2">
        <v>1</v>
      </c>
      <c r="I314" s="2">
        <v>72</v>
      </c>
      <c r="N314" t="str">
        <f t="shared" si="37"/>
        <v>Al Kunuz General Trading LLC</v>
      </c>
      <c r="O314" t="str">
        <f t="shared" si="38"/>
        <v>W1315401442</v>
      </c>
      <c r="P314" t="str">
        <f t="shared" si="39"/>
        <v>YE659AT61EQC-645596</v>
      </c>
      <c r="Q314" t="str">
        <f t="shared" si="40"/>
        <v>PO043822</v>
      </c>
      <c r="R314" t="str">
        <f t="shared" si="41"/>
        <v>Albie Tracksuit, Grey</v>
      </c>
      <c r="S314" t="str">
        <f t="shared" si="42"/>
        <v>SA941593</v>
      </c>
      <c r="T314">
        <f t="shared" si="43"/>
        <v>1</v>
      </c>
      <c r="U314">
        <f t="shared" si="44"/>
        <v>72</v>
      </c>
    </row>
    <row r="315" spans="1:21" x14ac:dyDescent="0.25">
      <c r="A315">
        <f t="shared" si="36"/>
        <v>11</v>
      </c>
      <c r="C315" t="s">
        <v>3528</v>
      </c>
      <c r="D315" t="s">
        <v>3529</v>
      </c>
      <c r="E315" t="s">
        <v>3526</v>
      </c>
      <c r="F315" t="s">
        <v>3530</v>
      </c>
      <c r="G315" t="s">
        <v>3527</v>
      </c>
      <c r="H315" s="2">
        <v>1</v>
      </c>
      <c r="I315" s="2">
        <v>25</v>
      </c>
      <c r="N315" t="str">
        <f t="shared" si="37"/>
        <v>Al Kunuz General Trading LLC</v>
      </c>
      <c r="O315" t="str">
        <f t="shared" si="38"/>
        <v>W1315289482</v>
      </c>
      <c r="P315" t="str">
        <f t="shared" si="39"/>
        <v>ST879AT07NGM-494521</v>
      </c>
      <c r="Q315" t="str">
        <f t="shared" si="40"/>
        <v>PO043891</v>
      </c>
      <c r="R315" t="str">
        <f t="shared" si="41"/>
        <v>Long sleeve T-shirt, Grey Melange</v>
      </c>
      <c r="S315" t="str">
        <f t="shared" si="42"/>
        <v>SA943449</v>
      </c>
      <c r="T315">
        <f t="shared" si="43"/>
        <v>1</v>
      </c>
      <c r="U315">
        <f t="shared" si="44"/>
        <v>25</v>
      </c>
    </row>
    <row r="316" spans="1:21" x14ac:dyDescent="0.25">
      <c r="A316">
        <f t="shared" si="36"/>
        <v>11</v>
      </c>
      <c r="C316" t="s">
        <v>3532</v>
      </c>
      <c r="D316" t="s">
        <v>3533</v>
      </c>
      <c r="E316" t="s">
        <v>3404</v>
      </c>
      <c r="F316" t="s">
        <v>3534</v>
      </c>
      <c r="G316" t="s">
        <v>3531</v>
      </c>
      <c r="H316" s="2">
        <v>1</v>
      </c>
      <c r="I316" s="2">
        <v>73</v>
      </c>
      <c r="N316" t="str">
        <f t="shared" si="37"/>
        <v>Al Kunuz General Trading LLC</v>
      </c>
      <c r="O316" t="str">
        <f t="shared" si="38"/>
        <v>W1315399412</v>
      </c>
      <c r="P316" t="str">
        <f t="shared" si="39"/>
        <v>SA222AT91CFK-643331</v>
      </c>
      <c r="Q316" t="str">
        <f t="shared" si="40"/>
        <v>PO043914</v>
      </c>
      <c r="R316" t="str">
        <f t="shared" si="41"/>
        <v>Geo Floral Off Shoulder Layered Dress, Blue</v>
      </c>
      <c r="S316" t="str">
        <f t="shared" si="42"/>
        <v>SA943751</v>
      </c>
      <c r="T316">
        <f t="shared" si="43"/>
        <v>1</v>
      </c>
      <c r="U316">
        <f t="shared" si="44"/>
        <v>73</v>
      </c>
    </row>
    <row r="317" spans="1:21" x14ac:dyDescent="0.25">
      <c r="A317">
        <f t="shared" si="36"/>
        <v>11</v>
      </c>
      <c r="C317" t="s">
        <v>3540</v>
      </c>
      <c r="D317" t="s">
        <v>3541</v>
      </c>
      <c r="E317" t="s">
        <v>3404</v>
      </c>
      <c r="F317" t="s">
        <v>3542</v>
      </c>
      <c r="G317" t="s">
        <v>3539</v>
      </c>
      <c r="H317" s="2">
        <v>1</v>
      </c>
      <c r="I317" s="2">
        <v>84</v>
      </c>
      <c r="N317" t="str">
        <f t="shared" si="37"/>
        <v>Al Kunuz General Trading LLC</v>
      </c>
      <c r="O317" t="str">
        <f t="shared" si="38"/>
        <v>W1315347705</v>
      </c>
      <c r="P317" t="str">
        <f t="shared" si="39"/>
        <v>RI918AT17ETU-583421</v>
      </c>
      <c r="Q317" t="str">
        <f t="shared" si="40"/>
        <v>PO043914</v>
      </c>
      <c r="R317" t="str">
        <f t="shared" si="41"/>
        <v>Black Olive Color Block Shirt, Black &amp; Green</v>
      </c>
      <c r="S317" t="str">
        <f t="shared" si="42"/>
        <v>SA945065</v>
      </c>
      <c r="T317">
        <f t="shared" si="43"/>
        <v>1</v>
      </c>
      <c r="U317">
        <f t="shared" si="44"/>
        <v>84</v>
      </c>
    </row>
    <row r="318" spans="1:21" x14ac:dyDescent="0.25">
      <c r="A318">
        <f t="shared" si="36"/>
        <v>11</v>
      </c>
      <c r="C318" t="s">
        <v>3543</v>
      </c>
      <c r="D318" t="s">
        <v>3544</v>
      </c>
      <c r="E318" t="s">
        <v>3647</v>
      </c>
      <c r="F318" t="s">
        <v>3545</v>
      </c>
      <c r="G318" t="s">
        <v>3700</v>
      </c>
      <c r="H318" s="2">
        <v>1</v>
      </c>
      <c r="I318" s="2">
        <v>46</v>
      </c>
      <c r="N318" t="str">
        <f t="shared" si="37"/>
        <v>Al Kunuz General Trading LLC</v>
      </c>
      <c r="O318" t="str">
        <f t="shared" si="38"/>
        <v>W1315278025</v>
      </c>
      <c r="P318" t="str">
        <f t="shared" si="39"/>
        <v>SA222AT03BSQ-475699</v>
      </c>
      <c r="Q318" t="str">
        <f t="shared" si="40"/>
        <v>PO044242</v>
      </c>
      <c r="R318" t="str">
        <f t="shared" si="41"/>
        <v>Floral Print Blouse, Black/Ivory</v>
      </c>
      <c r="S318" t="str">
        <f t="shared" si="42"/>
        <v>SA954762</v>
      </c>
      <c r="T318">
        <f t="shared" si="43"/>
        <v>1</v>
      </c>
      <c r="U318">
        <f t="shared" si="44"/>
        <v>46</v>
      </c>
    </row>
    <row r="319" spans="1:21" x14ac:dyDescent="0.25">
      <c r="A319">
        <f t="shared" si="36"/>
        <v>11</v>
      </c>
      <c r="C319" t="s">
        <v>3547</v>
      </c>
      <c r="D319" t="s">
        <v>3548</v>
      </c>
      <c r="E319" t="s">
        <v>3436</v>
      </c>
      <c r="F319" t="s">
        <v>3549</v>
      </c>
      <c r="G319" t="s">
        <v>3546</v>
      </c>
      <c r="H319" s="2">
        <v>1</v>
      </c>
      <c r="I319" s="2">
        <v>24</v>
      </c>
      <c r="N319" t="str">
        <f t="shared" si="37"/>
        <v>Al Kunuz General Trading LLC</v>
      </c>
      <c r="O319" t="str">
        <f t="shared" si="38"/>
        <v>W1315316760</v>
      </c>
      <c r="P319" t="str">
        <f t="shared" si="39"/>
        <v>UN563AC13OAK-522606</v>
      </c>
      <c r="Q319" t="str">
        <f t="shared" si="40"/>
        <v>PO044029</v>
      </c>
      <c r="R319" t="str">
        <f t="shared" si="41"/>
        <v>Hand Crafted Fine Texture Genuine Leather Wallet for Men (UN111, Red)</v>
      </c>
      <c r="S319" t="str">
        <f t="shared" si="42"/>
        <v>SA945292</v>
      </c>
      <c r="T319">
        <f t="shared" si="43"/>
        <v>1</v>
      </c>
      <c r="U319">
        <f t="shared" si="44"/>
        <v>24</v>
      </c>
    </row>
    <row r="320" spans="1:21" x14ac:dyDescent="0.25">
      <c r="A320">
        <f t="shared" si="36"/>
        <v>11</v>
      </c>
      <c r="G320" t="s">
        <v>3550</v>
      </c>
      <c r="H320" s="2">
        <v>1</v>
      </c>
      <c r="I320" s="2">
        <v>24</v>
      </c>
      <c r="N320" t="str">
        <f t="shared" si="37"/>
        <v>Al Kunuz General Trading LLC</v>
      </c>
      <c r="O320" t="str">
        <f t="shared" si="38"/>
        <v>W1315316760</v>
      </c>
      <c r="P320" t="str">
        <f t="shared" si="39"/>
        <v>UN563AC13OAK-522606</v>
      </c>
      <c r="Q320" t="str">
        <f t="shared" si="40"/>
        <v>PO044029</v>
      </c>
      <c r="R320" t="str">
        <f t="shared" si="41"/>
        <v>Hand Crafted Fine Texture Genuine Leather Wallet for Men (UN111, Red)</v>
      </c>
      <c r="S320" t="str">
        <f t="shared" si="42"/>
        <v>SA945293</v>
      </c>
      <c r="T320">
        <f t="shared" si="43"/>
        <v>1</v>
      </c>
      <c r="U320">
        <f t="shared" si="44"/>
        <v>24</v>
      </c>
    </row>
    <row r="321" spans="1:21" x14ac:dyDescent="0.25">
      <c r="A321">
        <f t="shared" si="36"/>
        <v>11</v>
      </c>
      <c r="C321" t="s">
        <v>3552</v>
      </c>
      <c r="D321" t="s">
        <v>3553</v>
      </c>
      <c r="E321" t="s">
        <v>3436</v>
      </c>
      <c r="F321" t="s">
        <v>3554</v>
      </c>
      <c r="G321" t="s">
        <v>3551</v>
      </c>
      <c r="H321" s="2">
        <v>1</v>
      </c>
      <c r="I321" s="2">
        <v>46</v>
      </c>
      <c r="N321" t="str">
        <f t="shared" si="37"/>
        <v>Al Kunuz General Trading LLC</v>
      </c>
      <c r="O321" t="str">
        <f t="shared" si="38"/>
        <v>W1315452798</v>
      </c>
      <c r="P321" t="str">
        <f t="shared" si="39"/>
        <v>RE047AC59IKE-702550</v>
      </c>
      <c r="Q321" t="str">
        <f t="shared" si="40"/>
        <v>PO044029</v>
      </c>
      <c r="R321" t="str">
        <f t="shared" si="41"/>
        <v>Wallet for Men (RGWL000014, Camel Brown)</v>
      </c>
      <c r="S321" t="str">
        <f t="shared" si="42"/>
        <v>SA945492</v>
      </c>
      <c r="T321">
        <f t="shared" si="43"/>
        <v>1</v>
      </c>
      <c r="U321">
        <f t="shared" si="44"/>
        <v>46</v>
      </c>
    </row>
    <row r="322" spans="1:21" x14ac:dyDescent="0.25">
      <c r="A322">
        <f t="shared" si="36"/>
        <v>11</v>
      </c>
      <c r="E322" t="s">
        <v>3771</v>
      </c>
      <c r="F322" t="s">
        <v>3554</v>
      </c>
      <c r="G322" t="s">
        <v>3924</v>
      </c>
      <c r="H322" s="2">
        <v>1</v>
      </c>
      <c r="I322" s="2">
        <v>46</v>
      </c>
      <c r="N322" t="str">
        <f t="shared" si="37"/>
        <v>Al Kunuz General Trading LLC</v>
      </c>
      <c r="O322" t="str">
        <f t="shared" si="38"/>
        <v>W1315452798</v>
      </c>
      <c r="P322" t="str">
        <f t="shared" si="39"/>
        <v>RE047AC59IKE-702550</v>
      </c>
      <c r="Q322" t="str">
        <f t="shared" si="40"/>
        <v>PO044367</v>
      </c>
      <c r="R322" t="str">
        <f t="shared" si="41"/>
        <v>Wallet for Men (RGWL000014, Camel Brown)</v>
      </c>
      <c r="S322" t="str">
        <f t="shared" si="42"/>
        <v>SA962704</v>
      </c>
      <c r="T322">
        <f t="shared" si="43"/>
        <v>1</v>
      </c>
      <c r="U322">
        <f t="shared" si="44"/>
        <v>46</v>
      </c>
    </row>
    <row r="323" spans="1:21" x14ac:dyDescent="0.25">
      <c r="A323">
        <f t="shared" si="36"/>
        <v>11</v>
      </c>
      <c r="C323" t="s">
        <v>3555</v>
      </c>
      <c r="D323" t="s">
        <v>3556</v>
      </c>
      <c r="E323" t="s">
        <v>3771</v>
      </c>
      <c r="F323" t="s">
        <v>3535</v>
      </c>
      <c r="G323" t="s">
        <v>3952</v>
      </c>
      <c r="H323" s="2">
        <v>1</v>
      </c>
      <c r="I323" s="2">
        <v>46</v>
      </c>
      <c r="N323" t="str">
        <f t="shared" si="37"/>
        <v>Al Kunuz General Trading LLC</v>
      </c>
      <c r="O323" t="str">
        <f t="shared" si="38"/>
        <v>W1315399116</v>
      </c>
      <c r="P323" t="str">
        <f t="shared" si="39"/>
        <v>SA222AT51CDC-643035</v>
      </c>
      <c r="Q323" t="str">
        <f t="shared" si="40"/>
        <v>PO044367</v>
      </c>
      <c r="R323" t="str">
        <f t="shared" si="41"/>
        <v>Layered Front Shirt, Mustard</v>
      </c>
      <c r="S323" t="str">
        <f t="shared" si="42"/>
        <v>SA962898</v>
      </c>
      <c r="T323">
        <f t="shared" si="43"/>
        <v>1</v>
      </c>
      <c r="U323">
        <f t="shared" si="44"/>
        <v>46</v>
      </c>
    </row>
    <row r="324" spans="1:21" x14ac:dyDescent="0.25">
      <c r="A324">
        <f t="shared" ref="A324:A387" si="45">IF(ISBLANK(B324),A323,A323+1)</f>
        <v>11</v>
      </c>
      <c r="G324" t="s">
        <v>4023</v>
      </c>
      <c r="H324" s="2">
        <v>1</v>
      </c>
      <c r="I324" s="2">
        <v>46</v>
      </c>
      <c r="N324" t="str">
        <f t="shared" si="37"/>
        <v>Al Kunuz General Trading LLC</v>
      </c>
      <c r="O324" t="str">
        <f t="shared" si="38"/>
        <v>W1315399116</v>
      </c>
      <c r="P324" t="str">
        <f t="shared" si="39"/>
        <v>SA222AT51CDC-643035</v>
      </c>
      <c r="Q324" t="str">
        <f t="shared" si="40"/>
        <v>PO044367</v>
      </c>
      <c r="R324" t="str">
        <f t="shared" si="41"/>
        <v>Layered Front Shirt, Mustard</v>
      </c>
      <c r="S324" t="str">
        <f t="shared" si="42"/>
        <v>SA964027</v>
      </c>
      <c r="T324">
        <f t="shared" si="43"/>
        <v>1</v>
      </c>
      <c r="U324">
        <f t="shared" si="44"/>
        <v>46</v>
      </c>
    </row>
    <row r="325" spans="1:21" x14ac:dyDescent="0.25">
      <c r="A325">
        <f t="shared" si="45"/>
        <v>11</v>
      </c>
      <c r="C325" t="s">
        <v>3564</v>
      </c>
      <c r="D325" t="s">
        <v>3565</v>
      </c>
      <c r="E325" t="s">
        <v>3404</v>
      </c>
      <c r="F325" t="s">
        <v>3309</v>
      </c>
      <c r="G325" t="s">
        <v>3563</v>
      </c>
      <c r="H325" s="2">
        <v>1</v>
      </c>
      <c r="I325" s="2">
        <v>54</v>
      </c>
      <c r="N325" t="str">
        <f t="shared" si="37"/>
        <v>Al Kunuz General Trading LLC</v>
      </c>
      <c r="O325" t="str">
        <f t="shared" si="38"/>
        <v>W1315364368</v>
      </c>
      <c r="P325" t="str">
        <f t="shared" si="39"/>
        <v>ST879AT54SPX-596958</v>
      </c>
      <c r="Q325" t="str">
        <f t="shared" si="40"/>
        <v>PO043914</v>
      </c>
      <c r="R325" t="str">
        <f t="shared" si="41"/>
        <v>Smuptuous Pleated Top, Wine</v>
      </c>
      <c r="S325" t="str">
        <f t="shared" si="42"/>
        <v>SA946237</v>
      </c>
      <c r="T325">
        <f t="shared" si="43"/>
        <v>1</v>
      </c>
      <c r="U325">
        <f t="shared" si="44"/>
        <v>54</v>
      </c>
    </row>
    <row r="326" spans="1:21" x14ac:dyDescent="0.25">
      <c r="A326">
        <f t="shared" si="45"/>
        <v>11</v>
      </c>
      <c r="C326" t="s">
        <v>3568</v>
      </c>
      <c r="D326" t="s">
        <v>3569</v>
      </c>
      <c r="E326" t="s">
        <v>4053</v>
      </c>
      <c r="F326" t="s">
        <v>3535</v>
      </c>
      <c r="G326" t="s">
        <v>4540</v>
      </c>
      <c r="H326" s="2">
        <v>1</v>
      </c>
      <c r="I326" s="2">
        <v>46</v>
      </c>
      <c r="N326" t="str">
        <f t="shared" ref="N326:N389" si="46">IF(ISBLANK($A326),"",IF(ISBLANK(B326),N325,B326))</f>
        <v>Al Kunuz General Trading LLC</v>
      </c>
      <c r="O326" t="str">
        <f t="shared" ref="O326:O389" si="47">IF(ISBLANK($A326),"",IF(ISBLANK(C326),O325,C326))</f>
        <v>W1315399113</v>
      </c>
      <c r="P326" t="str">
        <f t="shared" ref="P326:P389" si="48">IF(ISBLANK($A326),"",IF(ISBLANK(D326),P325,D326))</f>
        <v>SA222AT51CDC-643032</v>
      </c>
      <c r="Q326" t="str">
        <f t="shared" ref="Q326:Q389" si="49">IF(ISBLANK($A326),"",IF(ISBLANK(E326),Q325,E326))</f>
        <v>PO044500</v>
      </c>
      <c r="R326" t="str">
        <f t="shared" ref="R326:R389" si="50">IF(ISBLANK($A326),"",IF(ISBLANK(F326),R325,F326))</f>
        <v>Layered Front Shirt, Mustard</v>
      </c>
      <c r="S326" t="str">
        <f t="shared" ref="S326:S389" si="51">IF(ISBLANK($A326),"",G326)</f>
        <v>SA972434</v>
      </c>
      <c r="T326">
        <f t="shared" ref="T326:T389" si="52">IF(ISBLANK($A326),"",H326)</f>
        <v>1</v>
      </c>
      <c r="U326">
        <f t="shared" ref="U326:U389" si="53">IF(ISBLANK($A326),"",I326)</f>
        <v>46</v>
      </c>
    </row>
    <row r="327" spans="1:21" x14ac:dyDescent="0.25">
      <c r="A327">
        <f t="shared" si="45"/>
        <v>11</v>
      </c>
      <c r="C327" t="s">
        <v>3577</v>
      </c>
      <c r="D327" t="s">
        <v>3578</v>
      </c>
      <c r="E327" t="s">
        <v>3436</v>
      </c>
      <c r="F327" t="s">
        <v>3579</v>
      </c>
      <c r="G327" t="s">
        <v>3576</v>
      </c>
      <c r="H327" s="2">
        <v>1</v>
      </c>
      <c r="I327" s="2">
        <v>54</v>
      </c>
      <c r="N327" t="str">
        <f t="shared" si="46"/>
        <v>Al Kunuz General Trading LLC</v>
      </c>
      <c r="O327" t="str">
        <f t="shared" si="47"/>
        <v>W1315399625</v>
      </c>
      <c r="P327" t="str">
        <f t="shared" si="48"/>
        <v>SA222AT48CHB-643544</v>
      </c>
      <c r="Q327" t="str">
        <f t="shared" si="49"/>
        <v>PO044029</v>
      </c>
      <c r="R327" t="str">
        <f t="shared" si="50"/>
        <v>Cut Out Shirt, White</v>
      </c>
      <c r="S327" t="str">
        <f t="shared" si="51"/>
        <v>SA948189</v>
      </c>
      <c r="T327">
        <f t="shared" si="52"/>
        <v>1</v>
      </c>
      <c r="U327">
        <f t="shared" si="53"/>
        <v>54</v>
      </c>
    </row>
    <row r="328" spans="1:21" x14ac:dyDescent="0.25">
      <c r="A328">
        <f t="shared" si="45"/>
        <v>11</v>
      </c>
      <c r="C328" t="s">
        <v>3581</v>
      </c>
      <c r="D328" t="s">
        <v>3582</v>
      </c>
      <c r="E328" t="s">
        <v>3436</v>
      </c>
      <c r="F328" t="s">
        <v>3583</v>
      </c>
      <c r="G328" t="s">
        <v>3580</v>
      </c>
      <c r="H328" s="2">
        <v>1</v>
      </c>
      <c r="I328" s="2">
        <v>105</v>
      </c>
      <c r="N328" t="str">
        <f t="shared" si="46"/>
        <v>Al Kunuz General Trading LLC</v>
      </c>
      <c r="O328" t="str">
        <f t="shared" si="47"/>
        <v>W1315402353</v>
      </c>
      <c r="P328" t="str">
        <f t="shared" si="48"/>
        <v>MU172AT17YNE-668608</v>
      </c>
      <c r="Q328" t="str">
        <f t="shared" si="49"/>
        <v>PO044029</v>
      </c>
      <c r="R328" t="str">
        <f t="shared" si="50"/>
        <v>Abaya, Brown</v>
      </c>
      <c r="S328" t="str">
        <f t="shared" si="51"/>
        <v>SA948359</v>
      </c>
      <c r="T328">
        <f t="shared" si="52"/>
        <v>1</v>
      </c>
      <c r="U328">
        <f t="shared" si="53"/>
        <v>105</v>
      </c>
    </row>
    <row r="329" spans="1:21" x14ac:dyDescent="0.25">
      <c r="A329">
        <f t="shared" si="45"/>
        <v>11</v>
      </c>
      <c r="C329" t="s">
        <v>3589</v>
      </c>
      <c r="D329" t="s">
        <v>3590</v>
      </c>
      <c r="E329" t="s">
        <v>3436</v>
      </c>
      <c r="F329" t="s">
        <v>3591</v>
      </c>
      <c r="G329" t="s">
        <v>3588</v>
      </c>
      <c r="H329" s="2">
        <v>1</v>
      </c>
      <c r="I329" s="2">
        <v>75</v>
      </c>
      <c r="N329" t="str">
        <f t="shared" si="46"/>
        <v>Al Kunuz General Trading LLC</v>
      </c>
      <c r="O329" t="str">
        <f t="shared" si="47"/>
        <v>W1315338324</v>
      </c>
      <c r="P329" t="str">
        <f t="shared" si="48"/>
        <v>MO687AT35QVO-572944</v>
      </c>
      <c r="Q329" t="str">
        <f t="shared" si="49"/>
        <v>PO044029</v>
      </c>
      <c r="R329" t="str">
        <f t="shared" si="50"/>
        <v>Women's Casual Shirt, Red</v>
      </c>
      <c r="S329" t="str">
        <f t="shared" si="51"/>
        <v>SA948582</v>
      </c>
      <c r="T329">
        <f t="shared" si="52"/>
        <v>1</v>
      </c>
      <c r="U329">
        <f t="shared" si="53"/>
        <v>75</v>
      </c>
    </row>
    <row r="330" spans="1:21" x14ac:dyDescent="0.25">
      <c r="A330">
        <f t="shared" si="45"/>
        <v>11</v>
      </c>
      <c r="C330" t="s">
        <v>3592</v>
      </c>
      <c r="D330" t="s">
        <v>3593</v>
      </c>
      <c r="E330" t="s">
        <v>3771</v>
      </c>
      <c r="F330" t="s">
        <v>3594</v>
      </c>
      <c r="G330" t="s">
        <v>3912</v>
      </c>
      <c r="H330" s="2">
        <v>1</v>
      </c>
      <c r="I330" s="2">
        <v>53</v>
      </c>
      <c r="N330" t="str">
        <f t="shared" si="46"/>
        <v>Al Kunuz General Trading LLC</v>
      </c>
      <c r="O330" t="str">
        <f t="shared" si="47"/>
        <v>W1315278088</v>
      </c>
      <c r="P330" t="str">
        <f t="shared" si="48"/>
        <v>SA222AT90BTD-475762</v>
      </c>
      <c r="Q330" t="str">
        <f t="shared" si="49"/>
        <v>PO044367</v>
      </c>
      <c r="R330" t="str">
        <f t="shared" si="50"/>
        <v>Animal Print Back Zipper Top, Pink/Black</v>
      </c>
      <c r="S330" t="str">
        <f t="shared" si="51"/>
        <v>SA962435</v>
      </c>
      <c r="T330">
        <f t="shared" si="52"/>
        <v>1</v>
      </c>
      <c r="U330">
        <f t="shared" si="53"/>
        <v>53</v>
      </c>
    </row>
    <row r="331" spans="1:21" x14ac:dyDescent="0.25">
      <c r="A331">
        <f t="shared" si="45"/>
        <v>11</v>
      </c>
      <c r="C331" t="s">
        <v>3596</v>
      </c>
      <c r="D331" t="s">
        <v>3597</v>
      </c>
      <c r="E331" t="s">
        <v>3436</v>
      </c>
      <c r="F331" t="s">
        <v>3598</v>
      </c>
      <c r="G331" t="s">
        <v>3595</v>
      </c>
      <c r="H331" s="2">
        <v>1</v>
      </c>
      <c r="I331" s="2">
        <v>114</v>
      </c>
      <c r="N331" t="str">
        <f t="shared" si="46"/>
        <v>Al Kunuz General Trading LLC</v>
      </c>
      <c r="O331" t="str">
        <f t="shared" si="47"/>
        <v>W1315338433</v>
      </c>
      <c r="P331" t="str">
        <f t="shared" si="48"/>
        <v>JU688AT08QWP-573053</v>
      </c>
      <c r="Q331" t="str">
        <f t="shared" si="49"/>
        <v>PO044029</v>
      </c>
      <c r="R331" t="str">
        <f t="shared" si="50"/>
        <v>Women's Casual Top, Multicolor</v>
      </c>
      <c r="S331" t="str">
        <f t="shared" si="51"/>
        <v>SA948587</v>
      </c>
      <c r="T331">
        <f t="shared" si="52"/>
        <v>1</v>
      </c>
      <c r="U331">
        <f t="shared" si="53"/>
        <v>114</v>
      </c>
    </row>
    <row r="332" spans="1:21" x14ac:dyDescent="0.25">
      <c r="A332">
        <f t="shared" si="45"/>
        <v>11</v>
      </c>
      <c r="C332" t="s">
        <v>3600</v>
      </c>
      <c r="D332" t="s">
        <v>3601</v>
      </c>
      <c r="E332" t="s">
        <v>3436</v>
      </c>
      <c r="F332" t="s">
        <v>3602</v>
      </c>
      <c r="G332" t="s">
        <v>3599</v>
      </c>
      <c r="H332" s="2">
        <v>1</v>
      </c>
      <c r="I332" s="2">
        <v>24</v>
      </c>
      <c r="N332" t="str">
        <f t="shared" si="46"/>
        <v>Al Kunuz General Trading LLC</v>
      </c>
      <c r="O332" t="str">
        <f t="shared" si="47"/>
        <v>W1315316795</v>
      </c>
      <c r="P332" t="str">
        <f t="shared" si="48"/>
        <v>UN563AC78OBT-522641</v>
      </c>
      <c r="Q332" t="str">
        <f t="shared" si="49"/>
        <v>PO044029</v>
      </c>
      <c r="R332" t="str">
        <f t="shared" si="50"/>
        <v>Hand Crafted Genuine Leather Wallet for Men (UN224, Navy)</v>
      </c>
      <c r="S332" t="str">
        <f t="shared" si="51"/>
        <v>SA948683</v>
      </c>
      <c r="T332">
        <f t="shared" si="52"/>
        <v>1</v>
      </c>
      <c r="U332">
        <f t="shared" si="53"/>
        <v>24</v>
      </c>
    </row>
    <row r="333" spans="1:21" x14ac:dyDescent="0.25">
      <c r="A333">
        <f t="shared" si="45"/>
        <v>11</v>
      </c>
      <c r="C333" t="s">
        <v>3604</v>
      </c>
      <c r="D333" t="s">
        <v>3605</v>
      </c>
      <c r="E333" t="s">
        <v>3436</v>
      </c>
      <c r="F333" t="s">
        <v>3606</v>
      </c>
      <c r="G333" t="s">
        <v>3603</v>
      </c>
      <c r="H333" s="2">
        <v>1</v>
      </c>
      <c r="I333" s="2">
        <v>61</v>
      </c>
      <c r="N333" t="str">
        <f t="shared" si="46"/>
        <v>Al Kunuz General Trading LLC</v>
      </c>
      <c r="O333" t="str">
        <f t="shared" si="47"/>
        <v>W1315396560</v>
      </c>
      <c r="P333" t="str">
        <f t="shared" si="48"/>
        <v>JO170AT09ZBY-640714</v>
      </c>
      <c r="Q333" t="str">
        <f t="shared" si="49"/>
        <v>PO044029</v>
      </c>
      <c r="R333" t="str">
        <f t="shared" si="50"/>
        <v>Ribbed Vests Pack of 4, White</v>
      </c>
      <c r="S333" t="str">
        <f t="shared" si="51"/>
        <v>SA948727</v>
      </c>
      <c r="T333">
        <f t="shared" si="52"/>
        <v>1</v>
      </c>
      <c r="U333">
        <f t="shared" si="53"/>
        <v>61</v>
      </c>
    </row>
    <row r="334" spans="1:21" x14ac:dyDescent="0.25">
      <c r="A334">
        <f t="shared" si="45"/>
        <v>11</v>
      </c>
      <c r="C334" t="s">
        <v>3607</v>
      </c>
      <c r="D334" t="s">
        <v>3608</v>
      </c>
      <c r="E334" t="s">
        <v>4900</v>
      </c>
      <c r="F334" t="s">
        <v>3609</v>
      </c>
      <c r="G334" t="s">
        <v>5380</v>
      </c>
      <c r="H334" s="2">
        <v>1</v>
      </c>
      <c r="I334" s="2">
        <v>22</v>
      </c>
      <c r="N334" t="str">
        <f t="shared" si="46"/>
        <v>Al Kunuz General Trading LLC</v>
      </c>
      <c r="O334" t="str">
        <f t="shared" si="47"/>
        <v>W1315351101</v>
      </c>
      <c r="P334" t="str">
        <f t="shared" si="48"/>
        <v>HU968AT72NSH-592960</v>
      </c>
      <c r="Q334" t="str">
        <f t="shared" si="49"/>
        <v>PO044697</v>
      </c>
      <c r="R334" t="str">
        <f t="shared" si="50"/>
        <v>Casual Shorts, Navy Blue</v>
      </c>
      <c r="S334" t="str">
        <f t="shared" si="51"/>
        <v>SA977698</v>
      </c>
      <c r="T334">
        <f t="shared" si="52"/>
        <v>1</v>
      </c>
      <c r="U334">
        <f t="shared" si="53"/>
        <v>22</v>
      </c>
    </row>
    <row r="335" spans="1:21" x14ac:dyDescent="0.25">
      <c r="A335">
        <f t="shared" si="45"/>
        <v>11</v>
      </c>
      <c r="C335" t="s">
        <v>3611</v>
      </c>
      <c r="D335" t="s">
        <v>3612</v>
      </c>
      <c r="E335" t="s">
        <v>3436</v>
      </c>
      <c r="F335" t="s">
        <v>3613</v>
      </c>
      <c r="G335" t="s">
        <v>3610</v>
      </c>
      <c r="H335" s="2">
        <v>1</v>
      </c>
      <c r="I335" s="2">
        <v>77</v>
      </c>
      <c r="N335" t="str">
        <f t="shared" si="46"/>
        <v>Al Kunuz General Trading LLC</v>
      </c>
      <c r="O335" t="str">
        <f t="shared" si="47"/>
        <v>W1315187753</v>
      </c>
      <c r="P335" t="str">
        <f t="shared" si="48"/>
        <v>TH718AT79PBW-368598</v>
      </c>
      <c r="Q335" t="str">
        <f t="shared" si="49"/>
        <v>PO044029</v>
      </c>
      <c r="R335" t="str">
        <f t="shared" si="50"/>
        <v>THREADCURRY Black Graphic Printed Round Neck T Shirt</v>
      </c>
      <c r="S335" t="str">
        <f t="shared" si="51"/>
        <v>SA948767</v>
      </c>
      <c r="T335">
        <f t="shared" si="52"/>
        <v>1</v>
      </c>
      <c r="U335">
        <f t="shared" si="53"/>
        <v>77</v>
      </c>
    </row>
    <row r="336" spans="1:21" x14ac:dyDescent="0.25">
      <c r="A336">
        <f t="shared" si="45"/>
        <v>11</v>
      </c>
      <c r="C336" t="s">
        <v>3616</v>
      </c>
      <c r="D336" t="s">
        <v>3617</v>
      </c>
      <c r="E336" t="s">
        <v>3436</v>
      </c>
      <c r="F336" t="s">
        <v>3618</v>
      </c>
      <c r="G336" t="s">
        <v>3615</v>
      </c>
      <c r="H336" s="2">
        <v>1</v>
      </c>
      <c r="I336" s="2">
        <v>46</v>
      </c>
      <c r="N336" t="str">
        <f t="shared" si="46"/>
        <v>Al Kunuz General Trading LLC</v>
      </c>
      <c r="O336" t="str">
        <f t="shared" si="47"/>
        <v>W1315452812</v>
      </c>
      <c r="P336" t="str">
        <f t="shared" si="48"/>
        <v>RE047AC41IKW-702568</v>
      </c>
      <c r="Q336" t="str">
        <f t="shared" si="49"/>
        <v>PO044029</v>
      </c>
      <c r="R336" t="str">
        <f t="shared" si="50"/>
        <v>Wallet for Men (RGWL000028, Brown)</v>
      </c>
      <c r="S336" t="str">
        <f t="shared" si="51"/>
        <v>SA949292</v>
      </c>
      <c r="T336">
        <f t="shared" si="52"/>
        <v>1</v>
      </c>
      <c r="U336">
        <f t="shared" si="53"/>
        <v>46</v>
      </c>
    </row>
    <row r="337" spans="1:21" x14ac:dyDescent="0.25">
      <c r="A337">
        <f t="shared" si="45"/>
        <v>11</v>
      </c>
      <c r="C337" t="s">
        <v>3620</v>
      </c>
      <c r="D337" t="s">
        <v>3621</v>
      </c>
      <c r="E337" t="s">
        <v>3436</v>
      </c>
      <c r="F337" t="s">
        <v>3622</v>
      </c>
      <c r="G337" t="s">
        <v>3619</v>
      </c>
      <c r="H337" s="2">
        <v>1</v>
      </c>
      <c r="I337" s="2">
        <v>179</v>
      </c>
      <c r="N337" t="str">
        <f t="shared" si="46"/>
        <v>Al Kunuz General Trading LLC</v>
      </c>
      <c r="O337" t="str">
        <f t="shared" si="47"/>
        <v>W1315409826</v>
      </c>
      <c r="P337" t="str">
        <f t="shared" si="48"/>
        <v>MU172AT10SXH-660486</v>
      </c>
      <c r="Q337" t="str">
        <f t="shared" si="49"/>
        <v>PO044029</v>
      </c>
      <c r="R337" t="str">
        <f t="shared" si="50"/>
        <v>Evening Dress, Blue</v>
      </c>
      <c r="S337" t="str">
        <f t="shared" si="51"/>
        <v>SA949698</v>
      </c>
      <c r="T337">
        <f t="shared" si="52"/>
        <v>1</v>
      </c>
      <c r="U337">
        <f t="shared" si="53"/>
        <v>179</v>
      </c>
    </row>
    <row r="338" spans="1:21" x14ac:dyDescent="0.25">
      <c r="A338">
        <f t="shared" si="45"/>
        <v>11</v>
      </c>
      <c r="C338" t="s">
        <v>3624</v>
      </c>
      <c r="D338" t="s">
        <v>3625</v>
      </c>
      <c r="E338" t="s">
        <v>3436</v>
      </c>
      <c r="F338" t="s">
        <v>3613</v>
      </c>
      <c r="G338" t="s">
        <v>3623</v>
      </c>
      <c r="H338" s="2">
        <v>1</v>
      </c>
      <c r="I338" s="2">
        <v>77</v>
      </c>
      <c r="N338" t="str">
        <f t="shared" si="46"/>
        <v>Al Kunuz General Trading LLC</v>
      </c>
      <c r="O338" t="str">
        <f t="shared" si="47"/>
        <v>W1315187754</v>
      </c>
      <c r="P338" t="str">
        <f t="shared" si="48"/>
        <v>TH718AT79PBW-368599</v>
      </c>
      <c r="Q338" t="str">
        <f t="shared" si="49"/>
        <v>PO044029</v>
      </c>
      <c r="R338" t="str">
        <f t="shared" si="50"/>
        <v>THREADCURRY Black Graphic Printed Round Neck T Shirt</v>
      </c>
      <c r="S338" t="str">
        <f t="shared" si="51"/>
        <v>SA949783</v>
      </c>
      <c r="T338">
        <f t="shared" si="52"/>
        <v>1</v>
      </c>
      <c r="U338">
        <f t="shared" si="53"/>
        <v>77</v>
      </c>
    </row>
    <row r="339" spans="1:21" x14ac:dyDescent="0.25">
      <c r="A339">
        <f t="shared" si="45"/>
        <v>11</v>
      </c>
      <c r="E339" t="s">
        <v>3663</v>
      </c>
      <c r="F339" t="s">
        <v>3613</v>
      </c>
      <c r="G339" t="s">
        <v>3685</v>
      </c>
      <c r="H339" s="2">
        <v>1</v>
      </c>
      <c r="I339" s="2">
        <v>77</v>
      </c>
      <c r="N339" t="str">
        <f t="shared" si="46"/>
        <v>Al Kunuz General Trading LLC</v>
      </c>
      <c r="O339" t="str">
        <f t="shared" si="47"/>
        <v>W1315187754</v>
      </c>
      <c r="P339" t="str">
        <f t="shared" si="48"/>
        <v>TH718AT79PBW-368599</v>
      </c>
      <c r="Q339" t="str">
        <f t="shared" si="49"/>
        <v>PO044130</v>
      </c>
      <c r="R339" t="str">
        <f t="shared" si="50"/>
        <v>THREADCURRY Black Graphic Printed Round Neck T Shirt</v>
      </c>
      <c r="S339" t="str">
        <f t="shared" si="51"/>
        <v>SA952968</v>
      </c>
      <c r="T339">
        <f t="shared" si="52"/>
        <v>1</v>
      </c>
      <c r="U339">
        <f t="shared" si="53"/>
        <v>77</v>
      </c>
    </row>
    <row r="340" spans="1:21" x14ac:dyDescent="0.25">
      <c r="A340">
        <f t="shared" si="45"/>
        <v>11</v>
      </c>
      <c r="C340" t="s">
        <v>3627</v>
      </c>
      <c r="D340" t="s">
        <v>3628</v>
      </c>
      <c r="E340" t="s">
        <v>3436</v>
      </c>
      <c r="F340" t="s">
        <v>3629</v>
      </c>
      <c r="G340" t="s">
        <v>3626</v>
      </c>
      <c r="H340" s="2">
        <v>1</v>
      </c>
      <c r="I340" s="2">
        <v>77</v>
      </c>
      <c r="N340" t="str">
        <f t="shared" si="46"/>
        <v>Al Kunuz General Trading LLC</v>
      </c>
      <c r="O340" t="str">
        <f t="shared" si="47"/>
        <v>W1315187770</v>
      </c>
      <c r="P340" t="str">
        <f t="shared" si="48"/>
        <v>TH718AT75PCA-368615</v>
      </c>
      <c r="Q340" t="str">
        <f t="shared" si="49"/>
        <v>PO044029</v>
      </c>
      <c r="R340" t="str">
        <f t="shared" si="50"/>
        <v>THREADCURRY Floor Plan Graphic Printed Tee</v>
      </c>
      <c r="S340" t="str">
        <f t="shared" si="51"/>
        <v>SA949784</v>
      </c>
      <c r="T340">
        <f t="shared" si="52"/>
        <v>1</v>
      </c>
      <c r="U340">
        <f t="shared" si="53"/>
        <v>77</v>
      </c>
    </row>
    <row r="341" spans="1:21" x14ac:dyDescent="0.25">
      <c r="A341">
        <f t="shared" si="45"/>
        <v>11</v>
      </c>
      <c r="C341" t="s">
        <v>3631</v>
      </c>
      <c r="D341" t="s">
        <v>3632</v>
      </c>
      <c r="E341" t="s">
        <v>3436</v>
      </c>
      <c r="F341" t="s">
        <v>3633</v>
      </c>
      <c r="G341" t="s">
        <v>3630</v>
      </c>
      <c r="H341" s="2">
        <v>1</v>
      </c>
      <c r="I341" s="2">
        <v>77</v>
      </c>
      <c r="N341" t="str">
        <f t="shared" si="46"/>
        <v>Al Kunuz General Trading LLC</v>
      </c>
      <c r="O341" t="str">
        <f t="shared" si="47"/>
        <v>W1315187130</v>
      </c>
      <c r="P341" t="str">
        <f t="shared" si="48"/>
        <v>TH718AT81OXY-368191</v>
      </c>
      <c r="Q341" t="str">
        <f t="shared" si="49"/>
        <v>PO044029</v>
      </c>
      <c r="R341" t="str">
        <f t="shared" si="50"/>
        <v>THREADCURRY Night Light Graphic Printed Tee</v>
      </c>
      <c r="S341" t="str">
        <f t="shared" si="51"/>
        <v>SA949785</v>
      </c>
      <c r="T341">
        <f t="shared" si="52"/>
        <v>1</v>
      </c>
      <c r="U341">
        <f t="shared" si="53"/>
        <v>77</v>
      </c>
    </row>
    <row r="342" spans="1:21" x14ac:dyDescent="0.25">
      <c r="A342">
        <f t="shared" si="45"/>
        <v>11</v>
      </c>
      <c r="C342" t="s">
        <v>3635</v>
      </c>
      <c r="D342" t="s">
        <v>3636</v>
      </c>
      <c r="E342" t="s">
        <v>3436</v>
      </c>
      <c r="F342" t="s">
        <v>3637</v>
      </c>
      <c r="G342" t="s">
        <v>3634</v>
      </c>
      <c r="H342" s="2">
        <v>1</v>
      </c>
      <c r="I342" s="2">
        <v>51</v>
      </c>
      <c r="N342" t="str">
        <f t="shared" si="46"/>
        <v>Al Kunuz General Trading LLC</v>
      </c>
      <c r="O342" t="str">
        <f t="shared" si="47"/>
        <v>W1315390143</v>
      </c>
      <c r="P342" t="str">
        <f t="shared" si="48"/>
        <v>LA081BE05QJE-633389</v>
      </c>
      <c r="Q342" t="str">
        <f t="shared" si="49"/>
        <v>PO044029</v>
      </c>
      <c r="R342" t="str">
        <f t="shared" si="50"/>
        <v>Absolute Gel Addict Eyeliner - Grey Ash</v>
      </c>
      <c r="S342" t="str">
        <f t="shared" si="51"/>
        <v>SA949927</v>
      </c>
      <c r="T342">
        <f t="shared" si="52"/>
        <v>1</v>
      </c>
      <c r="U342">
        <f t="shared" si="53"/>
        <v>51</v>
      </c>
    </row>
    <row r="343" spans="1:21" x14ac:dyDescent="0.25">
      <c r="A343">
        <f t="shared" si="45"/>
        <v>11</v>
      </c>
      <c r="C343" t="s">
        <v>3639</v>
      </c>
      <c r="D343" t="s">
        <v>3640</v>
      </c>
      <c r="E343" t="s">
        <v>3436</v>
      </c>
      <c r="F343" t="s">
        <v>3641</v>
      </c>
      <c r="G343" t="s">
        <v>3638</v>
      </c>
      <c r="H343" s="2">
        <v>1</v>
      </c>
      <c r="I343" s="2">
        <v>36</v>
      </c>
      <c r="N343" t="str">
        <f t="shared" si="46"/>
        <v>Al Kunuz General Trading LLC</v>
      </c>
      <c r="O343" t="str">
        <f t="shared" si="47"/>
        <v>W1315391137</v>
      </c>
      <c r="P343" t="str">
        <f t="shared" si="48"/>
        <v>OR185BE13PPQ-632881</v>
      </c>
      <c r="Q343" t="str">
        <f t="shared" si="49"/>
        <v>PO044029</v>
      </c>
      <c r="R343" t="str">
        <f t="shared" si="50"/>
        <v>Brazilian Keratin Deffirzzant Shampoo</v>
      </c>
      <c r="S343" t="str">
        <f t="shared" si="51"/>
        <v>SA949930</v>
      </c>
      <c r="T343">
        <f t="shared" si="52"/>
        <v>1</v>
      </c>
      <c r="U343">
        <f t="shared" si="53"/>
        <v>36</v>
      </c>
    </row>
    <row r="344" spans="1:21" x14ac:dyDescent="0.25">
      <c r="A344">
        <f t="shared" si="45"/>
        <v>11</v>
      </c>
      <c r="E344" t="s">
        <v>3771</v>
      </c>
      <c r="F344" t="s">
        <v>3641</v>
      </c>
      <c r="G344" t="s">
        <v>4151</v>
      </c>
      <c r="H344" s="2">
        <v>1</v>
      </c>
      <c r="I344" s="2">
        <v>36</v>
      </c>
      <c r="N344" t="str">
        <f t="shared" si="46"/>
        <v>Al Kunuz General Trading LLC</v>
      </c>
      <c r="O344" t="str">
        <f t="shared" si="47"/>
        <v>W1315391137</v>
      </c>
      <c r="P344" t="str">
        <f t="shared" si="48"/>
        <v>OR185BE13PPQ-632881</v>
      </c>
      <c r="Q344" t="str">
        <f t="shared" si="49"/>
        <v>PO044367</v>
      </c>
      <c r="R344" t="str">
        <f t="shared" si="50"/>
        <v>Brazilian Keratin Deffirzzant Shampoo</v>
      </c>
      <c r="S344" t="str">
        <f t="shared" si="51"/>
        <v>SA966571</v>
      </c>
      <c r="T344">
        <f t="shared" si="52"/>
        <v>1</v>
      </c>
      <c r="U344">
        <f t="shared" si="53"/>
        <v>36</v>
      </c>
    </row>
    <row r="345" spans="1:21" x14ac:dyDescent="0.25">
      <c r="A345">
        <f t="shared" si="45"/>
        <v>11</v>
      </c>
      <c r="C345" t="s">
        <v>3643</v>
      </c>
      <c r="D345" t="s">
        <v>3644</v>
      </c>
      <c r="E345" t="s">
        <v>3436</v>
      </c>
      <c r="F345" t="s">
        <v>3645</v>
      </c>
      <c r="G345" t="s">
        <v>3642</v>
      </c>
      <c r="H345" s="2">
        <v>1</v>
      </c>
      <c r="I345" s="2">
        <v>75</v>
      </c>
      <c r="N345" t="str">
        <f t="shared" si="46"/>
        <v>Al Kunuz General Trading LLC</v>
      </c>
      <c r="O345" t="str">
        <f t="shared" si="47"/>
        <v>W1315338287</v>
      </c>
      <c r="P345" t="str">
        <f t="shared" si="48"/>
        <v>MO687AT42QVH-572907</v>
      </c>
      <c r="Q345" t="str">
        <f t="shared" si="49"/>
        <v>PO044029</v>
      </c>
      <c r="R345" t="str">
        <f t="shared" si="50"/>
        <v>Women's Casual Shirt, Blue &amp; White</v>
      </c>
      <c r="S345" t="str">
        <f t="shared" si="51"/>
        <v>SA950006</v>
      </c>
      <c r="T345">
        <f t="shared" si="52"/>
        <v>1</v>
      </c>
      <c r="U345">
        <f t="shared" si="53"/>
        <v>75</v>
      </c>
    </row>
    <row r="346" spans="1:21" x14ac:dyDescent="0.25">
      <c r="A346">
        <f t="shared" si="45"/>
        <v>11</v>
      </c>
      <c r="C346" t="s">
        <v>3649</v>
      </c>
      <c r="D346" t="s">
        <v>3650</v>
      </c>
      <c r="E346" t="s">
        <v>3436</v>
      </c>
      <c r="F346" t="s">
        <v>3651</v>
      </c>
      <c r="G346" t="s">
        <v>3648</v>
      </c>
      <c r="H346" s="2">
        <v>1</v>
      </c>
      <c r="I346" s="2">
        <v>24</v>
      </c>
      <c r="N346" t="str">
        <f t="shared" si="46"/>
        <v>Al Kunuz General Trading LLC</v>
      </c>
      <c r="O346" t="str">
        <f t="shared" si="47"/>
        <v>W1315316777</v>
      </c>
      <c r="P346" t="str">
        <f t="shared" si="48"/>
        <v>UN563AC96OBB-522623</v>
      </c>
      <c r="Q346" t="str">
        <f t="shared" si="49"/>
        <v>PO044029</v>
      </c>
      <c r="R346" t="str">
        <f t="shared" si="50"/>
        <v>Hand Crafted Genuine Leather Wallet for Men (UN174, Black)</v>
      </c>
      <c r="S346" t="str">
        <f t="shared" si="51"/>
        <v>SA950306</v>
      </c>
      <c r="T346">
        <f t="shared" si="52"/>
        <v>1</v>
      </c>
      <c r="U346">
        <f t="shared" si="53"/>
        <v>24</v>
      </c>
    </row>
    <row r="347" spans="1:21" x14ac:dyDescent="0.25">
      <c r="A347">
        <f t="shared" si="45"/>
        <v>11</v>
      </c>
      <c r="C347" t="s">
        <v>3653</v>
      </c>
      <c r="D347" t="s">
        <v>3654</v>
      </c>
      <c r="E347" t="s">
        <v>3436</v>
      </c>
      <c r="F347" t="s">
        <v>3535</v>
      </c>
      <c r="G347" t="s">
        <v>3652</v>
      </c>
      <c r="H347" s="2">
        <v>1</v>
      </c>
      <c r="I347" s="2">
        <v>46</v>
      </c>
      <c r="N347" t="str">
        <f t="shared" si="46"/>
        <v>Al Kunuz General Trading LLC</v>
      </c>
      <c r="O347" t="str">
        <f t="shared" si="47"/>
        <v>W1315399115</v>
      </c>
      <c r="P347" t="str">
        <f t="shared" si="48"/>
        <v>SA222AT51CDC-643034</v>
      </c>
      <c r="Q347" t="str">
        <f t="shared" si="49"/>
        <v>PO044029</v>
      </c>
      <c r="R347" t="str">
        <f t="shared" si="50"/>
        <v>Layered Front Shirt, Mustard</v>
      </c>
      <c r="S347" t="str">
        <f t="shared" si="51"/>
        <v>SA950309</v>
      </c>
      <c r="T347">
        <f t="shared" si="52"/>
        <v>1</v>
      </c>
      <c r="U347">
        <f t="shared" si="53"/>
        <v>46</v>
      </c>
    </row>
    <row r="348" spans="1:21" x14ac:dyDescent="0.25">
      <c r="A348">
        <f t="shared" si="45"/>
        <v>11</v>
      </c>
      <c r="E348" t="s">
        <v>3696</v>
      </c>
      <c r="F348" t="s">
        <v>3535</v>
      </c>
      <c r="G348" t="s">
        <v>3695</v>
      </c>
      <c r="H348" s="2">
        <v>1</v>
      </c>
      <c r="I348" s="2">
        <v>46</v>
      </c>
      <c r="N348" t="str">
        <f t="shared" si="46"/>
        <v>Al Kunuz General Trading LLC</v>
      </c>
      <c r="O348" t="str">
        <f t="shared" si="47"/>
        <v>W1315399115</v>
      </c>
      <c r="P348" t="str">
        <f t="shared" si="48"/>
        <v>SA222AT51CDC-643034</v>
      </c>
      <c r="Q348" t="str">
        <f t="shared" si="49"/>
        <v>PO044191</v>
      </c>
      <c r="R348" t="str">
        <f t="shared" si="50"/>
        <v>Layered Front Shirt, Mustard</v>
      </c>
      <c r="S348" t="str">
        <f t="shared" si="51"/>
        <v>SA953534</v>
      </c>
      <c r="T348">
        <f t="shared" si="52"/>
        <v>1</v>
      </c>
      <c r="U348">
        <f t="shared" si="53"/>
        <v>46</v>
      </c>
    </row>
    <row r="349" spans="1:21" x14ac:dyDescent="0.25">
      <c r="A349">
        <f t="shared" si="45"/>
        <v>11</v>
      </c>
      <c r="C349" t="s">
        <v>3655</v>
      </c>
      <c r="D349" t="s">
        <v>3656</v>
      </c>
      <c r="E349" t="s">
        <v>3771</v>
      </c>
      <c r="F349" t="s">
        <v>3558</v>
      </c>
      <c r="G349" t="s">
        <v>3886</v>
      </c>
      <c r="H349" s="2">
        <v>1</v>
      </c>
      <c r="I349" s="2">
        <v>54</v>
      </c>
      <c r="N349" t="str">
        <f t="shared" si="46"/>
        <v>Al Kunuz General Trading LLC</v>
      </c>
      <c r="O349" t="str">
        <f t="shared" si="47"/>
        <v>W1315399295</v>
      </c>
      <c r="P349" t="str">
        <f t="shared" si="48"/>
        <v>SA222AT15CEM-643214</v>
      </c>
      <c r="Q349" t="str">
        <f t="shared" si="49"/>
        <v>PO044367</v>
      </c>
      <c r="R349" t="str">
        <f t="shared" si="50"/>
        <v>Layered Beaded Neck Top, Black</v>
      </c>
      <c r="S349" t="str">
        <f t="shared" si="51"/>
        <v>SA961813</v>
      </c>
      <c r="T349">
        <f t="shared" si="52"/>
        <v>1</v>
      </c>
      <c r="U349">
        <f t="shared" si="53"/>
        <v>54</v>
      </c>
    </row>
    <row r="350" spans="1:21" x14ac:dyDescent="0.25">
      <c r="A350">
        <f t="shared" si="45"/>
        <v>11</v>
      </c>
      <c r="E350" t="s">
        <v>3811</v>
      </c>
      <c r="F350" t="s">
        <v>3558</v>
      </c>
      <c r="G350" t="s">
        <v>4027</v>
      </c>
      <c r="H350" s="2">
        <v>1</v>
      </c>
      <c r="I350" s="2">
        <v>54</v>
      </c>
      <c r="N350" t="str">
        <f t="shared" si="46"/>
        <v>Al Kunuz General Trading LLC</v>
      </c>
      <c r="O350" t="str">
        <f t="shared" si="47"/>
        <v>W1315399295</v>
      </c>
      <c r="P350" t="str">
        <f t="shared" si="48"/>
        <v>SA222AT15CEM-643214</v>
      </c>
      <c r="Q350" t="str">
        <f t="shared" si="49"/>
        <v>PO044429</v>
      </c>
      <c r="R350" t="str">
        <f t="shared" si="50"/>
        <v>Layered Beaded Neck Top, Black</v>
      </c>
      <c r="S350" t="str">
        <f t="shared" si="51"/>
        <v>SA964092</v>
      </c>
      <c r="T350">
        <f t="shared" si="52"/>
        <v>1</v>
      </c>
      <c r="U350">
        <f t="shared" si="53"/>
        <v>54</v>
      </c>
    </row>
    <row r="351" spans="1:21" x14ac:dyDescent="0.25">
      <c r="A351">
        <f t="shared" si="45"/>
        <v>11</v>
      </c>
      <c r="C351" t="s">
        <v>3657</v>
      </c>
      <c r="D351" t="s">
        <v>3658</v>
      </c>
      <c r="E351" t="s">
        <v>3771</v>
      </c>
      <c r="F351" t="s">
        <v>3557</v>
      </c>
      <c r="G351" t="s">
        <v>3861</v>
      </c>
      <c r="H351" s="2">
        <v>1</v>
      </c>
      <c r="I351" s="2">
        <v>53</v>
      </c>
      <c r="N351" t="str">
        <f t="shared" si="46"/>
        <v>Al Kunuz General Trading LLC</v>
      </c>
      <c r="O351" t="str">
        <f t="shared" si="47"/>
        <v>W1315277736</v>
      </c>
      <c r="P351" t="str">
        <f t="shared" si="48"/>
        <v>SA222AT25BNY-475355</v>
      </c>
      <c r="Q351" t="str">
        <f t="shared" si="49"/>
        <v>PO044367</v>
      </c>
      <c r="R351" t="str">
        <f t="shared" si="50"/>
        <v>Shirts and Blouses, Green</v>
      </c>
      <c r="S351" t="str">
        <f t="shared" si="51"/>
        <v>SA960942</v>
      </c>
      <c r="T351">
        <f t="shared" si="52"/>
        <v>1</v>
      </c>
      <c r="U351">
        <f t="shared" si="53"/>
        <v>53</v>
      </c>
    </row>
    <row r="352" spans="1:21" x14ac:dyDescent="0.25">
      <c r="A352">
        <f t="shared" si="45"/>
        <v>11</v>
      </c>
      <c r="E352" t="s">
        <v>4900</v>
      </c>
      <c r="F352" t="s">
        <v>3557</v>
      </c>
      <c r="G352" t="s">
        <v>4995</v>
      </c>
      <c r="H352" s="2">
        <v>1</v>
      </c>
      <c r="I352" s="2">
        <v>53</v>
      </c>
      <c r="N352" t="str">
        <f t="shared" si="46"/>
        <v>Al Kunuz General Trading LLC</v>
      </c>
      <c r="O352" t="str">
        <f t="shared" si="47"/>
        <v>W1315277736</v>
      </c>
      <c r="P352" t="str">
        <f t="shared" si="48"/>
        <v>SA222AT25BNY-475355</v>
      </c>
      <c r="Q352" t="str">
        <f t="shared" si="49"/>
        <v>PO044697</v>
      </c>
      <c r="R352" t="str">
        <f t="shared" si="50"/>
        <v>Shirts and Blouses, Green</v>
      </c>
      <c r="S352" t="str">
        <f t="shared" si="51"/>
        <v>SA973226</v>
      </c>
      <c r="T352">
        <f t="shared" si="52"/>
        <v>1</v>
      </c>
      <c r="U352">
        <f t="shared" si="53"/>
        <v>53</v>
      </c>
    </row>
    <row r="353" spans="1:21" x14ac:dyDescent="0.25">
      <c r="A353">
        <f t="shared" si="45"/>
        <v>11</v>
      </c>
      <c r="G353" t="s">
        <v>5041</v>
      </c>
      <c r="H353" s="2">
        <v>1</v>
      </c>
      <c r="I353" s="2">
        <v>53</v>
      </c>
      <c r="N353" t="str">
        <f t="shared" si="46"/>
        <v>Al Kunuz General Trading LLC</v>
      </c>
      <c r="O353" t="str">
        <f t="shared" si="47"/>
        <v>W1315277736</v>
      </c>
      <c r="P353" t="str">
        <f t="shared" si="48"/>
        <v>SA222AT25BNY-475355</v>
      </c>
      <c r="Q353" t="str">
        <f t="shared" si="49"/>
        <v>PO044697</v>
      </c>
      <c r="R353" t="str">
        <f t="shared" si="50"/>
        <v>Shirts and Blouses, Green</v>
      </c>
      <c r="S353" t="str">
        <f t="shared" si="51"/>
        <v>SA973708</v>
      </c>
      <c r="T353">
        <f t="shared" si="52"/>
        <v>1</v>
      </c>
      <c r="U353">
        <f t="shared" si="53"/>
        <v>53</v>
      </c>
    </row>
    <row r="354" spans="1:21" x14ac:dyDescent="0.25">
      <c r="A354">
        <f t="shared" si="45"/>
        <v>11</v>
      </c>
      <c r="G354" t="s">
        <v>5078</v>
      </c>
      <c r="H354" s="2">
        <v>1</v>
      </c>
      <c r="I354" s="2">
        <v>53</v>
      </c>
      <c r="N354" t="str">
        <f t="shared" si="46"/>
        <v>Al Kunuz General Trading LLC</v>
      </c>
      <c r="O354" t="str">
        <f t="shared" si="47"/>
        <v>W1315277736</v>
      </c>
      <c r="P354" t="str">
        <f t="shared" si="48"/>
        <v>SA222AT25BNY-475355</v>
      </c>
      <c r="Q354" t="str">
        <f t="shared" si="49"/>
        <v>PO044697</v>
      </c>
      <c r="R354" t="str">
        <f t="shared" si="50"/>
        <v>Shirts and Blouses, Green</v>
      </c>
      <c r="S354" t="str">
        <f t="shared" si="51"/>
        <v>SA973869</v>
      </c>
      <c r="T354">
        <f t="shared" si="52"/>
        <v>1</v>
      </c>
      <c r="U354">
        <f t="shared" si="53"/>
        <v>53</v>
      </c>
    </row>
    <row r="355" spans="1:21" x14ac:dyDescent="0.25">
      <c r="A355">
        <f t="shared" si="45"/>
        <v>11</v>
      </c>
      <c r="C355" t="s">
        <v>3660</v>
      </c>
      <c r="D355" t="s">
        <v>3661</v>
      </c>
      <c r="E355" t="s">
        <v>3436</v>
      </c>
      <c r="F355" t="s">
        <v>3598</v>
      </c>
      <c r="G355" t="s">
        <v>3659</v>
      </c>
      <c r="H355" s="2">
        <v>1</v>
      </c>
      <c r="I355" s="2">
        <v>107</v>
      </c>
      <c r="N355" t="str">
        <f t="shared" si="46"/>
        <v>Al Kunuz General Trading LLC</v>
      </c>
      <c r="O355" t="str">
        <f t="shared" si="47"/>
        <v>W1315338452</v>
      </c>
      <c r="P355" t="str">
        <f t="shared" si="48"/>
        <v>JU688AT02QWV-573072</v>
      </c>
      <c r="Q355" t="str">
        <f t="shared" si="49"/>
        <v>PO044029</v>
      </c>
      <c r="R355" t="str">
        <f t="shared" si="50"/>
        <v>Women's Casual Top, Multicolor</v>
      </c>
      <c r="S355" t="str">
        <f t="shared" si="51"/>
        <v>SA950683</v>
      </c>
      <c r="T355">
        <f t="shared" si="52"/>
        <v>1</v>
      </c>
      <c r="U355">
        <f t="shared" si="53"/>
        <v>107</v>
      </c>
    </row>
    <row r="356" spans="1:21" x14ac:dyDescent="0.25">
      <c r="A356">
        <f t="shared" si="45"/>
        <v>11</v>
      </c>
      <c r="C356" t="s">
        <v>3667</v>
      </c>
      <c r="D356" t="s">
        <v>3668</v>
      </c>
      <c r="E356" t="s">
        <v>3436</v>
      </c>
      <c r="F356" t="s">
        <v>3669</v>
      </c>
      <c r="G356" t="s">
        <v>3666</v>
      </c>
      <c r="H356" s="2">
        <v>1</v>
      </c>
      <c r="I356" s="2">
        <v>15</v>
      </c>
      <c r="N356" t="str">
        <f t="shared" si="46"/>
        <v>Al Kunuz General Trading LLC</v>
      </c>
      <c r="O356" t="str">
        <f t="shared" si="47"/>
        <v>W1315247468</v>
      </c>
      <c r="P356" t="str">
        <f t="shared" si="48"/>
        <v>RO045AT28UKH-437675</v>
      </c>
      <c r="Q356" t="str">
        <f t="shared" si="49"/>
        <v>PO044029</v>
      </c>
      <c r="R356" t="str">
        <f t="shared" si="50"/>
        <v>Rosaline Cotton Rich Printed Cut n Sew 3-4th Coverage Wirefree Bra- Jade Green</v>
      </c>
      <c r="S356" t="str">
        <f t="shared" si="51"/>
        <v>SA951400</v>
      </c>
      <c r="T356">
        <f t="shared" si="52"/>
        <v>1</v>
      </c>
      <c r="U356">
        <f t="shared" si="53"/>
        <v>15</v>
      </c>
    </row>
    <row r="357" spans="1:21" x14ac:dyDescent="0.25">
      <c r="A357">
        <f t="shared" si="45"/>
        <v>11</v>
      </c>
      <c r="C357" t="s">
        <v>3670</v>
      </c>
      <c r="D357" t="s">
        <v>3671</v>
      </c>
      <c r="E357" t="s">
        <v>4053</v>
      </c>
      <c r="F357" t="s">
        <v>3662</v>
      </c>
      <c r="G357" t="s">
        <v>4323</v>
      </c>
      <c r="H357" s="2">
        <v>1</v>
      </c>
      <c r="I357" s="2">
        <v>88</v>
      </c>
      <c r="N357" t="str">
        <f t="shared" si="46"/>
        <v>Al Kunuz General Trading LLC</v>
      </c>
      <c r="O357" t="str">
        <f t="shared" si="47"/>
        <v>W1315349193</v>
      </c>
      <c r="P357" t="str">
        <f t="shared" si="48"/>
        <v>HO923AT04JYX-587672</v>
      </c>
      <c r="Q357" t="str">
        <f t="shared" si="49"/>
        <v>PO044500</v>
      </c>
      <c r="R357" t="str">
        <f t="shared" si="50"/>
        <v>Tier Dress, Multi</v>
      </c>
      <c r="S357" t="str">
        <f t="shared" si="51"/>
        <v>SA970139</v>
      </c>
      <c r="T357">
        <f t="shared" si="52"/>
        <v>1</v>
      </c>
      <c r="U357">
        <f t="shared" si="53"/>
        <v>88</v>
      </c>
    </row>
    <row r="358" spans="1:21" x14ac:dyDescent="0.25">
      <c r="A358">
        <f t="shared" si="45"/>
        <v>11</v>
      </c>
      <c r="C358" t="s">
        <v>3680</v>
      </c>
      <c r="D358" t="s">
        <v>3681</v>
      </c>
      <c r="E358" t="s">
        <v>3647</v>
      </c>
      <c r="F358" t="s">
        <v>3682</v>
      </c>
      <c r="G358" t="s">
        <v>3736</v>
      </c>
      <c r="H358" s="2">
        <v>1</v>
      </c>
      <c r="I358" s="2">
        <v>24</v>
      </c>
      <c r="N358" t="str">
        <f t="shared" si="46"/>
        <v>Al Kunuz General Trading LLC</v>
      </c>
      <c r="O358" t="str">
        <f t="shared" si="47"/>
        <v>W1315316767</v>
      </c>
      <c r="P358" t="str">
        <f t="shared" si="48"/>
        <v>UN563AC06OAR-522613</v>
      </c>
      <c r="Q358" t="str">
        <f t="shared" si="49"/>
        <v>PO044242</v>
      </c>
      <c r="R358" t="str">
        <f t="shared" si="50"/>
        <v>Hand Crafted Genuine Leather Wallet for Men (UN157, Navy)</v>
      </c>
      <c r="S358" t="str">
        <f t="shared" si="51"/>
        <v>SA956609</v>
      </c>
      <c r="T358">
        <f t="shared" si="52"/>
        <v>1</v>
      </c>
      <c r="U358">
        <f t="shared" si="53"/>
        <v>24</v>
      </c>
    </row>
    <row r="359" spans="1:21" x14ac:dyDescent="0.25">
      <c r="A359">
        <f t="shared" si="45"/>
        <v>11</v>
      </c>
      <c r="E359" t="s">
        <v>3663</v>
      </c>
      <c r="F359" t="s">
        <v>3682</v>
      </c>
      <c r="G359" t="s">
        <v>3679</v>
      </c>
      <c r="H359" s="2">
        <v>1</v>
      </c>
      <c r="I359" s="2">
        <v>24</v>
      </c>
      <c r="N359" t="str">
        <f t="shared" si="46"/>
        <v>Al Kunuz General Trading LLC</v>
      </c>
      <c r="O359" t="str">
        <f t="shared" si="47"/>
        <v>W1315316767</v>
      </c>
      <c r="P359" t="str">
        <f t="shared" si="48"/>
        <v>UN563AC06OAR-522613</v>
      </c>
      <c r="Q359" t="str">
        <f t="shared" si="49"/>
        <v>PO044130</v>
      </c>
      <c r="R359" t="str">
        <f t="shared" si="50"/>
        <v>Hand Crafted Genuine Leather Wallet for Men (UN157, Navy)</v>
      </c>
      <c r="S359" t="str">
        <f t="shared" si="51"/>
        <v>SA952383</v>
      </c>
      <c r="T359">
        <f t="shared" si="52"/>
        <v>1</v>
      </c>
      <c r="U359">
        <f t="shared" si="53"/>
        <v>24</v>
      </c>
    </row>
    <row r="360" spans="1:21" x14ac:dyDescent="0.25">
      <c r="A360">
        <f t="shared" si="45"/>
        <v>11</v>
      </c>
      <c r="E360" t="s">
        <v>4900</v>
      </c>
      <c r="F360" t="s">
        <v>3682</v>
      </c>
      <c r="G360" t="s">
        <v>5083</v>
      </c>
      <c r="H360" s="2">
        <v>1</v>
      </c>
      <c r="I360" s="2">
        <v>24</v>
      </c>
      <c r="N360" t="str">
        <f t="shared" si="46"/>
        <v>Al Kunuz General Trading LLC</v>
      </c>
      <c r="O360" t="str">
        <f t="shared" si="47"/>
        <v>W1315316767</v>
      </c>
      <c r="P360" t="str">
        <f t="shared" si="48"/>
        <v>UN563AC06OAR-522613</v>
      </c>
      <c r="Q360" t="str">
        <f t="shared" si="49"/>
        <v>PO044697</v>
      </c>
      <c r="R360" t="str">
        <f t="shared" si="50"/>
        <v>Hand Crafted Genuine Leather Wallet for Men (UN157, Navy)</v>
      </c>
      <c r="S360" t="str">
        <f t="shared" si="51"/>
        <v>SA973933</v>
      </c>
      <c r="T360">
        <f t="shared" si="52"/>
        <v>1</v>
      </c>
      <c r="U360">
        <f t="shared" si="53"/>
        <v>24</v>
      </c>
    </row>
    <row r="361" spans="1:21" x14ac:dyDescent="0.25">
      <c r="A361">
        <f t="shared" si="45"/>
        <v>11</v>
      </c>
      <c r="C361" t="s">
        <v>3683</v>
      </c>
      <c r="D361" t="s">
        <v>3684</v>
      </c>
      <c r="E361" t="s">
        <v>4900</v>
      </c>
      <c r="F361" t="s">
        <v>3575</v>
      </c>
      <c r="G361" t="s">
        <v>5092</v>
      </c>
      <c r="H361" s="2">
        <v>1</v>
      </c>
      <c r="I361" s="2">
        <v>46</v>
      </c>
      <c r="N361" t="str">
        <f t="shared" si="46"/>
        <v>Al Kunuz General Trading LLC</v>
      </c>
      <c r="O361" t="str">
        <f t="shared" si="47"/>
        <v>W1315354105</v>
      </c>
      <c r="P361" t="str">
        <f t="shared" si="48"/>
        <v>AM977AT27NQE-592846</v>
      </c>
      <c r="Q361" t="str">
        <f t="shared" si="49"/>
        <v>PO044697</v>
      </c>
      <c r="R361" t="str">
        <f t="shared" si="50"/>
        <v>Night Dress Set of 3, Multicolor</v>
      </c>
      <c r="S361" t="str">
        <f t="shared" si="51"/>
        <v>SA974024</v>
      </c>
      <c r="T361">
        <f t="shared" si="52"/>
        <v>1</v>
      </c>
      <c r="U361">
        <f t="shared" si="53"/>
        <v>46</v>
      </c>
    </row>
    <row r="362" spans="1:21" x14ac:dyDescent="0.25">
      <c r="A362">
        <f t="shared" si="45"/>
        <v>11</v>
      </c>
      <c r="G362" t="s">
        <v>5444</v>
      </c>
      <c r="H362" s="2">
        <v>1</v>
      </c>
      <c r="I362" s="2">
        <v>46</v>
      </c>
      <c r="N362" t="str">
        <f t="shared" si="46"/>
        <v>Al Kunuz General Trading LLC</v>
      </c>
      <c r="O362" t="str">
        <f t="shared" si="47"/>
        <v>W1315354105</v>
      </c>
      <c r="P362" t="str">
        <f t="shared" si="48"/>
        <v>AM977AT27NQE-592846</v>
      </c>
      <c r="Q362" t="str">
        <f t="shared" si="49"/>
        <v>PO044697</v>
      </c>
      <c r="R362" t="str">
        <f t="shared" si="50"/>
        <v>Night Dress Set of 3, Multicolor</v>
      </c>
      <c r="S362" t="str">
        <f t="shared" si="51"/>
        <v>SA978233</v>
      </c>
      <c r="T362">
        <f t="shared" si="52"/>
        <v>1</v>
      </c>
      <c r="U362">
        <f t="shared" si="53"/>
        <v>46</v>
      </c>
    </row>
    <row r="363" spans="1:21" x14ac:dyDescent="0.25">
      <c r="A363">
        <f t="shared" si="45"/>
        <v>11</v>
      </c>
      <c r="C363" t="s">
        <v>3688</v>
      </c>
      <c r="D363" t="s">
        <v>3689</v>
      </c>
      <c r="E363" t="s">
        <v>3672</v>
      </c>
      <c r="F363" t="s">
        <v>3690</v>
      </c>
      <c r="G363" t="s">
        <v>3687</v>
      </c>
      <c r="H363" s="2">
        <v>1</v>
      </c>
      <c r="I363" s="2">
        <v>18</v>
      </c>
      <c r="N363" t="str">
        <f t="shared" si="46"/>
        <v>Al Kunuz General Trading LLC</v>
      </c>
      <c r="O363" t="str">
        <f t="shared" si="47"/>
        <v>W1315325909</v>
      </c>
      <c r="P363" t="str">
        <f t="shared" si="48"/>
        <v>AD592AC20DVR-548428</v>
      </c>
      <c r="Q363" t="str">
        <f t="shared" si="49"/>
        <v>PO044183</v>
      </c>
      <c r="R363" t="str">
        <f t="shared" si="50"/>
        <v>Aviator Sunglasses for Unisex (30261GOLDEN-GREEN)</v>
      </c>
      <c r="S363" t="str">
        <f t="shared" si="51"/>
        <v>SA953280</v>
      </c>
      <c r="T363">
        <f t="shared" si="52"/>
        <v>1</v>
      </c>
      <c r="U363">
        <f t="shared" si="53"/>
        <v>18</v>
      </c>
    </row>
    <row r="364" spans="1:21" x14ac:dyDescent="0.25">
      <c r="A364">
        <f t="shared" si="45"/>
        <v>11</v>
      </c>
      <c r="G364" t="s">
        <v>3691</v>
      </c>
      <c r="H364" s="2">
        <v>1</v>
      </c>
      <c r="I364" s="2">
        <v>18</v>
      </c>
      <c r="N364" t="str">
        <f t="shared" si="46"/>
        <v>Al Kunuz General Trading LLC</v>
      </c>
      <c r="O364" t="str">
        <f t="shared" si="47"/>
        <v>W1315325909</v>
      </c>
      <c r="P364" t="str">
        <f t="shared" si="48"/>
        <v>AD592AC20DVR-548428</v>
      </c>
      <c r="Q364" t="str">
        <f t="shared" si="49"/>
        <v>PO044183</v>
      </c>
      <c r="R364" t="str">
        <f t="shared" si="50"/>
        <v>Aviator Sunglasses for Unisex (30261GOLDEN-GREEN)</v>
      </c>
      <c r="S364" t="str">
        <f t="shared" si="51"/>
        <v>SA953281</v>
      </c>
      <c r="T364">
        <f t="shared" si="52"/>
        <v>1</v>
      </c>
      <c r="U364">
        <f t="shared" si="53"/>
        <v>18</v>
      </c>
    </row>
    <row r="365" spans="1:21" x14ac:dyDescent="0.25">
      <c r="A365">
        <f t="shared" si="45"/>
        <v>11</v>
      </c>
      <c r="G365" t="s">
        <v>3692</v>
      </c>
      <c r="H365" s="2">
        <v>1</v>
      </c>
      <c r="I365" s="2">
        <v>18</v>
      </c>
      <c r="N365" t="str">
        <f t="shared" si="46"/>
        <v>Al Kunuz General Trading LLC</v>
      </c>
      <c r="O365" t="str">
        <f t="shared" si="47"/>
        <v>W1315325909</v>
      </c>
      <c r="P365" t="str">
        <f t="shared" si="48"/>
        <v>AD592AC20DVR-548428</v>
      </c>
      <c r="Q365" t="str">
        <f t="shared" si="49"/>
        <v>PO044183</v>
      </c>
      <c r="R365" t="str">
        <f t="shared" si="50"/>
        <v>Aviator Sunglasses for Unisex (30261GOLDEN-GREEN)</v>
      </c>
      <c r="S365" t="str">
        <f t="shared" si="51"/>
        <v>SA953282</v>
      </c>
      <c r="T365">
        <f t="shared" si="52"/>
        <v>1</v>
      </c>
      <c r="U365">
        <f t="shared" si="53"/>
        <v>18</v>
      </c>
    </row>
    <row r="366" spans="1:21" x14ac:dyDescent="0.25">
      <c r="A366">
        <f t="shared" si="45"/>
        <v>11</v>
      </c>
      <c r="C366" t="s">
        <v>3693</v>
      </c>
      <c r="D366" t="s">
        <v>3694</v>
      </c>
      <c r="E366" t="s">
        <v>3771</v>
      </c>
      <c r="F366" t="s">
        <v>3536</v>
      </c>
      <c r="G366" t="s">
        <v>3900</v>
      </c>
      <c r="H366" s="2">
        <v>1</v>
      </c>
      <c r="I366" s="2">
        <v>53</v>
      </c>
      <c r="N366" t="str">
        <f t="shared" si="46"/>
        <v>Al Kunuz General Trading LLC</v>
      </c>
      <c r="O366" t="str">
        <f t="shared" si="47"/>
        <v>W1315278141</v>
      </c>
      <c r="P366" t="str">
        <f t="shared" si="48"/>
        <v>SA222AT79BTO-475815</v>
      </c>
      <c r="Q366" t="str">
        <f t="shared" si="49"/>
        <v>PO044367</v>
      </c>
      <c r="R366" t="str">
        <f t="shared" si="50"/>
        <v>Long Sleeves Top, Navy</v>
      </c>
      <c r="S366" t="str">
        <f t="shared" si="51"/>
        <v>SA962055</v>
      </c>
      <c r="T366">
        <f t="shared" si="52"/>
        <v>1</v>
      </c>
      <c r="U366">
        <f t="shared" si="53"/>
        <v>53</v>
      </c>
    </row>
    <row r="367" spans="1:21" x14ac:dyDescent="0.25">
      <c r="A367">
        <f t="shared" si="45"/>
        <v>11</v>
      </c>
      <c r="C367" t="s">
        <v>3704</v>
      </c>
      <c r="D367" t="s">
        <v>3705</v>
      </c>
      <c r="E367" t="s">
        <v>3647</v>
      </c>
      <c r="F367" t="s">
        <v>3613</v>
      </c>
      <c r="G367" t="s">
        <v>3703</v>
      </c>
      <c r="H367" s="2">
        <v>1</v>
      </c>
      <c r="I367" s="2">
        <v>77</v>
      </c>
      <c r="N367" t="str">
        <f t="shared" si="46"/>
        <v>Al Kunuz General Trading LLC</v>
      </c>
      <c r="O367" t="str">
        <f t="shared" si="47"/>
        <v>W1315186894</v>
      </c>
      <c r="P367" t="str">
        <f t="shared" si="48"/>
        <v>TH718AT52OBZ-365922</v>
      </c>
      <c r="Q367" t="str">
        <f t="shared" si="49"/>
        <v>PO044242</v>
      </c>
      <c r="R367" t="str">
        <f t="shared" si="50"/>
        <v>THREADCURRY Black Graphic Printed Round Neck T Shirt</v>
      </c>
      <c r="S367" t="str">
        <f t="shared" si="51"/>
        <v>SA955236</v>
      </c>
      <c r="T367">
        <f t="shared" si="52"/>
        <v>1</v>
      </c>
      <c r="U367">
        <f t="shared" si="53"/>
        <v>77</v>
      </c>
    </row>
    <row r="368" spans="1:21" x14ac:dyDescent="0.25">
      <c r="A368">
        <f t="shared" si="45"/>
        <v>11</v>
      </c>
      <c r="C368" t="s">
        <v>3708</v>
      </c>
      <c r="D368" t="s">
        <v>3709</v>
      </c>
      <c r="E368" t="s">
        <v>3647</v>
      </c>
      <c r="F368" t="s">
        <v>3710</v>
      </c>
      <c r="G368" t="s">
        <v>3707</v>
      </c>
      <c r="H368" s="2">
        <v>1</v>
      </c>
      <c r="I368" s="2">
        <v>69</v>
      </c>
      <c r="N368" t="str">
        <f t="shared" si="46"/>
        <v>Al Kunuz General Trading LLC</v>
      </c>
      <c r="O368" t="str">
        <f t="shared" si="47"/>
        <v>W1315399252</v>
      </c>
      <c r="P368" t="str">
        <f t="shared" si="48"/>
        <v>SA222AT24CED-643171</v>
      </c>
      <c r="Q368" t="str">
        <f t="shared" si="49"/>
        <v>PO044242</v>
      </c>
      <c r="R368" t="str">
        <f t="shared" si="50"/>
        <v>Floral Maxi Top, Pink</v>
      </c>
      <c r="S368" t="str">
        <f t="shared" si="51"/>
        <v>SA955318</v>
      </c>
      <c r="T368">
        <f t="shared" si="52"/>
        <v>1</v>
      </c>
      <c r="U368">
        <f t="shared" si="53"/>
        <v>69</v>
      </c>
    </row>
    <row r="369" spans="1:21" x14ac:dyDescent="0.25">
      <c r="A369">
        <f t="shared" si="45"/>
        <v>11</v>
      </c>
      <c r="C369" t="s">
        <v>3711</v>
      </c>
      <c r="D369" t="s">
        <v>3712</v>
      </c>
      <c r="E369" t="s">
        <v>5091</v>
      </c>
      <c r="F369" t="s">
        <v>3713</v>
      </c>
      <c r="G369" t="s">
        <v>6309</v>
      </c>
      <c r="H369" s="2">
        <v>1</v>
      </c>
      <c r="I369" s="2">
        <v>22</v>
      </c>
      <c r="N369" t="str">
        <f t="shared" si="46"/>
        <v>Al Kunuz General Trading LLC</v>
      </c>
      <c r="O369" t="str">
        <f t="shared" si="47"/>
        <v>W1315391462</v>
      </c>
      <c r="P369" t="str">
        <f t="shared" si="48"/>
        <v>CO092BE10QFD-633284</v>
      </c>
      <c r="Q369" t="str">
        <f t="shared" si="49"/>
        <v>PO044978</v>
      </c>
      <c r="R369" t="str">
        <f t="shared" si="50"/>
        <v>H.D Volume Mascara</v>
      </c>
      <c r="S369" t="str">
        <f t="shared" si="51"/>
        <v>SA986010</v>
      </c>
      <c r="T369">
        <f t="shared" si="52"/>
        <v>1</v>
      </c>
      <c r="U369">
        <f t="shared" si="53"/>
        <v>22</v>
      </c>
    </row>
    <row r="370" spans="1:21" x14ac:dyDescent="0.25">
      <c r="A370">
        <f t="shared" si="45"/>
        <v>11</v>
      </c>
      <c r="C370" t="s">
        <v>3714</v>
      </c>
      <c r="D370" t="s">
        <v>3715</v>
      </c>
      <c r="E370" t="s">
        <v>3647</v>
      </c>
      <c r="F370" t="s">
        <v>3716</v>
      </c>
      <c r="G370" t="s">
        <v>3778</v>
      </c>
      <c r="H370" s="2">
        <v>1</v>
      </c>
      <c r="I370" s="2">
        <v>26</v>
      </c>
      <c r="N370" t="str">
        <f t="shared" si="46"/>
        <v>Al Kunuz General Trading LLC</v>
      </c>
      <c r="O370" t="str">
        <f t="shared" si="47"/>
        <v>W1315316788</v>
      </c>
      <c r="P370" t="str">
        <f t="shared" si="48"/>
        <v>UN563AC85OBM-522634</v>
      </c>
      <c r="Q370" t="str">
        <f t="shared" si="49"/>
        <v>PO044242</v>
      </c>
      <c r="R370" t="str">
        <f t="shared" si="50"/>
        <v>Hand Crafted Genuine Leather Wallet for Men (UN208, Bombay Brown)</v>
      </c>
      <c r="S370" t="str">
        <f t="shared" si="51"/>
        <v>SA958504</v>
      </c>
      <c r="T370">
        <f t="shared" si="52"/>
        <v>1</v>
      </c>
      <c r="U370">
        <f t="shared" si="53"/>
        <v>26</v>
      </c>
    </row>
    <row r="371" spans="1:21" x14ac:dyDescent="0.25">
      <c r="A371">
        <f t="shared" si="45"/>
        <v>11</v>
      </c>
      <c r="E371" t="s">
        <v>4900</v>
      </c>
      <c r="F371" t="s">
        <v>3716</v>
      </c>
      <c r="G371" t="s">
        <v>5533</v>
      </c>
      <c r="H371" s="2">
        <v>1</v>
      </c>
      <c r="I371" s="2">
        <v>26</v>
      </c>
      <c r="N371" t="str">
        <f t="shared" si="46"/>
        <v>Al Kunuz General Trading LLC</v>
      </c>
      <c r="O371" t="str">
        <f t="shared" si="47"/>
        <v>W1315316788</v>
      </c>
      <c r="P371" t="str">
        <f t="shared" si="48"/>
        <v>UN563AC85OBM-522634</v>
      </c>
      <c r="Q371" t="str">
        <f t="shared" si="49"/>
        <v>PO044697</v>
      </c>
      <c r="R371" t="str">
        <f t="shared" si="50"/>
        <v>Hand Crafted Genuine Leather Wallet for Men (UN208, Bombay Brown)</v>
      </c>
      <c r="S371" t="str">
        <f t="shared" si="51"/>
        <v>SA979337</v>
      </c>
      <c r="T371">
        <f t="shared" si="52"/>
        <v>1</v>
      </c>
      <c r="U371">
        <f t="shared" si="53"/>
        <v>26</v>
      </c>
    </row>
    <row r="372" spans="1:21" x14ac:dyDescent="0.25">
      <c r="A372">
        <f t="shared" si="45"/>
        <v>11</v>
      </c>
      <c r="C372" t="s">
        <v>3720</v>
      </c>
      <c r="D372" t="s">
        <v>3721</v>
      </c>
      <c r="E372" t="s">
        <v>4053</v>
      </c>
      <c r="F372" t="s">
        <v>3722</v>
      </c>
      <c r="G372" t="s">
        <v>4068</v>
      </c>
      <c r="H372" s="2">
        <v>1</v>
      </c>
      <c r="I372" s="2">
        <v>32</v>
      </c>
      <c r="N372" t="str">
        <f t="shared" si="46"/>
        <v>Al Kunuz General Trading LLC</v>
      </c>
      <c r="O372" t="str">
        <f t="shared" si="47"/>
        <v>W1315232284</v>
      </c>
      <c r="P372" t="str">
        <f t="shared" si="48"/>
        <v>AL992AT28KYD-427703</v>
      </c>
      <c r="Q372" t="str">
        <f t="shared" si="49"/>
        <v>PO044500</v>
      </c>
      <c r="R372" t="str">
        <f t="shared" si="50"/>
        <v>A Luv Ya Women's Cotton V Neck Paisley Printed Shirt</v>
      </c>
      <c r="S372" t="str">
        <f t="shared" si="51"/>
        <v>SA965108</v>
      </c>
      <c r="T372">
        <f t="shared" si="52"/>
        <v>1</v>
      </c>
      <c r="U372">
        <f t="shared" si="53"/>
        <v>32</v>
      </c>
    </row>
    <row r="373" spans="1:21" x14ac:dyDescent="0.25">
      <c r="A373">
        <f t="shared" si="45"/>
        <v>11</v>
      </c>
      <c r="E373" t="s">
        <v>4900</v>
      </c>
      <c r="F373" t="s">
        <v>3722</v>
      </c>
      <c r="G373" t="s">
        <v>5228</v>
      </c>
      <c r="H373" s="2">
        <v>1</v>
      </c>
      <c r="I373" s="2">
        <v>32</v>
      </c>
      <c r="N373" t="str">
        <f t="shared" si="46"/>
        <v>Al Kunuz General Trading LLC</v>
      </c>
      <c r="O373" t="str">
        <f t="shared" si="47"/>
        <v>W1315232284</v>
      </c>
      <c r="P373" t="str">
        <f t="shared" si="48"/>
        <v>AL992AT28KYD-427703</v>
      </c>
      <c r="Q373" t="str">
        <f t="shared" si="49"/>
        <v>PO044697</v>
      </c>
      <c r="R373" t="str">
        <f t="shared" si="50"/>
        <v>A Luv Ya Women's Cotton V Neck Paisley Printed Shirt</v>
      </c>
      <c r="S373" t="str">
        <f t="shared" si="51"/>
        <v>SA975393</v>
      </c>
      <c r="T373">
        <f t="shared" si="52"/>
        <v>1</v>
      </c>
      <c r="U373">
        <f t="shared" si="53"/>
        <v>32</v>
      </c>
    </row>
    <row r="374" spans="1:21" x14ac:dyDescent="0.25">
      <c r="A374">
        <f t="shared" si="45"/>
        <v>11</v>
      </c>
      <c r="G374" t="s">
        <v>5229</v>
      </c>
      <c r="H374" s="2">
        <v>1</v>
      </c>
      <c r="I374" s="2">
        <v>32</v>
      </c>
      <c r="N374" t="str">
        <f t="shared" si="46"/>
        <v>Al Kunuz General Trading LLC</v>
      </c>
      <c r="O374" t="str">
        <f t="shared" si="47"/>
        <v>W1315232284</v>
      </c>
      <c r="P374" t="str">
        <f t="shared" si="48"/>
        <v>AL992AT28KYD-427703</v>
      </c>
      <c r="Q374" t="str">
        <f t="shared" si="49"/>
        <v>PO044697</v>
      </c>
      <c r="R374" t="str">
        <f t="shared" si="50"/>
        <v>A Luv Ya Women's Cotton V Neck Paisley Printed Shirt</v>
      </c>
      <c r="S374" t="str">
        <f t="shared" si="51"/>
        <v>SA975394</v>
      </c>
      <c r="T374">
        <f t="shared" si="52"/>
        <v>1</v>
      </c>
      <c r="U374">
        <f t="shared" si="53"/>
        <v>32</v>
      </c>
    </row>
    <row r="375" spans="1:21" x14ac:dyDescent="0.25">
      <c r="A375">
        <f t="shared" si="45"/>
        <v>11</v>
      </c>
      <c r="C375" t="s">
        <v>3723</v>
      </c>
      <c r="D375" t="s">
        <v>3724</v>
      </c>
      <c r="E375" t="s">
        <v>4900</v>
      </c>
      <c r="F375" t="s">
        <v>3725</v>
      </c>
      <c r="G375" t="s">
        <v>5230</v>
      </c>
      <c r="H375" s="2">
        <v>1</v>
      </c>
      <c r="I375" s="2">
        <v>32</v>
      </c>
      <c r="N375" t="str">
        <f t="shared" si="46"/>
        <v>Al Kunuz General Trading LLC</v>
      </c>
      <c r="O375" t="str">
        <f t="shared" si="47"/>
        <v>W1315232279</v>
      </c>
      <c r="P375" t="str">
        <f t="shared" si="48"/>
        <v>AL992AT29KYC-427698</v>
      </c>
      <c r="Q375" t="str">
        <f t="shared" si="49"/>
        <v>PO044697</v>
      </c>
      <c r="R375" t="str">
        <f t="shared" si="50"/>
        <v>A Luv Ya Women's Cotton Check &amp; Floral Shirt</v>
      </c>
      <c r="S375" t="str">
        <f t="shared" si="51"/>
        <v>SA975396</v>
      </c>
      <c r="T375">
        <f t="shared" si="52"/>
        <v>1</v>
      </c>
      <c r="U375">
        <f t="shared" si="53"/>
        <v>32</v>
      </c>
    </row>
    <row r="376" spans="1:21" x14ac:dyDescent="0.25">
      <c r="A376">
        <f t="shared" si="45"/>
        <v>11</v>
      </c>
      <c r="C376" t="s">
        <v>3727</v>
      </c>
      <c r="D376" t="s">
        <v>3728</v>
      </c>
      <c r="E376" t="s">
        <v>3647</v>
      </c>
      <c r="F376" t="s">
        <v>3729</v>
      </c>
      <c r="G376" t="s">
        <v>3726</v>
      </c>
      <c r="H376" s="2">
        <v>1</v>
      </c>
      <c r="I376" s="2">
        <v>62</v>
      </c>
      <c r="N376" t="str">
        <f t="shared" si="46"/>
        <v>Al Kunuz General Trading LLC</v>
      </c>
      <c r="O376" t="str">
        <f t="shared" si="47"/>
        <v>W1315380652</v>
      </c>
      <c r="P376" t="str">
        <f t="shared" si="48"/>
        <v>FA080AT16OWH-631667</v>
      </c>
      <c r="Q376" t="str">
        <f t="shared" si="49"/>
        <v>PO044242</v>
      </c>
      <c r="R376" t="str">
        <f t="shared" si="50"/>
        <v>Casual Sweatshirt, Blue Blooded</v>
      </c>
      <c r="S376" t="str">
        <f t="shared" si="51"/>
        <v>SA956019</v>
      </c>
      <c r="T376">
        <f t="shared" si="52"/>
        <v>1</v>
      </c>
      <c r="U376">
        <f t="shared" si="53"/>
        <v>62</v>
      </c>
    </row>
    <row r="377" spans="1:21" x14ac:dyDescent="0.25">
      <c r="A377">
        <f t="shared" si="45"/>
        <v>11</v>
      </c>
      <c r="C377" t="s">
        <v>3731</v>
      </c>
      <c r="D377" t="s">
        <v>3732</v>
      </c>
      <c r="E377" t="s">
        <v>3647</v>
      </c>
      <c r="F377" t="s">
        <v>3733</v>
      </c>
      <c r="G377" t="s">
        <v>3730</v>
      </c>
      <c r="H377" s="2">
        <v>1</v>
      </c>
      <c r="I377" s="2">
        <v>62</v>
      </c>
      <c r="N377" t="str">
        <f t="shared" si="46"/>
        <v>Al Kunuz General Trading LLC</v>
      </c>
      <c r="O377" t="str">
        <f t="shared" si="47"/>
        <v>W1315380666</v>
      </c>
      <c r="P377" t="str">
        <f t="shared" si="48"/>
        <v>FA080AT11OWM-631681</v>
      </c>
      <c r="Q377" t="str">
        <f t="shared" si="49"/>
        <v>PO044242</v>
      </c>
      <c r="R377" t="str">
        <f t="shared" si="50"/>
        <v>Casual Sweatshirt, Salsa</v>
      </c>
      <c r="S377" t="str">
        <f t="shared" si="51"/>
        <v>SA956021</v>
      </c>
      <c r="T377">
        <f t="shared" si="52"/>
        <v>1</v>
      </c>
      <c r="U377">
        <f t="shared" si="53"/>
        <v>62</v>
      </c>
    </row>
    <row r="378" spans="1:21" x14ac:dyDescent="0.25">
      <c r="A378">
        <f t="shared" si="45"/>
        <v>11</v>
      </c>
      <c r="C378" t="s">
        <v>3740</v>
      </c>
      <c r="D378" t="s">
        <v>3741</v>
      </c>
      <c r="E378" t="s">
        <v>3647</v>
      </c>
      <c r="F378" t="s">
        <v>3742</v>
      </c>
      <c r="G378" t="s">
        <v>3739</v>
      </c>
      <c r="H378" s="2">
        <v>1</v>
      </c>
      <c r="I378" s="2">
        <v>77</v>
      </c>
      <c r="N378" t="str">
        <f t="shared" si="46"/>
        <v>Al Kunuz General Trading LLC</v>
      </c>
      <c r="O378" t="str">
        <f t="shared" si="47"/>
        <v>W1315186778</v>
      </c>
      <c r="P378" t="str">
        <f t="shared" si="48"/>
        <v>TH718AT81OAW-365806</v>
      </c>
      <c r="Q378" t="str">
        <f t="shared" si="49"/>
        <v>PO044242</v>
      </c>
      <c r="R378" t="str">
        <f t="shared" si="50"/>
        <v>THREADCURRY White Graphic Printed Round Neck T-Shirt</v>
      </c>
      <c r="S378" t="str">
        <f t="shared" si="51"/>
        <v>SA956725</v>
      </c>
      <c r="T378">
        <f t="shared" si="52"/>
        <v>1</v>
      </c>
      <c r="U378">
        <f t="shared" si="53"/>
        <v>77</v>
      </c>
    </row>
    <row r="379" spans="1:21" x14ac:dyDescent="0.25">
      <c r="A379">
        <f t="shared" si="45"/>
        <v>11</v>
      </c>
      <c r="C379" t="s">
        <v>3744</v>
      </c>
      <c r="D379" t="s">
        <v>3745</v>
      </c>
      <c r="E379" t="s">
        <v>3647</v>
      </c>
      <c r="F379" t="s">
        <v>3613</v>
      </c>
      <c r="G379" t="s">
        <v>3743</v>
      </c>
      <c r="H379" s="2">
        <v>1</v>
      </c>
      <c r="I379" s="2">
        <v>55</v>
      </c>
      <c r="N379" t="str">
        <f t="shared" si="46"/>
        <v>Al Kunuz General Trading LLC</v>
      </c>
      <c r="O379" t="str">
        <f t="shared" si="47"/>
        <v>W1315186305</v>
      </c>
      <c r="P379" t="str">
        <f t="shared" si="48"/>
        <v>TH718AT25NVI-365232</v>
      </c>
      <c r="Q379" t="str">
        <f t="shared" si="49"/>
        <v>PO044242</v>
      </c>
      <c r="R379" t="str">
        <f t="shared" si="50"/>
        <v>THREADCURRY Black Graphic Printed Round Neck T Shirt</v>
      </c>
      <c r="S379" t="str">
        <f t="shared" si="51"/>
        <v>SA956726</v>
      </c>
      <c r="T379">
        <f t="shared" si="52"/>
        <v>1</v>
      </c>
      <c r="U379">
        <f t="shared" si="53"/>
        <v>55</v>
      </c>
    </row>
    <row r="380" spans="1:21" x14ac:dyDescent="0.25">
      <c r="A380">
        <f t="shared" si="45"/>
        <v>11</v>
      </c>
      <c r="C380" t="s">
        <v>3746</v>
      </c>
      <c r="D380" t="s">
        <v>3747</v>
      </c>
      <c r="E380" t="s">
        <v>3771</v>
      </c>
      <c r="F380" t="s">
        <v>3748</v>
      </c>
      <c r="G380" t="s">
        <v>3840</v>
      </c>
      <c r="H380" s="2">
        <v>1</v>
      </c>
      <c r="I380" s="2">
        <v>26</v>
      </c>
      <c r="N380" t="str">
        <f t="shared" si="46"/>
        <v>Al Kunuz General Trading LLC</v>
      </c>
      <c r="O380" t="str">
        <f t="shared" si="47"/>
        <v>W1315316773</v>
      </c>
      <c r="P380" t="str">
        <f t="shared" si="48"/>
        <v>UN563AC00OAX-522619</v>
      </c>
      <c r="Q380" t="str">
        <f t="shared" si="49"/>
        <v>PO044367</v>
      </c>
      <c r="R380" t="str">
        <f t="shared" si="50"/>
        <v>Hand Crafted Genuine Leather Wallet for Men (UN167, Brown)</v>
      </c>
      <c r="S380" t="str">
        <f t="shared" si="51"/>
        <v>SA960608</v>
      </c>
      <c r="T380">
        <f t="shared" si="52"/>
        <v>1</v>
      </c>
      <c r="U380">
        <f t="shared" si="53"/>
        <v>26</v>
      </c>
    </row>
    <row r="381" spans="1:21" x14ac:dyDescent="0.25">
      <c r="A381">
        <f t="shared" si="45"/>
        <v>11</v>
      </c>
      <c r="E381" t="s">
        <v>4900</v>
      </c>
      <c r="F381" t="s">
        <v>3748</v>
      </c>
      <c r="G381" t="s">
        <v>5371</v>
      </c>
      <c r="H381" s="2">
        <v>1</v>
      </c>
      <c r="I381" s="2">
        <v>26</v>
      </c>
      <c r="N381" t="str">
        <f t="shared" si="46"/>
        <v>Al Kunuz General Trading LLC</v>
      </c>
      <c r="O381" t="str">
        <f t="shared" si="47"/>
        <v>W1315316773</v>
      </c>
      <c r="P381" t="str">
        <f t="shared" si="48"/>
        <v>UN563AC00OAX-522619</v>
      </c>
      <c r="Q381" t="str">
        <f t="shared" si="49"/>
        <v>PO044697</v>
      </c>
      <c r="R381" t="str">
        <f t="shared" si="50"/>
        <v>Hand Crafted Genuine Leather Wallet for Men (UN167, Brown)</v>
      </c>
      <c r="S381" t="str">
        <f t="shared" si="51"/>
        <v>SA977530</v>
      </c>
      <c r="T381">
        <f t="shared" si="52"/>
        <v>1</v>
      </c>
      <c r="U381">
        <f t="shared" si="53"/>
        <v>26</v>
      </c>
    </row>
    <row r="382" spans="1:21" x14ac:dyDescent="0.25">
      <c r="A382">
        <f t="shared" si="45"/>
        <v>11</v>
      </c>
      <c r="C382" t="s">
        <v>3749</v>
      </c>
      <c r="D382" t="s">
        <v>3750</v>
      </c>
      <c r="E382" t="s">
        <v>5091</v>
      </c>
      <c r="F382" t="s">
        <v>3614</v>
      </c>
      <c r="G382" t="s">
        <v>5907</v>
      </c>
      <c r="H382" s="2">
        <v>1</v>
      </c>
      <c r="I382" s="2">
        <v>23</v>
      </c>
      <c r="N382" t="str">
        <f t="shared" si="46"/>
        <v>Al Kunuz General Trading LLC</v>
      </c>
      <c r="O382" t="str">
        <f t="shared" si="47"/>
        <v>W1315351172</v>
      </c>
      <c r="P382" t="str">
        <f t="shared" si="48"/>
        <v>HU968AT54NSZ-593031</v>
      </c>
      <c r="Q382" t="str">
        <f t="shared" si="49"/>
        <v>PO044978</v>
      </c>
      <c r="R382" t="str">
        <f t="shared" si="50"/>
        <v>Printed V-Neck T-Shirt, Black</v>
      </c>
      <c r="S382" t="str">
        <f t="shared" si="51"/>
        <v>SA981818</v>
      </c>
      <c r="T382">
        <f t="shared" si="52"/>
        <v>1</v>
      </c>
      <c r="U382">
        <f t="shared" si="53"/>
        <v>23</v>
      </c>
    </row>
    <row r="383" spans="1:21" x14ac:dyDescent="0.25">
      <c r="A383">
        <f t="shared" si="45"/>
        <v>11</v>
      </c>
      <c r="C383" t="s">
        <v>3752</v>
      </c>
      <c r="D383" t="s">
        <v>3753</v>
      </c>
      <c r="E383" t="s">
        <v>3647</v>
      </c>
      <c r="F383" t="s">
        <v>3754</v>
      </c>
      <c r="G383" t="s">
        <v>3751</v>
      </c>
      <c r="H383" s="2">
        <v>1</v>
      </c>
      <c r="I383" s="2">
        <v>13</v>
      </c>
      <c r="N383" t="str">
        <f t="shared" si="46"/>
        <v>Al Kunuz General Trading LLC</v>
      </c>
      <c r="O383" t="str">
        <f t="shared" si="47"/>
        <v>W1315397527</v>
      </c>
      <c r="P383" t="str">
        <f t="shared" si="48"/>
        <v>NI145AC98ZKB-640941</v>
      </c>
      <c r="Q383" t="str">
        <f t="shared" si="49"/>
        <v>PO044242</v>
      </c>
      <c r="R383" t="str">
        <f t="shared" si="50"/>
        <v>Sunglasses for Men (NYYELL2, Black)</v>
      </c>
      <c r="S383" t="str">
        <f t="shared" si="51"/>
        <v>SA957407</v>
      </c>
      <c r="T383">
        <f t="shared" si="52"/>
        <v>1</v>
      </c>
      <c r="U383">
        <f t="shared" si="53"/>
        <v>13</v>
      </c>
    </row>
    <row r="384" spans="1:21" x14ac:dyDescent="0.25">
      <c r="A384">
        <f t="shared" si="45"/>
        <v>11</v>
      </c>
      <c r="E384" t="s">
        <v>4900</v>
      </c>
      <c r="F384" t="s">
        <v>3754</v>
      </c>
      <c r="G384" t="s">
        <v>5349</v>
      </c>
      <c r="H384" s="2">
        <v>1</v>
      </c>
      <c r="I384" s="2">
        <v>13</v>
      </c>
      <c r="N384" t="str">
        <f t="shared" si="46"/>
        <v>Al Kunuz General Trading LLC</v>
      </c>
      <c r="O384" t="str">
        <f t="shared" si="47"/>
        <v>W1315397527</v>
      </c>
      <c r="P384" t="str">
        <f t="shared" si="48"/>
        <v>NI145AC98ZKB-640941</v>
      </c>
      <c r="Q384" t="str">
        <f t="shared" si="49"/>
        <v>PO044697</v>
      </c>
      <c r="R384" t="str">
        <f t="shared" si="50"/>
        <v>Sunglasses for Men (NYYELL2, Black)</v>
      </c>
      <c r="S384" t="str">
        <f t="shared" si="51"/>
        <v>SA977080</v>
      </c>
      <c r="T384">
        <f t="shared" si="52"/>
        <v>1</v>
      </c>
      <c r="U384">
        <f t="shared" si="53"/>
        <v>13</v>
      </c>
    </row>
    <row r="385" spans="1:21" x14ac:dyDescent="0.25">
      <c r="A385">
        <f t="shared" si="45"/>
        <v>11</v>
      </c>
      <c r="C385" t="s">
        <v>3755</v>
      </c>
      <c r="D385" t="s">
        <v>3756</v>
      </c>
      <c r="E385" t="s">
        <v>4053</v>
      </c>
      <c r="F385" t="s">
        <v>3757</v>
      </c>
      <c r="G385" t="s">
        <v>4498</v>
      </c>
      <c r="H385" s="2">
        <v>1</v>
      </c>
      <c r="I385" s="2">
        <v>18</v>
      </c>
      <c r="N385" t="str">
        <f t="shared" si="46"/>
        <v>Al Kunuz General Trading LLC</v>
      </c>
      <c r="O385" t="str">
        <f t="shared" si="47"/>
        <v>W1315325896</v>
      </c>
      <c r="P385" t="str">
        <f t="shared" si="48"/>
        <v>AD592AC33DVE-548415</v>
      </c>
      <c r="Q385" t="str">
        <f t="shared" si="49"/>
        <v>PO044500</v>
      </c>
      <c r="R385" t="str">
        <f t="shared" si="50"/>
        <v>Aviator Sunglasses for Unisex (10822BROWN-BROWN)</v>
      </c>
      <c r="S385" t="str">
        <f t="shared" si="51"/>
        <v>SA972063</v>
      </c>
      <c r="T385">
        <f t="shared" si="52"/>
        <v>1</v>
      </c>
      <c r="U385">
        <f t="shared" si="53"/>
        <v>18</v>
      </c>
    </row>
    <row r="386" spans="1:21" x14ac:dyDescent="0.25">
      <c r="A386">
        <f t="shared" si="45"/>
        <v>11</v>
      </c>
      <c r="C386" t="s">
        <v>3758</v>
      </c>
      <c r="D386" t="s">
        <v>3759</v>
      </c>
      <c r="E386" t="s">
        <v>4900</v>
      </c>
      <c r="F386" t="s">
        <v>3760</v>
      </c>
      <c r="G386" t="s">
        <v>5531</v>
      </c>
      <c r="H386" s="2">
        <v>1</v>
      </c>
      <c r="I386" s="2">
        <v>50</v>
      </c>
      <c r="N386" t="str">
        <f t="shared" si="46"/>
        <v>Al Kunuz General Trading LLC</v>
      </c>
      <c r="O386" t="str">
        <f t="shared" si="47"/>
        <v>W1315397971</v>
      </c>
      <c r="P386" t="str">
        <f t="shared" si="48"/>
        <v>CA149AC87BUA-642552</v>
      </c>
      <c r="Q386" t="str">
        <f t="shared" si="49"/>
        <v>PO044697</v>
      </c>
      <c r="R386" t="str">
        <f t="shared" si="50"/>
        <v>Butterfly Sunglasses for Women (SCL82, Brown)</v>
      </c>
      <c r="S386" t="str">
        <f t="shared" si="51"/>
        <v>SA979291</v>
      </c>
      <c r="T386">
        <f t="shared" si="52"/>
        <v>1</v>
      </c>
      <c r="U386">
        <f t="shared" si="53"/>
        <v>50</v>
      </c>
    </row>
    <row r="387" spans="1:21" x14ac:dyDescent="0.25">
      <c r="A387">
        <f t="shared" si="45"/>
        <v>11</v>
      </c>
      <c r="C387" t="s">
        <v>3765</v>
      </c>
      <c r="D387" t="s">
        <v>3766</v>
      </c>
      <c r="E387" t="s">
        <v>4900</v>
      </c>
      <c r="F387" t="s">
        <v>3324</v>
      </c>
      <c r="G387" t="s">
        <v>5703</v>
      </c>
      <c r="H387" s="2">
        <v>1</v>
      </c>
      <c r="I387" s="2">
        <v>45</v>
      </c>
      <c r="N387" t="str">
        <f t="shared" si="46"/>
        <v>Al Kunuz General Trading LLC</v>
      </c>
      <c r="O387" t="str">
        <f t="shared" si="47"/>
        <v>W1315399106</v>
      </c>
      <c r="P387" t="str">
        <f t="shared" si="48"/>
        <v>SA222AT53CDA-643025</v>
      </c>
      <c r="Q387" t="str">
        <f t="shared" si="49"/>
        <v>PO044697</v>
      </c>
      <c r="R387" t="str">
        <f t="shared" si="50"/>
        <v>Elbow Patch Shirt, Black</v>
      </c>
      <c r="S387" t="str">
        <f t="shared" si="51"/>
        <v>SA980526</v>
      </c>
      <c r="T387">
        <f t="shared" si="52"/>
        <v>1</v>
      </c>
      <c r="U387">
        <f t="shared" si="53"/>
        <v>45</v>
      </c>
    </row>
    <row r="388" spans="1:21" x14ac:dyDescent="0.25">
      <c r="A388">
        <f t="shared" ref="A388:A451" si="54">IF(ISBLANK(B388),A387,A387+1)</f>
        <v>11</v>
      </c>
      <c r="C388" t="s">
        <v>3767</v>
      </c>
      <c r="D388" t="s">
        <v>3768</v>
      </c>
      <c r="E388" t="s">
        <v>4900</v>
      </c>
      <c r="F388" t="s">
        <v>3769</v>
      </c>
      <c r="G388" t="s">
        <v>5576</v>
      </c>
      <c r="H388" s="2">
        <v>1</v>
      </c>
      <c r="I388" s="2">
        <v>74</v>
      </c>
      <c r="N388" t="str">
        <f t="shared" si="46"/>
        <v>Al Kunuz General Trading LLC</v>
      </c>
      <c r="O388" t="str">
        <f t="shared" si="47"/>
        <v>W1315216465</v>
      </c>
      <c r="P388" t="str">
        <f t="shared" si="48"/>
        <v>SR372AC62LAR-427990</v>
      </c>
      <c r="Q388" t="str">
        <f t="shared" si="49"/>
        <v>PO044697</v>
      </c>
      <c r="R388" t="str">
        <f t="shared" si="50"/>
        <v>Srota Women Maroon Handbag</v>
      </c>
      <c r="S388" t="str">
        <f t="shared" si="51"/>
        <v>SA979800</v>
      </c>
      <c r="T388">
        <f t="shared" si="52"/>
        <v>1</v>
      </c>
      <c r="U388">
        <f t="shared" si="53"/>
        <v>74</v>
      </c>
    </row>
    <row r="389" spans="1:21" x14ac:dyDescent="0.25">
      <c r="A389">
        <f t="shared" si="54"/>
        <v>11</v>
      </c>
      <c r="C389" t="s">
        <v>3793</v>
      </c>
      <c r="D389" t="s">
        <v>3794</v>
      </c>
      <c r="E389" t="s">
        <v>3647</v>
      </c>
      <c r="F389" t="s">
        <v>3795</v>
      </c>
      <c r="G389" t="s">
        <v>3792</v>
      </c>
      <c r="H389" s="2">
        <v>1</v>
      </c>
      <c r="I389" s="2">
        <v>46</v>
      </c>
      <c r="N389" t="str">
        <f t="shared" si="46"/>
        <v>Al Kunuz General Trading LLC</v>
      </c>
      <c r="O389" t="str">
        <f t="shared" si="47"/>
        <v>W1315452785</v>
      </c>
      <c r="P389" t="str">
        <f t="shared" si="48"/>
        <v>RE047AC72IJR-702537</v>
      </c>
      <c r="Q389" t="str">
        <f t="shared" si="49"/>
        <v>PO044242</v>
      </c>
      <c r="R389" t="str">
        <f t="shared" si="50"/>
        <v>Wallet for Men (RGWL00001, Black)</v>
      </c>
      <c r="S389" t="str">
        <f t="shared" si="51"/>
        <v>SA958764</v>
      </c>
      <c r="T389">
        <f t="shared" si="52"/>
        <v>1</v>
      </c>
      <c r="U389">
        <f t="shared" si="53"/>
        <v>46</v>
      </c>
    </row>
    <row r="390" spans="1:21" x14ac:dyDescent="0.25">
      <c r="A390">
        <f t="shared" si="54"/>
        <v>11</v>
      </c>
      <c r="C390" t="s">
        <v>3797</v>
      </c>
      <c r="D390" t="s">
        <v>3798</v>
      </c>
      <c r="E390" t="s">
        <v>4900</v>
      </c>
      <c r="F390" t="s">
        <v>3799</v>
      </c>
      <c r="G390" t="s">
        <v>5028</v>
      </c>
      <c r="H390" s="2">
        <v>1</v>
      </c>
      <c r="I390" s="2">
        <v>41</v>
      </c>
      <c r="N390" t="str">
        <f t="shared" ref="N390:N453" si="55">IF(ISBLANK($A390),"",IF(ISBLANK(B390),N389,B390))</f>
        <v>Al Kunuz General Trading LLC</v>
      </c>
      <c r="O390" t="str">
        <f t="shared" ref="O390:O453" si="56">IF(ISBLANK($A390),"",IF(ISBLANK(C390),O389,C390))</f>
        <v>W1315318321</v>
      </c>
      <c r="P390" t="str">
        <f t="shared" ref="P390:P453" si="57">IF(ISBLANK($A390),"",IF(ISBLANK(D390),P389,D390))</f>
        <v>ST879AT74NAZ-521872</v>
      </c>
      <c r="Q390" t="str">
        <f t="shared" ref="Q390:Q453" si="58">IF(ISBLANK($A390),"",IF(ISBLANK(E390),Q389,E390))</f>
        <v>PO044697</v>
      </c>
      <c r="R390" t="str">
        <f t="shared" ref="R390:R453" si="59">IF(ISBLANK($A390),"",IF(ISBLANK(F390),R389,F390))</f>
        <v>Pleated Top, Sky Blue</v>
      </c>
      <c r="S390" t="str">
        <f t="shared" ref="S390:S453" si="60">IF(ISBLANK($A390),"",G390)</f>
        <v>SA973703</v>
      </c>
      <c r="T390">
        <f t="shared" ref="T390:T453" si="61">IF(ISBLANK($A390),"",H390)</f>
        <v>1</v>
      </c>
      <c r="U390">
        <f t="shared" ref="U390:U453" si="62">IF(ISBLANK($A390),"",I390)</f>
        <v>41</v>
      </c>
    </row>
    <row r="391" spans="1:21" x14ac:dyDescent="0.25">
      <c r="A391">
        <f t="shared" si="54"/>
        <v>11</v>
      </c>
      <c r="C391" t="s">
        <v>3801</v>
      </c>
      <c r="D391" t="s">
        <v>3802</v>
      </c>
      <c r="E391" t="s">
        <v>3771</v>
      </c>
      <c r="F391" t="s">
        <v>3803</v>
      </c>
      <c r="G391" t="s">
        <v>3800</v>
      </c>
      <c r="H391" s="2">
        <v>1</v>
      </c>
      <c r="I391" s="2">
        <v>55</v>
      </c>
      <c r="N391" t="str">
        <f t="shared" si="55"/>
        <v>Al Kunuz General Trading LLC</v>
      </c>
      <c r="O391" t="str">
        <f t="shared" si="56"/>
        <v>W1315399603</v>
      </c>
      <c r="P391" t="str">
        <f t="shared" si="57"/>
        <v>SA222AT52CGX-643522</v>
      </c>
      <c r="Q391" t="str">
        <f t="shared" si="58"/>
        <v>PO044367</v>
      </c>
      <c r="R391" t="str">
        <f t="shared" si="59"/>
        <v>Contrast Piping Shirt, Blue/Nude</v>
      </c>
      <c r="S391" t="str">
        <f t="shared" si="60"/>
        <v>SA959534</v>
      </c>
      <c r="T391">
        <f t="shared" si="61"/>
        <v>1</v>
      </c>
      <c r="U391">
        <f t="shared" si="62"/>
        <v>55</v>
      </c>
    </row>
    <row r="392" spans="1:21" x14ac:dyDescent="0.25">
      <c r="A392">
        <f t="shared" si="54"/>
        <v>11</v>
      </c>
      <c r="G392" t="s">
        <v>3885</v>
      </c>
      <c r="H392" s="2">
        <v>1</v>
      </c>
      <c r="I392" s="2">
        <v>55</v>
      </c>
      <c r="N392" t="str">
        <f t="shared" si="55"/>
        <v>Al Kunuz General Trading LLC</v>
      </c>
      <c r="O392" t="str">
        <f t="shared" si="56"/>
        <v>W1315399603</v>
      </c>
      <c r="P392" t="str">
        <f t="shared" si="57"/>
        <v>SA222AT52CGX-643522</v>
      </c>
      <c r="Q392" t="str">
        <f t="shared" si="58"/>
        <v>PO044367</v>
      </c>
      <c r="R392" t="str">
        <f t="shared" si="59"/>
        <v>Contrast Piping Shirt, Blue/Nude</v>
      </c>
      <c r="S392" t="str">
        <f t="shared" si="60"/>
        <v>SA961812</v>
      </c>
      <c r="T392">
        <f t="shared" si="61"/>
        <v>1</v>
      </c>
      <c r="U392">
        <f t="shared" si="62"/>
        <v>55</v>
      </c>
    </row>
    <row r="393" spans="1:21" x14ac:dyDescent="0.25">
      <c r="A393">
        <f t="shared" si="54"/>
        <v>11</v>
      </c>
      <c r="C393" t="s">
        <v>3805</v>
      </c>
      <c r="D393" t="s">
        <v>3806</v>
      </c>
      <c r="E393" t="s">
        <v>3735</v>
      </c>
      <c r="F393" t="s">
        <v>3807</v>
      </c>
      <c r="G393" t="s">
        <v>3804</v>
      </c>
      <c r="H393" s="2">
        <v>1</v>
      </c>
      <c r="I393" s="2">
        <v>27</v>
      </c>
      <c r="N393" t="str">
        <f t="shared" si="55"/>
        <v>Al Kunuz General Trading LLC</v>
      </c>
      <c r="O393" t="str">
        <f t="shared" si="56"/>
        <v>W1315204229</v>
      </c>
      <c r="P393" t="str">
        <f t="shared" si="57"/>
        <v>CR884AC79JIU-387578</v>
      </c>
      <c r="Q393" t="str">
        <f t="shared" si="58"/>
        <v>PO044313</v>
      </c>
      <c r="R393" t="str">
        <f t="shared" si="59"/>
        <v>Crunchy Fashion Clover Crystal Jewel Set (Blue) - CFS0111</v>
      </c>
      <c r="S393" t="str">
        <f t="shared" si="60"/>
        <v>SA959851</v>
      </c>
      <c r="T393">
        <f t="shared" si="61"/>
        <v>1</v>
      </c>
      <c r="U393">
        <f t="shared" si="62"/>
        <v>27</v>
      </c>
    </row>
    <row r="394" spans="1:21" x14ac:dyDescent="0.25">
      <c r="A394">
        <f t="shared" si="54"/>
        <v>11</v>
      </c>
      <c r="C394" t="s">
        <v>3809</v>
      </c>
      <c r="D394" t="s">
        <v>3810</v>
      </c>
      <c r="E394" t="s">
        <v>3811</v>
      </c>
      <c r="F394" t="s">
        <v>3575</v>
      </c>
      <c r="G394" t="s">
        <v>4147</v>
      </c>
      <c r="H394" s="2">
        <v>1</v>
      </c>
      <c r="I394" s="2">
        <v>46</v>
      </c>
      <c r="N394" t="str">
        <f t="shared" si="55"/>
        <v>Al Kunuz General Trading LLC</v>
      </c>
      <c r="O394" t="str">
        <f t="shared" si="56"/>
        <v>W1315354101</v>
      </c>
      <c r="P394" t="str">
        <f t="shared" si="57"/>
        <v>AM977AT31NQA-592842</v>
      </c>
      <c r="Q394" t="str">
        <f t="shared" si="58"/>
        <v>PO044429</v>
      </c>
      <c r="R394" t="str">
        <f t="shared" si="59"/>
        <v>Night Dress Set of 3, Multicolor</v>
      </c>
      <c r="S394" t="str">
        <f t="shared" si="60"/>
        <v>SA966423</v>
      </c>
      <c r="T394">
        <f t="shared" si="61"/>
        <v>1</v>
      </c>
      <c r="U394">
        <f t="shared" si="62"/>
        <v>46</v>
      </c>
    </row>
    <row r="395" spans="1:21" x14ac:dyDescent="0.25">
      <c r="A395">
        <f t="shared" si="54"/>
        <v>11</v>
      </c>
      <c r="C395" t="s">
        <v>3834</v>
      </c>
      <c r="D395" t="s">
        <v>3835</v>
      </c>
      <c r="E395" t="s">
        <v>3771</v>
      </c>
      <c r="F395" t="s">
        <v>3836</v>
      </c>
      <c r="G395" t="s">
        <v>3833</v>
      </c>
      <c r="H395" s="2">
        <v>1</v>
      </c>
      <c r="I395" s="2">
        <v>32</v>
      </c>
      <c r="N395" t="str">
        <f t="shared" si="55"/>
        <v>Al Kunuz General Trading LLC</v>
      </c>
      <c r="O395" t="str">
        <f t="shared" si="56"/>
        <v>W1315353891</v>
      </c>
      <c r="P395" t="str">
        <f t="shared" si="57"/>
        <v>AM977AT69OHU-593985</v>
      </c>
      <c r="Q395" t="str">
        <f t="shared" si="58"/>
        <v>PO044367</v>
      </c>
      <c r="R395" t="str">
        <f t="shared" si="59"/>
        <v>Baby doll Nighty Set of 2, Multicolor</v>
      </c>
      <c r="S395" t="str">
        <f t="shared" si="60"/>
        <v>SA960467</v>
      </c>
      <c r="T395">
        <f t="shared" si="61"/>
        <v>1</v>
      </c>
      <c r="U395">
        <f t="shared" si="62"/>
        <v>32</v>
      </c>
    </row>
    <row r="396" spans="1:21" x14ac:dyDescent="0.25">
      <c r="A396">
        <f t="shared" si="54"/>
        <v>11</v>
      </c>
      <c r="C396" t="s">
        <v>3838</v>
      </c>
      <c r="D396" t="s">
        <v>3839</v>
      </c>
      <c r="E396" t="s">
        <v>3771</v>
      </c>
      <c r="F396" t="s">
        <v>3587</v>
      </c>
      <c r="G396" t="s">
        <v>3837</v>
      </c>
      <c r="H396" s="2">
        <v>1</v>
      </c>
      <c r="I396" s="2">
        <v>36</v>
      </c>
      <c r="N396" t="str">
        <f t="shared" si="55"/>
        <v>Al Kunuz General Trading LLC</v>
      </c>
      <c r="O396" t="str">
        <f t="shared" si="56"/>
        <v>W1315399866</v>
      </c>
      <c r="P396" t="str">
        <f t="shared" si="57"/>
        <v>WE564AT77CCC-642918</v>
      </c>
      <c r="Q396" t="str">
        <f t="shared" si="58"/>
        <v>PO044367</v>
      </c>
      <c r="R396" t="str">
        <f t="shared" si="59"/>
        <v>Combo of 2 Henley T-shirts, Multi</v>
      </c>
      <c r="S396" t="str">
        <f t="shared" si="60"/>
        <v>SA960549</v>
      </c>
      <c r="T396">
        <f t="shared" si="61"/>
        <v>1</v>
      </c>
      <c r="U396">
        <f t="shared" si="62"/>
        <v>36</v>
      </c>
    </row>
    <row r="397" spans="1:21" x14ac:dyDescent="0.25">
      <c r="A397">
        <f t="shared" si="54"/>
        <v>11</v>
      </c>
      <c r="C397" t="s">
        <v>3842</v>
      </c>
      <c r="D397" t="s">
        <v>3843</v>
      </c>
      <c r="E397" t="s">
        <v>3771</v>
      </c>
      <c r="F397" t="s">
        <v>4883</v>
      </c>
      <c r="G397" t="s">
        <v>3841</v>
      </c>
      <c r="H397" s="2">
        <v>1</v>
      </c>
      <c r="I397" s="2">
        <v>71</v>
      </c>
      <c r="N397" t="str">
        <f t="shared" si="55"/>
        <v>Al Kunuz General Trading LLC</v>
      </c>
      <c r="O397" t="str">
        <f t="shared" si="56"/>
        <v>W1315244589</v>
      </c>
      <c r="P397" t="str">
        <f t="shared" si="57"/>
        <v>TH106AT66UUJ-439002</v>
      </c>
      <c r="Q397" t="str">
        <f t="shared" si="58"/>
        <v>PO044367</v>
      </c>
      <c r="R397" t="str">
        <f t="shared" si="59"/>
        <v>The Vanca Casual Shirt - Marsala</v>
      </c>
      <c r="S397" t="str">
        <f t="shared" si="60"/>
        <v>SA960749</v>
      </c>
      <c r="T397">
        <f t="shared" si="61"/>
        <v>1</v>
      </c>
      <c r="U397">
        <f t="shared" si="62"/>
        <v>71</v>
      </c>
    </row>
    <row r="398" spans="1:21" x14ac:dyDescent="0.25">
      <c r="A398">
        <f t="shared" si="54"/>
        <v>11</v>
      </c>
      <c r="C398" t="s">
        <v>3850</v>
      </c>
      <c r="D398" t="s">
        <v>3851</v>
      </c>
      <c r="E398" t="s">
        <v>3771</v>
      </c>
      <c r="F398" t="s">
        <v>3852</v>
      </c>
      <c r="G398" t="s">
        <v>3849</v>
      </c>
      <c r="H398" s="2">
        <v>1</v>
      </c>
      <c r="I398" s="2">
        <v>119</v>
      </c>
      <c r="N398" t="str">
        <f t="shared" si="55"/>
        <v>Al Kunuz General Trading LLC</v>
      </c>
      <c r="O398" t="str">
        <f t="shared" si="56"/>
        <v>W1315379758</v>
      </c>
      <c r="P398" t="str">
        <f t="shared" si="57"/>
        <v>SH079AT77OQC-631144</v>
      </c>
      <c r="Q398" t="str">
        <f t="shared" si="58"/>
        <v>PO044367</v>
      </c>
      <c r="R398" t="str">
        <f t="shared" si="59"/>
        <v>Casual Trousers, Blue</v>
      </c>
      <c r="S398" t="str">
        <f t="shared" si="60"/>
        <v>SA960827</v>
      </c>
      <c r="T398">
        <f t="shared" si="61"/>
        <v>1</v>
      </c>
      <c r="U398">
        <f t="shared" si="62"/>
        <v>119</v>
      </c>
    </row>
    <row r="399" spans="1:21" x14ac:dyDescent="0.25">
      <c r="A399">
        <f t="shared" si="54"/>
        <v>11</v>
      </c>
      <c r="C399" t="s">
        <v>3854</v>
      </c>
      <c r="D399" t="s">
        <v>3855</v>
      </c>
      <c r="E399" t="s">
        <v>3771</v>
      </c>
      <c r="F399" t="s">
        <v>3856</v>
      </c>
      <c r="G399" t="s">
        <v>3853</v>
      </c>
      <c r="H399" s="2">
        <v>1</v>
      </c>
      <c r="I399" s="2">
        <v>96</v>
      </c>
      <c r="N399" t="str">
        <f t="shared" si="55"/>
        <v>Al Kunuz General Trading LLC</v>
      </c>
      <c r="O399" t="str">
        <f t="shared" si="56"/>
        <v>W1315348260</v>
      </c>
      <c r="P399" t="str">
        <f t="shared" si="57"/>
        <v>BL915AT24EED-582709</v>
      </c>
      <c r="Q399" t="str">
        <f t="shared" si="58"/>
        <v>PO044367</v>
      </c>
      <c r="R399" t="str">
        <f t="shared" si="59"/>
        <v>Cotton Schiffly Frill Dress, Pink</v>
      </c>
      <c r="S399" t="str">
        <f t="shared" si="60"/>
        <v>SA960940</v>
      </c>
      <c r="T399">
        <f t="shared" si="61"/>
        <v>1</v>
      </c>
      <c r="U399">
        <f t="shared" si="62"/>
        <v>96</v>
      </c>
    </row>
    <row r="400" spans="1:21" x14ac:dyDescent="0.25">
      <c r="A400">
        <f t="shared" si="54"/>
        <v>11</v>
      </c>
      <c r="C400" t="s">
        <v>3858</v>
      </c>
      <c r="D400" t="s">
        <v>3859</v>
      </c>
      <c r="E400" t="s">
        <v>3771</v>
      </c>
      <c r="F400" t="s">
        <v>3860</v>
      </c>
      <c r="G400" t="s">
        <v>3857</v>
      </c>
      <c r="H400" s="2">
        <v>1</v>
      </c>
      <c r="I400" s="2">
        <v>107</v>
      </c>
      <c r="N400" t="str">
        <f t="shared" si="55"/>
        <v>Al Kunuz General Trading LLC</v>
      </c>
      <c r="O400" t="str">
        <f t="shared" si="56"/>
        <v>W1315211686</v>
      </c>
      <c r="P400" t="str">
        <f t="shared" si="57"/>
        <v>MR178AT73GGG-383682</v>
      </c>
      <c r="Q400" t="str">
        <f t="shared" si="58"/>
        <v>PO044367</v>
      </c>
      <c r="R400" t="str">
        <f t="shared" si="59"/>
        <v>Mr Button Blue Cotton Shirt With Mustard Flap Detail</v>
      </c>
      <c r="S400" t="str">
        <f t="shared" si="60"/>
        <v>SA960941</v>
      </c>
      <c r="T400">
        <f t="shared" si="61"/>
        <v>1</v>
      </c>
      <c r="U400">
        <f t="shared" si="62"/>
        <v>107</v>
      </c>
    </row>
    <row r="401" spans="1:21" x14ac:dyDescent="0.25">
      <c r="A401">
        <f t="shared" si="54"/>
        <v>11</v>
      </c>
      <c r="C401" t="s">
        <v>3874</v>
      </c>
      <c r="D401" t="s">
        <v>3875</v>
      </c>
      <c r="E401" t="s">
        <v>3771</v>
      </c>
      <c r="F401" t="s">
        <v>3613</v>
      </c>
      <c r="G401" t="s">
        <v>3873</v>
      </c>
      <c r="H401" s="2">
        <v>1</v>
      </c>
      <c r="I401" s="2">
        <v>77</v>
      </c>
      <c r="N401" t="str">
        <f t="shared" si="55"/>
        <v>Al Kunuz General Trading LLC</v>
      </c>
      <c r="O401" t="str">
        <f t="shared" si="56"/>
        <v>W1315187895</v>
      </c>
      <c r="P401" t="str">
        <f t="shared" si="57"/>
        <v>TH718AT44PDF-368740</v>
      </c>
      <c r="Q401" t="str">
        <f t="shared" si="58"/>
        <v>PO044367</v>
      </c>
      <c r="R401" t="str">
        <f t="shared" si="59"/>
        <v>THREADCURRY Black Graphic Printed Round Neck T Shirt</v>
      </c>
      <c r="S401" t="str">
        <f t="shared" si="60"/>
        <v>SA961499</v>
      </c>
      <c r="T401">
        <f t="shared" si="61"/>
        <v>1</v>
      </c>
      <c r="U401">
        <f t="shared" si="62"/>
        <v>77</v>
      </c>
    </row>
    <row r="402" spans="1:21" x14ac:dyDescent="0.25">
      <c r="A402">
        <f t="shared" si="54"/>
        <v>11</v>
      </c>
      <c r="C402" t="s">
        <v>3882</v>
      </c>
      <c r="D402" t="s">
        <v>3883</v>
      </c>
      <c r="E402" t="s">
        <v>3771</v>
      </c>
      <c r="F402" t="s">
        <v>3884</v>
      </c>
      <c r="G402" t="s">
        <v>3881</v>
      </c>
      <c r="H402" s="2">
        <v>1</v>
      </c>
      <c r="I402" s="2">
        <v>59</v>
      </c>
      <c r="N402" t="str">
        <f t="shared" si="55"/>
        <v>Al Kunuz General Trading LLC</v>
      </c>
      <c r="O402" t="str">
        <f t="shared" si="56"/>
        <v>W1315399155</v>
      </c>
      <c r="P402" t="str">
        <f t="shared" si="57"/>
        <v>SA222AT43CDK-643074</v>
      </c>
      <c r="Q402" t="str">
        <f t="shared" si="58"/>
        <v>PO044367</v>
      </c>
      <c r="R402" t="str">
        <f t="shared" si="59"/>
        <v>Copper Sequin Beaded Collar Top, Black</v>
      </c>
      <c r="S402" t="str">
        <f t="shared" si="60"/>
        <v>SA961808</v>
      </c>
      <c r="T402">
        <f t="shared" si="61"/>
        <v>1</v>
      </c>
      <c r="U402">
        <f t="shared" si="62"/>
        <v>59</v>
      </c>
    </row>
    <row r="403" spans="1:21" x14ac:dyDescent="0.25">
      <c r="A403">
        <f t="shared" si="54"/>
        <v>11</v>
      </c>
      <c r="C403" t="s">
        <v>3890</v>
      </c>
      <c r="D403" t="s">
        <v>3891</v>
      </c>
      <c r="E403" t="s">
        <v>3771</v>
      </c>
      <c r="F403" t="s">
        <v>3892</v>
      </c>
      <c r="G403" t="s">
        <v>3889</v>
      </c>
      <c r="H403" s="2">
        <v>1</v>
      </c>
      <c r="I403" s="2">
        <v>77</v>
      </c>
      <c r="N403" t="str">
        <f t="shared" si="55"/>
        <v>Al Kunuz General Trading LLC</v>
      </c>
      <c r="O403" t="str">
        <f t="shared" si="56"/>
        <v>W1315187472</v>
      </c>
      <c r="P403" t="str">
        <f t="shared" si="57"/>
        <v>TH718AT58OUZ-367885</v>
      </c>
      <c r="Q403" t="str">
        <f t="shared" si="58"/>
        <v>PO044367</v>
      </c>
      <c r="R403" t="str">
        <f t="shared" si="59"/>
        <v>THREADCURRY White Graphic Printed Round Neck T Shirt</v>
      </c>
      <c r="S403" t="str">
        <f t="shared" si="60"/>
        <v>SA961966</v>
      </c>
      <c r="T403">
        <f t="shared" si="61"/>
        <v>1</v>
      </c>
      <c r="U403">
        <f t="shared" si="62"/>
        <v>77</v>
      </c>
    </row>
    <row r="404" spans="1:21" x14ac:dyDescent="0.25">
      <c r="A404">
        <f t="shared" si="54"/>
        <v>11</v>
      </c>
      <c r="C404" t="s">
        <v>3894</v>
      </c>
      <c r="D404" t="s">
        <v>3895</v>
      </c>
      <c r="E404" t="s">
        <v>3771</v>
      </c>
      <c r="F404" t="s">
        <v>3614</v>
      </c>
      <c r="G404" t="s">
        <v>3893</v>
      </c>
      <c r="H404" s="2">
        <v>1</v>
      </c>
      <c r="I404" s="2">
        <v>22</v>
      </c>
      <c r="N404" t="str">
        <f t="shared" si="55"/>
        <v>Al Kunuz General Trading LLC</v>
      </c>
      <c r="O404" t="str">
        <f t="shared" si="56"/>
        <v>W1315350782</v>
      </c>
      <c r="P404" t="str">
        <f t="shared" si="57"/>
        <v>HU968AT52MKL-591567</v>
      </c>
      <c r="Q404" t="str">
        <f t="shared" si="58"/>
        <v>PO044367</v>
      </c>
      <c r="R404" t="str">
        <f t="shared" si="59"/>
        <v>Printed V-Neck T-Shirt, Black</v>
      </c>
      <c r="S404" t="str">
        <f t="shared" si="60"/>
        <v>SA961967</v>
      </c>
      <c r="T404">
        <f t="shared" si="61"/>
        <v>1</v>
      </c>
      <c r="U404">
        <f t="shared" si="62"/>
        <v>22</v>
      </c>
    </row>
    <row r="405" spans="1:21" x14ac:dyDescent="0.25">
      <c r="A405">
        <f t="shared" si="54"/>
        <v>11</v>
      </c>
      <c r="C405" t="s">
        <v>3897</v>
      </c>
      <c r="D405" t="s">
        <v>3898</v>
      </c>
      <c r="E405" t="s">
        <v>3771</v>
      </c>
      <c r="F405" t="s">
        <v>3899</v>
      </c>
      <c r="G405" t="s">
        <v>3896</v>
      </c>
      <c r="H405" s="2">
        <v>1</v>
      </c>
      <c r="I405" s="2">
        <v>54</v>
      </c>
      <c r="N405" t="str">
        <f t="shared" si="55"/>
        <v>Al Kunuz General Trading LLC</v>
      </c>
      <c r="O405" t="str">
        <f t="shared" si="56"/>
        <v>W1315430525</v>
      </c>
      <c r="P405" t="str">
        <f t="shared" si="57"/>
        <v>UP141AT42JLT-703430</v>
      </c>
      <c r="Q405" t="str">
        <f t="shared" si="58"/>
        <v>PO044367</v>
      </c>
      <c r="R405" t="str">
        <f t="shared" si="59"/>
        <v>Denim Shirt, Printed Blue</v>
      </c>
      <c r="S405" t="str">
        <f t="shared" si="60"/>
        <v>SA962054</v>
      </c>
      <c r="T405">
        <f t="shared" si="61"/>
        <v>1</v>
      </c>
      <c r="U405">
        <f t="shared" si="62"/>
        <v>54</v>
      </c>
    </row>
    <row r="406" spans="1:21" x14ac:dyDescent="0.25">
      <c r="A406">
        <f t="shared" si="54"/>
        <v>11</v>
      </c>
      <c r="E406" t="s">
        <v>4900</v>
      </c>
      <c r="F406" t="s">
        <v>3899</v>
      </c>
      <c r="G406" t="s">
        <v>5227</v>
      </c>
      <c r="H406" s="2">
        <v>1</v>
      </c>
      <c r="I406" s="2">
        <v>54</v>
      </c>
      <c r="N406" t="str">
        <f t="shared" si="55"/>
        <v>Al Kunuz General Trading LLC</v>
      </c>
      <c r="O406" t="str">
        <f t="shared" si="56"/>
        <v>W1315430525</v>
      </c>
      <c r="P406" t="str">
        <f t="shared" si="57"/>
        <v>UP141AT42JLT-703430</v>
      </c>
      <c r="Q406" t="str">
        <f t="shared" si="58"/>
        <v>PO044697</v>
      </c>
      <c r="R406" t="str">
        <f t="shared" si="59"/>
        <v>Denim Shirt, Printed Blue</v>
      </c>
      <c r="S406" t="str">
        <f t="shared" si="60"/>
        <v>SA975392</v>
      </c>
      <c r="T406">
        <f t="shared" si="61"/>
        <v>1</v>
      </c>
      <c r="U406">
        <f t="shared" si="62"/>
        <v>54</v>
      </c>
    </row>
    <row r="407" spans="1:21" x14ac:dyDescent="0.25">
      <c r="A407">
        <f t="shared" si="54"/>
        <v>11</v>
      </c>
      <c r="C407" t="s">
        <v>3902</v>
      </c>
      <c r="D407" t="s">
        <v>3903</v>
      </c>
      <c r="E407" t="s">
        <v>3771</v>
      </c>
      <c r="F407" t="s">
        <v>3904</v>
      </c>
      <c r="G407" t="s">
        <v>3901</v>
      </c>
      <c r="H407" s="2">
        <v>1</v>
      </c>
      <c r="I407" s="2">
        <v>41</v>
      </c>
      <c r="N407" t="str">
        <f t="shared" si="55"/>
        <v>Al Kunuz General Trading LLC</v>
      </c>
      <c r="O407" t="str">
        <f t="shared" si="56"/>
        <v>W1315278078</v>
      </c>
      <c r="P407" t="str">
        <f t="shared" si="57"/>
        <v>SA222AT92BTB-475752</v>
      </c>
      <c r="Q407" t="str">
        <f t="shared" si="58"/>
        <v>PO044367</v>
      </c>
      <c r="R407" t="str">
        <f t="shared" si="59"/>
        <v>Tie And Dye Kurta Top, Multi</v>
      </c>
      <c r="S407" t="str">
        <f t="shared" si="60"/>
        <v>SA962056</v>
      </c>
      <c r="T407">
        <f t="shared" si="61"/>
        <v>1</v>
      </c>
      <c r="U407">
        <f t="shared" si="62"/>
        <v>41</v>
      </c>
    </row>
    <row r="408" spans="1:21" x14ac:dyDescent="0.25">
      <c r="A408">
        <f t="shared" si="54"/>
        <v>11</v>
      </c>
      <c r="C408" t="s">
        <v>3906</v>
      </c>
      <c r="D408" t="s">
        <v>3907</v>
      </c>
      <c r="E408" t="s">
        <v>3771</v>
      </c>
      <c r="F408" t="s">
        <v>3274</v>
      </c>
      <c r="G408" t="s">
        <v>3905</v>
      </c>
      <c r="H408" s="2">
        <v>1</v>
      </c>
      <c r="I408" s="2">
        <v>52</v>
      </c>
      <c r="N408" t="str">
        <f t="shared" si="55"/>
        <v>Al Kunuz General Trading LLC</v>
      </c>
      <c r="O408" t="str">
        <f t="shared" si="56"/>
        <v>W1315399364</v>
      </c>
      <c r="P408" t="str">
        <f t="shared" si="57"/>
        <v>SA222AT01CFA-643283</v>
      </c>
      <c r="Q408" t="str">
        <f t="shared" si="58"/>
        <v>PO044367</v>
      </c>
      <c r="R408" t="str">
        <f t="shared" si="59"/>
        <v>Peplum Scuba Top, Ivory</v>
      </c>
      <c r="S408" t="str">
        <f t="shared" si="60"/>
        <v>SA962393</v>
      </c>
      <c r="T408">
        <f t="shared" si="61"/>
        <v>1</v>
      </c>
      <c r="U408">
        <f t="shared" si="62"/>
        <v>52</v>
      </c>
    </row>
    <row r="409" spans="1:21" x14ac:dyDescent="0.25">
      <c r="A409">
        <f t="shared" si="54"/>
        <v>11</v>
      </c>
      <c r="C409" t="s">
        <v>3909</v>
      </c>
      <c r="D409" t="s">
        <v>3910</v>
      </c>
      <c r="E409" t="s">
        <v>3771</v>
      </c>
      <c r="F409" t="s">
        <v>3911</v>
      </c>
      <c r="G409" t="s">
        <v>3908</v>
      </c>
      <c r="H409" s="2">
        <v>1</v>
      </c>
      <c r="I409" s="2">
        <v>100</v>
      </c>
      <c r="N409" t="str">
        <f t="shared" si="55"/>
        <v>Al Kunuz General Trading LLC</v>
      </c>
      <c r="O409" t="str">
        <f t="shared" si="56"/>
        <v>W1315347805</v>
      </c>
      <c r="P409" t="str">
        <f t="shared" si="57"/>
        <v>RI918AT57EWC-583557</v>
      </c>
      <c r="Q409" t="str">
        <f t="shared" si="58"/>
        <v>PO044367</v>
      </c>
      <c r="R409" t="str">
        <f t="shared" si="59"/>
        <v>Victorian Ruffle Top, Yellow</v>
      </c>
      <c r="S409" t="str">
        <f t="shared" si="60"/>
        <v>SA962434</v>
      </c>
      <c r="T409">
        <f t="shared" si="61"/>
        <v>1</v>
      </c>
      <c r="U409">
        <f t="shared" si="62"/>
        <v>100</v>
      </c>
    </row>
    <row r="410" spans="1:21" x14ac:dyDescent="0.25">
      <c r="A410">
        <f t="shared" si="54"/>
        <v>11</v>
      </c>
      <c r="C410" t="s">
        <v>3914</v>
      </c>
      <c r="D410" t="s">
        <v>3915</v>
      </c>
      <c r="E410" t="s">
        <v>3771</v>
      </c>
      <c r="F410" t="s">
        <v>3916</v>
      </c>
      <c r="G410" t="s">
        <v>3913</v>
      </c>
      <c r="H410" s="2">
        <v>1</v>
      </c>
      <c r="I410" s="2">
        <v>64</v>
      </c>
      <c r="N410" t="str">
        <f t="shared" si="55"/>
        <v>Al Kunuz General Trading LLC</v>
      </c>
      <c r="O410" t="str">
        <f t="shared" si="56"/>
        <v>W1315430640</v>
      </c>
      <c r="P410" t="str">
        <f t="shared" si="57"/>
        <v>UP141AT60EVV-700130</v>
      </c>
      <c r="Q410" t="str">
        <f t="shared" si="58"/>
        <v>PO044367</v>
      </c>
      <c r="R410" t="str">
        <f t="shared" si="59"/>
        <v>Jeans, Blue</v>
      </c>
      <c r="S410" t="str">
        <f t="shared" si="60"/>
        <v>SA962444</v>
      </c>
      <c r="T410">
        <f t="shared" si="61"/>
        <v>1</v>
      </c>
      <c r="U410">
        <f t="shared" si="62"/>
        <v>64</v>
      </c>
    </row>
    <row r="411" spans="1:21" x14ac:dyDescent="0.25">
      <c r="A411">
        <f t="shared" si="54"/>
        <v>11</v>
      </c>
      <c r="C411" t="s">
        <v>3918</v>
      </c>
      <c r="D411" t="s">
        <v>3919</v>
      </c>
      <c r="E411" t="s">
        <v>3771</v>
      </c>
      <c r="F411" t="s">
        <v>3920</v>
      </c>
      <c r="G411" t="s">
        <v>3917</v>
      </c>
      <c r="H411" s="2">
        <v>1</v>
      </c>
      <c r="I411" s="2">
        <v>69</v>
      </c>
      <c r="N411" t="str">
        <f t="shared" si="55"/>
        <v>Al Kunuz General Trading LLC</v>
      </c>
      <c r="O411" t="str">
        <f t="shared" si="56"/>
        <v>W1315350372</v>
      </c>
      <c r="P411" t="str">
        <f t="shared" si="57"/>
        <v>KE914AT53EDA-582590</v>
      </c>
      <c r="Q411" t="str">
        <f t="shared" si="58"/>
        <v>PO044367</v>
      </c>
      <c r="R411" t="str">
        <f t="shared" si="59"/>
        <v>Men's T-Shirt Pack of 11, Black/Beige/Grey</v>
      </c>
      <c r="S411" t="str">
        <f t="shared" si="60"/>
        <v>SA962448</v>
      </c>
      <c r="T411">
        <f t="shared" si="61"/>
        <v>1</v>
      </c>
      <c r="U411">
        <f t="shared" si="62"/>
        <v>69</v>
      </c>
    </row>
    <row r="412" spans="1:21" x14ac:dyDescent="0.25">
      <c r="A412">
        <f t="shared" si="54"/>
        <v>11</v>
      </c>
      <c r="C412" t="s">
        <v>3922</v>
      </c>
      <c r="D412" t="s">
        <v>3923</v>
      </c>
      <c r="E412" t="s">
        <v>3771</v>
      </c>
      <c r="F412" t="s">
        <v>3737</v>
      </c>
      <c r="G412" t="s">
        <v>3921</v>
      </c>
      <c r="H412" s="2">
        <v>1</v>
      </c>
      <c r="I412" s="2">
        <v>41</v>
      </c>
      <c r="N412" t="str">
        <f t="shared" si="55"/>
        <v>Al Kunuz General Trading LLC</v>
      </c>
      <c r="O412" t="str">
        <f t="shared" si="56"/>
        <v>W1315399798</v>
      </c>
      <c r="P412" t="str">
        <f t="shared" si="57"/>
        <v>WE564AT95CBK-642850</v>
      </c>
      <c r="Q412" t="str">
        <f t="shared" si="58"/>
        <v>PO044367</v>
      </c>
      <c r="R412" t="str">
        <f t="shared" si="59"/>
        <v>Designer Hooded Sweatshirt, Multi</v>
      </c>
      <c r="S412" t="str">
        <f t="shared" si="60"/>
        <v>SA962450</v>
      </c>
      <c r="T412">
        <f t="shared" si="61"/>
        <v>1</v>
      </c>
      <c r="U412">
        <f t="shared" si="62"/>
        <v>41</v>
      </c>
    </row>
    <row r="413" spans="1:21" x14ac:dyDescent="0.25">
      <c r="A413">
        <f t="shared" si="54"/>
        <v>11</v>
      </c>
      <c r="C413" t="s">
        <v>3937</v>
      </c>
      <c r="D413" t="s">
        <v>3938</v>
      </c>
      <c r="E413" t="s">
        <v>3771</v>
      </c>
      <c r="F413" t="s">
        <v>3939</v>
      </c>
      <c r="G413" t="s">
        <v>3936</v>
      </c>
      <c r="H413" s="2">
        <v>1</v>
      </c>
      <c r="I413" s="2">
        <v>46</v>
      </c>
      <c r="N413" t="str">
        <f t="shared" si="55"/>
        <v>Al Kunuz General Trading LLC</v>
      </c>
      <c r="O413" t="str">
        <f t="shared" si="56"/>
        <v>W1315399181</v>
      </c>
      <c r="P413" t="str">
        <f t="shared" si="57"/>
        <v>SA222AT38CDP-643100</v>
      </c>
      <c r="Q413" t="str">
        <f t="shared" si="58"/>
        <v>PO044367</v>
      </c>
      <c r="R413" t="str">
        <f t="shared" si="59"/>
        <v>Pastel Color Block Top, Pink/Aqua/Ivory</v>
      </c>
      <c r="S413" t="str">
        <f t="shared" si="60"/>
        <v>SA962890</v>
      </c>
      <c r="T413">
        <f t="shared" si="61"/>
        <v>1</v>
      </c>
      <c r="U413">
        <f t="shared" si="62"/>
        <v>46</v>
      </c>
    </row>
    <row r="414" spans="1:21" x14ac:dyDescent="0.25">
      <c r="A414">
        <f t="shared" si="54"/>
        <v>11</v>
      </c>
      <c r="C414" t="s">
        <v>3942</v>
      </c>
      <c r="D414" t="s">
        <v>3943</v>
      </c>
      <c r="E414" t="s">
        <v>3771</v>
      </c>
      <c r="F414" t="s">
        <v>3574</v>
      </c>
      <c r="G414" t="s">
        <v>3941</v>
      </c>
      <c r="H414" s="2">
        <v>1</v>
      </c>
      <c r="I414" s="2">
        <v>41</v>
      </c>
      <c r="N414" t="str">
        <f t="shared" si="55"/>
        <v>Al Kunuz General Trading LLC</v>
      </c>
      <c r="O414" t="str">
        <f t="shared" si="56"/>
        <v>W1315278042</v>
      </c>
      <c r="P414" t="str">
        <f t="shared" si="57"/>
        <v>SA222AT00BST-475716</v>
      </c>
      <c r="Q414" t="str">
        <f t="shared" si="58"/>
        <v>PO044367</v>
      </c>
      <c r="R414" t="str">
        <f t="shared" si="59"/>
        <v>Floral Top, Ivory/Pink</v>
      </c>
      <c r="S414" t="str">
        <f t="shared" si="60"/>
        <v>SA962893</v>
      </c>
      <c r="T414">
        <f t="shared" si="61"/>
        <v>1</v>
      </c>
      <c r="U414">
        <f t="shared" si="62"/>
        <v>41</v>
      </c>
    </row>
    <row r="415" spans="1:21" x14ac:dyDescent="0.25">
      <c r="A415">
        <f t="shared" si="54"/>
        <v>11</v>
      </c>
      <c r="C415" t="s">
        <v>3945</v>
      </c>
      <c r="D415" t="s">
        <v>3946</v>
      </c>
      <c r="E415" t="s">
        <v>3771</v>
      </c>
      <c r="F415" t="s">
        <v>3947</v>
      </c>
      <c r="G415" t="s">
        <v>3944</v>
      </c>
      <c r="H415" s="2">
        <v>1</v>
      </c>
      <c r="I415" s="2">
        <v>54</v>
      </c>
      <c r="N415" t="str">
        <f t="shared" si="55"/>
        <v>Al Kunuz General Trading LLC</v>
      </c>
      <c r="O415" t="str">
        <f t="shared" si="56"/>
        <v>W1315399619</v>
      </c>
      <c r="P415" t="str">
        <f t="shared" si="57"/>
        <v>SA222AT49CHA-643538</v>
      </c>
      <c r="Q415" t="str">
        <f t="shared" si="58"/>
        <v>PO044367</v>
      </c>
      <c r="R415" t="str">
        <f t="shared" si="59"/>
        <v>Cut Out Shirt, Black</v>
      </c>
      <c r="S415" t="str">
        <f t="shared" si="60"/>
        <v>SA962894</v>
      </c>
      <c r="T415">
        <f t="shared" si="61"/>
        <v>1</v>
      </c>
      <c r="U415">
        <f t="shared" si="62"/>
        <v>54</v>
      </c>
    </row>
    <row r="416" spans="1:21" x14ac:dyDescent="0.25">
      <c r="A416">
        <f t="shared" si="54"/>
        <v>11</v>
      </c>
      <c r="C416" t="s">
        <v>3949</v>
      </c>
      <c r="D416" t="s">
        <v>3950</v>
      </c>
      <c r="E416" t="s">
        <v>3771</v>
      </c>
      <c r="F416" t="s">
        <v>3951</v>
      </c>
      <c r="G416" t="s">
        <v>3948</v>
      </c>
      <c r="H416" s="2">
        <v>1</v>
      </c>
      <c r="I416" s="2">
        <v>53</v>
      </c>
      <c r="N416" t="str">
        <f t="shared" si="55"/>
        <v>Al Kunuz General Trading LLC</v>
      </c>
      <c r="O416" t="str">
        <f t="shared" si="56"/>
        <v>W1315278131</v>
      </c>
      <c r="P416" t="str">
        <f t="shared" si="57"/>
        <v>SA222AT81BTM-475805</v>
      </c>
      <c r="Q416" t="str">
        <f t="shared" si="58"/>
        <v>PO044367</v>
      </c>
      <c r="R416" t="str">
        <f t="shared" si="59"/>
        <v>Long Sleeves Top, Red</v>
      </c>
      <c r="S416" t="str">
        <f t="shared" si="60"/>
        <v>SA962896</v>
      </c>
      <c r="T416">
        <f t="shared" si="61"/>
        <v>1</v>
      </c>
      <c r="U416">
        <f t="shared" si="62"/>
        <v>53</v>
      </c>
    </row>
    <row r="417" spans="1:21" x14ac:dyDescent="0.25">
      <c r="A417">
        <f t="shared" si="54"/>
        <v>11</v>
      </c>
      <c r="C417" t="s">
        <v>3954</v>
      </c>
      <c r="D417" t="s">
        <v>3955</v>
      </c>
      <c r="E417" t="s">
        <v>3771</v>
      </c>
      <c r="F417" t="s">
        <v>3956</v>
      </c>
      <c r="G417" t="s">
        <v>3953</v>
      </c>
      <c r="H417" s="2">
        <v>1</v>
      </c>
      <c r="I417" s="2">
        <v>42</v>
      </c>
      <c r="N417" t="str">
        <f t="shared" si="55"/>
        <v>Al Kunuz General Trading LLC</v>
      </c>
      <c r="O417" t="str">
        <f t="shared" si="56"/>
        <v>W1315277829</v>
      </c>
      <c r="P417" t="str">
        <f t="shared" si="57"/>
        <v>SA222AT06BOR-475448</v>
      </c>
      <c r="Q417" t="str">
        <f t="shared" si="58"/>
        <v>PO044367</v>
      </c>
      <c r="R417" t="str">
        <f t="shared" si="59"/>
        <v>Chained Pocket Shirt, Black</v>
      </c>
      <c r="S417" t="str">
        <f t="shared" si="60"/>
        <v>SA962900</v>
      </c>
      <c r="T417">
        <f t="shared" si="61"/>
        <v>1</v>
      </c>
      <c r="U417">
        <f t="shared" si="62"/>
        <v>42</v>
      </c>
    </row>
    <row r="418" spans="1:21" x14ac:dyDescent="0.25">
      <c r="A418">
        <f t="shared" si="54"/>
        <v>11</v>
      </c>
      <c r="C418" t="s">
        <v>3958</v>
      </c>
      <c r="D418" t="s">
        <v>3959</v>
      </c>
      <c r="E418" t="s">
        <v>3771</v>
      </c>
      <c r="F418" t="s">
        <v>3538</v>
      </c>
      <c r="G418" t="s">
        <v>3957</v>
      </c>
      <c r="H418" s="2">
        <v>1</v>
      </c>
      <c r="I418" s="2">
        <v>41</v>
      </c>
      <c r="N418" t="str">
        <f t="shared" si="55"/>
        <v>Al Kunuz General Trading LLC</v>
      </c>
      <c r="O418" t="str">
        <f t="shared" si="56"/>
        <v>W1315278061</v>
      </c>
      <c r="P418" t="str">
        <f t="shared" si="57"/>
        <v>SA222AT96BSX-475735</v>
      </c>
      <c r="Q418" t="str">
        <f t="shared" si="58"/>
        <v>PO044367</v>
      </c>
      <c r="R418" t="str">
        <f t="shared" si="59"/>
        <v>Top with Laser Cut Flowers, Powder Pink</v>
      </c>
      <c r="S418" t="str">
        <f t="shared" si="60"/>
        <v>SA962908</v>
      </c>
      <c r="T418">
        <f t="shared" si="61"/>
        <v>1</v>
      </c>
      <c r="U418">
        <f t="shared" si="62"/>
        <v>41</v>
      </c>
    </row>
    <row r="419" spans="1:21" x14ac:dyDescent="0.25">
      <c r="A419">
        <f t="shared" si="54"/>
        <v>11</v>
      </c>
      <c r="C419" t="s">
        <v>3961</v>
      </c>
      <c r="D419" t="s">
        <v>3962</v>
      </c>
      <c r="E419" t="s">
        <v>3771</v>
      </c>
      <c r="F419" t="s">
        <v>3480</v>
      </c>
      <c r="G419" t="s">
        <v>3960</v>
      </c>
      <c r="H419" s="2">
        <v>1</v>
      </c>
      <c r="I419" s="2">
        <v>22</v>
      </c>
      <c r="N419" t="str">
        <f t="shared" si="55"/>
        <v>Al Kunuz General Trading LLC</v>
      </c>
      <c r="O419" t="str">
        <f t="shared" si="56"/>
        <v>W1315351109</v>
      </c>
      <c r="P419" t="str">
        <f t="shared" si="57"/>
        <v>HU968AT70NSJ-592968</v>
      </c>
      <c r="Q419" t="str">
        <f t="shared" si="58"/>
        <v>PO044367</v>
      </c>
      <c r="R419" t="str">
        <f t="shared" si="59"/>
        <v>Casual Shorts, Black</v>
      </c>
      <c r="S419" t="str">
        <f t="shared" si="60"/>
        <v>SA962972</v>
      </c>
      <c r="T419">
        <f t="shared" si="61"/>
        <v>1</v>
      </c>
      <c r="U419">
        <f t="shared" si="62"/>
        <v>22</v>
      </c>
    </row>
    <row r="420" spans="1:21" x14ac:dyDescent="0.25">
      <c r="A420">
        <f t="shared" si="54"/>
        <v>11</v>
      </c>
      <c r="C420" t="s">
        <v>3970</v>
      </c>
      <c r="D420" t="s">
        <v>3971</v>
      </c>
      <c r="E420" t="s">
        <v>3771</v>
      </c>
      <c r="F420" t="s">
        <v>3614</v>
      </c>
      <c r="G420" t="s">
        <v>3969</v>
      </c>
      <c r="H420" s="2">
        <v>1</v>
      </c>
      <c r="I420" s="2">
        <v>23</v>
      </c>
      <c r="N420" t="str">
        <f t="shared" si="55"/>
        <v>Al Kunuz General Trading LLC</v>
      </c>
      <c r="O420" t="str">
        <f t="shared" si="56"/>
        <v>W1315351173</v>
      </c>
      <c r="P420" t="str">
        <f t="shared" si="57"/>
        <v>HU968AT54NSZ-593032</v>
      </c>
      <c r="Q420" t="str">
        <f t="shared" si="58"/>
        <v>PO044367</v>
      </c>
      <c r="R420" t="str">
        <f t="shared" si="59"/>
        <v>Printed V-Neck T-Shirt, Black</v>
      </c>
      <c r="S420" t="str">
        <f t="shared" si="60"/>
        <v>SA963073</v>
      </c>
      <c r="T420">
        <f t="shared" si="61"/>
        <v>1</v>
      </c>
      <c r="U420">
        <f t="shared" si="62"/>
        <v>23</v>
      </c>
    </row>
    <row r="421" spans="1:21" x14ac:dyDescent="0.25">
      <c r="A421">
        <f t="shared" si="54"/>
        <v>11</v>
      </c>
      <c r="C421" t="s">
        <v>3994</v>
      </c>
      <c r="D421" t="s">
        <v>3995</v>
      </c>
      <c r="E421" t="s">
        <v>3771</v>
      </c>
      <c r="F421" t="s">
        <v>3996</v>
      </c>
      <c r="G421" t="s">
        <v>3993</v>
      </c>
      <c r="H421" s="2">
        <v>1</v>
      </c>
      <c r="I421" s="2">
        <v>85</v>
      </c>
      <c r="N421" t="str">
        <f t="shared" si="55"/>
        <v>Al Kunuz General Trading LLC</v>
      </c>
      <c r="O421" t="str">
        <f t="shared" si="56"/>
        <v>W1315348957</v>
      </c>
      <c r="P421" t="str">
        <f t="shared" si="57"/>
        <v>FR924AT35LRW-590678</v>
      </c>
      <c r="Q421" t="str">
        <f t="shared" si="58"/>
        <v>PO044367</v>
      </c>
      <c r="R421" t="str">
        <f t="shared" si="59"/>
        <v>Long Jacket with Elasticated Waist, Olive</v>
      </c>
      <c r="S421" t="str">
        <f t="shared" si="60"/>
        <v>SA963706</v>
      </c>
      <c r="T421">
        <f t="shared" si="61"/>
        <v>1</v>
      </c>
      <c r="U421">
        <f t="shared" si="62"/>
        <v>85</v>
      </c>
    </row>
    <row r="422" spans="1:21" x14ac:dyDescent="0.25">
      <c r="A422">
        <f t="shared" si="54"/>
        <v>11</v>
      </c>
      <c r="C422" t="s">
        <v>3998</v>
      </c>
      <c r="D422" t="s">
        <v>3999</v>
      </c>
      <c r="E422" t="s">
        <v>3771</v>
      </c>
      <c r="F422" t="s">
        <v>4000</v>
      </c>
      <c r="G422" t="s">
        <v>3997</v>
      </c>
      <c r="H422" s="2">
        <v>1</v>
      </c>
      <c r="I422" s="2">
        <v>54</v>
      </c>
      <c r="N422" t="str">
        <f t="shared" si="55"/>
        <v>Al Kunuz General Trading LLC</v>
      </c>
      <c r="O422" t="str">
        <f t="shared" si="56"/>
        <v>W1315204262</v>
      </c>
      <c r="P422" t="str">
        <f t="shared" si="57"/>
        <v>CR884AC46JNX-387711</v>
      </c>
      <c r="Q422" t="str">
        <f t="shared" si="58"/>
        <v>PO044367</v>
      </c>
      <c r="R422" t="str">
        <f t="shared" si="59"/>
        <v>Crunchy Fashion Golden Tear Drop Pendant Set (Gold) - CFS0116</v>
      </c>
      <c r="S422" t="str">
        <f t="shared" si="60"/>
        <v>SA963792</v>
      </c>
      <c r="T422">
        <f t="shared" si="61"/>
        <v>1</v>
      </c>
      <c r="U422">
        <f t="shared" si="62"/>
        <v>54</v>
      </c>
    </row>
    <row r="423" spans="1:21" x14ac:dyDescent="0.25">
      <c r="A423">
        <f t="shared" si="54"/>
        <v>11</v>
      </c>
      <c r="E423" t="s">
        <v>5091</v>
      </c>
      <c r="F423" t="s">
        <v>4000</v>
      </c>
      <c r="G423" t="s">
        <v>6586</v>
      </c>
      <c r="H423" s="2">
        <v>1</v>
      </c>
      <c r="I423" s="2">
        <v>54</v>
      </c>
      <c r="N423" t="str">
        <f t="shared" si="55"/>
        <v>Al Kunuz General Trading LLC</v>
      </c>
      <c r="O423" t="str">
        <f t="shared" si="56"/>
        <v>W1315204262</v>
      </c>
      <c r="P423" t="str">
        <f t="shared" si="57"/>
        <v>CR884AC46JNX-387711</v>
      </c>
      <c r="Q423" t="str">
        <f t="shared" si="58"/>
        <v>PO044978</v>
      </c>
      <c r="R423" t="str">
        <f t="shared" si="59"/>
        <v>Crunchy Fashion Golden Tear Drop Pendant Set (Gold) - CFS0116</v>
      </c>
      <c r="S423" t="str">
        <f t="shared" si="60"/>
        <v>SA988806</v>
      </c>
      <c r="T423">
        <f t="shared" si="61"/>
        <v>1</v>
      </c>
      <c r="U423">
        <f t="shared" si="62"/>
        <v>54</v>
      </c>
    </row>
    <row r="424" spans="1:21" x14ac:dyDescent="0.25">
      <c r="A424">
        <f t="shared" si="54"/>
        <v>11</v>
      </c>
      <c r="C424" t="s">
        <v>4002</v>
      </c>
      <c r="D424" t="s">
        <v>4003</v>
      </c>
      <c r="E424" t="s">
        <v>3771</v>
      </c>
      <c r="F424" t="s">
        <v>4004</v>
      </c>
      <c r="G424" t="s">
        <v>4001</v>
      </c>
      <c r="H424" s="2">
        <v>1</v>
      </c>
      <c r="I424" s="2">
        <v>87</v>
      </c>
      <c r="N424" t="str">
        <f t="shared" si="55"/>
        <v>Al Kunuz General Trading LLC</v>
      </c>
      <c r="O424" t="str">
        <f t="shared" si="56"/>
        <v>W1315381293</v>
      </c>
      <c r="P424" t="str">
        <f t="shared" si="57"/>
        <v>MO687AT10UMR-636755</v>
      </c>
      <c r="Q424" t="str">
        <f t="shared" si="58"/>
        <v>PO044367</v>
      </c>
      <c r="R424" t="str">
        <f t="shared" si="59"/>
        <v>Casual Shirt, Multicolor</v>
      </c>
      <c r="S424" t="str">
        <f t="shared" si="60"/>
        <v>SA963793</v>
      </c>
      <c r="T424">
        <f t="shared" si="61"/>
        <v>1</v>
      </c>
      <c r="U424">
        <f t="shared" si="62"/>
        <v>87</v>
      </c>
    </row>
    <row r="425" spans="1:21" x14ac:dyDescent="0.25">
      <c r="A425">
        <f t="shared" si="54"/>
        <v>11</v>
      </c>
      <c r="C425" t="s">
        <v>4006</v>
      </c>
      <c r="D425" t="s">
        <v>4007</v>
      </c>
      <c r="E425" t="s">
        <v>3771</v>
      </c>
      <c r="F425" t="s">
        <v>4008</v>
      </c>
      <c r="G425" t="s">
        <v>4005</v>
      </c>
      <c r="H425" s="2">
        <v>1</v>
      </c>
      <c r="I425" s="2">
        <v>18</v>
      </c>
      <c r="N425" t="str">
        <f t="shared" si="55"/>
        <v>Al Kunuz General Trading LLC</v>
      </c>
      <c r="O425" t="str">
        <f t="shared" si="56"/>
        <v>W1315325306</v>
      </c>
      <c r="P425" t="str">
        <f t="shared" si="57"/>
        <v>SI601AC91TVG-528507</v>
      </c>
      <c r="Q425" t="str">
        <f t="shared" si="58"/>
        <v>PO044367</v>
      </c>
      <c r="R425" t="str">
        <f t="shared" si="59"/>
        <v>Simaya Fashion Bracelet (FB 0284, Gold tone)</v>
      </c>
      <c r="S425" t="str">
        <f t="shared" si="60"/>
        <v>SA963797</v>
      </c>
      <c r="T425">
        <f t="shared" si="61"/>
        <v>1</v>
      </c>
      <c r="U425">
        <f t="shared" si="62"/>
        <v>18</v>
      </c>
    </row>
    <row r="426" spans="1:21" x14ac:dyDescent="0.25">
      <c r="A426">
        <f t="shared" si="54"/>
        <v>11</v>
      </c>
      <c r="E426" t="s">
        <v>4900</v>
      </c>
      <c r="F426" t="s">
        <v>4008</v>
      </c>
      <c r="G426" t="s">
        <v>5370</v>
      </c>
      <c r="H426" s="2">
        <v>1</v>
      </c>
      <c r="I426" s="2">
        <v>18</v>
      </c>
      <c r="N426" t="str">
        <f t="shared" si="55"/>
        <v>Al Kunuz General Trading LLC</v>
      </c>
      <c r="O426" t="str">
        <f t="shared" si="56"/>
        <v>W1315325306</v>
      </c>
      <c r="P426" t="str">
        <f t="shared" si="57"/>
        <v>SI601AC91TVG-528507</v>
      </c>
      <c r="Q426" t="str">
        <f t="shared" si="58"/>
        <v>PO044697</v>
      </c>
      <c r="R426" t="str">
        <f t="shared" si="59"/>
        <v>Simaya Fashion Bracelet (FB 0284, Gold tone)</v>
      </c>
      <c r="S426" t="str">
        <f t="shared" si="60"/>
        <v>SA977462</v>
      </c>
      <c r="T426">
        <f t="shared" si="61"/>
        <v>1</v>
      </c>
      <c r="U426">
        <f t="shared" si="62"/>
        <v>18</v>
      </c>
    </row>
    <row r="427" spans="1:21" x14ac:dyDescent="0.25">
      <c r="A427">
        <f t="shared" si="54"/>
        <v>11</v>
      </c>
      <c r="G427" t="s">
        <v>5712</v>
      </c>
      <c r="H427" s="2">
        <v>1</v>
      </c>
      <c r="I427" s="2">
        <v>18</v>
      </c>
      <c r="N427" t="str">
        <f t="shared" si="55"/>
        <v>Al Kunuz General Trading LLC</v>
      </c>
      <c r="O427" t="str">
        <f t="shared" si="56"/>
        <v>W1315325306</v>
      </c>
      <c r="P427" t="str">
        <f t="shared" si="57"/>
        <v>SI601AC91TVG-528507</v>
      </c>
      <c r="Q427" t="str">
        <f t="shared" si="58"/>
        <v>PO044697</v>
      </c>
      <c r="R427" t="str">
        <f t="shared" si="59"/>
        <v>Simaya Fashion Bracelet (FB 0284, Gold tone)</v>
      </c>
      <c r="S427" t="str">
        <f t="shared" si="60"/>
        <v>SA980581</v>
      </c>
      <c r="T427">
        <f t="shared" si="61"/>
        <v>1</v>
      </c>
      <c r="U427">
        <f t="shared" si="62"/>
        <v>18</v>
      </c>
    </row>
    <row r="428" spans="1:21" x14ac:dyDescent="0.25">
      <c r="A428">
        <f t="shared" si="54"/>
        <v>11</v>
      </c>
      <c r="C428" t="s">
        <v>4010</v>
      </c>
      <c r="D428" t="s">
        <v>4011</v>
      </c>
      <c r="E428" t="s">
        <v>3771</v>
      </c>
      <c r="F428" t="s">
        <v>4012</v>
      </c>
      <c r="G428" t="s">
        <v>4009</v>
      </c>
      <c r="H428" s="2">
        <v>1</v>
      </c>
      <c r="I428" s="2">
        <v>24</v>
      </c>
      <c r="N428" t="str">
        <f t="shared" si="55"/>
        <v>Al Kunuz General Trading LLC</v>
      </c>
      <c r="O428" t="str">
        <f t="shared" si="56"/>
        <v>W1315316761</v>
      </c>
      <c r="P428" t="str">
        <f t="shared" si="57"/>
        <v>UN563AC12OAL-522607</v>
      </c>
      <c r="Q428" t="str">
        <f t="shared" si="58"/>
        <v>PO044367</v>
      </c>
      <c r="R428" t="str">
        <f t="shared" si="59"/>
        <v>Hand Crafted Fine Texture Genuine Leather Wallet for Men (UN113, Maroon)</v>
      </c>
      <c r="S428" t="str">
        <f t="shared" si="60"/>
        <v>SA963833</v>
      </c>
      <c r="T428">
        <f t="shared" si="61"/>
        <v>1</v>
      </c>
      <c r="U428">
        <f t="shared" si="62"/>
        <v>24</v>
      </c>
    </row>
    <row r="429" spans="1:21" x14ac:dyDescent="0.25">
      <c r="A429">
        <f t="shared" si="54"/>
        <v>11</v>
      </c>
      <c r="E429" t="s">
        <v>4900</v>
      </c>
      <c r="F429" t="s">
        <v>4012</v>
      </c>
      <c r="G429" t="s">
        <v>5529</v>
      </c>
      <c r="H429" s="2">
        <v>1</v>
      </c>
      <c r="I429" s="2">
        <v>24</v>
      </c>
      <c r="N429" t="str">
        <f t="shared" si="55"/>
        <v>Al Kunuz General Trading LLC</v>
      </c>
      <c r="O429" t="str">
        <f t="shared" si="56"/>
        <v>W1315316761</v>
      </c>
      <c r="P429" t="str">
        <f t="shared" si="57"/>
        <v>UN563AC12OAL-522607</v>
      </c>
      <c r="Q429" t="str">
        <f t="shared" si="58"/>
        <v>PO044697</v>
      </c>
      <c r="R429" t="str">
        <f t="shared" si="59"/>
        <v>Hand Crafted Fine Texture Genuine Leather Wallet for Men (UN113, Maroon)</v>
      </c>
      <c r="S429" t="str">
        <f t="shared" si="60"/>
        <v>SA979285</v>
      </c>
      <c r="T429">
        <f t="shared" si="61"/>
        <v>1</v>
      </c>
      <c r="U429">
        <f t="shared" si="62"/>
        <v>24</v>
      </c>
    </row>
    <row r="430" spans="1:21" x14ac:dyDescent="0.25">
      <c r="A430">
        <f t="shared" si="54"/>
        <v>11</v>
      </c>
      <c r="C430" t="s">
        <v>4020</v>
      </c>
      <c r="D430" t="s">
        <v>4021</v>
      </c>
      <c r="E430" t="s">
        <v>3771</v>
      </c>
      <c r="F430" t="s">
        <v>4022</v>
      </c>
      <c r="G430" t="s">
        <v>4019</v>
      </c>
      <c r="H430" s="2">
        <v>1</v>
      </c>
      <c r="I430" s="2">
        <v>50</v>
      </c>
      <c r="N430" t="str">
        <f t="shared" si="55"/>
        <v>Al Kunuz General Trading LLC</v>
      </c>
      <c r="O430" t="str">
        <f t="shared" si="56"/>
        <v>W1315399231</v>
      </c>
      <c r="P430" t="str">
        <f t="shared" si="57"/>
        <v>SA222AT28CDZ-643150</v>
      </c>
      <c r="Q430" t="str">
        <f t="shared" si="58"/>
        <v>PO044367</v>
      </c>
      <c r="R430" t="str">
        <f t="shared" si="59"/>
        <v>Floral Applique Blouse, Maroon</v>
      </c>
      <c r="S430" t="str">
        <f t="shared" si="60"/>
        <v>SA964026</v>
      </c>
      <c r="T430">
        <f t="shared" si="61"/>
        <v>1</v>
      </c>
      <c r="U430">
        <f t="shared" si="62"/>
        <v>50</v>
      </c>
    </row>
    <row r="431" spans="1:21" x14ac:dyDescent="0.25">
      <c r="A431">
        <f t="shared" si="54"/>
        <v>11</v>
      </c>
      <c r="C431" t="s">
        <v>4025</v>
      </c>
      <c r="D431" t="s">
        <v>4026</v>
      </c>
      <c r="E431" t="s">
        <v>3811</v>
      </c>
      <c r="F431" t="s">
        <v>3939</v>
      </c>
      <c r="G431" t="s">
        <v>4024</v>
      </c>
      <c r="H431" s="2">
        <v>1</v>
      </c>
      <c r="I431" s="2">
        <v>46</v>
      </c>
      <c r="N431" t="str">
        <f t="shared" si="55"/>
        <v>Al Kunuz General Trading LLC</v>
      </c>
      <c r="O431" t="str">
        <f t="shared" si="56"/>
        <v>W1315399180</v>
      </c>
      <c r="P431" t="str">
        <f t="shared" si="57"/>
        <v>SA222AT38CDP-643099</v>
      </c>
      <c r="Q431" t="str">
        <f t="shared" si="58"/>
        <v>PO044429</v>
      </c>
      <c r="R431" t="str">
        <f t="shared" si="59"/>
        <v>Pastel Color Block Top, Pink/Aqua/Ivory</v>
      </c>
      <c r="S431" t="str">
        <f t="shared" si="60"/>
        <v>SA964087</v>
      </c>
      <c r="T431">
        <f t="shared" si="61"/>
        <v>1</v>
      </c>
      <c r="U431">
        <f t="shared" si="62"/>
        <v>46</v>
      </c>
    </row>
    <row r="432" spans="1:21" x14ac:dyDescent="0.25">
      <c r="A432">
        <f t="shared" si="54"/>
        <v>11</v>
      </c>
      <c r="C432" t="s">
        <v>4033</v>
      </c>
      <c r="D432" t="s">
        <v>4034</v>
      </c>
      <c r="E432" t="s">
        <v>3771</v>
      </c>
      <c r="F432" t="s">
        <v>4035</v>
      </c>
      <c r="G432" t="s">
        <v>4032</v>
      </c>
      <c r="H432" s="2">
        <v>1</v>
      </c>
      <c r="I432" s="2">
        <v>42</v>
      </c>
      <c r="N432" t="str">
        <f t="shared" si="55"/>
        <v>Al Kunuz General Trading LLC</v>
      </c>
      <c r="O432" t="str">
        <f t="shared" si="56"/>
        <v>W1315277634</v>
      </c>
      <c r="P432" t="str">
        <f t="shared" si="57"/>
        <v>SA222AT61BMO-475240</v>
      </c>
      <c r="Q432" t="str">
        <f t="shared" si="58"/>
        <v>PO044367</v>
      </c>
      <c r="R432" t="str">
        <f t="shared" si="59"/>
        <v>Pants, Maroon</v>
      </c>
      <c r="S432" t="str">
        <f t="shared" si="60"/>
        <v>SA964292</v>
      </c>
      <c r="T432">
        <f t="shared" si="61"/>
        <v>1</v>
      </c>
      <c r="U432">
        <f t="shared" si="62"/>
        <v>42</v>
      </c>
    </row>
    <row r="433" spans="1:21" x14ac:dyDescent="0.25">
      <c r="A433">
        <f t="shared" si="54"/>
        <v>11</v>
      </c>
      <c r="C433" t="s">
        <v>4037</v>
      </c>
      <c r="D433" t="s">
        <v>4038</v>
      </c>
      <c r="E433" t="s">
        <v>3771</v>
      </c>
      <c r="F433" t="s">
        <v>3567</v>
      </c>
      <c r="G433" t="s">
        <v>4036</v>
      </c>
      <c r="H433" s="2">
        <v>1</v>
      </c>
      <c r="I433" s="2">
        <v>86</v>
      </c>
      <c r="N433" t="str">
        <f t="shared" si="55"/>
        <v>Al Kunuz General Trading LLC</v>
      </c>
      <c r="O433" t="str">
        <f t="shared" si="56"/>
        <v>W1315277449</v>
      </c>
      <c r="P433" t="str">
        <f t="shared" si="57"/>
        <v>SA222AT01BLA-475055</v>
      </c>
      <c r="Q433" t="str">
        <f t="shared" si="58"/>
        <v>PO044367</v>
      </c>
      <c r="R433" t="str">
        <f t="shared" si="59"/>
        <v>Maxi Dress, Maroon</v>
      </c>
      <c r="S433" t="str">
        <f t="shared" si="60"/>
        <v>SA964294</v>
      </c>
      <c r="T433">
        <f t="shared" si="61"/>
        <v>1</v>
      </c>
      <c r="U433">
        <f t="shared" si="62"/>
        <v>86</v>
      </c>
    </row>
    <row r="434" spans="1:21" x14ac:dyDescent="0.25">
      <c r="A434">
        <f t="shared" si="54"/>
        <v>11</v>
      </c>
      <c r="C434" t="s">
        <v>4050</v>
      </c>
      <c r="D434" t="s">
        <v>4051</v>
      </c>
      <c r="E434" t="s">
        <v>4053</v>
      </c>
      <c r="F434" t="s">
        <v>4052</v>
      </c>
      <c r="G434" t="s">
        <v>4049</v>
      </c>
      <c r="H434" s="2">
        <v>1</v>
      </c>
      <c r="I434" s="2">
        <v>18</v>
      </c>
      <c r="N434" t="str">
        <f t="shared" si="55"/>
        <v>Al Kunuz General Trading LLC</v>
      </c>
      <c r="O434" t="str">
        <f t="shared" si="56"/>
        <v>W1315325890</v>
      </c>
      <c r="P434" t="str">
        <f t="shared" si="57"/>
        <v>AD592AC39DUY-548409</v>
      </c>
      <c r="Q434" t="str">
        <f t="shared" si="58"/>
        <v>PO044500</v>
      </c>
      <c r="R434" t="str">
        <f t="shared" si="59"/>
        <v>Wayfarer Sunglasses for Unisex (5001BROWN-BROWN)</v>
      </c>
      <c r="S434" t="str">
        <f t="shared" si="60"/>
        <v>SA964566</v>
      </c>
      <c r="T434">
        <f t="shared" si="61"/>
        <v>1</v>
      </c>
      <c r="U434">
        <f t="shared" si="62"/>
        <v>18</v>
      </c>
    </row>
    <row r="435" spans="1:21" x14ac:dyDescent="0.25">
      <c r="A435">
        <f t="shared" si="54"/>
        <v>11</v>
      </c>
      <c r="G435" t="s">
        <v>4060</v>
      </c>
      <c r="H435" s="2">
        <v>1</v>
      </c>
      <c r="I435" s="2">
        <v>18</v>
      </c>
      <c r="N435" t="str">
        <f t="shared" si="55"/>
        <v>Al Kunuz General Trading LLC</v>
      </c>
      <c r="O435" t="str">
        <f t="shared" si="56"/>
        <v>W1315325890</v>
      </c>
      <c r="P435" t="str">
        <f t="shared" si="57"/>
        <v>AD592AC39DUY-548409</v>
      </c>
      <c r="Q435" t="str">
        <f t="shared" si="58"/>
        <v>PO044500</v>
      </c>
      <c r="R435" t="str">
        <f t="shared" si="59"/>
        <v>Wayfarer Sunglasses for Unisex (5001BROWN-BROWN)</v>
      </c>
      <c r="S435" t="str">
        <f t="shared" si="60"/>
        <v>SA964887</v>
      </c>
      <c r="T435">
        <f t="shared" si="61"/>
        <v>1</v>
      </c>
      <c r="U435">
        <f t="shared" si="62"/>
        <v>18</v>
      </c>
    </row>
    <row r="436" spans="1:21" x14ac:dyDescent="0.25">
      <c r="A436">
        <f t="shared" si="54"/>
        <v>11</v>
      </c>
      <c r="C436" t="s">
        <v>4055</v>
      </c>
      <c r="D436" t="s">
        <v>4056</v>
      </c>
      <c r="E436" t="s">
        <v>4053</v>
      </c>
      <c r="F436" t="s">
        <v>3722</v>
      </c>
      <c r="G436" t="s">
        <v>4054</v>
      </c>
      <c r="H436" s="2">
        <v>1</v>
      </c>
      <c r="I436" s="2">
        <v>32</v>
      </c>
      <c r="N436" t="str">
        <f t="shared" si="55"/>
        <v>Al Kunuz General Trading LLC</v>
      </c>
      <c r="O436" t="str">
        <f t="shared" si="56"/>
        <v>W1315232281</v>
      </c>
      <c r="P436" t="str">
        <f t="shared" si="57"/>
        <v>AL992AT28KYD-427700</v>
      </c>
      <c r="Q436" t="str">
        <f t="shared" si="58"/>
        <v>PO044500</v>
      </c>
      <c r="R436" t="str">
        <f t="shared" si="59"/>
        <v>A Luv Ya Women's Cotton V Neck Paisley Printed Shirt</v>
      </c>
      <c r="S436" t="str">
        <f t="shared" si="60"/>
        <v>SA964568</v>
      </c>
      <c r="T436">
        <f t="shared" si="61"/>
        <v>1</v>
      </c>
      <c r="U436">
        <f t="shared" si="62"/>
        <v>32</v>
      </c>
    </row>
    <row r="437" spans="1:21" x14ac:dyDescent="0.25">
      <c r="A437">
        <f t="shared" si="54"/>
        <v>11</v>
      </c>
      <c r="G437" t="s">
        <v>4061</v>
      </c>
      <c r="H437" s="2">
        <v>1</v>
      </c>
      <c r="I437" s="2">
        <v>32</v>
      </c>
      <c r="N437" t="str">
        <f t="shared" si="55"/>
        <v>Al Kunuz General Trading LLC</v>
      </c>
      <c r="O437" t="str">
        <f t="shared" si="56"/>
        <v>W1315232281</v>
      </c>
      <c r="P437" t="str">
        <f t="shared" si="57"/>
        <v>AL992AT28KYD-427700</v>
      </c>
      <c r="Q437" t="str">
        <f t="shared" si="58"/>
        <v>PO044500</v>
      </c>
      <c r="R437" t="str">
        <f t="shared" si="59"/>
        <v>A Luv Ya Women's Cotton V Neck Paisley Printed Shirt</v>
      </c>
      <c r="S437" t="str">
        <f t="shared" si="60"/>
        <v>SA964890</v>
      </c>
      <c r="T437">
        <f t="shared" si="61"/>
        <v>1</v>
      </c>
      <c r="U437">
        <f t="shared" si="62"/>
        <v>32</v>
      </c>
    </row>
    <row r="438" spans="1:21" x14ac:dyDescent="0.25">
      <c r="A438">
        <f t="shared" si="54"/>
        <v>11</v>
      </c>
      <c r="G438" t="s">
        <v>4485</v>
      </c>
      <c r="H438" s="2">
        <v>1</v>
      </c>
      <c r="I438" s="2">
        <v>32</v>
      </c>
      <c r="N438" t="str">
        <f t="shared" si="55"/>
        <v>Al Kunuz General Trading LLC</v>
      </c>
      <c r="O438" t="str">
        <f t="shared" si="56"/>
        <v>W1315232281</v>
      </c>
      <c r="P438" t="str">
        <f t="shared" si="57"/>
        <v>AL992AT28KYD-427700</v>
      </c>
      <c r="Q438" t="str">
        <f t="shared" si="58"/>
        <v>PO044500</v>
      </c>
      <c r="R438" t="str">
        <f t="shared" si="59"/>
        <v>A Luv Ya Women's Cotton V Neck Paisley Printed Shirt</v>
      </c>
      <c r="S438" t="str">
        <f t="shared" si="60"/>
        <v>SA972057</v>
      </c>
      <c r="T438">
        <f t="shared" si="61"/>
        <v>1</v>
      </c>
      <c r="U438">
        <f t="shared" si="62"/>
        <v>32</v>
      </c>
    </row>
    <row r="439" spans="1:21" x14ac:dyDescent="0.25">
      <c r="A439">
        <f t="shared" si="54"/>
        <v>11</v>
      </c>
      <c r="C439" t="s">
        <v>4058</v>
      </c>
      <c r="D439" t="s">
        <v>4059</v>
      </c>
      <c r="E439" t="s">
        <v>4053</v>
      </c>
      <c r="F439" t="s">
        <v>3557</v>
      </c>
      <c r="G439" t="s">
        <v>4057</v>
      </c>
      <c r="H439" s="2">
        <v>1</v>
      </c>
      <c r="I439" s="2">
        <v>53</v>
      </c>
      <c r="N439" t="str">
        <f t="shared" si="55"/>
        <v>Al Kunuz General Trading LLC</v>
      </c>
      <c r="O439" t="str">
        <f t="shared" si="56"/>
        <v>W1315277734</v>
      </c>
      <c r="P439" t="str">
        <f t="shared" si="57"/>
        <v>SA222AT25BNY-475353</v>
      </c>
      <c r="Q439" t="str">
        <f t="shared" si="58"/>
        <v>PO044500</v>
      </c>
      <c r="R439" t="str">
        <f t="shared" si="59"/>
        <v>Shirts and Blouses, Green</v>
      </c>
      <c r="S439" t="str">
        <f t="shared" si="60"/>
        <v>SA964885</v>
      </c>
      <c r="T439">
        <f t="shared" si="61"/>
        <v>1</v>
      </c>
      <c r="U439">
        <f t="shared" si="62"/>
        <v>53</v>
      </c>
    </row>
    <row r="440" spans="1:21" x14ac:dyDescent="0.25">
      <c r="A440">
        <f t="shared" si="54"/>
        <v>11</v>
      </c>
      <c r="C440" t="s">
        <v>4071</v>
      </c>
      <c r="D440" t="s">
        <v>4072</v>
      </c>
      <c r="E440" t="s">
        <v>3811</v>
      </c>
      <c r="F440" t="s">
        <v>4073</v>
      </c>
      <c r="G440" t="s">
        <v>4070</v>
      </c>
      <c r="H440" s="2">
        <v>1</v>
      </c>
      <c r="I440" s="2">
        <v>17</v>
      </c>
      <c r="N440" t="str">
        <f t="shared" si="55"/>
        <v>Al Kunuz General Trading LLC</v>
      </c>
      <c r="O440" t="str">
        <f t="shared" si="56"/>
        <v>W1315389338</v>
      </c>
      <c r="P440" t="str">
        <f t="shared" si="57"/>
        <v>MA096BE26QXT-633768</v>
      </c>
      <c r="Q440" t="str">
        <f t="shared" si="58"/>
        <v>PO044429</v>
      </c>
      <c r="R440" t="str">
        <f t="shared" si="59"/>
        <v>Clear Glow Pressed Powder - 4 Sand Beige</v>
      </c>
      <c r="S440" t="str">
        <f t="shared" si="60"/>
        <v>SA965179</v>
      </c>
      <c r="T440">
        <f t="shared" si="61"/>
        <v>1</v>
      </c>
      <c r="U440">
        <f t="shared" si="62"/>
        <v>17</v>
      </c>
    </row>
    <row r="441" spans="1:21" x14ac:dyDescent="0.25">
      <c r="A441">
        <f t="shared" si="54"/>
        <v>11</v>
      </c>
      <c r="C441" t="s">
        <v>4079</v>
      </c>
      <c r="D441" t="s">
        <v>4080</v>
      </c>
      <c r="E441" t="s">
        <v>3771</v>
      </c>
      <c r="F441" t="s">
        <v>4081</v>
      </c>
      <c r="G441" t="s">
        <v>4078</v>
      </c>
      <c r="H441" s="2">
        <v>1</v>
      </c>
      <c r="I441" s="2">
        <v>77</v>
      </c>
      <c r="N441" t="str">
        <f t="shared" si="55"/>
        <v>Al Kunuz General Trading LLC</v>
      </c>
      <c r="O441" t="str">
        <f t="shared" si="56"/>
        <v>W1315347723</v>
      </c>
      <c r="P441" t="str">
        <f t="shared" si="57"/>
        <v>RI918AT01EUK-583451</v>
      </c>
      <c r="Q441" t="str">
        <f t="shared" si="58"/>
        <v>PO044367</v>
      </c>
      <c r="R441" t="str">
        <f t="shared" si="59"/>
        <v>Animal Print Pussy Knot Blouse, Multi</v>
      </c>
      <c r="S441" t="str">
        <f t="shared" si="60"/>
        <v>SA965320</v>
      </c>
      <c r="T441">
        <f t="shared" si="61"/>
        <v>1</v>
      </c>
      <c r="U441">
        <f t="shared" si="62"/>
        <v>77</v>
      </c>
    </row>
    <row r="442" spans="1:21" x14ac:dyDescent="0.25">
      <c r="A442">
        <f t="shared" si="54"/>
        <v>11</v>
      </c>
      <c r="C442" t="s">
        <v>4083</v>
      </c>
      <c r="D442" t="s">
        <v>4084</v>
      </c>
      <c r="E442" t="s">
        <v>3771</v>
      </c>
      <c r="F442" t="s">
        <v>3722</v>
      </c>
      <c r="G442" t="s">
        <v>4082</v>
      </c>
      <c r="H442" s="2">
        <v>1</v>
      </c>
      <c r="I442" s="2">
        <v>32</v>
      </c>
      <c r="N442" t="str">
        <f t="shared" si="55"/>
        <v>Al Kunuz General Trading LLC</v>
      </c>
      <c r="O442" t="str">
        <f t="shared" si="56"/>
        <v>W1315232282</v>
      </c>
      <c r="P442" t="str">
        <f t="shared" si="57"/>
        <v>AL992AT28KYD-427701</v>
      </c>
      <c r="Q442" t="str">
        <f t="shared" si="58"/>
        <v>PO044367</v>
      </c>
      <c r="R442" t="str">
        <f t="shared" si="59"/>
        <v>A Luv Ya Women's Cotton V Neck Paisley Printed Shirt</v>
      </c>
      <c r="S442" t="str">
        <f t="shared" si="60"/>
        <v>SA965437</v>
      </c>
      <c r="T442">
        <f t="shared" si="61"/>
        <v>1</v>
      </c>
      <c r="U442">
        <f t="shared" si="62"/>
        <v>32</v>
      </c>
    </row>
    <row r="443" spans="1:21" x14ac:dyDescent="0.25">
      <c r="A443">
        <f t="shared" si="54"/>
        <v>11</v>
      </c>
      <c r="C443" t="s">
        <v>4088</v>
      </c>
      <c r="D443" t="s">
        <v>4089</v>
      </c>
      <c r="E443" t="s">
        <v>3771</v>
      </c>
      <c r="F443" t="s">
        <v>4090</v>
      </c>
      <c r="G443" t="s">
        <v>4087</v>
      </c>
      <c r="H443" s="2">
        <v>1</v>
      </c>
      <c r="I443" s="2">
        <v>16</v>
      </c>
      <c r="N443" t="str">
        <f t="shared" si="55"/>
        <v>Al Kunuz General Trading LLC</v>
      </c>
      <c r="O443" t="str">
        <f t="shared" si="56"/>
        <v>W1315316119</v>
      </c>
      <c r="P443" t="str">
        <f t="shared" si="57"/>
        <v>WE564AT53OCS-522741</v>
      </c>
      <c r="Q443" t="str">
        <f t="shared" si="58"/>
        <v>PO044367</v>
      </c>
      <c r="R443" t="str">
        <f t="shared" si="59"/>
        <v>Men's Printed Round Neck T-Shirt, Black</v>
      </c>
      <c r="S443" t="str">
        <f t="shared" si="60"/>
        <v>SA965474</v>
      </c>
      <c r="T443">
        <f t="shared" si="61"/>
        <v>1</v>
      </c>
      <c r="U443">
        <f t="shared" si="62"/>
        <v>16</v>
      </c>
    </row>
    <row r="444" spans="1:21" x14ac:dyDescent="0.25">
      <c r="A444">
        <f t="shared" si="54"/>
        <v>11</v>
      </c>
      <c r="C444" t="s">
        <v>4092</v>
      </c>
      <c r="D444" t="s">
        <v>4093</v>
      </c>
      <c r="E444" t="s">
        <v>3771</v>
      </c>
      <c r="F444" t="s">
        <v>4094</v>
      </c>
      <c r="G444" t="s">
        <v>4091</v>
      </c>
      <c r="H444" s="2">
        <v>1</v>
      </c>
      <c r="I444" s="2">
        <v>93</v>
      </c>
      <c r="N444" t="str">
        <f t="shared" si="55"/>
        <v>Al Kunuz General Trading LLC</v>
      </c>
      <c r="O444" t="str">
        <f t="shared" si="56"/>
        <v>W1315327411</v>
      </c>
      <c r="P444" t="str">
        <f t="shared" si="57"/>
        <v>ED203AT68WJN-530541</v>
      </c>
      <c r="Q444" t="str">
        <f t="shared" si="58"/>
        <v>PO044367</v>
      </c>
      <c r="R444" t="str">
        <f t="shared" si="59"/>
        <v>Black with Side Belt Slimfit Casual Shirt</v>
      </c>
      <c r="S444" t="str">
        <f t="shared" si="60"/>
        <v>SA965498</v>
      </c>
      <c r="T444">
        <f t="shared" si="61"/>
        <v>1</v>
      </c>
      <c r="U444">
        <f t="shared" si="62"/>
        <v>93</v>
      </c>
    </row>
    <row r="445" spans="1:21" x14ac:dyDescent="0.25">
      <c r="A445">
        <f t="shared" si="54"/>
        <v>11</v>
      </c>
      <c r="C445" t="s">
        <v>4096</v>
      </c>
      <c r="D445" t="s">
        <v>4097</v>
      </c>
      <c r="E445" t="s">
        <v>3771</v>
      </c>
      <c r="F445" t="s">
        <v>4098</v>
      </c>
      <c r="G445" t="s">
        <v>4095</v>
      </c>
      <c r="H445" s="2">
        <v>1</v>
      </c>
      <c r="I445" s="2">
        <v>47</v>
      </c>
      <c r="N445" t="str">
        <f t="shared" si="55"/>
        <v>Al Kunuz General Trading LLC</v>
      </c>
      <c r="O445" t="str">
        <f t="shared" si="56"/>
        <v>W1315327431</v>
      </c>
      <c r="P445" t="str">
        <f t="shared" si="57"/>
        <v>ED203AT63WJS-530561</v>
      </c>
      <c r="Q445" t="str">
        <f t="shared" si="58"/>
        <v>PO044367</v>
      </c>
      <c r="R445" t="str">
        <f t="shared" si="59"/>
        <v>Solid Slimfit Casual Shirt, Navy</v>
      </c>
      <c r="S445" t="str">
        <f t="shared" si="60"/>
        <v>SA965499</v>
      </c>
      <c r="T445">
        <f t="shared" si="61"/>
        <v>1</v>
      </c>
      <c r="U445">
        <f t="shared" si="62"/>
        <v>47</v>
      </c>
    </row>
    <row r="446" spans="1:21" x14ac:dyDescent="0.25">
      <c r="A446">
        <f t="shared" si="54"/>
        <v>11</v>
      </c>
      <c r="C446" t="s">
        <v>4100</v>
      </c>
      <c r="D446" t="s">
        <v>4101</v>
      </c>
      <c r="E446" t="s">
        <v>3771</v>
      </c>
      <c r="F446" t="s">
        <v>4102</v>
      </c>
      <c r="G446" t="s">
        <v>4099</v>
      </c>
      <c r="H446" s="2">
        <v>1</v>
      </c>
      <c r="I446" s="2">
        <v>47</v>
      </c>
      <c r="N446" t="str">
        <f t="shared" si="55"/>
        <v>Al Kunuz General Trading LLC</v>
      </c>
      <c r="O446" t="str">
        <f t="shared" si="56"/>
        <v>W1315327427</v>
      </c>
      <c r="P446" t="str">
        <f t="shared" si="57"/>
        <v>ED203AT64WJR-530557</v>
      </c>
      <c r="Q446" t="str">
        <f t="shared" si="58"/>
        <v>PO044367</v>
      </c>
      <c r="R446" t="str">
        <f t="shared" si="59"/>
        <v>Black Solid Slimfit Casual Shirt, Black</v>
      </c>
      <c r="S446" t="str">
        <f t="shared" si="60"/>
        <v>SA965500</v>
      </c>
      <c r="T446">
        <f t="shared" si="61"/>
        <v>1</v>
      </c>
      <c r="U446">
        <f t="shared" si="62"/>
        <v>47</v>
      </c>
    </row>
    <row r="447" spans="1:21" x14ac:dyDescent="0.25">
      <c r="A447">
        <f t="shared" si="54"/>
        <v>11</v>
      </c>
      <c r="C447" t="s">
        <v>4109</v>
      </c>
      <c r="D447" t="s">
        <v>4110</v>
      </c>
      <c r="E447" t="s">
        <v>4900</v>
      </c>
      <c r="F447" t="s">
        <v>4111</v>
      </c>
      <c r="G447" t="s">
        <v>5449</v>
      </c>
      <c r="H447" s="2">
        <v>1</v>
      </c>
      <c r="I447" s="2">
        <v>77</v>
      </c>
      <c r="N447" t="str">
        <f t="shared" si="55"/>
        <v>Al Kunuz General Trading LLC</v>
      </c>
      <c r="O447" t="str">
        <f t="shared" si="56"/>
        <v>W1315203505</v>
      </c>
      <c r="P447" t="str">
        <f t="shared" si="57"/>
        <v>CR884AC45KDI-388112</v>
      </c>
      <c r="Q447" t="str">
        <f t="shared" si="58"/>
        <v>PO044697</v>
      </c>
      <c r="R447" t="str">
        <f t="shared" si="59"/>
        <v>Crunchy Fashion Swan Pendant Set (Silver) - CFS0154</v>
      </c>
      <c r="S447" t="str">
        <f t="shared" si="60"/>
        <v>SA978388</v>
      </c>
      <c r="T447">
        <f t="shared" si="61"/>
        <v>1</v>
      </c>
      <c r="U447">
        <f t="shared" si="62"/>
        <v>77</v>
      </c>
    </row>
    <row r="448" spans="1:21" x14ac:dyDescent="0.25">
      <c r="A448">
        <f t="shared" si="54"/>
        <v>11</v>
      </c>
      <c r="G448" t="s">
        <v>5543</v>
      </c>
      <c r="H448" s="2">
        <v>1</v>
      </c>
      <c r="I448" s="2">
        <v>77</v>
      </c>
      <c r="N448" t="str">
        <f t="shared" si="55"/>
        <v>Al Kunuz General Trading LLC</v>
      </c>
      <c r="O448" t="str">
        <f t="shared" si="56"/>
        <v>W1315203505</v>
      </c>
      <c r="P448" t="str">
        <f t="shared" si="57"/>
        <v>CR884AC45KDI-388112</v>
      </c>
      <c r="Q448" t="str">
        <f t="shared" si="58"/>
        <v>PO044697</v>
      </c>
      <c r="R448" t="str">
        <f t="shared" si="59"/>
        <v>Crunchy Fashion Swan Pendant Set (Silver) - CFS0154</v>
      </c>
      <c r="S448" t="str">
        <f t="shared" si="60"/>
        <v>SA979522</v>
      </c>
      <c r="T448">
        <f t="shared" si="61"/>
        <v>1</v>
      </c>
      <c r="U448">
        <f t="shared" si="62"/>
        <v>77</v>
      </c>
    </row>
    <row r="449" spans="1:21" x14ac:dyDescent="0.25">
      <c r="A449">
        <f t="shared" si="54"/>
        <v>11</v>
      </c>
      <c r="C449" t="s">
        <v>4113</v>
      </c>
      <c r="D449" t="s">
        <v>4114</v>
      </c>
      <c r="E449" t="s">
        <v>3771</v>
      </c>
      <c r="F449" t="s">
        <v>4115</v>
      </c>
      <c r="G449" t="s">
        <v>4112</v>
      </c>
      <c r="H449" s="2">
        <v>1</v>
      </c>
      <c r="I449" s="2">
        <v>97</v>
      </c>
      <c r="N449" t="str">
        <f t="shared" si="55"/>
        <v>Al Kunuz General Trading LLC</v>
      </c>
      <c r="O449" t="str">
        <f t="shared" si="56"/>
        <v>W1315244028</v>
      </c>
      <c r="P449" t="str">
        <f t="shared" si="57"/>
        <v>TH106AT26UOF-438234</v>
      </c>
      <c r="Q449" t="str">
        <f t="shared" si="58"/>
        <v>PO044367</v>
      </c>
      <c r="R449" t="str">
        <f t="shared" si="59"/>
        <v>The Vanca Maxi Dress- Peach</v>
      </c>
      <c r="S449" t="str">
        <f t="shared" si="60"/>
        <v>SA965865</v>
      </c>
      <c r="T449">
        <f t="shared" si="61"/>
        <v>1</v>
      </c>
      <c r="U449">
        <f t="shared" si="62"/>
        <v>97</v>
      </c>
    </row>
    <row r="450" spans="1:21" x14ac:dyDescent="0.25">
      <c r="A450">
        <f t="shared" si="54"/>
        <v>11</v>
      </c>
      <c r="C450" t="s">
        <v>4120</v>
      </c>
      <c r="D450" t="s">
        <v>4121</v>
      </c>
      <c r="E450" t="s">
        <v>3771</v>
      </c>
      <c r="F450" t="s">
        <v>4122</v>
      </c>
      <c r="G450" t="s">
        <v>4119</v>
      </c>
      <c r="H450" s="2">
        <v>1</v>
      </c>
      <c r="I450" s="2">
        <v>8</v>
      </c>
      <c r="N450" t="str">
        <f t="shared" si="55"/>
        <v>Al Kunuz General Trading LLC</v>
      </c>
      <c r="O450" t="str">
        <f t="shared" si="56"/>
        <v>W1315325507</v>
      </c>
      <c r="P450" t="str">
        <f t="shared" si="57"/>
        <v>SI601AC68UHR-529019</v>
      </c>
      <c r="Q450" t="str">
        <f t="shared" si="58"/>
        <v>PO044367</v>
      </c>
      <c r="R450" t="str">
        <f t="shared" si="59"/>
        <v>Simaya Fashion earring (FE 0696, Gold tone)</v>
      </c>
      <c r="S450" t="str">
        <f t="shared" si="60"/>
        <v>SA966268</v>
      </c>
      <c r="T450">
        <f t="shared" si="61"/>
        <v>1</v>
      </c>
      <c r="U450">
        <f t="shared" si="62"/>
        <v>8</v>
      </c>
    </row>
    <row r="451" spans="1:21" x14ac:dyDescent="0.25">
      <c r="A451">
        <f t="shared" si="54"/>
        <v>11</v>
      </c>
      <c r="C451" t="s">
        <v>4124</v>
      </c>
      <c r="D451" t="s">
        <v>4125</v>
      </c>
      <c r="E451" t="s">
        <v>3771</v>
      </c>
      <c r="F451" t="s">
        <v>4126</v>
      </c>
      <c r="G451" t="s">
        <v>4123</v>
      </c>
      <c r="H451" s="2">
        <v>1</v>
      </c>
      <c r="I451" s="2">
        <v>19</v>
      </c>
      <c r="N451" t="str">
        <f t="shared" si="55"/>
        <v>Al Kunuz General Trading LLC</v>
      </c>
      <c r="O451" t="str">
        <f t="shared" si="56"/>
        <v>W1315325254</v>
      </c>
      <c r="P451" t="str">
        <f t="shared" si="57"/>
        <v>SI601AC92TRJ-528406</v>
      </c>
      <c r="Q451" t="str">
        <f t="shared" si="58"/>
        <v>PO044367</v>
      </c>
      <c r="R451" t="str">
        <f t="shared" si="59"/>
        <v>Simaya Fashion Bracelet (FB 0128, Gold tone)</v>
      </c>
      <c r="S451" t="str">
        <f t="shared" si="60"/>
        <v>SA966269</v>
      </c>
      <c r="T451">
        <f t="shared" si="61"/>
        <v>1</v>
      </c>
      <c r="U451">
        <f t="shared" si="62"/>
        <v>19</v>
      </c>
    </row>
    <row r="452" spans="1:21" x14ac:dyDescent="0.25">
      <c r="A452">
        <f t="shared" ref="A452:A515" si="63">IF(ISBLANK(B452),A451,A451+1)</f>
        <v>11</v>
      </c>
      <c r="C452" t="s">
        <v>4128</v>
      </c>
      <c r="D452" t="s">
        <v>4129</v>
      </c>
      <c r="E452" t="s">
        <v>3771</v>
      </c>
      <c r="F452" t="s">
        <v>4130</v>
      </c>
      <c r="G452" t="s">
        <v>4127</v>
      </c>
      <c r="H452" s="2">
        <v>1</v>
      </c>
      <c r="I452" s="2">
        <v>15</v>
      </c>
      <c r="N452" t="str">
        <f t="shared" si="55"/>
        <v>Al Kunuz General Trading LLC</v>
      </c>
      <c r="O452" t="str">
        <f t="shared" si="56"/>
        <v>W1315325347</v>
      </c>
      <c r="P452" t="str">
        <f t="shared" si="57"/>
        <v>SI601AC33TXM-528565</v>
      </c>
      <c r="Q452" t="str">
        <f t="shared" si="58"/>
        <v>PO044367</v>
      </c>
      <c r="R452" t="str">
        <f t="shared" si="59"/>
        <v>Simaya Fashion earring (FE 0216, Multi color)</v>
      </c>
      <c r="S452" t="str">
        <f t="shared" si="60"/>
        <v>SA966271</v>
      </c>
      <c r="T452">
        <f t="shared" si="61"/>
        <v>1</v>
      </c>
      <c r="U452">
        <f t="shared" si="62"/>
        <v>15</v>
      </c>
    </row>
    <row r="453" spans="1:21" x14ac:dyDescent="0.25">
      <c r="A453">
        <f t="shared" si="63"/>
        <v>11</v>
      </c>
      <c r="C453" t="s">
        <v>4131</v>
      </c>
      <c r="D453" t="s">
        <v>4132</v>
      </c>
      <c r="E453" t="s">
        <v>4900</v>
      </c>
      <c r="F453" t="s">
        <v>4133</v>
      </c>
      <c r="G453" t="s">
        <v>5351</v>
      </c>
      <c r="H453" s="2">
        <v>1</v>
      </c>
      <c r="I453" s="2">
        <v>53</v>
      </c>
      <c r="N453" t="str">
        <f t="shared" si="55"/>
        <v>Al Kunuz General Trading LLC</v>
      </c>
      <c r="O453" t="str">
        <f t="shared" si="56"/>
        <v>W1315339368</v>
      </c>
      <c r="P453" t="str">
        <f t="shared" si="57"/>
        <v>ST879AT44RGT-573390</v>
      </c>
      <c r="Q453" t="str">
        <f t="shared" si="58"/>
        <v>PO044697</v>
      </c>
      <c r="R453" t="str">
        <f t="shared" si="59"/>
        <v>Top, Wine</v>
      </c>
      <c r="S453" t="str">
        <f t="shared" si="60"/>
        <v>SA977221</v>
      </c>
      <c r="T453">
        <f t="shared" si="61"/>
        <v>1</v>
      </c>
      <c r="U453">
        <f t="shared" si="62"/>
        <v>53</v>
      </c>
    </row>
    <row r="454" spans="1:21" x14ac:dyDescent="0.25">
      <c r="A454">
        <f t="shared" si="63"/>
        <v>11</v>
      </c>
      <c r="G454" t="s">
        <v>5799</v>
      </c>
      <c r="H454" s="2">
        <v>1</v>
      </c>
      <c r="I454" s="2">
        <v>53</v>
      </c>
      <c r="N454" t="str">
        <f t="shared" ref="N454:N517" si="64">IF(ISBLANK($A454),"",IF(ISBLANK(B454),N453,B454))</f>
        <v>Al Kunuz General Trading LLC</v>
      </c>
      <c r="O454" t="str">
        <f t="shared" ref="O454:O517" si="65">IF(ISBLANK($A454),"",IF(ISBLANK(C454),O453,C454))</f>
        <v>W1315339368</v>
      </c>
      <c r="P454" t="str">
        <f t="shared" ref="P454:P517" si="66">IF(ISBLANK($A454),"",IF(ISBLANK(D454),P453,D454))</f>
        <v>ST879AT44RGT-573390</v>
      </c>
      <c r="Q454" t="str">
        <f t="shared" ref="Q454:Q517" si="67">IF(ISBLANK($A454),"",IF(ISBLANK(E454),Q453,E454))</f>
        <v>PO044697</v>
      </c>
      <c r="R454" t="str">
        <f t="shared" ref="R454:R517" si="68">IF(ISBLANK($A454),"",IF(ISBLANK(F454),R453,F454))</f>
        <v>Top, Wine</v>
      </c>
      <c r="S454" t="str">
        <f t="shared" ref="S454:S517" si="69">IF(ISBLANK($A454),"",G454)</f>
        <v>SA980953</v>
      </c>
      <c r="T454">
        <f t="shared" ref="T454:T517" si="70">IF(ISBLANK($A454),"",H454)</f>
        <v>1</v>
      </c>
      <c r="U454">
        <f t="shared" ref="U454:U517" si="71">IF(ISBLANK($A454),"",I454)</f>
        <v>53</v>
      </c>
    </row>
    <row r="455" spans="1:21" x14ac:dyDescent="0.25">
      <c r="A455">
        <f t="shared" si="63"/>
        <v>11</v>
      </c>
      <c r="C455" t="s">
        <v>4138</v>
      </c>
      <c r="D455" t="s">
        <v>4139</v>
      </c>
      <c r="E455" t="s">
        <v>3771</v>
      </c>
      <c r="F455" t="s">
        <v>3480</v>
      </c>
      <c r="G455" t="s">
        <v>4137</v>
      </c>
      <c r="H455" s="2">
        <v>1</v>
      </c>
      <c r="I455" s="2">
        <v>22</v>
      </c>
      <c r="N455" t="str">
        <f t="shared" si="64"/>
        <v>Al Kunuz General Trading LLC</v>
      </c>
      <c r="O455" t="str">
        <f t="shared" si="65"/>
        <v>W1315351108</v>
      </c>
      <c r="P455" t="str">
        <f t="shared" si="66"/>
        <v>HU968AT70NSJ-592967</v>
      </c>
      <c r="Q455" t="str">
        <f t="shared" si="67"/>
        <v>PO044367</v>
      </c>
      <c r="R455" t="str">
        <f t="shared" si="68"/>
        <v>Casual Shorts, Black</v>
      </c>
      <c r="S455" t="str">
        <f t="shared" si="69"/>
        <v>SA966370</v>
      </c>
      <c r="T455">
        <f t="shared" si="70"/>
        <v>1</v>
      </c>
      <c r="U455">
        <f t="shared" si="71"/>
        <v>22</v>
      </c>
    </row>
    <row r="456" spans="1:21" x14ac:dyDescent="0.25">
      <c r="A456">
        <f t="shared" si="63"/>
        <v>11</v>
      </c>
      <c r="C456" t="s">
        <v>4141</v>
      </c>
      <c r="D456" t="s">
        <v>4142</v>
      </c>
      <c r="E456" t="s">
        <v>3771</v>
      </c>
      <c r="F456" t="s">
        <v>3609</v>
      </c>
      <c r="G456" t="s">
        <v>4140</v>
      </c>
      <c r="H456" s="2">
        <v>1</v>
      </c>
      <c r="I456" s="2">
        <v>22</v>
      </c>
      <c r="N456" t="str">
        <f t="shared" si="64"/>
        <v>Al Kunuz General Trading LLC</v>
      </c>
      <c r="O456" t="str">
        <f t="shared" si="65"/>
        <v>W1315351100</v>
      </c>
      <c r="P456" t="str">
        <f t="shared" si="66"/>
        <v>HU968AT72NSH-592959</v>
      </c>
      <c r="Q456" t="str">
        <f t="shared" si="67"/>
        <v>PO044367</v>
      </c>
      <c r="R456" t="str">
        <f t="shared" si="68"/>
        <v>Casual Shorts, Navy Blue</v>
      </c>
      <c r="S456" t="str">
        <f t="shared" si="69"/>
        <v>SA966372</v>
      </c>
      <c r="T456">
        <f t="shared" si="70"/>
        <v>1</v>
      </c>
      <c r="U456">
        <f t="shared" si="71"/>
        <v>22</v>
      </c>
    </row>
    <row r="457" spans="1:21" x14ac:dyDescent="0.25">
      <c r="A457">
        <f t="shared" si="63"/>
        <v>11</v>
      </c>
      <c r="C457" t="s">
        <v>4144</v>
      </c>
      <c r="D457" t="s">
        <v>4145</v>
      </c>
      <c r="E457" t="s">
        <v>3771</v>
      </c>
      <c r="F457" t="s">
        <v>4146</v>
      </c>
      <c r="G457" t="s">
        <v>4143</v>
      </c>
      <c r="H457" s="2">
        <v>1</v>
      </c>
      <c r="I457" s="2">
        <v>33</v>
      </c>
      <c r="N457" t="str">
        <f t="shared" si="64"/>
        <v>Al Kunuz General Trading LLC</v>
      </c>
      <c r="O457" t="str">
        <f t="shared" si="65"/>
        <v>W1315396615</v>
      </c>
      <c r="P457" t="str">
        <f t="shared" si="66"/>
        <v>KE914AT39ZAU-640637</v>
      </c>
      <c r="Q457" t="str">
        <f t="shared" si="67"/>
        <v>PO044367</v>
      </c>
      <c r="R457" t="str">
        <f t="shared" si="68"/>
        <v>Polo T-Shirt, Grey</v>
      </c>
      <c r="S457" t="str">
        <f t="shared" si="69"/>
        <v>SA966375</v>
      </c>
      <c r="T457">
        <f t="shared" si="70"/>
        <v>1</v>
      </c>
      <c r="U457">
        <f t="shared" si="71"/>
        <v>33</v>
      </c>
    </row>
    <row r="458" spans="1:21" x14ac:dyDescent="0.25">
      <c r="A458">
        <f t="shared" si="63"/>
        <v>11</v>
      </c>
      <c r="C458" t="s">
        <v>4149</v>
      </c>
      <c r="D458" t="s">
        <v>4150</v>
      </c>
      <c r="E458" t="s">
        <v>3771</v>
      </c>
      <c r="F458" t="s">
        <v>3722</v>
      </c>
      <c r="G458" t="s">
        <v>4148</v>
      </c>
      <c r="H458" s="2">
        <v>1</v>
      </c>
      <c r="I458" s="2">
        <v>32</v>
      </c>
      <c r="N458" t="str">
        <f t="shared" si="64"/>
        <v>Al Kunuz General Trading LLC</v>
      </c>
      <c r="O458" t="str">
        <f t="shared" si="65"/>
        <v>W1315232280</v>
      </c>
      <c r="P458" t="str">
        <f t="shared" si="66"/>
        <v>AL992AT28KYD-427699</v>
      </c>
      <c r="Q458" t="str">
        <f t="shared" si="67"/>
        <v>PO044367</v>
      </c>
      <c r="R458" t="str">
        <f t="shared" si="68"/>
        <v>A Luv Ya Women's Cotton V Neck Paisley Printed Shirt</v>
      </c>
      <c r="S458" t="str">
        <f t="shared" si="69"/>
        <v>SA966535</v>
      </c>
      <c r="T458">
        <f t="shared" si="70"/>
        <v>1</v>
      </c>
      <c r="U458">
        <f t="shared" si="71"/>
        <v>32</v>
      </c>
    </row>
    <row r="459" spans="1:21" x14ac:dyDescent="0.25">
      <c r="A459">
        <f t="shared" si="63"/>
        <v>11</v>
      </c>
      <c r="E459" t="s">
        <v>4053</v>
      </c>
      <c r="F459" t="s">
        <v>3722</v>
      </c>
      <c r="G459" t="s">
        <v>4424</v>
      </c>
      <c r="H459" s="2">
        <v>1</v>
      </c>
      <c r="I459" s="2">
        <v>32</v>
      </c>
      <c r="N459" t="str">
        <f t="shared" si="64"/>
        <v>Al Kunuz General Trading LLC</v>
      </c>
      <c r="O459" t="str">
        <f t="shared" si="65"/>
        <v>W1315232280</v>
      </c>
      <c r="P459" t="str">
        <f t="shared" si="66"/>
        <v>AL992AT28KYD-427699</v>
      </c>
      <c r="Q459" t="str">
        <f t="shared" si="67"/>
        <v>PO044500</v>
      </c>
      <c r="R459" t="str">
        <f t="shared" si="68"/>
        <v>A Luv Ya Women's Cotton V Neck Paisley Printed Shirt</v>
      </c>
      <c r="S459" t="str">
        <f t="shared" si="69"/>
        <v>SA971231</v>
      </c>
      <c r="T459">
        <f t="shared" si="70"/>
        <v>1</v>
      </c>
      <c r="U459">
        <f t="shared" si="71"/>
        <v>32</v>
      </c>
    </row>
    <row r="460" spans="1:21" x14ac:dyDescent="0.25">
      <c r="A460">
        <f t="shared" si="63"/>
        <v>11</v>
      </c>
      <c r="C460" t="s">
        <v>4161</v>
      </c>
      <c r="D460" t="s">
        <v>4162</v>
      </c>
      <c r="E460" t="s">
        <v>3771</v>
      </c>
      <c r="F460" t="s">
        <v>3278</v>
      </c>
      <c r="G460" t="s">
        <v>4160</v>
      </c>
      <c r="H460" s="2">
        <v>1</v>
      </c>
      <c r="I460" s="2">
        <v>23</v>
      </c>
      <c r="N460" t="str">
        <f t="shared" si="64"/>
        <v>Al Kunuz General Trading LLC</v>
      </c>
      <c r="O460" t="str">
        <f t="shared" si="65"/>
        <v>W1315350837</v>
      </c>
      <c r="P460" t="str">
        <f t="shared" si="66"/>
        <v>HU968AT38MKZ-591622</v>
      </c>
      <c r="Q460" t="str">
        <f t="shared" si="67"/>
        <v>PO044367</v>
      </c>
      <c r="R460" t="str">
        <f t="shared" si="68"/>
        <v>Printed V-Neck T-Shirt, Grey</v>
      </c>
      <c r="S460" t="str">
        <f t="shared" si="69"/>
        <v>SA966902</v>
      </c>
      <c r="T460">
        <f t="shared" si="70"/>
        <v>1</v>
      </c>
      <c r="U460">
        <f t="shared" si="71"/>
        <v>23</v>
      </c>
    </row>
    <row r="461" spans="1:21" x14ac:dyDescent="0.25">
      <c r="A461">
        <f t="shared" si="63"/>
        <v>11</v>
      </c>
      <c r="E461" t="s">
        <v>4900</v>
      </c>
      <c r="F461" t="s">
        <v>3278</v>
      </c>
      <c r="G461" t="s">
        <v>5825</v>
      </c>
      <c r="H461" s="2">
        <v>1</v>
      </c>
      <c r="I461" s="2">
        <v>23</v>
      </c>
      <c r="N461" t="str">
        <f t="shared" si="64"/>
        <v>Al Kunuz General Trading LLC</v>
      </c>
      <c r="O461" t="str">
        <f t="shared" si="65"/>
        <v>W1315350837</v>
      </c>
      <c r="P461" t="str">
        <f t="shared" si="66"/>
        <v>HU968AT38MKZ-591622</v>
      </c>
      <c r="Q461" t="str">
        <f t="shared" si="67"/>
        <v>PO044697</v>
      </c>
      <c r="R461" t="str">
        <f t="shared" si="68"/>
        <v>Printed V-Neck T-Shirt, Grey</v>
      </c>
      <c r="S461" t="str">
        <f t="shared" si="69"/>
        <v>SA981000</v>
      </c>
      <c r="T461">
        <f t="shared" si="70"/>
        <v>1</v>
      </c>
      <c r="U461">
        <f t="shared" si="71"/>
        <v>23</v>
      </c>
    </row>
    <row r="462" spans="1:21" x14ac:dyDescent="0.25">
      <c r="A462">
        <f t="shared" si="63"/>
        <v>11</v>
      </c>
      <c r="C462" t="s">
        <v>4164</v>
      </c>
      <c r="D462" t="s">
        <v>4165</v>
      </c>
      <c r="E462" t="s">
        <v>3771</v>
      </c>
      <c r="F462" t="s">
        <v>3614</v>
      </c>
      <c r="G462" t="s">
        <v>4163</v>
      </c>
      <c r="H462" s="2">
        <v>1</v>
      </c>
      <c r="I462" s="2">
        <v>23</v>
      </c>
      <c r="N462" t="str">
        <f t="shared" si="64"/>
        <v>Al Kunuz General Trading LLC</v>
      </c>
      <c r="O462" t="str">
        <f t="shared" si="65"/>
        <v>W1315350972</v>
      </c>
      <c r="P462" t="str">
        <f t="shared" si="66"/>
        <v>HU968AT04MMH-591757</v>
      </c>
      <c r="Q462" t="str">
        <f t="shared" si="67"/>
        <v>PO044367</v>
      </c>
      <c r="R462" t="str">
        <f t="shared" si="68"/>
        <v>Printed V-Neck T-Shirt, Black</v>
      </c>
      <c r="S462" t="str">
        <f t="shared" si="69"/>
        <v>SA966927</v>
      </c>
      <c r="T462">
        <f t="shared" si="70"/>
        <v>1</v>
      </c>
      <c r="U462">
        <f t="shared" si="71"/>
        <v>23</v>
      </c>
    </row>
    <row r="463" spans="1:21" x14ac:dyDescent="0.25">
      <c r="A463">
        <f t="shared" si="63"/>
        <v>11</v>
      </c>
      <c r="C463" t="s">
        <v>4167</v>
      </c>
      <c r="D463" t="s">
        <v>4168</v>
      </c>
      <c r="E463" t="s">
        <v>3771</v>
      </c>
      <c r="F463" t="s">
        <v>3278</v>
      </c>
      <c r="G463" t="s">
        <v>4166</v>
      </c>
      <c r="H463" s="2">
        <v>1</v>
      </c>
      <c r="I463" s="2">
        <v>23</v>
      </c>
      <c r="N463" t="str">
        <f t="shared" si="64"/>
        <v>Al Kunuz General Trading LLC</v>
      </c>
      <c r="O463" t="str">
        <f t="shared" si="65"/>
        <v>W1315351200</v>
      </c>
      <c r="P463" t="str">
        <f t="shared" si="66"/>
        <v>HU968AT47NTG-593059</v>
      </c>
      <c r="Q463" t="str">
        <f t="shared" si="67"/>
        <v>PO044367</v>
      </c>
      <c r="R463" t="str">
        <f t="shared" si="68"/>
        <v>Printed V-Neck T-Shirt, Grey</v>
      </c>
      <c r="S463" t="str">
        <f t="shared" si="69"/>
        <v>SA966928</v>
      </c>
      <c r="T463">
        <f t="shared" si="70"/>
        <v>1</v>
      </c>
      <c r="U463">
        <f t="shared" si="71"/>
        <v>23</v>
      </c>
    </row>
    <row r="464" spans="1:21" x14ac:dyDescent="0.25">
      <c r="A464">
        <f t="shared" si="63"/>
        <v>11</v>
      </c>
      <c r="C464" t="s">
        <v>4170</v>
      </c>
      <c r="D464" t="s">
        <v>4171</v>
      </c>
      <c r="E464" t="s">
        <v>3771</v>
      </c>
      <c r="F464" t="s">
        <v>3278</v>
      </c>
      <c r="G464" t="s">
        <v>4169</v>
      </c>
      <c r="H464" s="2">
        <v>1</v>
      </c>
      <c r="I464" s="2">
        <v>23</v>
      </c>
      <c r="N464" t="str">
        <f t="shared" si="64"/>
        <v>Al Kunuz General Trading LLC</v>
      </c>
      <c r="O464" t="str">
        <f t="shared" si="65"/>
        <v>W1315351196</v>
      </c>
      <c r="P464" t="str">
        <f t="shared" si="66"/>
        <v>HU968AT48NTF-593055</v>
      </c>
      <c r="Q464" t="str">
        <f t="shared" si="67"/>
        <v>PO044367</v>
      </c>
      <c r="R464" t="str">
        <f t="shared" si="68"/>
        <v>Printed V-Neck T-Shirt, Grey</v>
      </c>
      <c r="S464" t="str">
        <f t="shared" si="69"/>
        <v>SA966929</v>
      </c>
      <c r="T464">
        <f t="shared" si="70"/>
        <v>1</v>
      </c>
      <c r="U464">
        <f t="shared" si="71"/>
        <v>23</v>
      </c>
    </row>
    <row r="465" spans="1:21" x14ac:dyDescent="0.25">
      <c r="A465">
        <f t="shared" si="63"/>
        <v>11</v>
      </c>
      <c r="C465" t="s">
        <v>4177</v>
      </c>
      <c r="D465" t="s">
        <v>4178</v>
      </c>
      <c r="E465" t="s">
        <v>3811</v>
      </c>
      <c r="F465" t="s">
        <v>4179</v>
      </c>
      <c r="G465" t="s">
        <v>4176</v>
      </c>
      <c r="H465" s="2">
        <v>1</v>
      </c>
      <c r="I465" s="2">
        <v>59</v>
      </c>
      <c r="N465" t="str">
        <f t="shared" si="64"/>
        <v>Al Kunuz General Trading LLC</v>
      </c>
      <c r="O465" t="str">
        <f t="shared" si="65"/>
        <v>W1315380642</v>
      </c>
      <c r="P465" t="str">
        <f t="shared" si="66"/>
        <v>FA080AT21OWC-631657</v>
      </c>
      <c r="Q465" t="str">
        <f t="shared" si="67"/>
        <v>PO044429</v>
      </c>
      <c r="R465" t="str">
        <f t="shared" si="68"/>
        <v>Casual T-Shirt, White</v>
      </c>
      <c r="S465" t="str">
        <f t="shared" si="69"/>
        <v>SA967537</v>
      </c>
      <c r="T465">
        <f t="shared" si="70"/>
        <v>1</v>
      </c>
      <c r="U465">
        <f t="shared" si="71"/>
        <v>59</v>
      </c>
    </row>
    <row r="466" spans="1:21" x14ac:dyDescent="0.25">
      <c r="A466">
        <f t="shared" si="63"/>
        <v>11</v>
      </c>
      <c r="C466" t="s">
        <v>4181</v>
      </c>
      <c r="D466" t="s">
        <v>4182</v>
      </c>
      <c r="E466" t="s">
        <v>3811</v>
      </c>
      <c r="F466" t="s">
        <v>4183</v>
      </c>
      <c r="G466" t="s">
        <v>4180</v>
      </c>
      <c r="H466" s="2">
        <v>1</v>
      </c>
      <c r="I466" s="2">
        <v>46</v>
      </c>
      <c r="N466" t="str">
        <f t="shared" si="64"/>
        <v>Al Kunuz General Trading LLC</v>
      </c>
      <c r="O466" t="str">
        <f t="shared" si="65"/>
        <v>W1315211391</v>
      </c>
      <c r="P466" t="str">
        <f t="shared" si="66"/>
        <v>MR178AT71GCM-383290</v>
      </c>
      <c r="Q466" t="str">
        <f t="shared" si="67"/>
        <v>PO044429</v>
      </c>
      <c r="R466" t="str">
        <f t="shared" si="68"/>
        <v>Mr Button Grey V Neck T Shirt With Shark Pocket</v>
      </c>
      <c r="S466" t="str">
        <f t="shared" si="69"/>
        <v>SA967538</v>
      </c>
      <c r="T466">
        <f t="shared" si="70"/>
        <v>1</v>
      </c>
      <c r="U466">
        <f t="shared" si="71"/>
        <v>46</v>
      </c>
    </row>
    <row r="467" spans="1:21" x14ac:dyDescent="0.25">
      <c r="A467">
        <f t="shared" si="63"/>
        <v>11</v>
      </c>
      <c r="C467" t="s">
        <v>4185</v>
      </c>
      <c r="D467" t="s">
        <v>4186</v>
      </c>
      <c r="E467" t="s">
        <v>3811</v>
      </c>
      <c r="F467" t="s">
        <v>4187</v>
      </c>
      <c r="G467" t="s">
        <v>4184</v>
      </c>
      <c r="H467" s="2">
        <v>1</v>
      </c>
      <c r="I467" s="2">
        <v>53</v>
      </c>
      <c r="N467" t="str">
        <f t="shared" si="64"/>
        <v>Al Kunuz General Trading LLC</v>
      </c>
      <c r="O467" t="str">
        <f t="shared" si="65"/>
        <v>W1315278279</v>
      </c>
      <c r="P467" t="str">
        <f t="shared" si="66"/>
        <v>SA222AT29BVM-475972</v>
      </c>
      <c r="Q467" t="str">
        <f t="shared" si="67"/>
        <v>PO044429</v>
      </c>
      <c r="R467" t="str">
        <f t="shared" si="68"/>
        <v>Lace Insert Top, Brown</v>
      </c>
      <c r="S467" t="str">
        <f t="shared" si="69"/>
        <v>SA967587</v>
      </c>
      <c r="T467">
        <f t="shared" si="70"/>
        <v>1</v>
      </c>
      <c r="U467">
        <f t="shared" si="71"/>
        <v>53</v>
      </c>
    </row>
    <row r="468" spans="1:21" x14ac:dyDescent="0.25">
      <c r="A468">
        <f t="shared" si="63"/>
        <v>11</v>
      </c>
      <c r="C468" t="s">
        <v>4189</v>
      </c>
      <c r="D468" t="s">
        <v>4190</v>
      </c>
      <c r="E468" t="s">
        <v>3811</v>
      </c>
      <c r="F468" t="s">
        <v>3347</v>
      </c>
      <c r="G468" t="s">
        <v>4188</v>
      </c>
      <c r="H468" s="2">
        <v>1</v>
      </c>
      <c r="I468" s="2">
        <v>52</v>
      </c>
      <c r="N468" t="str">
        <f t="shared" si="64"/>
        <v>Al Kunuz General Trading LLC</v>
      </c>
      <c r="O468" t="str">
        <f t="shared" si="65"/>
        <v>W1315399367</v>
      </c>
      <c r="P468" t="str">
        <f t="shared" si="66"/>
        <v>SA222AT00CFB-643286</v>
      </c>
      <c r="Q468" t="str">
        <f t="shared" si="67"/>
        <v>PO044429</v>
      </c>
      <c r="R468" t="str">
        <f t="shared" si="68"/>
        <v>Peplum Scuba Top, Green</v>
      </c>
      <c r="S468" t="str">
        <f t="shared" si="69"/>
        <v>SA967588</v>
      </c>
      <c r="T468">
        <f t="shared" si="70"/>
        <v>1</v>
      </c>
      <c r="U468">
        <f t="shared" si="71"/>
        <v>52</v>
      </c>
    </row>
    <row r="469" spans="1:21" x14ac:dyDescent="0.25">
      <c r="A469">
        <f t="shared" si="63"/>
        <v>11</v>
      </c>
      <c r="C469" t="s">
        <v>4194</v>
      </c>
      <c r="D469" t="s">
        <v>4195</v>
      </c>
      <c r="E469" t="s">
        <v>3771</v>
      </c>
      <c r="F469" t="s">
        <v>4196</v>
      </c>
      <c r="G469" t="s">
        <v>4193</v>
      </c>
      <c r="H469" s="2">
        <v>1</v>
      </c>
      <c r="I469" s="2">
        <v>89</v>
      </c>
      <c r="N469" t="str">
        <f t="shared" si="64"/>
        <v>Al Kunuz General Trading LLC</v>
      </c>
      <c r="O469" t="str">
        <f t="shared" si="65"/>
        <v>W1315243635</v>
      </c>
      <c r="P469" t="str">
        <f t="shared" si="66"/>
        <v>TH106AT02UHL-437282</v>
      </c>
      <c r="Q469" t="str">
        <f t="shared" si="67"/>
        <v>PO044367</v>
      </c>
      <c r="R469" t="str">
        <f t="shared" si="68"/>
        <v>The Vanca Long Dress - Maroon</v>
      </c>
      <c r="S469" t="str">
        <f t="shared" si="69"/>
        <v>SA967627</v>
      </c>
      <c r="T469">
        <f t="shared" si="70"/>
        <v>1</v>
      </c>
      <c r="U469">
        <f t="shared" si="71"/>
        <v>89</v>
      </c>
    </row>
    <row r="470" spans="1:21" x14ac:dyDescent="0.25">
      <c r="A470">
        <f t="shared" si="63"/>
        <v>11</v>
      </c>
      <c r="C470" t="s">
        <v>4198</v>
      </c>
      <c r="D470" t="s">
        <v>4199</v>
      </c>
      <c r="E470" t="s">
        <v>3771</v>
      </c>
      <c r="F470" t="s">
        <v>4200</v>
      </c>
      <c r="G470" t="s">
        <v>4197</v>
      </c>
      <c r="H470" s="2">
        <v>1</v>
      </c>
      <c r="I470" s="2">
        <v>27</v>
      </c>
      <c r="N470" t="str">
        <f t="shared" si="64"/>
        <v>Al Kunuz General Trading LLC</v>
      </c>
      <c r="O470" t="str">
        <f t="shared" si="65"/>
        <v>W1315232292</v>
      </c>
      <c r="P470" t="str">
        <f t="shared" si="66"/>
        <v>AL992AT26KYF-427711</v>
      </c>
      <c r="Q470" t="str">
        <f t="shared" si="67"/>
        <v>PO044367</v>
      </c>
      <c r="R470" t="str">
        <f t="shared" si="68"/>
        <v>A Luv Ya Women's Poly Crepe Printed Polka dot Camp Shirt</v>
      </c>
      <c r="S470" t="str">
        <f t="shared" si="69"/>
        <v>SA967630</v>
      </c>
      <c r="T470">
        <f t="shared" si="70"/>
        <v>1</v>
      </c>
      <c r="U470">
        <f t="shared" si="71"/>
        <v>27</v>
      </c>
    </row>
    <row r="471" spans="1:21" x14ac:dyDescent="0.25">
      <c r="A471">
        <f t="shared" si="63"/>
        <v>11</v>
      </c>
      <c r="C471" t="s">
        <v>4202</v>
      </c>
      <c r="D471" t="s">
        <v>4203</v>
      </c>
      <c r="E471" t="s">
        <v>3771</v>
      </c>
      <c r="F471" t="s">
        <v>4204</v>
      </c>
      <c r="G471" t="s">
        <v>4201</v>
      </c>
      <c r="H471" s="2">
        <v>1</v>
      </c>
      <c r="I471" s="2">
        <v>32</v>
      </c>
      <c r="N471" t="str">
        <f t="shared" si="64"/>
        <v>Al Kunuz General Trading LLC</v>
      </c>
      <c r="O471" t="str">
        <f t="shared" si="65"/>
        <v>W1315391569</v>
      </c>
      <c r="P471" t="str">
        <f t="shared" si="66"/>
        <v>MA096BE80SEH-634638</v>
      </c>
      <c r="Q471" t="str">
        <f t="shared" si="67"/>
        <v>PO044367</v>
      </c>
      <c r="R471" t="str">
        <f t="shared" si="68"/>
        <v>Lash Sensational Mascara - Washable Black</v>
      </c>
      <c r="S471" t="str">
        <f t="shared" si="69"/>
        <v>SA967631</v>
      </c>
      <c r="T471">
        <f t="shared" si="70"/>
        <v>1</v>
      </c>
      <c r="U471">
        <f t="shared" si="71"/>
        <v>32</v>
      </c>
    </row>
    <row r="472" spans="1:21" x14ac:dyDescent="0.25">
      <c r="A472">
        <f t="shared" si="63"/>
        <v>11</v>
      </c>
      <c r="E472" t="s">
        <v>4053</v>
      </c>
      <c r="F472" t="s">
        <v>4204</v>
      </c>
      <c r="G472" t="s">
        <v>4264</v>
      </c>
      <c r="H472" s="2">
        <v>1</v>
      </c>
      <c r="I472" s="2">
        <v>32</v>
      </c>
      <c r="N472" t="str">
        <f t="shared" si="64"/>
        <v>Al Kunuz General Trading LLC</v>
      </c>
      <c r="O472" t="str">
        <f t="shared" si="65"/>
        <v>W1315391569</v>
      </c>
      <c r="P472" t="str">
        <f t="shared" si="66"/>
        <v>MA096BE80SEH-634638</v>
      </c>
      <c r="Q472" t="str">
        <f t="shared" si="67"/>
        <v>PO044500</v>
      </c>
      <c r="R472" t="str">
        <f t="shared" si="68"/>
        <v>Lash Sensational Mascara - Washable Black</v>
      </c>
      <c r="S472" t="str">
        <f t="shared" si="69"/>
        <v>SA969216</v>
      </c>
      <c r="T472">
        <f t="shared" si="70"/>
        <v>1</v>
      </c>
      <c r="U472">
        <f t="shared" si="71"/>
        <v>32</v>
      </c>
    </row>
    <row r="473" spans="1:21" x14ac:dyDescent="0.25">
      <c r="A473">
        <f t="shared" si="63"/>
        <v>11</v>
      </c>
      <c r="C473" t="s">
        <v>4209</v>
      </c>
      <c r="D473" t="s">
        <v>4210</v>
      </c>
      <c r="E473" t="s">
        <v>3771</v>
      </c>
      <c r="F473" t="s">
        <v>3665</v>
      </c>
      <c r="G473" t="s">
        <v>4208</v>
      </c>
      <c r="H473" s="2">
        <v>1</v>
      </c>
      <c r="I473" s="2">
        <v>22</v>
      </c>
      <c r="N473" t="str">
        <f t="shared" si="64"/>
        <v>Al Kunuz General Trading LLC</v>
      </c>
      <c r="O473" t="str">
        <f t="shared" si="65"/>
        <v>W1315351106</v>
      </c>
      <c r="P473" t="str">
        <f t="shared" si="66"/>
        <v>HU968AT71NSI-592965</v>
      </c>
      <c r="Q473" t="str">
        <f t="shared" si="67"/>
        <v>PO044367</v>
      </c>
      <c r="R473" t="str">
        <f t="shared" si="68"/>
        <v>Casual Shorts, Melange Grey</v>
      </c>
      <c r="S473" t="str">
        <f t="shared" si="69"/>
        <v>SA967655</v>
      </c>
      <c r="T473">
        <f t="shared" si="70"/>
        <v>1</v>
      </c>
      <c r="U473">
        <f t="shared" si="71"/>
        <v>22</v>
      </c>
    </row>
    <row r="474" spans="1:21" x14ac:dyDescent="0.25">
      <c r="A474">
        <f t="shared" si="63"/>
        <v>11</v>
      </c>
      <c r="E474" t="s">
        <v>4900</v>
      </c>
      <c r="F474" t="s">
        <v>3665</v>
      </c>
      <c r="G474" t="s">
        <v>5001</v>
      </c>
      <c r="H474" s="2">
        <v>1</v>
      </c>
      <c r="I474" s="2">
        <v>22</v>
      </c>
      <c r="N474" t="str">
        <f t="shared" si="64"/>
        <v>Al Kunuz General Trading LLC</v>
      </c>
      <c r="O474" t="str">
        <f t="shared" si="65"/>
        <v>W1315351106</v>
      </c>
      <c r="P474" t="str">
        <f t="shared" si="66"/>
        <v>HU968AT71NSI-592965</v>
      </c>
      <c r="Q474" t="str">
        <f t="shared" si="67"/>
        <v>PO044697</v>
      </c>
      <c r="R474" t="str">
        <f t="shared" si="68"/>
        <v>Casual Shorts, Melange Grey</v>
      </c>
      <c r="S474" t="str">
        <f t="shared" si="69"/>
        <v>SA973504</v>
      </c>
      <c r="T474">
        <f t="shared" si="70"/>
        <v>1</v>
      </c>
      <c r="U474">
        <f t="shared" si="71"/>
        <v>22</v>
      </c>
    </row>
    <row r="475" spans="1:21" x14ac:dyDescent="0.25">
      <c r="A475">
        <f t="shared" si="63"/>
        <v>11</v>
      </c>
      <c r="G475" t="s">
        <v>5218</v>
      </c>
      <c r="H475" s="2">
        <v>1</v>
      </c>
      <c r="I475" s="2">
        <v>22</v>
      </c>
      <c r="N475" t="str">
        <f t="shared" si="64"/>
        <v>Al Kunuz General Trading LLC</v>
      </c>
      <c r="O475" t="str">
        <f t="shared" si="65"/>
        <v>W1315351106</v>
      </c>
      <c r="P475" t="str">
        <f t="shared" si="66"/>
        <v>HU968AT71NSI-592965</v>
      </c>
      <c r="Q475" t="str">
        <f t="shared" si="67"/>
        <v>PO044697</v>
      </c>
      <c r="R475" t="str">
        <f t="shared" si="68"/>
        <v>Casual Shorts, Melange Grey</v>
      </c>
      <c r="S475" t="str">
        <f t="shared" si="69"/>
        <v>SA975261</v>
      </c>
      <c r="T475">
        <f t="shared" si="70"/>
        <v>1</v>
      </c>
      <c r="U475">
        <f t="shared" si="71"/>
        <v>22</v>
      </c>
    </row>
    <row r="476" spans="1:21" x14ac:dyDescent="0.25">
      <c r="A476">
        <f t="shared" si="63"/>
        <v>11</v>
      </c>
      <c r="E476" t="s">
        <v>5091</v>
      </c>
      <c r="F476" t="s">
        <v>3665</v>
      </c>
      <c r="G476" t="s">
        <v>6331</v>
      </c>
      <c r="H476" s="2">
        <v>1</v>
      </c>
      <c r="I476" s="2">
        <v>22</v>
      </c>
      <c r="N476" t="str">
        <f t="shared" si="64"/>
        <v>Al Kunuz General Trading LLC</v>
      </c>
      <c r="O476" t="str">
        <f t="shared" si="65"/>
        <v>W1315351106</v>
      </c>
      <c r="P476" t="str">
        <f t="shared" si="66"/>
        <v>HU968AT71NSI-592965</v>
      </c>
      <c r="Q476" t="str">
        <f t="shared" si="67"/>
        <v>PO044978</v>
      </c>
      <c r="R476" t="str">
        <f t="shared" si="68"/>
        <v>Casual Shorts, Melange Grey</v>
      </c>
      <c r="S476" t="str">
        <f t="shared" si="69"/>
        <v>SA986138</v>
      </c>
      <c r="T476">
        <f t="shared" si="70"/>
        <v>1</v>
      </c>
      <c r="U476">
        <f t="shared" si="71"/>
        <v>22</v>
      </c>
    </row>
    <row r="477" spans="1:21" x14ac:dyDescent="0.25">
      <c r="A477">
        <f t="shared" si="63"/>
        <v>11</v>
      </c>
      <c r="C477" t="s">
        <v>4212</v>
      </c>
      <c r="D477" t="s">
        <v>4213</v>
      </c>
      <c r="E477" t="s">
        <v>3771</v>
      </c>
      <c r="F477" t="s">
        <v>4214</v>
      </c>
      <c r="G477" t="s">
        <v>4211</v>
      </c>
      <c r="H477" s="2">
        <v>1</v>
      </c>
      <c r="I477" s="2">
        <v>9</v>
      </c>
      <c r="N477" t="str">
        <f t="shared" si="64"/>
        <v>Al Kunuz General Trading LLC</v>
      </c>
      <c r="O477" t="str">
        <f t="shared" si="65"/>
        <v>W1315390340</v>
      </c>
      <c r="P477" t="str">
        <f t="shared" si="66"/>
        <v>CO092BE53RAO-633841</v>
      </c>
      <c r="Q477" t="str">
        <f t="shared" si="67"/>
        <v>PO044367</v>
      </c>
      <c r="R477" t="str">
        <f t="shared" si="68"/>
        <v>Kajal Pencil</v>
      </c>
      <c r="S477" t="str">
        <f t="shared" si="69"/>
        <v>SA967713</v>
      </c>
      <c r="T477">
        <f t="shared" si="70"/>
        <v>1</v>
      </c>
      <c r="U477">
        <f t="shared" si="71"/>
        <v>9</v>
      </c>
    </row>
    <row r="478" spans="1:21" x14ac:dyDescent="0.25">
      <c r="A478">
        <f t="shared" si="63"/>
        <v>11</v>
      </c>
      <c r="E478" t="s">
        <v>5091</v>
      </c>
      <c r="F478" t="s">
        <v>4214</v>
      </c>
      <c r="G478" t="s">
        <v>5500</v>
      </c>
      <c r="H478" s="2">
        <v>1</v>
      </c>
      <c r="I478" s="2">
        <v>9</v>
      </c>
      <c r="N478" t="str">
        <f t="shared" si="64"/>
        <v>Al Kunuz General Trading LLC</v>
      </c>
      <c r="O478" t="str">
        <f t="shared" si="65"/>
        <v>W1315390340</v>
      </c>
      <c r="P478" t="str">
        <f t="shared" si="66"/>
        <v>CO092BE53RAO-633841</v>
      </c>
      <c r="Q478" t="str">
        <f t="shared" si="67"/>
        <v>PO044978</v>
      </c>
      <c r="R478" t="str">
        <f t="shared" si="68"/>
        <v>Kajal Pencil</v>
      </c>
      <c r="S478" t="str">
        <f t="shared" si="69"/>
        <v>SA978871</v>
      </c>
      <c r="T478">
        <f t="shared" si="70"/>
        <v>1</v>
      </c>
      <c r="U478">
        <f t="shared" si="71"/>
        <v>9</v>
      </c>
    </row>
    <row r="479" spans="1:21" x14ac:dyDescent="0.25">
      <c r="A479">
        <f t="shared" si="63"/>
        <v>11</v>
      </c>
      <c r="G479" t="s">
        <v>6379</v>
      </c>
      <c r="H479" s="2">
        <v>1</v>
      </c>
      <c r="I479" s="2">
        <v>9</v>
      </c>
      <c r="N479" t="str">
        <f t="shared" si="64"/>
        <v>Al Kunuz General Trading LLC</v>
      </c>
      <c r="O479" t="str">
        <f t="shared" si="65"/>
        <v>W1315390340</v>
      </c>
      <c r="P479" t="str">
        <f t="shared" si="66"/>
        <v>CO092BE53RAO-633841</v>
      </c>
      <c r="Q479" t="str">
        <f t="shared" si="67"/>
        <v>PO044978</v>
      </c>
      <c r="R479" t="str">
        <f t="shared" si="68"/>
        <v>Kajal Pencil</v>
      </c>
      <c r="S479" t="str">
        <f t="shared" si="69"/>
        <v>SA986485</v>
      </c>
      <c r="T479">
        <f t="shared" si="70"/>
        <v>1</v>
      </c>
      <c r="U479">
        <f t="shared" si="71"/>
        <v>9</v>
      </c>
    </row>
    <row r="480" spans="1:21" x14ac:dyDescent="0.25">
      <c r="A480">
        <f t="shared" si="63"/>
        <v>11</v>
      </c>
      <c r="C480" t="s">
        <v>4216</v>
      </c>
      <c r="D480" t="s">
        <v>4217</v>
      </c>
      <c r="E480" t="s">
        <v>3811</v>
      </c>
      <c r="F480" t="s">
        <v>4218</v>
      </c>
      <c r="G480" t="s">
        <v>4215</v>
      </c>
      <c r="H480" s="2">
        <v>1</v>
      </c>
      <c r="I480" s="2">
        <v>16</v>
      </c>
      <c r="N480" t="str">
        <f t="shared" si="64"/>
        <v>Al Kunuz General Trading LLC</v>
      </c>
      <c r="O480" t="str">
        <f t="shared" si="65"/>
        <v>W1315325850</v>
      </c>
      <c r="P480" t="str">
        <f t="shared" si="66"/>
        <v>SI601AC15UZC-529490</v>
      </c>
      <c r="Q480" t="str">
        <f t="shared" si="67"/>
        <v>PO044429</v>
      </c>
      <c r="R480" t="str">
        <f t="shared" si="68"/>
        <v>Simaya Fashion Necklace (FN 0456, Gold tone)</v>
      </c>
      <c r="S480" t="str">
        <f t="shared" si="69"/>
        <v>SA967858</v>
      </c>
      <c r="T480">
        <f t="shared" si="70"/>
        <v>1</v>
      </c>
      <c r="U480">
        <f t="shared" si="71"/>
        <v>16</v>
      </c>
    </row>
    <row r="481" spans="1:21" x14ac:dyDescent="0.25">
      <c r="A481">
        <f t="shared" si="63"/>
        <v>11</v>
      </c>
      <c r="C481" t="s">
        <v>4220</v>
      </c>
      <c r="D481" t="s">
        <v>4221</v>
      </c>
      <c r="E481" t="s">
        <v>3811</v>
      </c>
      <c r="F481" t="s">
        <v>4222</v>
      </c>
      <c r="G481" t="s">
        <v>4219</v>
      </c>
      <c r="H481" s="2">
        <v>1</v>
      </c>
      <c r="I481" s="2">
        <v>16</v>
      </c>
      <c r="N481" t="str">
        <f t="shared" si="64"/>
        <v>Al Kunuz General Trading LLC</v>
      </c>
      <c r="O481" t="str">
        <f t="shared" si="65"/>
        <v>W1315390862</v>
      </c>
      <c r="P481" t="str">
        <f t="shared" si="66"/>
        <v>SO088BE90RON-634204</v>
      </c>
      <c r="Q481" t="str">
        <f t="shared" si="67"/>
        <v>PO044429</v>
      </c>
      <c r="R481" t="str">
        <f t="shared" si="68"/>
        <v>Coldpressed Coconut Pure Natural Carrier Oil</v>
      </c>
      <c r="S481" t="str">
        <f t="shared" si="69"/>
        <v>SA967859</v>
      </c>
      <c r="T481">
        <f t="shared" si="70"/>
        <v>1</v>
      </c>
      <c r="U481">
        <f t="shared" si="71"/>
        <v>16</v>
      </c>
    </row>
    <row r="482" spans="1:21" x14ac:dyDescent="0.25">
      <c r="A482">
        <f t="shared" si="63"/>
        <v>11</v>
      </c>
      <c r="C482" t="s">
        <v>4224</v>
      </c>
      <c r="D482" t="s">
        <v>4225</v>
      </c>
      <c r="E482" t="s">
        <v>3811</v>
      </c>
      <c r="F482" t="s">
        <v>4226</v>
      </c>
      <c r="G482" t="s">
        <v>4223</v>
      </c>
      <c r="H482" s="2">
        <v>1</v>
      </c>
      <c r="I482" s="2">
        <v>6</v>
      </c>
      <c r="N482" t="str">
        <f t="shared" si="64"/>
        <v>Al Kunuz General Trading LLC</v>
      </c>
      <c r="O482" t="str">
        <f t="shared" si="65"/>
        <v>W1315390052</v>
      </c>
      <c r="P482" t="str">
        <f t="shared" si="66"/>
        <v>AR083BE86QGB-633308</v>
      </c>
      <c r="Q482" t="str">
        <f t="shared" si="67"/>
        <v>PO044429</v>
      </c>
      <c r="R482" t="str">
        <f t="shared" si="68"/>
        <v>Castor Oil</v>
      </c>
      <c r="S482" t="str">
        <f t="shared" si="69"/>
        <v>SA967860</v>
      </c>
      <c r="T482">
        <f t="shared" si="70"/>
        <v>1</v>
      </c>
      <c r="U482">
        <f t="shared" si="71"/>
        <v>6</v>
      </c>
    </row>
    <row r="483" spans="1:21" x14ac:dyDescent="0.25">
      <c r="A483">
        <f t="shared" si="63"/>
        <v>11</v>
      </c>
      <c r="E483" t="s">
        <v>4900</v>
      </c>
      <c r="F483" t="s">
        <v>4226</v>
      </c>
      <c r="G483" t="s">
        <v>5834</v>
      </c>
      <c r="H483" s="2">
        <v>1</v>
      </c>
      <c r="I483" s="2">
        <v>6</v>
      </c>
      <c r="N483" t="str">
        <f t="shared" si="64"/>
        <v>Al Kunuz General Trading LLC</v>
      </c>
      <c r="O483" t="str">
        <f t="shared" si="65"/>
        <v>W1315390052</v>
      </c>
      <c r="P483" t="str">
        <f t="shared" si="66"/>
        <v>AR083BE86QGB-633308</v>
      </c>
      <c r="Q483" t="str">
        <f t="shared" si="67"/>
        <v>PO044697</v>
      </c>
      <c r="R483" t="str">
        <f t="shared" si="68"/>
        <v>Castor Oil</v>
      </c>
      <c r="S483" t="str">
        <f t="shared" si="69"/>
        <v>SA981053</v>
      </c>
      <c r="T483">
        <f t="shared" si="70"/>
        <v>1</v>
      </c>
      <c r="U483">
        <f t="shared" si="71"/>
        <v>6</v>
      </c>
    </row>
    <row r="484" spans="1:21" x14ac:dyDescent="0.25">
      <c r="A484">
        <f t="shared" si="63"/>
        <v>11</v>
      </c>
      <c r="E484" t="s">
        <v>5091</v>
      </c>
      <c r="F484" t="s">
        <v>4226</v>
      </c>
      <c r="G484" t="s">
        <v>5895</v>
      </c>
      <c r="H484" s="2">
        <v>1</v>
      </c>
      <c r="I484" s="2">
        <v>6</v>
      </c>
      <c r="N484" t="str">
        <f t="shared" si="64"/>
        <v>Al Kunuz General Trading LLC</v>
      </c>
      <c r="O484" t="str">
        <f t="shared" si="65"/>
        <v>W1315390052</v>
      </c>
      <c r="P484" t="str">
        <f t="shared" si="66"/>
        <v>AR083BE86QGB-633308</v>
      </c>
      <c r="Q484" t="str">
        <f t="shared" si="67"/>
        <v>PO044978</v>
      </c>
      <c r="R484" t="str">
        <f t="shared" si="68"/>
        <v>Castor Oil</v>
      </c>
      <c r="S484" t="str">
        <f t="shared" si="69"/>
        <v>SA981804</v>
      </c>
      <c r="T484">
        <f t="shared" si="70"/>
        <v>1</v>
      </c>
      <c r="U484">
        <f t="shared" si="71"/>
        <v>6</v>
      </c>
    </row>
    <row r="485" spans="1:21" x14ac:dyDescent="0.25">
      <c r="A485">
        <f t="shared" si="63"/>
        <v>11</v>
      </c>
      <c r="C485" t="s">
        <v>4234</v>
      </c>
      <c r="D485" t="s">
        <v>4235</v>
      </c>
      <c r="E485" t="s">
        <v>3811</v>
      </c>
      <c r="F485" t="s">
        <v>4236</v>
      </c>
      <c r="G485" t="s">
        <v>4233</v>
      </c>
      <c r="H485" s="2">
        <v>1</v>
      </c>
      <c r="I485" s="2">
        <v>13</v>
      </c>
      <c r="N485" t="str">
        <f t="shared" si="64"/>
        <v>Al Kunuz General Trading LLC</v>
      </c>
      <c r="O485" t="str">
        <f t="shared" si="65"/>
        <v>W1315389856</v>
      </c>
      <c r="P485" t="str">
        <f t="shared" si="66"/>
        <v>SO088BE86QZH-633808</v>
      </c>
      <c r="Q485" t="str">
        <f t="shared" si="67"/>
        <v>PO044429</v>
      </c>
      <c r="R485" t="str">
        <f t="shared" si="68"/>
        <v>A For Anti Aging Soap</v>
      </c>
      <c r="S485" t="str">
        <f t="shared" si="69"/>
        <v>SA968326</v>
      </c>
      <c r="T485">
        <f t="shared" si="70"/>
        <v>1</v>
      </c>
      <c r="U485">
        <f t="shared" si="71"/>
        <v>13</v>
      </c>
    </row>
    <row r="486" spans="1:21" x14ac:dyDescent="0.25">
      <c r="A486">
        <f t="shared" si="63"/>
        <v>11</v>
      </c>
      <c r="C486" t="s">
        <v>4239</v>
      </c>
      <c r="D486" t="s">
        <v>4240</v>
      </c>
      <c r="E486" t="s">
        <v>3811</v>
      </c>
      <c r="F486" t="s">
        <v>4241</v>
      </c>
      <c r="G486" t="s">
        <v>4238</v>
      </c>
      <c r="H486" s="2">
        <v>1</v>
      </c>
      <c r="I486" s="2">
        <v>108</v>
      </c>
      <c r="N486" t="str">
        <f t="shared" si="64"/>
        <v>Al Kunuz General Trading LLC</v>
      </c>
      <c r="O486" t="str">
        <f t="shared" si="65"/>
        <v>W1315348928</v>
      </c>
      <c r="P486" t="str">
        <f t="shared" si="66"/>
        <v>FR924AT62LQV-590469</v>
      </c>
      <c r="Q486" t="str">
        <f t="shared" si="67"/>
        <v>PO044429</v>
      </c>
      <c r="R486" t="str">
        <f t="shared" si="68"/>
        <v>Long Shirt, brown</v>
      </c>
      <c r="S486" t="str">
        <f t="shared" si="69"/>
        <v>SA968391</v>
      </c>
      <c r="T486">
        <f t="shared" si="70"/>
        <v>1</v>
      </c>
      <c r="U486">
        <f t="shared" si="71"/>
        <v>108</v>
      </c>
    </row>
    <row r="487" spans="1:21" x14ac:dyDescent="0.25">
      <c r="A487">
        <f t="shared" si="63"/>
        <v>11</v>
      </c>
      <c r="C487" t="s">
        <v>4251</v>
      </c>
      <c r="D487" t="s">
        <v>4252</v>
      </c>
      <c r="E487" t="s">
        <v>4053</v>
      </c>
      <c r="F487" t="s">
        <v>4253</v>
      </c>
      <c r="G487" t="s">
        <v>4250</v>
      </c>
      <c r="H487" s="2">
        <v>1</v>
      </c>
      <c r="I487" s="2">
        <v>32</v>
      </c>
      <c r="N487" t="str">
        <f t="shared" si="64"/>
        <v>Al Kunuz General Trading LLC</v>
      </c>
      <c r="O487" t="str">
        <f t="shared" si="65"/>
        <v>W1315436921</v>
      </c>
      <c r="P487" t="str">
        <f t="shared" si="66"/>
        <v>ES913BE12SMP-691397</v>
      </c>
      <c r="Q487" t="str">
        <f t="shared" si="67"/>
        <v>PO044500</v>
      </c>
      <c r="R487" t="str">
        <f t="shared" si="68"/>
        <v>Essence Lash Princess False Lash Effect Mascara</v>
      </c>
      <c r="S487" t="str">
        <f t="shared" si="69"/>
        <v>SA968894</v>
      </c>
      <c r="T487">
        <f t="shared" si="70"/>
        <v>1</v>
      </c>
      <c r="U487">
        <f t="shared" si="71"/>
        <v>32</v>
      </c>
    </row>
    <row r="488" spans="1:21" x14ac:dyDescent="0.25">
      <c r="A488">
        <f t="shared" si="63"/>
        <v>11</v>
      </c>
      <c r="C488" t="s">
        <v>4261</v>
      </c>
      <c r="D488" t="s">
        <v>4262</v>
      </c>
      <c r="E488" t="s">
        <v>4053</v>
      </c>
      <c r="F488" t="s">
        <v>4263</v>
      </c>
      <c r="G488" t="s">
        <v>4260</v>
      </c>
      <c r="H488" s="2">
        <v>1</v>
      </c>
      <c r="I488" s="2">
        <v>14</v>
      </c>
      <c r="N488" t="str">
        <f t="shared" si="64"/>
        <v>Al Kunuz General Trading LLC</v>
      </c>
      <c r="O488" t="str">
        <f t="shared" si="65"/>
        <v>W1315316077</v>
      </c>
      <c r="P488" t="str">
        <f t="shared" si="66"/>
        <v>WE564AT63OCI-522699</v>
      </c>
      <c r="Q488" t="str">
        <f t="shared" si="67"/>
        <v>PO044500</v>
      </c>
      <c r="R488" t="str">
        <f t="shared" si="68"/>
        <v>Men's Plain Round Neck T-Shirt, Bottle Green</v>
      </c>
      <c r="S488" t="str">
        <f t="shared" si="69"/>
        <v>SA969177</v>
      </c>
      <c r="T488">
        <f t="shared" si="70"/>
        <v>1</v>
      </c>
      <c r="U488">
        <f t="shared" si="71"/>
        <v>14</v>
      </c>
    </row>
    <row r="489" spans="1:21" x14ac:dyDescent="0.25">
      <c r="A489">
        <f t="shared" si="63"/>
        <v>11</v>
      </c>
      <c r="C489" t="s">
        <v>4271</v>
      </c>
      <c r="D489" t="s">
        <v>4272</v>
      </c>
      <c r="E489" t="s">
        <v>4053</v>
      </c>
      <c r="F489" t="s">
        <v>4273</v>
      </c>
      <c r="G489" t="s">
        <v>4270</v>
      </c>
      <c r="H489" s="2">
        <v>1</v>
      </c>
      <c r="I489" s="2">
        <v>30</v>
      </c>
      <c r="N489" t="str">
        <f t="shared" si="64"/>
        <v>Al Kunuz General Trading LLC</v>
      </c>
      <c r="O489" t="str">
        <f t="shared" si="65"/>
        <v>W1315439322</v>
      </c>
      <c r="P489" t="str">
        <f t="shared" si="66"/>
        <v>HE368BE22VSV-693587</v>
      </c>
      <c r="Q489" t="str">
        <f t="shared" si="67"/>
        <v>PO044500</v>
      </c>
      <c r="R489" t="str">
        <f t="shared" si="68"/>
        <v>Healthvit Fatnile Fat Reduction Tea Garcinia, Green Tea, Ginger For Natural Weight Loss</v>
      </c>
      <c r="S489" t="str">
        <f t="shared" si="69"/>
        <v>SA969282</v>
      </c>
      <c r="T489">
        <f t="shared" si="70"/>
        <v>1</v>
      </c>
      <c r="U489">
        <f t="shared" si="71"/>
        <v>30</v>
      </c>
    </row>
    <row r="490" spans="1:21" x14ac:dyDescent="0.25">
      <c r="A490">
        <f t="shared" si="63"/>
        <v>11</v>
      </c>
      <c r="G490" t="s">
        <v>4274</v>
      </c>
      <c r="H490" s="2">
        <v>1</v>
      </c>
      <c r="I490" s="2">
        <v>30</v>
      </c>
      <c r="N490" t="str">
        <f t="shared" si="64"/>
        <v>Al Kunuz General Trading LLC</v>
      </c>
      <c r="O490" t="str">
        <f t="shared" si="65"/>
        <v>W1315439322</v>
      </c>
      <c r="P490" t="str">
        <f t="shared" si="66"/>
        <v>HE368BE22VSV-693587</v>
      </c>
      <c r="Q490" t="str">
        <f t="shared" si="67"/>
        <v>PO044500</v>
      </c>
      <c r="R490" t="str">
        <f t="shared" si="68"/>
        <v>Healthvit Fatnile Fat Reduction Tea Garcinia, Green Tea, Ginger For Natural Weight Loss</v>
      </c>
      <c r="S490" t="str">
        <f t="shared" si="69"/>
        <v>SA969283</v>
      </c>
      <c r="T490">
        <f t="shared" si="70"/>
        <v>1</v>
      </c>
      <c r="U490">
        <f t="shared" si="71"/>
        <v>30</v>
      </c>
    </row>
    <row r="491" spans="1:21" x14ac:dyDescent="0.25">
      <c r="A491">
        <f t="shared" si="63"/>
        <v>11</v>
      </c>
      <c r="C491" t="s">
        <v>4276</v>
      </c>
      <c r="D491" t="s">
        <v>4277</v>
      </c>
      <c r="E491" t="s">
        <v>4053</v>
      </c>
      <c r="F491" t="s">
        <v>4278</v>
      </c>
      <c r="G491" t="s">
        <v>4275</v>
      </c>
      <c r="H491" s="2">
        <v>1</v>
      </c>
      <c r="I491" s="2">
        <v>46</v>
      </c>
      <c r="N491" t="str">
        <f t="shared" si="64"/>
        <v>Al Kunuz General Trading LLC</v>
      </c>
      <c r="O491" t="str">
        <f t="shared" si="65"/>
        <v>W1315278049</v>
      </c>
      <c r="P491" t="str">
        <f t="shared" si="66"/>
        <v>SA222AT98BSV-475723</v>
      </c>
      <c r="Q491" t="str">
        <f t="shared" si="67"/>
        <v>PO044500</v>
      </c>
      <c r="R491" t="str">
        <f t="shared" si="68"/>
        <v>Angel Sleeves Floral Top, Navy Blue</v>
      </c>
      <c r="S491" t="str">
        <f t="shared" si="69"/>
        <v>SA969286</v>
      </c>
      <c r="T491">
        <f t="shared" si="70"/>
        <v>1</v>
      </c>
      <c r="U491">
        <f t="shared" si="71"/>
        <v>46</v>
      </c>
    </row>
    <row r="492" spans="1:21" x14ac:dyDescent="0.25">
      <c r="A492">
        <f t="shared" si="63"/>
        <v>11</v>
      </c>
      <c r="C492" t="s">
        <v>4280</v>
      </c>
      <c r="D492" t="s">
        <v>4281</v>
      </c>
      <c r="E492" t="s">
        <v>4053</v>
      </c>
      <c r="F492" t="s">
        <v>4282</v>
      </c>
      <c r="G492" t="s">
        <v>4279</v>
      </c>
      <c r="H492" s="2">
        <v>1</v>
      </c>
      <c r="I492" s="2">
        <v>32</v>
      </c>
      <c r="N492" t="str">
        <f t="shared" si="64"/>
        <v>Al Kunuz General Trading LLC</v>
      </c>
      <c r="O492" t="str">
        <f t="shared" si="65"/>
        <v>W1315232324</v>
      </c>
      <c r="P492" t="str">
        <f t="shared" si="66"/>
        <v>AL992AT18KYN-427743</v>
      </c>
      <c r="Q492" t="str">
        <f t="shared" si="67"/>
        <v>PO044500</v>
      </c>
      <c r="R492" t="str">
        <f t="shared" si="68"/>
        <v>A Luv Ya Women's Printed Modal Lace Yoke Top / Tunic</v>
      </c>
      <c r="S492" t="str">
        <f t="shared" si="69"/>
        <v>SA969288</v>
      </c>
      <c r="T492">
        <f t="shared" si="70"/>
        <v>1</v>
      </c>
      <c r="U492">
        <f t="shared" si="71"/>
        <v>32</v>
      </c>
    </row>
    <row r="493" spans="1:21" x14ac:dyDescent="0.25">
      <c r="A493">
        <f t="shared" si="63"/>
        <v>11</v>
      </c>
      <c r="C493" t="s">
        <v>4302</v>
      </c>
      <c r="D493" t="s">
        <v>4303</v>
      </c>
      <c r="E493" t="s">
        <v>4053</v>
      </c>
      <c r="F493" t="s">
        <v>4304</v>
      </c>
      <c r="G493" t="s">
        <v>4301</v>
      </c>
      <c r="H493" s="2">
        <v>1</v>
      </c>
      <c r="I493" s="2">
        <v>75</v>
      </c>
      <c r="N493" t="str">
        <f t="shared" si="64"/>
        <v>Al Kunuz General Trading LLC</v>
      </c>
      <c r="O493" t="str">
        <f t="shared" si="65"/>
        <v>W1315390277</v>
      </c>
      <c r="P493" t="str">
        <f t="shared" si="66"/>
        <v>NA091BE01RKG-634093</v>
      </c>
      <c r="Q493" t="str">
        <f t="shared" si="67"/>
        <v>PO044500</v>
      </c>
      <c r="R493" t="str">
        <f t="shared" si="68"/>
        <v>Ageless Organic Rosehip Oil</v>
      </c>
      <c r="S493" t="str">
        <f t="shared" si="69"/>
        <v>SA969929</v>
      </c>
      <c r="T493">
        <f t="shared" si="70"/>
        <v>1</v>
      </c>
      <c r="U493">
        <f t="shared" si="71"/>
        <v>75</v>
      </c>
    </row>
    <row r="494" spans="1:21" x14ac:dyDescent="0.25">
      <c r="A494">
        <f t="shared" si="63"/>
        <v>11</v>
      </c>
      <c r="C494" t="s">
        <v>4306</v>
      </c>
      <c r="D494" t="s">
        <v>4307</v>
      </c>
      <c r="E494" t="s">
        <v>4053</v>
      </c>
      <c r="F494" t="s">
        <v>4308</v>
      </c>
      <c r="G494" t="s">
        <v>4305</v>
      </c>
      <c r="H494" s="2">
        <v>1</v>
      </c>
      <c r="I494" s="2">
        <v>24</v>
      </c>
      <c r="N494" t="str">
        <f t="shared" si="64"/>
        <v>Al Kunuz General Trading LLC</v>
      </c>
      <c r="O494" t="str">
        <f t="shared" si="65"/>
        <v>W1315316766</v>
      </c>
      <c r="P494" t="str">
        <f t="shared" si="66"/>
        <v>UN563AC07OAQ-522612</v>
      </c>
      <c r="Q494" t="str">
        <f t="shared" si="67"/>
        <v>PO044500</v>
      </c>
      <c r="R494" t="str">
        <f t="shared" si="68"/>
        <v>Hand Crafted Genuine Leather Wallet for Men (UN150, Black)</v>
      </c>
      <c r="S494" t="str">
        <f t="shared" si="69"/>
        <v>SA970008</v>
      </c>
      <c r="T494">
        <f t="shared" si="70"/>
        <v>1</v>
      </c>
      <c r="U494">
        <f t="shared" si="71"/>
        <v>24</v>
      </c>
    </row>
    <row r="495" spans="1:21" x14ac:dyDescent="0.25">
      <c r="A495">
        <f t="shared" si="63"/>
        <v>11</v>
      </c>
      <c r="C495" t="s">
        <v>4310</v>
      </c>
      <c r="D495" t="s">
        <v>4311</v>
      </c>
      <c r="E495" t="s">
        <v>4053</v>
      </c>
      <c r="F495" t="s">
        <v>4312</v>
      </c>
      <c r="G495" t="s">
        <v>4309</v>
      </c>
      <c r="H495" s="2">
        <v>1</v>
      </c>
      <c r="I495" s="2">
        <v>24</v>
      </c>
      <c r="N495" t="str">
        <f t="shared" si="64"/>
        <v>Al Kunuz General Trading LLC</v>
      </c>
      <c r="O495" t="str">
        <f t="shared" si="65"/>
        <v>W1315316765</v>
      </c>
      <c r="P495" t="str">
        <f t="shared" si="66"/>
        <v>UN563AC08OAP-522611</v>
      </c>
      <c r="Q495" t="str">
        <f t="shared" si="67"/>
        <v>PO044500</v>
      </c>
      <c r="R495" t="str">
        <f t="shared" si="68"/>
        <v>Hand Crafted Genuine Leather Wallet for Men (UN148, Black)</v>
      </c>
      <c r="S495" t="str">
        <f t="shared" si="69"/>
        <v>SA970009</v>
      </c>
      <c r="T495">
        <f t="shared" si="70"/>
        <v>1</v>
      </c>
      <c r="U495">
        <f t="shared" si="71"/>
        <v>24</v>
      </c>
    </row>
    <row r="496" spans="1:21" x14ac:dyDescent="0.25">
      <c r="A496">
        <f t="shared" si="63"/>
        <v>11</v>
      </c>
      <c r="C496" t="s">
        <v>4314</v>
      </c>
      <c r="D496" t="s">
        <v>4315</v>
      </c>
      <c r="E496" t="s">
        <v>4053</v>
      </c>
      <c r="F496" t="s">
        <v>3664</v>
      </c>
      <c r="G496" t="s">
        <v>4313</v>
      </c>
      <c r="H496" s="2">
        <v>1</v>
      </c>
      <c r="I496" s="2">
        <v>57</v>
      </c>
      <c r="N496" t="str">
        <f t="shared" si="64"/>
        <v>Al Kunuz General Trading LLC</v>
      </c>
      <c r="O496" t="str">
        <f t="shared" si="65"/>
        <v>W1315426868</v>
      </c>
      <c r="P496" t="str">
        <f t="shared" si="66"/>
        <v>FL176AT53HES-681111</v>
      </c>
      <c r="Q496" t="str">
        <f t="shared" si="67"/>
        <v>PO044500</v>
      </c>
      <c r="R496" t="str">
        <f t="shared" si="68"/>
        <v>Stretchable Jeans, Blue</v>
      </c>
      <c r="S496" t="str">
        <f t="shared" si="69"/>
        <v>SA970020</v>
      </c>
      <c r="T496">
        <f t="shared" si="70"/>
        <v>1</v>
      </c>
      <c r="U496">
        <f t="shared" si="71"/>
        <v>57</v>
      </c>
    </row>
    <row r="497" spans="1:21" x14ac:dyDescent="0.25">
      <c r="A497">
        <f t="shared" si="63"/>
        <v>11</v>
      </c>
      <c r="C497" t="s">
        <v>4325</v>
      </c>
      <c r="D497" t="s">
        <v>4326</v>
      </c>
      <c r="E497" t="s">
        <v>4053</v>
      </c>
      <c r="F497" t="s">
        <v>4327</v>
      </c>
      <c r="G497" t="s">
        <v>4324</v>
      </c>
      <c r="H497" s="2">
        <v>1</v>
      </c>
      <c r="I497" s="2">
        <v>73</v>
      </c>
      <c r="N497" t="str">
        <f t="shared" si="64"/>
        <v>Al Kunuz General Trading LLC</v>
      </c>
      <c r="O497" t="str">
        <f t="shared" si="65"/>
        <v>W1315399458</v>
      </c>
      <c r="P497" t="str">
        <f t="shared" si="66"/>
        <v>SA222AT81CFU-643377</v>
      </c>
      <c r="Q497" t="str">
        <f t="shared" si="67"/>
        <v>PO044500</v>
      </c>
      <c r="R497" t="str">
        <f t="shared" si="68"/>
        <v>Cold Shoulder Scuba Dress, Maroon</v>
      </c>
      <c r="S497" t="str">
        <f t="shared" si="69"/>
        <v>SA970145</v>
      </c>
      <c r="T497">
        <f t="shared" si="70"/>
        <v>1</v>
      </c>
      <c r="U497">
        <f t="shared" si="71"/>
        <v>73</v>
      </c>
    </row>
    <row r="498" spans="1:21" x14ac:dyDescent="0.25">
      <c r="A498">
        <f t="shared" si="63"/>
        <v>11</v>
      </c>
      <c r="C498" t="s">
        <v>4329</v>
      </c>
      <c r="D498" t="s">
        <v>4330</v>
      </c>
      <c r="E498" t="s">
        <v>4053</v>
      </c>
      <c r="F498" t="s">
        <v>3403</v>
      </c>
      <c r="G498" t="s">
        <v>4328</v>
      </c>
      <c r="H498" s="2">
        <v>1</v>
      </c>
      <c r="I498" s="2">
        <v>104</v>
      </c>
      <c r="N498" t="str">
        <f t="shared" si="64"/>
        <v>Al Kunuz General Trading LLC</v>
      </c>
      <c r="O498" t="str">
        <f t="shared" si="65"/>
        <v>W1315349474</v>
      </c>
      <c r="P498" t="str">
        <f t="shared" si="66"/>
        <v>HO923AT19KNS-588279</v>
      </c>
      <c r="Q498" t="str">
        <f t="shared" si="67"/>
        <v>PO044500</v>
      </c>
      <c r="R498" t="str">
        <f t="shared" si="68"/>
        <v>Multi Print Maxi, Multi</v>
      </c>
      <c r="S498" t="str">
        <f t="shared" si="69"/>
        <v>SA970147</v>
      </c>
      <c r="T498">
        <f t="shared" si="70"/>
        <v>1</v>
      </c>
      <c r="U498">
        <f t="shared" si="71"/>
        <v>104</v>
      </c>
    </row>
    <row r="499" spans="1:21" x14ac:dyDescent="0.25">
      <c r="A499">
        <f t="shared" si="63"/>
        <v>11</v>
      </c>
      <c r="C499" t="s">
        <v>4332</v>
      </c>
      <c r="D499" t="s">
        <v>4333</v>
      </c>
      <c r="E499" t="s">
        <v>4053</v>
      </c>
      <c r="F499" t="s">
        <v>4334</v>
      </c>
      <c r="G499" t="s">
        <v>4331</v>
      </c>
      <c r="H499" s="2">
        <v>1</v>
      </c>
      <c r="I499" s="2">
        <v>73</v>
      </c>
      <c r="N499" t="str">
        <f t="shared" si="64"/>
        <v>Al Kunuz General Trading LLC</v>
      </c>
      <c r="O499" t="str">
        <f t="shared" si="65"/>
        <v>W1315399031</v>
      </c>
      <c r="P499" t="str">
        <f t="shared" si="66"/>
        <v>SA222AT68CCL-642950</v>
      </c>
      <c r="Q499" t="str">
        <f t="shared" si="67"/>
        <v>PO044500</v>
      </c>
      <c r="R499" t="str">
        <f t="shared" si="68"/>
        <v>Bodycon Cape Dress, Maroon</v>
      </c>
      <c r="S499" t="str">
        <f t="shared" si="69"/>
        <v>SA970148</v>
      </c>
      <c r="T499">
        <f t="shared" si="70"/>
        <v>1</v>
      </c>
      <c r="U499">
        <f t="shared" si="71"/>
        <v>73</v>
      </c>
    </row>
    <row r="500" spans="1:21" x14ac:dyDescent="0.25">
      <c r="A500">
        <f t="shared" si="63"/>
        <v>11</v>
      </c>
      <c r="C500" t="s">
        <v>4336</v>
      </c>
      <c r="D500" t="s">
        <v>4337</v>
      </c>
      <c r="E500" t="s">
        <v>4053</v>
      </c>
      <c r="F500" t="s">
        <v>4338</v>
      </c>
      <c r="G500" t="s">
        <v>4335</v>
      </c>
      <c r="H500" s="2">
        <v>1</v>
      </c>
      <c r="I500" s="2">
        <v>18</v>
      </c>
      <c r="N500" t="str">
        <f t="shared" si="64"/>
        <v>Al Kunuz General Trading LLC</v>
      </c>
      <c r="O500" t="str">
        <f t="shared" si="65"/>
        <v>W1315353885</v>
      </c>
      <c r="P500" t="str">
        <f t="shared" si="66"/>
        <v>AM977AT75OHO-593979</v>
      </c>
      <c r="Q500" t="str">
        <f t="shared" si="67"/>
        <v>PO044500</v>
      </c>
      <c r="R500" t="str">
        <f t="shared" si="68"/>
        <v>Baby doll Nighty, Multicolor</v>
      </c>
      <c r="S500" t="str">
        <f t="shared" si="69"/>
        <v>SA970187</v>
      </c>
      <c r="T500">
        <f t="shared" si="70"/>
        <v>1</v>
      </c>
      <c r="U500">
        <f t="shared" si="71"/>
        <v>18</v>
      </c>
    </row>
    <row r="501" spans="1:21" x14ac:dyDescent="0.25">
      <c r="A501">
        <f t="shared" si="63"/>
        <v>11</v>
      </c>
      <c r="C501" t="s">
        <v>4343</v>
      </c>
      <c r="D501" t="s">
        <v>4344</v>
      </c>
      <c r="E501" t="s">
        <v>4053</v>
      </c>
      <c r="F501" t="s">
        <v>3493</v>
      </c>
      <c r="G501" t="s">
        <v>4342</v>
      </c>
      <c r="H501" s="2">
        <v>1</v>
      </c>
      <c r="I501" s="2">
        <v>51</v>
      </c>
      <c r="N501" t="str">
        <f t="shared" si="64"/>
        <v>Al Kunuz General Trading LLC</v>
      </c>
      <c r="O501" t="str">
        <f t="shared" si="65"/>
        <v>W1315353920</v>
      </c>
      <c r="P501" t="str">
        <f t="shared" si="66"/>
        <v>AM977AT76QNF-595476</v>
      </c>
      <c r="Q501" t="str">
        <f t="shared" si="67"/>
        <v>PO044500</v>
      </c>
      <c r="R501" t="str">
        <f t="shared" si="68"/>
        <v>Baby doll Nighty Set of 3, Multicolor</v>
      </c>
      <c r="S501" t="str">
        <f t="shared" si="69"/>
        <v>SA970227</v>
      </c>
      <c r="T501">
        <f t="shared" si="70"/>
        <v>1</v>
      </c>
      <c r="U501">
        <f t="shared" si="71"/>
        <v>51</v>
      </c>
    </row>
    <row r="502" spans="1:21" x14ac:dyDescent="0.25">
      <c r="A502">
        <f t="shared" si="63"/>
        <v>11</v>
      </c>
      <c r="G502" t="s">
        <v>4345</v>
      </c>
      <c r="H502" s="2">
        <v>1</v>
      </c>
      <c r="I502" s="2">
        <v>51</v>
      </c>
      <c r="N502" t="str">
        <f t="shared" si="64"/>
        <v>Al Kunuz General Trading LLC</v>
      </c>
      <c r="O502" t="str">
        <f t="shared" si="65"/>
        <v>W1315353920</v>
      </c>
      <c r="P502" t="str">
        <f t="shared" si="66"/>
        <v>AM977AT76QNF-595476</v>
      </c>
      <c r="Q502" t="str">
        <f t="shared" si="67"/>
        <v>PO044500</v>
      </c>
      <c r="R502" t="str">
        <f t="shared" si="68"/>
        <v>Baby doll Nighty Set of 3, Multicolor</v>
      </c>
      <c r="S502" t="str">
        <f t="shared" si="69"/>
        <v>SA970228</v>
      </c>
      <c r="T502">
        <f t="shared" si="70"/>
        <v>1</v>
      </c>
      <c r="U502">
        <f t="shared" si="71"/>
        <v>51</v>
      </c>
    </row>
    <row r="503" spans="1:21" x14ac:dyDescent="0.25">
      <c r="A503">
        <f t="shared" si="63"/>
        <v>11</v>
      </c>
      <c r="C503" t="s">
        <v>4348</v>
      </c>
      <c r="D503" t="s">
        <v>4349</v>
      </c>
      <c r="E503" t="s">
        <v>4053</v>
      </c>
      <c r="F503" t="s">
        <v>3594</v>
      </c>
      <c r="G503" t="s">
        <v>4347</v>
      </c>
      <c r="H503" s="2">
        <v>1</v>
      </c>
      <c r="I503" s="2">
        <v>53</v>
      </c>
      <c r="N503" t="str">
        <f t="shared" si="64"/>
        <v>Al Kunuz General Trading LLC</v>
      </c>
      <c r="O503" t="str">
        <f t="shared" si="65"/>
        <v>W1315278089</v>
      </c>
      <c r="P503" t="str">
        <f t="shared" si="66"/>
        <v>SA222AT90BTD-475763</v>
      </c>
      <c r="Q503" t="str">
        <f t="shared" si="67"/>
        <v>PO044500</v>
      </c>
      <c r="R503" t="str">
        <f t="shared" si="68"/>
        <v>Animal Print Back Zipper Top, Pink/Black</v>
      </c>
      <c r="S503" t="str">
        <f t="shared" si="69"/>
        <v>SA970361</v>
      </c>
      <c r="T503">
        <f t="shared" si="70"/>
        <v>1</v>
      </c>
      <c r="U503">
        <f t="shared" si="71"/>
        <v>53</v>
      </c>
    </row>
    <row r="504" spans="1:21" x14ac:dyDescent="0.25">
      <c r="A504">
        <f t="shared" si="63"/>
        <v>11</v>
      </c>
      <c r="C504" t="s">
        <v>4355</v>
      </c>
      <c r="D504" t="s">
        <v>4356</v>
      </c>
      <c r="E504" t="s">
        <v>4053</v>
      </c>
      <c r="F504" t="s">
        <v>4357</v>
      </c>
      <c r="G504" t="s">
        <v>4354</v>
      </c>
      <c r="H504" s="2">
        <v>1</v>
      </c>
      <c r="I504" s="2">
        <v>46</v>
      </c>
      <c r="N504" t="str">
        <f t="shared" si="64"/>
        <v>Al Kunuz General Trading LLC</v>
      </c>
      <c r="O504" t="str">
        <f t="shared" si="65"/>
        <v>W1315435849</v>
      </c>
      <c r="P504" t="str">
        <f t="shared" si="66"/>
        <v>BE247BE79VUM-693630</v>
      </c>
      <c r="Q504" t="str">
        <f t="shared" si="67"/>
        <v>PO044500</v>
      </c>
      <c r="R504" t="str">
        <f t="shared" si="68"/>
        <v>Beardo Beard &amp; Mustache Wax</v>
      </c>
      <c r="S504" t="str">
        <f t="shared" si="69"/>
        <v>SA970493</v>
      </c>
      <c r="T504">
        <f t="shared" si="70"/>
        <v>1</v>
      </c>
      <c r="U504">
        <f t="shared" si="71"/>
        <v>46</v>
      </c>
    </row>
    <row r="505" spans="1:21" x14ac:dyDescent="0.25">
      <c r="A505">
        <f t="shared" si="63"/>
        <v>11</v>
      </c>
      <c r="C505" t="s">
        <v>4359</v>
      </c>
      <c r="D505" t="s">
        <v>4360</v>
      </c>
      <c r="E505" t="s">
        <v>4053</v>
      </c>
      <c r="F505" t="s">
        <v>4361</v>
      </c>
      <c r="G505" t="s">
        <v>4358</v>
      </c>
      <c r="H505" s="2">
        <v>1</v>
      </c>
      <c r="I505" s="2">
        <v>43</v>
      </c>
      <c r="N505" t="str">
        <f t="shared" si="64"/>
        <v>Al Kunuz General Trading LLC</v>
      </c>
      <c r="O505" t="str">
        <f t="shared" si="65"/>
        <v>W1315437077</v>
      </c>
      <c r="P505" t="str">
        <f t="shared" si="66"/>
        <v>HE368BE71PWY-689638</v>
      </c>
      <c r="Q505" t="str">
        <f t="shared" si="67"/>
        <v>PO044500</v>
      </c>
      <c r="R505" t="str">
        <f t="shared" si="68"/>
        <v>Healthvit Beard Facial Hair Supplement for Thicker and Fuller Beard Hair (60 Tablets)</v>
      </c>
      <c r="S505" t="str">
        <f t="shared" si="69"/>
        <v>SA970494</v>
      </c>
      <c r="T505">
        <f t="shared" si="70"/>
        <v>1</v>
      </c>
      <c r="U505">
        <f t="shared" si="71"/>
        <v>43</v>
      </c>
    </row>
    <row r="506" spans="1:21" x14ac:dyDescent="0.25">
      <c r="A506">
        <f t="shared" si="63"/>
        <v>11</v>
      </c>
      <c r="C506" t="s">
        <v>4375</v>
      </c>
      <c r="D506" t="s">
        <v>4376</v>
      </c>
      <c r="E506" t="s">
        <v>4053</v>
      </c>
      <c r="F506" t="s">
        <v>4377</v>
      </c>
      <c r="G506" t="s">
        <v>4374</v>
      </c>
      <c r="H506" s="2">
        <v>1</v>
      </c>
      <c r="I506" s="2">
        <v>39</v>
      </c>
      <c r="N506" t="str">
        <f t="shared" si="64"/>
        <v>Al Kunuz General Trading LLC</v>
      </c>
      <c r="O506" t="str">
        <f t="shared" si="65"/>
        <v>W1315381426</v>
      </c>
      <c r="P506" t="str">
        <f t="shared" si="66"/>
        <v>YE659AC92ODZ-630751</v>
      </c>
      <c r="Q506" t="str">
        <f t="shared" si="67"/>
        <v>PO044500</v>
      </c>
      <c r="R506" t="str">
        <f t="shared" si="68"/>
        <v>1873 for Women (Analog Watch, Black)</v>
      </c>
      <c r="S506" t="str">
        <f t="shared" si="69"/>
        <v>SA970676</v>
      </c>
      <c r="T506">
        <f t="shared" si="70"/>
        <v>1</v>
      </c>
      <c r="U506">
        <f t="shared" si="71"/>
        <v>39</v>
      </c>
    </row>
    <row r="507" spans="1:21" x14ac:dyDescent="0.25">
      <c r="A507">
        <f t="shared" si="63"/>
        <v>11</v>
      </c>
      <c r="C507" t="s">
        <v>4384</v>
      </c>
      <c r="D507" t="s">
        <v>4385</v>
      </c>
      <c r="E507" t="s">
        <v>4053</v>
      </c>
      <c r="F507" t="s">
        <v>4386</v>
      </c>
      <c r="G507" t="s">
        <v>4383</v>
      </c>
      <c r="H507" s="2">
        <v>1</v>
      </c>
      <c r="I507" s="2">
        <v>40</v>
      </c>
      <c r="N507" t="str">
        <f t="shared" si="64"/>
        <v>Al Kunuz General Trading LLC</v>
      </c>
      <c r="O507" t="str">
        <f t="shared" si="65"/>
        <v>W1315389643</v>
      </c>
      <c r="P507" t="str">
        <f t="shared" si="66"/>
        <v>LO860BE47SBS-634571</v>
      </c>
      <c r="Q507" t="str">
        <f t="shared" si="67"/>
        <v>PO044500</v>
      </c>
      <c r="R507" t="str">
        <f t="shared" si="68"/>
        <v>True Match BB Cream - Honey</v>
      </c>
      <c r="S507" t="str">
        <f t="shared" si="69"/>
        <v>SA970713</v>
      </c>
      <c r="T507">
        <f t="shared" si="70"/>
        <v>1</v>
      </c>
      <c r="U507">
        <f t="shared" si="71"/>
        <v>40</v>
      </c>
    </row>
    <row r="508" spans="1:21" x14ac:dyDescent="0.25">
      <c r="A508">
        <f t="shared" si="63"/>
        <v>11</v>
      </c>
      <c r="C508" t="s">
        <v>4388</v>
      </c>
      <c r="D508" t="s">
        <v>4389</v>
      </c>
      <c r="E508" t="s">
        <v>4053</v>
      </c>
      <c r="F508" t="s">
        <v>4390</v>
      </c>
      <c r="G508" t="s">
        <v>4387</v>
      </c>
      <c r="H508" s="2">
        <v>1</v>
      </c>
      <c r="I508" s="2">
        <v>5</v>
      </c>
      <c r="N508" t="str">
        <f t="shared" si="64"/>
        <v>Al Kunuz General Trading LLC</v>
      </c>
      <c r="O508" t="str">
        <f t="shared" si="65"/>
        <v>W1315436804</v>
      </c>
      <c r="P508" t="str">
        <f t="shared" si="66"/>
        <v>HI211BE36UFV-692573</v>
      </c>
      <c r="Q508" t="str">
        <f t="shared" si="67"/>
        <v>PO044500</v>
      </c>
      <c r="R508" t="str">
        <f t="shared" si="68"/>
        <v>Himalaya Herbals Fairness Kesar Face Pack - 50gm</v>
      </c>
      <c r="S508" t="str">
        <f t="shared" si="69"/>
        <v>SA970716</v>
      </c>
      <c r="T508">
        <f t="shared" si="70"/>
        <v>1</v>
      </c>
      <c r="U508">
        <f t="shared" si="71"/>
        <v>5</v>
      </c>
    </row>
    <row r="509" spans="1:21" x14ac:dyDescent="0.25">
      <c r="A509">
        <f t="shared" si="63"/>
        <v>11</v>
      </c>
      <c r="C509" t="s">
        <v>4392</v>
      </c>
      <c r="D509" t="s">
        <v>4393</v>
      </c>
      <c r="E509" t="s">
        <v>4394</v>
      </c>
      <c r="F509" t="s">
        <v>2516</v>
      </c>
      <c r="G509" t="s">
        <v>4391</v>
      </c>
      <c r="H509" s="2">
        <v>1</v>
      </c>
      <c r="I509" s="2">
        <v>185</v>
      </c>
      <c r="N509" t="str">
        <f t="shared" si="64"/>
        <v>Al Kunuz General Trading LLC</v>
      </c>
      <c r="O509" t="str">
        <f t="shared" si="65"/>
        <v>W1315406783</v>
      </c>
      <c r="P509" t="str">
        <f t="shared" si="66"/>
        <v>MU172AT29YMS-668574</v>
      </c>
      <c r="Q509" t="str">
        <f t="shared" si="67"/>
        <v>PO044564</v>
      </c>
      <c r="R509" t="str">
        <f t="shared" si="68"/>
        <v>Abaya, Black</v>
      </c>
      <c r="S509" t="str">
        <f t="shared" si="69"/>
        <v>SA970732</v>
      </c>
      <c r="T509">
        <f t="shared" si="70"/>
        <v>1</v>
      </c>
      <c r="U509">
        <f t="shared" si="71"/>
        <v>185</v>
      </c>
    </row>
    <row r="510" spans="1:21" x14ac:dyDescent="0.25">
      <c r="A510">
        <f t="shared" si="63"/>
        <v>11</v>
      </c>
      <c r="C510" t="s">
        <v>4436</v>
      </c>
      <c r="D510" t="s">
        <v>4437</v>
      </c>
      <c r="E510" t="s">
        <v>4053</v>
      </c>
      <c r="F510" t="s">
        <v>4438</v>
      </c>
      <c r="G510" t="s">
        <v>4435</v>
      </c>
      <c r="H510" s="2">
        <v>1</v>
      </c>
      <c r="I510" s="2">
        <v>218</v>
      </c>
      <c r="N510" t="str">
        <f t="shared" si="64"/>
        <v>Al Kunuz General Trading LLC</v>
      </c>
      <c r="O510" t="str">
        <f t="shared" si="65"/>
        <v>W1315367988</v>
      </c>
      <c r="P510" t="str">
        <f t="shared" si="66"/>
        <v>PU020AC20AFJ-603508</v>
      </c>
      <c r="Q510" t="str">
        <f t="shared" si="67"/>
        <v>PO044500</v>
      </c>
      <c r="R510" t="str">
        <f t="shared" si="68"/>
        <v>PU103211031 for Men (Analog Watch, Blue)</v>
      </c>
      <c r="S510" t="str">
        <f t="shared" si="69"/>
        <v>SA971531</v>
      </c>
      <c r="T510">
        <f t="shared" si="70"/>
        <v>1</v>
      </c>
      <c r="U510">
        <f t="shared" si="71"/>
        <v>218</v>
      </c>
    </row>
    <row r="511" spans="1:21" x14ac:dyDescent="0.25">
      <c r="A511">
        <f t="shared" si="63"/>
        <v>11</v>
      </c>
      <c r="C511" t="s">
        <v>4442</v>
      </c>
      <c r="D511" t="s">
        <v>4443</v>
      </c>
      <c r="E511" t="s">
        <v>4053</v>
      </c>
      <c r="F511" t="s">
        <v>4444</v>
      </c>
      <c r="G511" t="s">
        <v>4441</v>
      </c>
      <c r="H511" s="2">
        <v>1</v>
      </c>
      <c r="I511" s="2">
        <v>16</v>
      </c>
      <c r="N511" t="str">
        <f t="shared" si="64"/>
        <v>Al Kunuz General Trading LLC</v>
      </c>
      <c r="O511" t="str">
        <f t="shared" si="65"/>
        <v>W1315390130</v>
      </c>
      <c r="P511" t="str">
        <f t="shared" si="66"/>
        <v>AR089BE56PVR-633038</v>
      </c>
      <c r="Q511" t="str">
        <f t="shared" si="67"/>
        <v>PO044500</v>
      </c>
      <c r="R511" t="str">
        <f t="shared" si="68"/>
        <v>Frankincense Pure Essential Oil</v>
      </c>
      <c r="S511" t="str">
        <f t="shared" si="69"/>
        <v>SA971696</v>
      </c>
      <c r="T511">
        <f t="shared" si="70"/>
        <v>1</v>
      </c>
      <c r="U511">
        <f t="shared" si="71"/>
        <v>16</v>
      </c>
    </row>
    <row r="512" spans="1:21" x14ac:dyDescent="0.25">
      <c r="A512">
        <f t="shared" si="63"/>
        <v>11</v>
      </c>
      <c r="C512" t="s">
        <v>4474</v>
      </c>
      <c r="D512" t="s">
        <v>4475</v>
      </c>
      <c r="E512" t="s">
        <v>4053</v>
      </c>
      <c r="F512" t="s">
        <v>4476</v>
      </c>
      <c r="G512" t="s">
        <v>4473</v>
      </c>
      <c r="H512" s="2">
        <v>1</v>
      </c>
      <c r="I512" s="2">
        <v>55</v>
      </c>
      <c r="N512" t="str">
        <f t="shared" si="64"/>
        <v>Al Kunuz General Trading LLC</v>
      </c>
      <c r="O512" t="str">
        <f t="shared" si="65"/>
        <v>W1315390496</v>
      </c>
      <c r="P512" t="str">
        <f t="shared" si="66"/>
        <v>LO860BE58SIZ-634760</v>
      </c>
      <c r="Q512" t="str">
        <f t="shared" si="67"/>
        <v>PO044500</v>
      </c>
      <c r="R512" t="str">
        <f t="shared" si="68"/>
        <v>Super Liner Gel Intenza 36H - Diamond Black</v>
      </c>
      <c r="S512" t="str">
        <f t="shared" si="69"/>
        <v>SA971893</v>
      </c>
      <c r="T512">
        <f t="shared" si="70"/>
        <v>1</v>
      </c>
      <c r="U512">
        <f t="shared" si="71"/>
        <v>55</v>
      </c>
    </row>
    <row r="513" spans="1:21" x14ac:dyDescent="0.25">
      <c r="A513">
        <f t="shared" si="63"/>
        <v>11</v>
      </c>
      <c r="C513" t="s">
        <v>4478</v>
      </c>
      <c r="D513" t="s">
        <v>4479</v>
      </c>
      <c r="E513" t="s">
        <v>4053</v>
      </c>
      <c r="F513" t="s">
        <v>4480</v>
      </c>
      <c r="G513" t="s">
        <v>4477</v>
      </c>
      <c r="H513" s="2">
        <v>1</v>
      </c>
      <c r="I513" s="2">
        <v>9</v>
      </c>
      <c r="N513" t="str">
        <f t="shared" si="64"/>
        <v>Al Kunuz General Trading LLC</v>
      </c>
      <c r="O513" t="str">
        <f t="shared" si="65"/>
        <v>W1315390344</v>
      </c>
      <c r="P513" t="str">
        <f t="shared" si="66"/>
        <v>CO092BE05QNA-633489</v>
      </c>
      <c r="Q513" t="str">
        <f t="shared" si="67"/>
        <v>PO044500</v>
      </c>
      <c r="R513" t="str">
        <f t="shared" si="68"/>
        <v>Lip Liner Pencil- Red Brick</v>
      </c>
      <c r="S513" t="str">
        <f t="shared" si="69"/>
        <v>SA971894</v>
      </c>
      <c r="T513">
        <f t="shared" si="70"/>
        <v>1</v>
      </c>
      <c r="U513">
        <f t="shared" si="71"/>
        <v>9</v>
      </c>
    </row>
    <row r="514" spans="1:21" x14ac:dyDescent="0.25">
      <c r="A514">
        <f t="shared" si="63"/>
        <v>11</v>
      </c>
      <c r="C514" t="s">
        <v>4482</v>
      </c>
      <c r="D514" t="s">
        <v>4483</v>
      </c>
      <c r="E514" t="s">
        <v>4053</v>
      </c>
      <c r="F514" t="s">
        <v>4484</v>
      </c>
      <c r="G514" t="s">
        <v>4481</v>
      </c>
      <c r="H514" s="2">
        <v>1</v>
      </c>
      <c r="I514" s="2">
        <v>25</v>
      </c>
      <c r="N514" t="str">
        <f t="shared" si="64"/>
        <v>Al Kunuz General Trading LLC</v>
      </c>
      <c r="O514" t="str">
        <f t="shared" si="65"/>
        <v>W1315389889</v>
      </c>
      <c r="P514" t="str">
        <f t="shared" si="66"/>
        <v>LA081BE96PXZ-633098</v>
      </c>
      <c r="Q514" t="str">
        <f t="shared" si="67"/>
        <v>PO044500</v>
      </c>
      <c r="R514" t="str">
        <f t="shared" si="68"/>
        <v>9 To 5 Lip Liner - Fine Wine</v>
      </c>
      <c r="S514" t="str">
        <f t="shared" si="69"/>
        <v>SA971895</v>
      </c>
      <c r="T514">
        <f t="shared" si="70"/>
        <v>1</v>
      </c>
      <c r="U514">
        <f t="shared" si="71"/>
        <v>25</v>
      </c>
    </row>
    <row r="515" spans="1:21" x14ac:dyDescent="0.25">
      <c r="A515">
        <f t="shared" si="63"/>
        <v>11</v>
      </c>
      <c r="E515" t="s">
        <v>4900</v>
      </c>
      <c r="F515" t="s">
        <v>4484</v>
      </c>
      <c r="G515" t="s">
        <v>5608</v>
      </c>
      <c r="H515" s="2">
        <v>1</v>
      </c>
      <c r="I515" s="2">
        <v>25</v>
      </c>
      <c r="N515" t="str">
        <f t="shared" si="64"/>
        <v>Al Kunuz General Trading LLC</v>
      </c>
      <c r="O515" t="str">
        <f t="shared" si="65"/>
        <v>W1315389889</v>
      </c>
      <c r="P515" t="str">
        <f t="shared" si="66"/>
        <v>LA081BE96PXZ-633098</v>
      </c>
      <c r="Q515" t="str">
        <f t="shared" si="67"/>
        <v>PO044697</v>
      </c>
      <c r="R515" t="str">
        <f t="shared" si="68"/>
        <v>9 To 5 Lip Liner - Fine Wine</v>
      </c>
      <c r="S515" t="str">
        <f t="shared" si="69"/>
        <v>SA980103</v>
      </c>
      <c r="T515">
        <f t="shared" si="70"/>
        <v>1</v>
      </c>
      <c r="U515">
        <f t="shared" si="71"/>
        <v>25</v>
      </c>
    </row>
    <row r="516" spans="1:21" x14ac:dyDescent="0.25">
      <c r="A516">
        <f t="shared" ref="A516:A579" si="72">IF(ISBLANK(B516),A515,A515+1)</f>
        <v>11</v>
      </c>
      <c r="C516" t="s">
        <v>4487</v>
      </c>
      <c r="D516" t="s">
        <v>4488</v>
      </c>
      <c r="E516" t="s">
        <v>4053</v>
      </c>
      <c r="F516" t="s">
        <v>4489</v>
      </c>
      <c r="G516" t="s">
        <v>4486</v>
      </c>
      <c r="H516" s="2">
        <v>1</v>
      </c>
      <c r="I516" s="2">
        <v>47</v>
      </c>
      <c r="N516" t="str">
        <f t="shared" si="64"/>
        <v>Al Kunuz General Trading LLC</v>
      </c>
      <c r="O516" t="str">
        <f t="shared" si="65"/>
        <v>W1315302671</v>
      </c>
      <c r="P516" t="str">
        <f t="shared" si="66"/>
        <v>AL992AT75BUQ-512102</v>
      </c>
      <c r="Q516" t="str">
        <f t="shared" si="67"/>
        <v>PO044500</v>
      </c>
      <c r="R516" t="str">
        <f t="shared" si="68"/>
        <v>Shirt, Multicolour</v>
      </c>
      <c r="S516" t="str">
        <f t="shared" si="69"/>
        <v>SA972060</v>
      </c>
      <c r="T516">
        <f t="shared" si="70"/>
        <v>1</v>
      </c>
      <c r="U516">
        <f t="shared" si="71"/>
        <v>47</v>
      </c>
    </row>
    <row r="517" spans="1:21" x14ac:dyDescent="0.25">
      <c r="A517">
        <f t="shared" si="72"/>
        <v>11</v>
      </c>
      <c r="C517" t="s">
        <v>4491</v>
      </c>
      <c r="D517" t="s">
        <v>4492</v>
      </c>
      <c r="E517" t="s">
        <v>4053</v>
      </c>
      <c r="F517" t="s">
        <v>4493</v>
      </c>
      <c r="G517" t="s">
        <v>4490</v>
      </c>
      <c r="H517" s="2">
        <v>1</v>
      </c>
      <c r="I517" s="2">
        <v>52</v>
      </c>
      <c r="N517" t="str">
        <f t="shared" si="64"/>
        <v>Al Kunuz General Trading LLC</v>
      </c>
      <c r="O517" t="str">
        <f t="shared" si="65"/>
        <v>W1315242081</v>
      </c>
      <c r="P517" t="str">
        <f t="shared" si="66"/>
        <v>MI070AT72YXV-444186</v>
      </c>
      <c r="Q517" t="str">
        <f t="shared" si="67"/>
        <v>PO044500</v>
      </c>
      <c r="R517" t="str">
        <f t="shared" si="68"/>
        <v>Top, Navy Blue and White</v>
      </c>
      <c r="S517" t="str">
        <f t="shared" si="69"/>
        <v>SA972061</v>
      </c>
      <c r="T517">
        <f t="shared" si="70"/>
        <v>1</v>
      </c>
      <c r="U517">
        <f t="shared" si="71"/>
        <v>52</v>
      </c>
    </row>
    <row r="518" spans="1:21" x14ac:dyDescent="0.25">
      <c r="A518">
        <f t="shared" si="72"/>
        <v>11</v>
      </c>
      <c r="C518" t="s">
        <v>4495</v>
      </c>
      <c r="D518" t="s">
        <v>4496</v>
      </c>
      <c r="E518" t="s">
        <v>4053</v>
      </c>
      <c r="F518" t="s">
        <v>4497</v>
      </c>
      <c r="G518" t="s">
        <v>4494</v>
      </c>
      <c r="H518" s="2">
        <v>1</v>
      </c>
      <c r="I518" s="2">
        <v>27</v>
      </c>
      <c r="N518" t="str">
        <f t="shared" ref="N518:N581" si="73">IF(ISBLANK($A518),"",IF(ISBLANK(B518),N517,B518))</f>
        <v>Al Kunuz General Trading LLC</v>
      </c>
      <c r="O518" t="str">
        <f t="shared" ref="O518:O581" si="74">IF(ISBLANK($A518),"",IF(ISBLANK(C518),O517,C518))</f>
        <v>W1315232296</v>
      </c>
      <c r="P518" t="str">
        <f t="shared" ref="P518:P581" si="75">IF(ISBLANK($A518),"",IF(ISBLANK(D518),P517,D518))</f>
        <v>AL992AT25KYG-427715</v>
      </c>
      <c r="Q518" t="str">
        <f t="shared" ref="Q518:Q581" si="76">IF(ISBLANK($A518),"",IF(ISBLANK(E518),Q517,E518))</f>
        <v>PO044500</v>
      </c>
      <c r="R518" t="str">
        <f t="shared" ref="R518:R581" si="77">IF(ISBLANK($A518),"",IF(ISBLANK(F518),R517,F518))</f>
        <v>A Luv Ya Women's Cotton Printed Polka dot Camp Shirt</v>
      </c>
      <c r="S518" t="str">
        <f t="shared" ref="S518:S581" si="78">IF(ISBLANK($A518),"",G518)</f>
        <v>SA972062</v>
      </c>
      <c r="T518">
        <f t="shared" ref="T518:T581" si="79">IF(ISBLANK($A518),"",H518)</f>
        <v>1</v>
      </c>
      <c r="U518">
        <f t="shared" ref="U518:U581" si="80">IF(ISBLANK($A518),"",I518)</f>
        <v>27</v>
      </c>
    </row>
    <row r="519" spans="1:21" x14ac:dyDescent="0.25">
      <c r="A519">
        <f t="shared" si="72"/>
        <v>11</v>
      </c>
      <c r="C519" t="s">
        <v>4500</v>
      </c>
      <c r="D519" t="s">
        <v>4501</v>
      </c>
      <c r="E519" t="s">
        <v>4053</v>
      </c>
      <c r="F519" t="s">
        <v>4502</v>
      </c>
      <c r="G519" t="s">
        <v>4499</v>
      </c>
      <c r="H519" s="2">
        <v>1</v>
      </c>
      <c r="I519" s="2">
        <v>19</v>
      </c>
      <c r="N519" t="str">
        <f t="shared" si="73"/>
        <v>Al Kunuz General Trading LLC</v>
      </c>
      <c r="O519" t="str">
        <f t="shared" si="74"/>
        <v>W1315390246</v>
      </c>
      <c r="P519" t="str">
        <f t="shared" si="75"/>
        <v>LO860BE06SHD-634712</v>
      </c>
      <c r="Q519" t="str">
        <f t="shared" si="76"/>
        <v>PO044500</v>
      </c>
      <c r="R519" t="str">
        <f t="shared" si="77"/>
        <v>Excellence Creme Hair Color - 1 Black</v>
      </c>
      <c r="S519" t="str">
        <f t="shared" si="78"/>
        <v>SA972099</v>
      </c>
      <c r="T519">
        <f t="shared" si="79"/>
        <v>1</v>
      </c>
      <c r="U519">
        <f t="shared" si="80"/>
        <v>19</v>
      </c>
    </row>
    <row r="520" spans="1:21" x14ac:dyDescent="0.25">
      <c r="A520">
        <f t="shared" si="72"/>
        <v>11</v>
      </c>
      <c r="C520" t="s">
        <v>4520</v>
      </c>
      <c r="D520" t="s">
        <v>4521</v>
      </c>
      <c r="E520" t="s">
        <v>4053</v>
      </c>
      <c r="F520" t="s">
        <v>4522</v>
      </c>
      <c r="G520" t="s">
        <v>4519</v>
      </c>
      <c r="H520" s="2">
        <v>1</v>
      </c>
      <c r="I520" s="2">
        <v>70</v>
      </c>
      <c r="N520" t="str">
        <f t="shared" si="73"/>
        <v>Al Kunuz General Trading LLC</v>
      </c>
      <c r="O520" t="str">
        <f t="shared" si="74"/>
        <v>W1315280033</v>
      </c>
      <c r="P520" t="str">
        <f t="shared" si="75"/>
        <v>MR178AC45AQC-474394</v>
      </c>
      <c r="Q520" t="str">
        <f t="shared" si="76"/>
        <v>PO044500</v>
      </c>
      <c r="R520" t="str">
        <f t="shared" si="77"/>
        <v>The Choco Faux Leather Laptop Sleeve (BGLAPMB04, Brandy Brown)</v>
      </c>
      <c r="S520" t="str">
        <f t="shared" si="78"/>
        <v>SA972216</v>
      </c>
      <c r="T520">
        <f t="shared" si="79"/>
        <v>1</v>
      </c>
      <c r="U520">
        <f t="shared" si="80"/>
        <v>70</v>
      </c>
    </row>
    <row r="521" spans="1:21" x14ac:dyDescent="0.25">
      <c r="A521">
        <f t="shared" si="72"/>
        <v>11</v>
      </c>
      <c r="C521" t="s">
        <v>4529</v>
      </c>
      <c r="D521" t="s">
        <v>4530</v>
      </c>
      <c r="E521" t="s">
        <v>4053</v>
      </c>
      <c r="F521" t="s">
        <v>4531</v>
      </c>
      <c r="G521" t="s">
        <v>4528</v>
      </c>
      <c r="H521" s="2">
        <v>1</v>
      </c>
      <c r="I521" s="2">
        <v>25</v>
      </c>
      <c r="N521" t="str">
        <f t="shared" si="73"/>
        <v>Al Kunuz General Trading LLC</v>
      </c>
      <c r="O521" t="str">
        <f t="shared" si="74"/>
        <v>W1315391547</v>
      </c>
      <c r="P521" t="str">
        <f t="shared" si="75"/>
        <v>NY094BE73PRE-632921</v>
      </c>
      <c r="Q521" t="str">
        <f t="shared" si="76"/>
        <v>PO044500</v>
      </c>
      <c r="R521" t="str">
        <f t="shared" si="77"/>
        <v>So Matte Lipstick - Taupe Thrill 12 M</v>
      </c>
      <c r="S521" t="str">
        <f t="shared" si="78"/>
        <v>SA972412</v>
      </c>
      <c r="T521">
        <f t="shared" si="79"/>
        <v>1</v>
      </c>
      <c r="U521">
        <f t="shared" si="80"/>
        <v>25</v>
      </c>
    </row>
    <row r="522" spans="1:21" x14ac:dyDescent="0.25">
      <c r="A522">
        <f t="shared" si="72"/>
        <v>11</v>
      </c>
      <c r="C522" t="s">
        <v>4533</v>
      </c>
      <c r="D522" t="s">
        <v>4534</v>
      </c>
      <c r="E522" t="s">
        <v>4053</v>
      </c>
      <c r="F522" t="s">
        <v>4535</v>
      </c>
      <c r="G522" t="s">
        <v>4532</v>
      </c>
      <c r="H522" s="2">
        <v>1</v>
      </c>
      <c r="I522" s="2">
        <v>11</v>
      </c>
      <c r="N522" t="str">
        <f t="shared" si="73"/>
        <v>Al Kunuz General Trading LLC</v>
      </c>
      <c r="O522" t="str">
        <f t="shared" si="74"/>
        <v>W1315390054</v>
      </c>
      <c r="P522" t="str">
        <f t="shared" si="75"/>
        <v>AR083BE50RMF-634144</v>
      </c>
      <c r="Q522" t="str">
        <f t="shared" si="76"/>
        <v>PO044500</v>
      </c>
      <c r="R522" t="str">
        <f t="shared" si="77"/>
        <v>Olive Oil</v>
      </c>
      <c r="S522" t="str">
        <f t="shared" si="78"/>
        <v>SA972415</v>
      </c>
      <c r="T522">
        <f t="shared" si="79"/>
        <v>1</v>
      </c>
      <c r="U522">
        <f t="shared" si="80"/>
        <v>11</v>
      </c>
    </row>
    <row r="523" spans="1:21" x14ac:dyDescent="0.25">
      <c r="A523">
        <f t="shared" si="72"/>
        <v>11</v>
      </c>
      <c r="C523" t="s">
        <v>4537</v>
      </c>
      <c r="D523" t="s">
        <v>4538</v>
      </c>
      <c r="E523" t="s">
        <v>4053</v>
      </c>
      <c r="F523" t="s">
        <v>4539</v>
      </c>
      <c r="G523" t="s">
        <v>4536</v>
      </c>
      <c r="H523" s="2">
        <v>1</v>
      </c>
      <c r="I523" s="2">
        <v>11</v>
      </c>
      <c r="N523" t="str">
        <f t="shared" si="73"/>
        <v>Al Kunuz General Trading LLC</v>
      </c>
      <c r="O523" t="str">
        <f t="shared" si="74"/>
        <v>W1315390788</v>
      </c>
      <c r="P523" t="str">
        <f t="shared" si="75"/>
        <v>NY094BE17SCW-634601</v>
      </c>
      <c r="Q523" t="str">
        <f t="shared" si="76"/>
        <v>PO044500</v>
      </c>
      <c r="R523" t="str">
        <f t="shared" si="77"/>
        <v>Pastel Nail Enamel - Marshmallow Dream, No. 83</v>
      </c>
      <c r="S523" t="str">
        <f t="shared" si="78"/>
        <v>SA972416</v>
      </c>
      <c r="T523">
        <f t="shared" si="79"/>
        <v>1</v>
      </c>
      <c r="U523">
        <f t="shared" si="80"/>
        <v>11</v>
      </c>
    </row>
    <row r="524" spans="1:21" x14ac:dyDescent="0.25">
      <c r="A524">
        <f t="shared" si="72"/>
        <v>11</v>
      </c>
      <c r="C524" t="s">
        <v>4542</v>
      </c>
      <c r="D524" t="s">
        <v>4543</v>
      </c>
      <c r="E524" t="s">
        <v>4053</v>
      </c>
      <c r="F524" t="s">
        <v>3725</v>
      </c>
      <c r="G524" t="s">
        <v>4541</v>
      </c>
      <c r="H524" s="2">
        <v>1</v>
      </c>
      <c r="I524" s="2">
        <v>32</v>
      </c>
      <c r="N524" t="str">
        <f t="shared" si="73"/>
        <v>Al Kunuz General Trading LLC</v>
      </c>
      <c r="O524" t="str">
        <f t="shared" si="74"/>
        <v>W1315232276</v>
      </c>
      <c r="P524" t="str">
        <f t="shared" si="75"/>
        <v>AL992AT29KYC-427695</v>
      </c>
      <c r="Q524" t="str">
        <f t="shared" si="76"/>
        <v>PO044500</v>
      </c>
      <c r="R524" t="str">
        <f t="shared" si="77"/>
        <v>A Luv Ya Women's Cotton Check &amp; Floral Shirt</v>
      </c>
      <c r="S524" t="str">
        <f t="shared" si="78"/>
        <v>SA972435</v>
      </c>
      <c r="T524">
        <f t="shared" si="79"/>
        <v>1</v>
      </c>
      <c r="U524">
        <f t="shared" si="80"/>
        <v>32</v>
      </c>
    </row>
    <row r="525" spans="1:21" x14ac:dyDescent="0.25">
      <c r="A525">
        <f t="shared" si="72"/>
        <v>11</v>
      </c>
      <c r="C525" t="s">
        <v>4545</v>
      </c>
      <c r="D525" t="s">
        <v>4546</v>
      </c>
      <c r="E525" t="s">
        <v>4053</v>
      </c>
      <c r="F525" t="s">
        <v>4022</v>
      </c>
      <c r="G525" t="s">
        <v>4544</v>
      </c>
      <c r="H525" s="2">
        <v>1</v>
      </c>
      <c r="I525" s="2">
        <v>50</v>
      </c>
      <c r="N525" t="str">
        <f t="shared" si="73"/>
        <v>Al Kunuz General Trading LLC</v>
      </c>
      <c r="O525" t="str">
        <f t="shared" si="74"/>
        <v>W1315399228</v>
      </c>
      <c r="P525" t="str">
        <f t="shared" si="75"/>
        <v>SA222AT28CDZ-643147</v>
      </c>
      <c r="Q525" t="str">
        <f t="shared" si="76"/>
        <v>PO044500</v>
      </c>
      <c r="R525" t="str">
        <f t="shared" si="77"/>
        <v>Floral Applique Blouse, Maroon</v>
      </c>
      <c r="S525" t="str">
        <f t="shared" si="78"/>
        <v>SA972436</v>
      </c>
      <c r="T525">
        <f t="shared" si="79"/>
        <v>1</v>
      </c>
      <c r="U525">
        <f t="shared" si="80"/>
        <v>50</v>
      </c>
    </row>
    <row r="526" spans="1:21" x14ac:dyDescent="0.25">
      <c r="A526">
        <f t="shared" si="72"/>
        <v>11</v>
      </c>
      <c r="C526" t="s">
        <v>4548</v>
      </c>
      <c r="D526" t="s">
        <v>4549</v>
      </c>
      <c r="E526" t="s">
        <v>4053</v>
      </c>
      <c r="F526" t="s">
        <v>3939</v>
      </c>
      <c r="G526" t="s">
        <v>4547</v>
      </c>
      <c r="H526" s="2">
        <v>1</v>
      </c>
      <c r="I526" s="2">
        <v>46</v>
      </c>
      <c r="N526" t="str">
        <f t="shared" si="73"/>
        <v>Al Kunuz General Trading LLC</v>
      </c>
      <c r="O526" t="str">
        <f t="shared" si="74"/>
        <v>W1315399178</v>
      </c>
      <c r="P526" t="str">
        <f t="shared" si="75"/>
        <v>SA222AT38CDP-643097</v>
      </c>
      <c r="Q526" t="str">
        <f t="shared" si="76"/>
        <v>PO044500</v>
      </c>
      <c r="R526" t="str">
        <f t="shared" si="77"/>
        <v>Pastel Color Block Top, Pink/Aqua/Ivory</v>
      </c>
      <c r="S526" t="str">
        <f t="shared" si="78"/>
        <v>SA972437</v>
      </c>
      <c r="T526">
        <f t="shared" si="79"/>
        <v>1</v>
      </c>
      <c r="U526">
        <f t="shared" si="80"/>
        <v>46</v>
      </c>
    </row>
    <row r="527" spans="1:21" x14ac:dyDescent="0.25">
      <c r="A527">
        <f t="shared" si="72"/>
        <v>11</v>
      </c>
      <c r="C527" t="s">
        <v>4551</v>
      </c>
      <c r="D527" t="s">
        <v>4552</v>
      </c>
      <c r="E527" t="s">
        <v>4053</v>
      </c>
      <c r="F527" t="s">
        <v>4553</v>
      </c>
      <c r="G527" t="s">
        <v>4550</v>
      </c>
      <c r="H527" s="2">
        <v>1</v>
      </c>
      <c r="I527" s="2">
        <v>39</v>
      </c>
      <c r="N527" t="str">
        <f t="shared" si="73"/>
        <v>Al Kunuz General Trading LLC</v>
      </c>
      <c r="O527" t="str">
        <f t="shared" si="74"/>
        <v>W1315437479</v>
      </c>
      <c r="P527" t="str">
        <f t="shared" si="75"/>
        <v>LA412BE78RBL-690431</v>
      </c>
      <c r="Q527" t="str">
        <f t="shared" si="76"/>
        <v>PO044500</v>
      </c>
      <c r="R527" t="str">
        <f t="shared" si="77"/>
        <v>L.A. Girl Mark My Eyes Eyeliner</v>
      </c>
      <c r="S527" t="str">
        <f t="shared" si="78"/>
        <v>SA972444</v>
      </c>
      <c r="T527">
        <f t="shared" si="79"/>
        <v>1</v>
      </c>
      <c r="U527">
        <f t="shared" si="80"/>
        <v>39</v>
      </c>
    </row>
    <row r="528" spans="1:21" x14ac:dyDescent="0.25">
      <c r="A528">
        <f t="shared" si="72"/>
        <v>11</v>
      </c>
      <c r="C528" t="s">
        <v>4555</v>
      </c>
      <c r="D528" t="s">
        <v>4556</v>
      </c>
      <c r="E528" t="s">
        <v>4053</v>
      </c>
      <c r="F528" t="s">
        <v>3812</v>
      </c>
      <c r="G528" t="s">
        <v>4554</v>
      </c>
      <c r="H528" s="2">
        <v>1</v>
      </c>
      <c r="I528" s="2">
        <v>39</v>
      </c>
      <c r="N528" t="str">
        <f t="shared" si="73"/>
        <v>Al Kunuz General Trading LLC</v>
      </c>
      <c r="O528" t="str">
        <f t="shared" si="74"/>
        <v>W1315354088</v>
      </c>
      <c r="P528" t="str">
        <f t="shared" si="75"/>
        <v>AM977AT55NPC-592818</v>
      </c>
      <c r="Q528" t="str">
        <f t="shared" si="76"/>
        <v>PO044500</v>
      </c>
      <c r="R528" t="str">
        <f t="shared" si="77"/>
        <v>Night Dress Set of 2, Multicolor</v>
      </c>
      <c r="S528" t="str">
        <f t="shared" si="78"/>
        <v>SA972553</v>
      </c>
      <c r="T528">
        <f t="shared" si="79"/>
        <v>1</v>
      </c>
      <c r="U528">
        <f t="shared" si="80"/>
        <v>39</v>
      </c>
    </row>
    <row r="529" spans="1:21" x14ac:dyDescent="0.25">
      <c r="A529">
        <f t="shared" si="72"/>
        <v>11</v>
      </c>
      <c r="C529" t="s">
        <v>4564</v>
      </c>
      <c r="D529" t="s">
        <v>4565</v>
      </c>
      <c r="E529" t="s">
        <v>4053</v>
      </c>
      <c r="F529" t="s">
        <v>4566</v>
      </c>
      <c r="G529" t="s">
        <v>4563</v>
      </c>
      <c r="H529" s="2">
        <v>1</v>
      </c>
      <c r="I529" s="2">
        <v>22</v>
      </c>
      <c r="N529" t="str">
        <f t="shared" si="73"/>
        <v>Al Kunuz General Trading LLC</v>
      </c>
      <c r="O529" t="str">
        <f t="shared" si="74"/>
        <v>W1315351424</v>
      </c>
      <c r="P529" t="str">
        <f t="shared" si="75"/>
        <v>HU968AT93NVI-593283</v>
      </c>
      <c r="Q529" t="str">
        <f t="shared" si="76"/>
        <v>PO044500</v>
      </c>
      <c r="R529" t="str">
        <f t="shared" si="77"/>
        <v>Printed Round Neck T-Shirt, Orange</v>
      </c>
      <c r="S529" t="str">
        <f t="shared" si="78"/>
        <v>SA972858</v>
      </c>
      <c r="T529">
        <f t="shared" si="79"/>
        <v>1</v>
      </c>
      <c r="U529">
        <f t="shared" si="80"/>
        <v>22</v>
      </c>
    </row>
    <row r="530" spans="1:21" x14ac:dyDescent="0.25">
      <c r="A530">
        <f t="shared" si="72"/>
        <v>11</v>
      </c>
      <c r="C530" t="s">
        <v>4568</v>
      </c>
      <c r="D530" t="s">
        <v>4569</v>
      </c>
      <c r="E530" t="s">
        <v>4053</v>
      </c>
      <c r="F530" t="s">
        <v>4570</v>
      </c>
      <c r="G530" t="s">
        <v>4567</v>
      </c>
      <c r="H530" s="2">
        <v>1</v>
      </c>
      <c r="I530" s="2">
        <v>28</v>
      </c>
      <c r="N530" t="str">
        <f t="shared" si="73"/>
        <v>Al Kunuz General Trading LLC</v>
      </c>
      <c r="O530" t="str">
        <f t="shared" si="74"/>
        <v>W1315385130</v>
      </c>
      <c r="P530" t="str">
        <f t="shared" si="75"/>
        <v>WA974AC87SXG-635131</v>
      </c>
      <c r="Q530" t="str">
        <f t="shared" si="76"/>
        <v>PO044500</v>
      </c>
      <c r="R530" t="str">
        <f t="shared" si="77"/>
        <v>WMAL-0006 for Men (Analog Watch, Black)</v>
      </c>
      <c r="S530" t="str">
        <f t="shared" si="78"/>
        <v>SA972914</v>
      </c>
      <c r="T530">
        <f t="shared" si="79"/>
        <v>1</v>
      </c>
      <c r="U530">
        <f t="shared" si="80"/>
        <v>28</v>
      </c>
    </row>
    <row r="531" spans="1:21" x14ac:dyDescent="0.25">
      <c r="A531">
        <f t="shared" si="72"/>
        <v>11</v>
      </c>
      <c r="C531" t="s">
        <v>4572</v>
      </c>
      <c r="D531" t="s">
        <v>4573</v>
      </c>
      <c r="E531" t="s">
        <v>4053</v>
      </c>
      <c r="F531" t="s">
        <v>4574</v>
      </c>
      <c r="G531" t="s">
        <v>4571</v>
      </c>
      <c r="H531" s="2">
        <v>1</v>
      </c>
      <c r="I531" s="2">
        <v>15</v>
      </c>
      <c r="N531" t="str">
        <f t="shared" si="73"/>
        <v>Al Kunuz General Trading LLC</v>
      </c>
      <c r="O531" t="str">
        <f t="shared" si="74"/>
        <v>W1315353923</v>
      </c>
      <c r="P531" t="str">
        <f t="shared" si="75"/>
        <v>AM977AT30NIJ-592643</v>
      </c>
      <c r="Q531" t="str">
        <f t="shared" si="76"/>
        <v>PO044500</v>
      </c>
      <c r="R531" t="str">
        <f t="shared" si="77"/>
        <v>Night Dress, Blue</v>
      </c>
      <c r="S531" t="str">
        <f t="shared" si="78"/>
        <v>SA973014</v>
      </c>
      <c r="T531">
        <f t="shared" si="79"/>
        <v>1</v>
      </c>
      <c r="U531">
        <f t="shared" si="80"/>
        <v>15</v>
      </c>
    </row>
    <row r="532" spans="1:21" x14ac:dyDescent="0.25">
      <c r="A532">
        <f t="shared" si="72"/>
        <v>11</v>
      </c>
      <c r="C532" t="s">
        <v>4747</v>
      </c>
      <c r="D532" t="s">
        <v>4748</v>
      </c>
      <c r="E532" t="s">
        <v>4750</v>
      </c>
      <c r="F532" t="s">
        <v>4749</v>
      </c>
      <c r="G532" t="s">
        <v>4746</v>
      </c>
      <c r="H532" s="2">
        <v>1</v>
      </c>
      <c r="I532" s="2">
        <v>25</v>
      </c>
      <c r="N532" t="str">
        <f t="shared" si="73"/>
        <v>Al Kunuz General Trading LLC</v>
      </c>
      <c r="O532" t="str">
        <f t="shared" si="74"/>
        <v>W1315438743</v>
      </c>
      <c r="P532" t="str">
        <f t="shared" si="75"/>
        <v>ES913BE25QZQ-690384</v>
      </c>
      <c r="Q532" t="str">
        <f t="shared" si="76"/>
        <v>UPO011861</v>
      </c>
      <c r="R532" t="str">
        <f t="shared" si="77"/>
        <v>Essence I Love Extreme Crazy Volume Mascara</v>
      </c>
      <c r="S532" t="str">
        <f t="shared" si="78"/>
        <v>AE62063</v>
      </c>
      <c r="T532">
        <f t="shared" si="79"/>
        <v>1</v>
      </c>
      <c r="U532">
        <f t="shared" si="80"/>
        <v>25</v>
      </c>
    </row>
    <row r="533" spans="1:21" x14ac:dyDescent="0.25">
      <c r="A533">
        <f t="shared" si="72"/>
        <v>11</v>
      </c>
      <c r="C533" t="s">
        <v>4752</v>
      </c>
      <c r="D533" t="s">
        <v>4753</v>
      </c>
      <c r="E533" t="s">
        <v>4750</v>
      </c>
      <c r="F533" t="s">
        <v>4754</v>
      </c>
      <c r="G533" t="s">
        <v>4751</v>
      </c>
      <c r="H533" s="2">
        <v>1</v>
      </c>
      <c r="I533" s="2">
        <v>10</v>
      </c>
      <c r="N533" t="str">
        <f t="shared" si="73"/>
        <v>Al Kunuz General Trading LLC</v>
      </c>
      <c r="O533" t="str">
        <f t="shared" si="74"/>
        <v>W1315390810</v>
      </c>
      <c r="P533" t="str">
        <f t="shared" si="75"/>
        <v>MA096BE81RLA-634113</v>
      </c>
      <c r="Q533" t="str">
        <f t="shared" si="76"/>
        <v>UPO011861</v>
      </c>
      <c r="R533" t="str">
        <f t="shared" si="77"/>
        <v>White Super Fresh Compact - Shell</v>
      </c>
      <c r="S533" t="str">
        <f t="shared" si="78"/>
        <v>AE62057</v>
      </c>
      <c r="T533">
        <f t="shared" si="79"/>
        <v>1</v>
      </c>
      <c r="U533">
        <f t="shared" si="80"/>
        <v>10</v>
      </c>
    </row>
    <row r="534" spans="1:21" x14ac:dyDescent="0.25">
      <c r="A534">
        <f t="shared" si="72"/>
        <v>11</v>
      </c>
      <c r="C534" t="s">
        <v>4778</v>
      </c>
      <c r="D534" t="s">
        <v>4779</v>
      </c>
      <c r="E534" t="s">
        <v>4750</v>
      </c>
      <c r="F534" t="s">
        <v>4780</v>
      </c>
      <c r="G534" t="s">
        <v>4777</v>
      </c>
      <c r="H534" s="2">
        <v>1</v>
      </c>
      <c r="I534" s="2">
        <v>106</v>
      </c>
      <c r="N534" t="str">
        <f t="shared" si="73"/>
        <v>Al Kunuz General Trading LLC</v>
      </c>
      <c r="O534" t="str">
        <f t="shared" si="74"/>
        <v>W1315380535</v>
      </c>
      <c r="P534" t="str">
        <f t="shared" si="75"/>
        <v>FA080AT99OTC-631490</v>
      </c>
      <c r="Q534" t="str">
        <f t="shared" si="76"/>
        <v>UPO011861</v>
      </c>
      <c r="R534" t="str">
        <f t="shared" si="77"/>
        <v>Casual Jacket, Golden Rock/Blue Blooded</v>
      </c>
      <c r="S534" t="str">
        <f t="shared" si="78"/>
        <v>AE62005</v>
      </c>
      <c r="T534">
        <f t="shared" si="79"/>
        <v>1</v>
      </c>
      <c r="U534">
        <f t="shared" si="80"/>
        <v>106</v>
      </c>
    </row>
    <row r="535" spans="1:21" x14ac:dyDescent="0.25">
      <c r="A535">
        <f t="shared" si="72"/>
        <v>11</v>
      </c>
      <c r="C535" t="s">
        <v>4784</v>
      </c>
      <c r="D535" t="s">
        <v>4785</v>
      </c>
      <c r="E535" t="s">
        <v>4750</v>
      </c>
      <c r="F535" t="s">
        <v>4786</v>
      </c>
      <c r="G535" t="s">
        <v>4783</v>
      </c>
      <c r="H535" s="2">
        <v>1</v>
      </c>
      <c r="I535" s="2">
        <v>22</v>
      </c>
      <c r="N535" t="str">
        <f t="shared" si="73"/>
        <v>Al Kunuz General Trading LLC</v>
      </c>
      <c r="O535" t="str">
        <f t="shared" si="74"/>
        <v>W1315390342</v>
      </c>
      <c r="P535" t="str">
        <f t="shared" si="75"/>
        <v>CO092BE87RKU-634107</v>
      </c>
      <c r="Q535" t="str">
        <f t="shared" si="76"/>
        <v>UPO011861</v>
      </c>
      <c r="R535" t="str">
        <f t="shared" si="77"/>
        <v>High Definition Loose Powder - Ivory Beige FP2</v>
      </c>
      <c r="S535" t="str">
        <f t="shared" si="78"/>
        <v>AE62003</v>
      </c>
      <c r="T535">
        <f t="shared" si="79"/>
        <v>1</v>
      </c>
      <c r="U535">
        <f t="shared" si="80"/>
        <v>22</v>
      </c>
    </row>
    <row r="536" spans="1:21" x14ac:dyDescent="0.25">
      <c r="A536">
        <f t="shared" si="72"/>
        <v>11</v>
      </c>
      <c r="C536" t="s">
        <v>4788</v>
      </c>
      <c r="D536" t="s">
        <v>4789</v>
      </c>
      <c r="E536" t="s">
        <v>4750</v>
      </c>
      <c r="F536" t="s">
        <v>4790</v>
      </c>
      <c r="G536" t="s">
        <v>4787</v>
      </c>
      <c r="H536" s="2">
        <v>1</v>
      </c>
      <c r="I536" s="2">
        <v>7</v>
      </c>
      <c r="N536" t="str">
        <f t="shared" si="73"/>
        <v>Al Kunuz General Trading LLC</v>
      </c>
      <c r="O536" t="str">
        <f t="shared" si="74"/>
        <v>W1315389386</v>
      </c>
      <c r="P536" t="str">
        <f t="shared" si="75"/>
        <v>LA081BE15SCY-634603</v>
      </c>
      <c r="Q536" t="str">
        <f t="shared" si="76"/>
        <v>UPO011861</v>
      </c>
      <c r="R536" t="str">
        <f t="shared" si="77"/>
        <v>Insta Liner Eye Liner, Black, 9 ml</v>
      </c>
      <c r="S536" t="str">
        <f t="shared" si="78"/>
        <v>AE62004</v>
      </c>
      <c r="T536">
        <f t="shared" si="79"/>
        <v>1</v>
      </c>
      <c r="U536">
        <f t="shared" si="80"/>
        <v>7</v>
      </c>
    </row>
    <row r="537" spans="1:21" x14ac:dyDescent="0.25">
      <c r="A537">
        <f t="shared" si="72"/>
        <v>11</v>
      </c>
      <c r="C537" t="s">
        <v>4792</v>
      </c>
      <c r="D537" t="s">
        <v>4793</v>
      </c>
      <c r="E537" t="s">
        <v>4750</v>
      </c>
      <c r="F537" t="s">
        <v>4794</v>
      </c>
      <c r="G537" t="s">
        <v>4791</v>
      </c>
      <c r="H537" s="2">
        <v>1</v>
      </c>
      <c r="I537" s="2">
        <v>43</v>
      </c>
      <c r="N537" t="str">
        <f t="shared" si="73"/>
        <v>Al Kunuz General Trading LLC</v>
      </c>
      <c r="O537" t="str">
        <f t="shared" si="74"/>
        <v>W1315304517</v>
      </c>
      <c r="P537" t="str">
        <f t="shared" si="75"/>
        <v>AM977AT26FSN-514915</v>
      </c>
      <c r="Q537" t="str">
        <f t="shared" si="76"/>
        <v>UPO011861</v>
      </c>
      <c r="R537" t="str">
        <f t="shared" si="77"/>
        <v>Bottoms, Grey, Black</v>
      </c>
      <c r="S537" t="str">
        <f t="shared" si="78"/>
        <v>AE61995</v>
      </c>
      <c r="T537">
        <f t="shared" si="79"/>
        <v>1</v>
      </c>
      <c r="U537">
        <f t="shared" si="80"/>
        <v>43</v>
      </c>
    </row>
    <row r="538" spans="1:21" x14ac:dyDescent="0.25">
      <c r="A538">
        <f t="shared" si="72"/>
        <v>11</v>
      </c>
      <c r="C538" t="s">
        <v>4801</v>
      </c>
      <c r="D538" t="s">
        <v>4802</v>
      </c>
      <c r="E538" t="s">
        <v>4750</v>
      </c>
      <c r="F538" t="s">
        <v>4803</v>
      </c>
      <c r="G538" t="s">
        <v>4800</v>
      </c>
      <c r="H538" s="2">
        <v>1</v>
      </c>
      <c r="I538" s="2">
        <v>10</v>
      </c>
      <c r="N538" t="str">
        <f t="shared" si="73"/>
        <v>Al Kunuz General Trading LLC</v>
      </c>
      <c r="O538" t="str">
        <f t="shared" si="74"/>
        <v>W1315389425</v>
      </c>
      <c r="P538" t="str">
        <f t="shared" si="75"/>
        <v>LA081BE72RPF-634222</v>
      </c>
      <c r="Q538" t="str">
        <f t="shared" si="76"/>
        <v>UPO011861</v>
      </c>
      <c r="R538" t="str">
        <f t="shared" si="77"/>
        <v>Face Magic Skin Tints Souffle - Marble</v>
      </c>
      <c r="S538" t="str">
        <f t="shared" si="78"/>
        <v>AE61970</v>
      </c>
      <c r="T538">
        <f t="shared" si="79"/>
        <v>1</v>
      </c>
      <c r="U538">
        <f t="shared" si="80"/>
        <v>10</v>
      </c>
    </row>
    <row r="539" spans="1:21" x14ac:dyDescent="0.25">
      <c r="A539">
        <f t="shared" si="72"/>
        <v>11</v>
      </c>
      <c r="C539" t="s">
        <v>4825</v>
      </c>
      <c r="D539" t="s">
        <v>4826</v>
      </c>
      <c r="E539" t="s">
        <v>4750</v>
      </c>
      <c r="F539" t="s">
        <v>4827</v>
      </c>
      <c r="G539" t="s">
        <v>4824</v>
      </c>
      <c r="H539" s="2">
        <v>1</v>
      </c>
      <c r="I539" s="2">
        <v>19</v>
      </c>
      <c r="N539" t="str">
        <f t="shared" si="73"/>
        <v>Al Kunuz General Trading LLC</v>
      </c>
      <c r="O539" t="str">
        <f t="shared" si="74"/>
        <v>W1315325307</v>
      </c>
      <c r="P539" t="str">
        <f t="shared" si="75"/>
        <v>SI601AC90TVH-528508</v>
      </c>
      <c r="Q539" t="str">
        <f t="shared" si="76"/>
        <v>UPO011861</v>
      </c>
      <c r="R539" t="str">
        <f t="shared" si="77"/>
        <v>Simaya Fashion Bracelet (FB 0286, Gold tone)</v>
      </c>
      <c r="S539" t="str">
        <f t="shared" si="78"/>
        <v>AE61897</v>
      </c>
      <c r="T539">
        <f t="shared" si="79"/>
        <v>1</v>
      </c>
      <c r="U539">
        <f t="shared" si="80"/>
        <v>19</v>
      </c>
    </row>
    <row r="540" spans="1:21" x14ac:dyDescent="0.25">
      <c r="A540">
        <f t="shared" si="72"/>
        <v>11</v>
      </c>
      <c r="E540" t="s">
        <v>4848</v>
      </c>
      <c r="F540" t="s">
        <v>4827</v>
      </c>
      <c r="G540" t="s">
        <v>4849</v>
      </c>
      <c r="H540" s="2">
        <v>1</v>
      </c>
      <c r="I540" s="2">
        <v>18</v>
      </c>
      <c r="N540" t="str">
        <f t="shared" si="73"/>
        <v>Al Kunuz General Trading LLC</v>
      </c>
      <c r="O540" t="str">
        <f t="shared" si="74"/>
        <v>W1315325307</v>
      </c>
      <c r="P540" t="str">
        <f t="shared" si="75"/>
        <v>SI601AC90TVH-528508</v>
      </c>
      <c r="Q540" t="str">
        <f t="shared" si="76"/>
        <v>UPO011790</v>
      </c>
      <c r="R540" t="str">
        <f t="shared" si="77"/>
        <v>Simaya Fashion Bracelet (FB 0286, Gold tone)</v>
      </c>
      <c r="S540" t="str">
        <f t="shared" si="78"/>
        <v>AE61819</v>
      </c>
      <c r="T540">
        <f t="shared" si="79"/>
        <v>1</v>
      </c>
      <c r="U540">
        <f t="shared" si="80"/>
        <v>18</v>
      </c>
    </row>
    <row r="541" spans="1:21" x14ac:dyDescent="0.25">
      <c r="A541">
        <f t="shared" si="72"/>
        <v>11</v>
      </c>
      <c r="E541" t="s">
        <v>4900</v>
      </c>
      <c r="F541" t="s">
        <v>4827</v>
      </c>
      <c r="G541" t="s">
        <v>5713</v>
      </c>
      <c r="H541" s="2">
        <v>1</v>
      </c>
      <c r="I541" s="2">
        <v>18</v>
      </c>
      <c r="N541" t="str">
        <f t="shared" si="73"/>
        <v>Al Kunuz General Trading LLC</v>
      </c>
      <c r="O541" t="str">
        <f t="shared" si="74"/>
        <v>W1315325307</v>
      </c>
      <c r="P541" t="str">
        <f t="shared" si="75"/>
        <v>SI601AC90TVH-528508</v>
      </c>
      <c r="Q541" t="str">
        <f t="shared" si="76"/>
        <v>PO044697</v>
      </c>
      <c r="R541" t="str">
        <f t="shared" si="77"/>
        <v>Simaya Fashion Bracelet (FB 0286, Gold tone)</v>
      </c>
      <c r="S541" t="str">
        <f t="shared" si="78"/>
        <v>SA980583</v>
      </c>
      <c r="T541">
        <f t="shared" si="79"/>
        <v>1</v>
      </c>
      <c r="U541">
        <f t="shared" si="80"/>
        <v>18</v>
      </c>
    </row>
    <row r="542" spans="1:21" x14ac:dyDescent="0.25">
      <c r="A542">
        <f t="shared" si="72"/>
        <v>11</v>
      </c>
      <c r="C542" t="s">
        <v>4845</v>
      </c>
      <c r="D542" t="s">
        <v>4846</v>
      </c>
      <c r="E542" t="s">
        <v>4848</v>
      </c>
      <c r="F542" t="s">
        <v>4847</v>
      </c>
      <c r="G542" t="s">
        <v>4844</v>
      </c>
      <c r="H542" s="2">
        <v>1</v>
      </c>
      <c r="I542" s="2">
        <v>57</v>
      </c>
      <c r="N542" t="str">
        <f t="shared" si="73"/>
        <v>Al Kunuz General Trading LLC</v>
      </c>
      <c r="O542" t="str">
        <f t="shared" si="74"/>
        <v>W1315391367</v>
      </c>
      <c r="P542" t="str">
        <f t="shared" si="75"/>
        <v>MA096BE34RBH-633860</v>
      </c>
      <c r="Q542" t="str">
        <f t="shared" si="76"/>
        <v>UPO011790</v>
      </c>
      <c r="R542" t="str">
        <f t="shared" si="77"/>
        <v>The Blushed Nudes Palette</v>
      </c>
      <c r="S542" t="str">
        <f t="shared" si="78"/>
        <v>AE61858</v>
      </c>
      <c r="T542">
        <f t="shared" si="79"/>
        <v>1</v>
      </c>
      <c r="U542">
        <f t="shared" si="80"/>
        <v>57</v>
      </c>
    </row>
    <row r="543" spans="1:21" x14ac:dyDescent="0.25">
      <c r="A543">
        <f t="shared" si="72"/>
        <v>11</v>
      </c>
      <c r="C543" t="s">
        <v>4851</v>
      </c>
      <c r="D543" t="s">
        <v>4852</v>
      </c>
      <c r="E543" t="s">
        <v>4848</v>
      </c>
      <c r="F543" t="s">
        <v>3289</v>
      </c>
      <c r="G543" t="s">
        <v>4850</v>
      </c>
      <c r="H543" s="2">
        <v>1</v>
      </c>
      <c r="I543" s="2">
        <v>63</v>
      </c>
      <c r="N543" t="str">
        <f t="shared" si="73"/>
        <v>Al Kunuz General Trading LLC</v>
      </c>
      <c r="O543" t="str">
        <f t="shared" si="74"/>
        <v>W1315242054</v>
      </c>
      <c r="P543" t="str">
        <f t="shared" si="75"/>
        <v>MI070AT78YXP-444159</v>
      </c>
      <c r="Q543" t="str">
        <f t="shared" si="76"/>
        <v>UPO011790</v>
      </c>
      <c r="R543" t="str">
        <f t="shared" si="77"/>
        <v>Pants, Black</v>
      </c>
      <c r="S543" t="str">
        <f t="shared" si="78"/>
        <v>AE61791</v>
      </c>
      <c r="T543">
        <f t="shared" si="79"/>
        <v>1</v>
      </c>
      <c r="U543">
        <f t="shared" si="80"/>
        <v>63</v>
      </c>
    </row>
    <row r="544" spans="1:21" x14ac:dyDescent="0.25">
      <c r="A544">
        <f t="shared" si="72"/>
        <v>11</v>
      </c>
      <c r="C544" t="s">
        <v>4854</v>
      </c>
      <c r="D544" t="s">
        <v>4855</v>
      </c>
      <c r="E544" t="s">
        <v>4848</v>
      </c>
      <c r="F544" t="s">
        <v>4856</v>
      </c>
      <c r="G544" t="s">
        <v>4853</v>
      </c>
      <c r="H544" s="2">
        <v>1</v>
      </c>
      <c r="I544" s="2">
        <v>56</v>
      </c>
      <c r="N544" t="str">
        <f t="shared" si="73"/>
        <v>Al Kunuz General Trading LLC</v>
      </c>
      <c r="O544" t="str">
        <f t="shared" si="74"/>
        <v>W1315430522</v>
      </c>
      <c r="P544" t="str">
        <f t="shared" si="75"/>
        <v>UP141AT81EVA-700045</v>
      </c>
      <c r="Q544" t="str">
        <f t="shared" si="76"/>
        <v>UPO011790</v>
      </c>
      <c r="R544" t="str">
        <f t="shared" si="77"/>
        <v>Jeans, Ice Blue</v>
      </c>
      <c r="S544" t="str">
        <f t="shared" si="78"/>
        <v>AE61755</v>
      </c>
      <c r="T544">
        <f t="shared" si="79"/>
        <v>1</v>
      </c>
      <c r="U544">
        <f t="shared" si="80"/>
        <v>56</v>
      </c>
    </row>
    <row r="545" spans="1:21" x14ac:dyDescent="0.25">
      <c r="A545">
        <f t="shared" si="72"/>
        <v>11</v>
      </c>
      <c r="C545" t="s">
        <v>4897</v>
      </c>
      <c r="D545" t="s">
        <v>4898</v>
      </c>
      <c r="E545" t="s">
        <v>4900</v>
      </c>
      <c r="F545" t="s">
        <v>4899</v>
      </c>
      <c r="G545" t="s">
        <v>4896</v>
      </c>
      <c r="H545" s="2">
        <v>1</v>
      </c>
      <c r="I545" s="2">
        <v>12</v>
      </c>
      <c r="N545" t="str">
        <f t="shared" si="73"/>
        <v>Al Kunuz General Trading LLC</v>
      </c>
      <c r="O545" t="str">
        <f t="shared" si="74"/>
        <v>W1315436359</v>
      </c>
      <c r="P545" t="str">
        <f t="shared" si="75"/>
        <v>OR227BE14SYB-691695</v>
      </c>
      <c r="Q545" t="str">
        <f t="shared" si="76"/>
        <v>PO044697</v>
      </c>
      <c r="R545" t="str">
        <f t="shared" si="77"/>
        <v>Organic India Triphala</v>
      </c>
      <c r="S545" t="str">
        <f t="shared" si="78"/>
        <v>SA961624</v>
      </c>
      <c r="T545">
        <f t="shared" si="79"/>
        <v>1</v>
      </c>
      <c r="U545">
        <f t="shared" si="80"/>
        <v>12</v>
      </c>
    </row>
    <row r="546" spans="1:21" x14ac:dyDescent="0.25">
      <c r="A546">
        <f t="shared" si="72"/>
        <v>11</v>
      </c>
      <c r="G546" t="s">
        <v>4901</v>
      </c>
      <c r="H546" s="2">
        <v>1</v>
      </c>
      <c r="I546" s="2">
        <v>12</v>
      </c>
      <c r="N546" t="str">
        <f t="shared" si="73"/>
        <v>Al Kunuz General Trading LLC</v>
      </c>
      <c r="O546" t="str">
        <f t="shared" si="74"/>
        <v>W1315436359</v>
      </c>
      <c r="P546" t="str">
        <f t="shared" si="75"/>
        <v>OR227BE14SYB-691695</v>
      </c>
      <c r="Q546" t="str">
        <f t="shared" si="76"/>
        <v>PO044697</v>
      </c>
      <c r="R546" t="str">
        <f t="shared" si="77"/>
        <v>Organic India Triphala</v>
      </c>
      <c r="S546" t="str">
        <f t="shared" si="78"/>
        <v>SA961625</v>
      </c>
      <c r="T546">
        <f t="shared" si="79"/>
        <v>1</v>
      </c>
      <c r="U546">
        <f t="shared" si="80"/>
        <v>12</v>
      </c>
    </row>
    <row r="547" spans="1:21" x14ac:dyDescent="0.25">
      <c r="A547">
        <f t="shared" si="72"/>
        <v>11</v>
      </c>
      <c r="C547" t="s">
        <v>4903</v>
      </c>
      <c r="D547" t="s">
        <v>4904</v>
      </c>
      <c r="E547" t="s">
        <v>4900</v>
      </c>
      <c r="F547" t="s">
        <v>4905</v>
      </c>
      <c r="G547" t="s">
        <v>4902</v>
      </c>
      <c r="H547" s="2">
        <v>1</v>
      </c>
      <c r="I547" s="2">
        <v>12</v>
      </c>
      <c r="N547" t="str">
        <f t="shared" si="73"/>
        <v>Al Kunuz General Trading LLC</v>
      </c>
      <c r="O547" t="str">
        <f t="shared" si="74"/>
        <v>W1315436227</v>
      </c>
      <c r="P547" t="str">
        <f t="shared" si="75"/>
        <v>OR227BE51SSU-691558</v>
      </c>
      <c r="Q547" t="str">
        <f t="shared" si="76"/>
        <v>PO044697</v>
      </c>
      <c r="R547" t="str">
        <f t="shared" si="77"/>
        <v>Organic India Ashwagandha</v>
      </c>
      <c r="S547" t="str">
        <f t="shared" si="78"/>
        <v>SA961626</v>
      </c>
      <c r="T547">
        <f t="shared" si="79"/>
        <v>1</v>
      </c>
      <c r="U547">
        <f t="shared" si="80"/>
        <v>12</v>
      </c>
    </row>
    <row r="548" spans="1:21" x14ac:dyDescent="0.25">
      <c r="A548">
        <f t="shared" si="72"/>
        <v>11</v>
      </c>
      <c r="C548" t="s">
        <v>4907</v>
      </c>
      <c r="D548" t="s">
        <v>4908</v>
      </c>
      <c r="E548" t="s">
        <v>4900</v>
      </c>
      <c r="F548" t="s">
        <v>4909</v>
      </c>
      <c r="G548" t="s">
        <v>4906</v>
      </c>
      <c r="H548" s="2">
        <v>1</v>
      </c>
      <c r="I548" s="2">
        <v>21</v>
      </c>
      <c r="N548" t="str">
        <f t="shared" si="73"/>
        <v>Al Kunuz General Trading LLC</v>
      </c>
      <c r="O548" t="str">
        <f t="shared" si="74"/>
        <v>W1315436048</v>
      </c>
      <c r="P548" t="str">
        <f t="shared" si="75"/>
        <v>OR227BE94RUB-690915</v>
      </c>
      <c r="Q548" t="str">
        <f t="shared" si="76"/>
        <v>PO044697</v>
      </c>
      <c r="R548" t="str">
        <f t="shared" si="77"/>
        <v>Organic India Turmeric Formula</v>
      </c>
      <c r="S548" t="str">
        <f t="shared" si="78"/>
        <v>SA961627</v>
      </c>
      <c r="T548">
        <f t="shared" si="79"/>
        <v>1</v>
      </c>
      <c r="U548">
        <f t="shared" si="80"/>
        <v>21</v>
      </c>
    </row>
    <row r="549" spans="1:21" x14ac:dyDescent="0.25">
      <c r="A549">
        <f t="shared" si="72"/>
        <v>11</v>
      </c>
      <c r="C549" t="s">
        <v>4987</v>
      </c>
      <c r="D549" t="s">
        <v>4988</v>
      </c>
      <c r="E549" t="s">
        <v>4900</v>
      </c>
      <c r="F549" t="s">
        <v>4989</v>
      </c>
      <c r="G549" t="s">
        <v>4986</v>
      </c>
      <c r="H549" s="2">
        <v>1</v>
      </c>
      <c r="I549" s="2">
        <v>59</v>
      </c>
      <c r="N549" t="str">
        <f t="shared" si="73"/>
        <v>Al Kunuz General Trading LLC</v>
      </c>
      <c r="O549" t="str">
        <f t="shared" si="74"/>
        <v>W1315216597</v>
      </c>
      <c r="P549" t="str">
        <f t="shared" si="75"/>
        <v>SR372AT19LCI-428122</v>
      </c>
      <c r="Q549" t="str">
        <f t="shared" si="76"/>
        <v>PO044697</v>
      </c>
      <c r="R549" t="str">
        <f t="shared" si="77"/>
        <v>Srota Camel Trousers</v>
      </c>
      <c r="S549" t="str">
        <f t="shared" si="78"/>
        <v>SA972756</v>
      </c>
      <c r="T549">
        <f t="shared" si="79"/>
        <v>1</v>
      </c>
      <c r="U549">
        <f t="shared" si="80"/>
        <v>59</v>
      </c>
    </row>
    <row r="550" spans="1:21" x14ac:dyDescent="0.25">
      <c r="A550">
        <f t="shared" si="72"/>
        <v>11</v>
      </c>
      <c r="C550" t="s">
        <v>4993</v>
      </c>
      <c r="D550" t="s">
        <v>4994</v>
      </c>
      <c r="E550" t="s">
        <v>4900</v>
      </c>
      <c r="F550" t="s">
        <v>4232</v>
      </c>
      <c r="G550" t="s">
        <v>4992</v>
      </c>
      <c r="H550" s="2">
        <v>1</v>
      </c>
      <c r="I550" s="2">
        <v>77</v>
      </c>
      <c r="N550" t="str">
        <f t="shared" si="73"/>
        <v>Al Kunuz General Trading LLC</v>
      </c>
      <c r="O550" t="str">
        <f t="shared" si="74"/>
        <v>W1315302775</v>
      </c>
      <c r="P550" t="str">
        <f t="shared" si="75"/>
        <v>VM386AT83ZDC-509759</v>
      </c>
      <c r="Q550" t="str">
        <f t="shared" si="76"/>
        <v>PO044697</v>
      </c>
      <c r="R550" t="str">
        <f t="shared" si="77"/>
        <v>Tunic, Black</v>
      </c>
      <c r="S550" t="str">
        <f t="shared" si="78"/>
        <v>SA973129</v>
      </c>
      <c r="T550">
        <f t="shared" si="79"/>
        <v>1</v>
      </c>
      <c r="U550">
        <f t="shared" si="80"/>
        <v>77</v>
      </c>
    </row>
    <row r="551" spans="1:21" x14ac:dyDescent="0.25">
      <c r="A551">
        <f t="shared" si="72"/>
        <v>11</v>
      </c>
      <c r="C551" t="s">
        <v>4997</v>
      </c>
      <c r="D551" t="s">
        <v>4998</v>
      </c>
      <c r="E551" t="s">
        <v>4900</v>
      </c>
      <c r="F551" t="s">
        <v>4999</v>
      </c>
      <c r="G551" t="s">
        <v>4996</v>
      </c>
      <c r="H551" s="2">
        <v>1</v>
      </c>
      <c r="I551" s="2">
        <v>94</v>
      </c>
      <c r="N551" t="str">
        <f t="shared" si="73"/>
        <v>Al Kunuz General Trading LLC</v>
      </c>
      <c r="O551" t="str">
        <f t="shared" si="74"/>
        <v>W1315350409</v>
      </c>
      <c r="P551" t="str">
        <f t="shared" si="75"/>
        <v>TE077AT94DTT-582234</v>
      </c>
      <c r="Q551" t="str">
        <f t="shared" si="76"/>
        <v>PO044697</v>
      </c>
      <c r="R551" t="str">
        <f t="shared" si="77"/>
        <v>Men's Leather Jacket, Tan</v>
      </c>
      <c r="S551" t="str">
        <f t="shared" si="78"/>
        <v>SA973311</v>
      </c>
      <c r="T551">
        <f t="shared" si="79"/>
        <v>1</v>
      </c>
      <c r="U551">
        <f t="shared" si="80"/>
        <v>94</v>
      </c>
    </row>
    <row r="552" spans="1:21" x14ac:dyDescent="0.25">
      <c r="A552">
        <f t="shared" si="72"/>
        <v>11</v>
      </c>
      <c r="C552" t="s">
        <v>5011</v>
      </c>
      <c r="D552" t="s">
        <v>5012</v>
      </c>
      <c r="E552" t="s">
        <v>4900</v>
      </c>
      <c r="F552" t="s">
        <v>5013</v>
      </c>
      <c r="G552" t="s">
        <v>5010</v>
      </c>
      <c r="H552" s="2">
        <v>1</v>
      </c>
      <c r="I552" s="2">
        <v>48</v>
      </c>
      <c r="N552" t="str">
        <f t="shared" si="73"/>
        <v>Al Kunuz General Trading LLC</v>
      </c>
      <c r="O552" t="str">
        <f t="shared" si="74"/>
        <v>W1315396914</v>
      </c>
      <c r="P552" t="str">
        <f t="shared" si="75"/>
        <v>CA149AC37ANI-641702</v>
      </c>
      <c r="Q552" t="str">
        <f t="shared" si="76"/>
        <v>PO044697</v>
      </c>
      <c r="R552" t="str">
        <f t="shared" si="77"/>
        <v>WW15W for Women (Analog Watch, Silver)</v>
      </c>
      <c r="S552" t="str">
        <f t="shared" si="78"/>
        <v>SA973596</v>
      </c>
      <c r="T552">
        <f t="shared" si="79"/>
        <v>1</v>
      </c>
      <c r="U552">
        <f t="shared" si="80"/>
        <v>48</v>
      </c>
    </row>
    <row r="553" spans="1:21" x14ac:dyDescent="0.25">
      <c r="A553">
        <f t="shared" si="72"/>
        <v>11</v>
      </c>
      <c r="G553" t="s">
        <v>5014</v>
      </c>
      <c r="H553" s="2">
        <v>1</v>
      </c>
      <c r="I553" s="2">
        <v>48</v>
      </c>
      <c r="N553" t="str">
        <f t="shared" si="73"/>
        <v>Al Kunuz General Trading LLC</v>
      </c>
      <c r="O553" t="str">
        <f t="shared" si="74"/>
        <v>W1315396914</v>
      </c>
      <c r="P553" t="str">
        <f t="shared" si="75"/>
        <v>CA149AC37ANI-641702</v>
      </c>
      <c r="Q553" t="str">
        <f t="shared" si="76"/>
        <v>PO044697</v>
      </c>
      <c r="R553" t="str">
        <f t="shared" si="77"/>
        <v>WW15W for Women (Analog Watch, Silver)</v>
      </c>
      <c r="S553" t="str">
        <f t="shared" si="78"/>
        <v>SA973597</v>
      </c>
      <c r="T553">
        <f t="shared" si="79"/>
        <v>1</v>
      </c>
      <c r="U553">
        <f t="shared" si="80"/>
        <v>48</v>
      </c>
    </row>
    <row r="554" spans="1:21" x14ac:dyDescent="0.25">
      <c r="A554">
        <f t="shared" si="72"/>
        <v>11</v>
      </c>
      <c r="G554" t="s">
        <v>5015</v>
      </c>
      <c r="H554" s="2">
        <v>1</v>
      </c>
      <c r="I554" s="2">
        <v>48</v>
      </c>
      <c r="N554" t="str">
        <f t="shared" si="73"/>
        <v>Al Kunuz General Trading LLC</v>
      </c>
      <c r="O554" t="str">
        <f t="shared" si="74"/>
        <v>W1315396914</v>
      </c>
      <c r="P554" t="str">
        <f t="shared" si="75"/>
        <v>CA149AC37ANI-641702</v>
      </c>
      <c r="Q554" t="str">
        <f t="shared" si="76"/>
        <v>PO044697</v>
      </c>
      <c r="R554" t="str">
        <f t="shared" si="77"/>
        <v>WW15W for Women (Analog Watch, Silver)</v>
      </c>
      <c r="S554" t="str">
        <f t="shared" si="78"/>
        <v>SA973598</v>
      </c>
      <c r="T554">
        <f t="shared" si="79"/>
        <v>1</v>
      </c>
      <c r="U554">
        <f t="shared" si="80"/>
        <v>48</v>
      </c>
    </row>
    <row r="555" spans="1:21" x14ac:dyDescent="0.25">
      <c r="A555">
        <f t="shared" si="72"/>
        <v>11</v>
      </c>
      <c r="C555" t="s">
        <v>5017</v>
      </c>
      <c r="D555" t="s">
        <v>5018</v>
      </c>
      <c r="E555" t="s">
        <v>4900</v>
      </c>
      <c r="F555" t="s">
        <v>5019</v>
      </c>
      <c r="G555" t="s">
        <v>5016</v>
      </c>
      <c r="H555" s="2">
        <v>1</v>
      </c>
      <c r="I555" s="2">
        <v>36</v>
      </c>
      <c r="N555" t="str">
        <f t="shared" si="73"/>
        <v>Al Kunuz General Trading LLC</v>
      </c>
      <c r="O555" t="str">
        <f t="shared" si="74"/>
        <v>W1315391219</v>
      </c>
      <c r="P555" t="str">
        <f t="shared" si="75"/>
        <v>LA412BE73RPE-634221</v>
      </c>
      <c r="Q555" t="str">
        <f t="shared" si="76"/>
        <v>PO044697</v>
      </c>
      <c r="R555" t="str">
        <f t="shared" si="77"/>
        <v>Pro Conceal HD - Orange</v>
      </c>
      <c r="S555" t="str">
        <f t="shared" si="78"/>
        <v>SA973628</v>
      </c>
      <c r="T555">
        <f t="shared" si="79"/>
        <v>1</v>
      </c>
      <c r="U555">
        <f t="shared" si="80"/>
        <v>36</v>
      </c>
    </row>
    <row r="556" spans="1:21" x14ac:dyDescent="0.25">
      <c r="A556">
        <f t="shared" si="72"/>
        <v>11</v>
      </c>
      <c r="C556" t="s">
        <v>5021</v>
      </c>
      <c r="D556" t="s">
        <v>5022</v>
      </c>
      <c r="E556" t="s">
        <v>4900</v>
      </c>
      <c r="F556" t="s">
        <v>5023</v>
      </c>
      <c r="G556" t="s">
        <v>5020</v>
      </c>
      <c r="H556" s="2">
        <v>1</v>
      </c>
      <c r="I556" s="2">
        <v>55</v>
      </c>
      <c r="N556" t="str">
        <f t="shared" si="73"/>
        <v>Al Kunuz General Trading LLC</v>
      </c>
      <c r="O556" t="str">
        <f t="shared" si="74"/>
        <v>W1315399095</v>
      </c>
      <c r="P556" t="str">
        <f t="shared" si="75"/>
        <v>SA222AT55CCY-643014</v>
      </c>
      <c r="Q556" t="str">
        <f t="shared" si="76"/>
        <v>PO044697</v>
      </c>
      <c r="R556" t="str">
        <f t="shared" si="77"/>
        <v>Organza Frill Shirt, Maroon</v>
      </c>
      <c r="S556" t="str">
        <f t="shared" si="78"/>
        <v>SA973701</v>
      </c>
      <c r="T556">
        <f t="shared" si="79"/>
        <v>1</v>
      </c>
      <c r="U556">
        <f t="shared" si="80"/>
        <v>55</v>
      </c>
    </row>
    <row r="557" spans="1:21" x14ac:dyDescent="0.25">
      <c r="A557">
        <f t="shared" si="72"/>
        <v>11</v>
      </c>
      <c r="C557" t="s">
        <v>5025</v>
      </c>
      <c r="D557" t="s">
        <v>5026</v>
      </c>
      <c r="E557" t="s">
        <v>4900</v>
      </c>
      <c r="F557" t="s">
        <v>5027</v>
      </c>
      <c r="G557" t="s">
        <v>5024</v>
      </c>
      <c r="H557" s="2">
        <v>1</v>
      </c>
      <c r="I557" s="2">
        <v>59</v>
      </c>
      <c r="N557" t="str">
        <f t="shared" si="73"/>
        <v>Al Kunuz General Trading LLC</v>
      </c>
      <c r="O557" t="str">
        <f t="shared" si="74"/>
        <v>W1315464333</v>
      </c>
      <c r="P557" t="str">
        <f t="shared" si="75"/>
        <v>ST879AT37CKG-717881</v>
      </c>
      <c r="Q557" t="str">
        <f t="shared" si="76"/>
        <v>PO044697</v>
      </c>
      <c r="R557" t="str">
        <f t="shared" si="77"/>
        <v>Contrast Trim Shirt, Black &amp; Ivory</v>
      </c>
      <c r="S557" t="str">
        <f t="shared" si="78"/>
        <v>SA973702</v>
      </c>
      <c r="T557">
        <f t="shared" si="79"/>
        <v>1</v>
      </c>
      <c r="U557">
        <f t="shared" si="80"/>
        <v>59</v>
      </c>
    </row>
    <row r="558" spans="1:21" x14ac:dyDescent="0.25">
      <c r="A558">
        <f t="shared" si="72"/>
        <v>11</v>
      </c>
      <c r="C558" t="s">
        <v>5030</v>
      </c>
      <c r="D558" t="s">
        <v>5031</v>
      </c>
      <c r="E558" t="s">
        <v>4900</v>
      </c>
      <c r="F558" t="s">
        <v>5032</v>
      </c>
      <c r="G558" t="s">
        <v>5029</v>
      </c>
      <c r="H558" s="2">
        <v>1</v>
      </c>
      <c r="I558" s="2">
        <v>61</v>
      </c>
      <c r="N558" t="str">
        <f t="shared" si="73"/>
        <v>Al Kunuz General Trading LLC</v>
      </c>
      <c r="O558" t="str">
        <f t="shared" si="74"/>
        <v>W1315245498</v>
      </c>
      <c r="P558" t="str">
        <f t="shared" si="75"/>
        <v>TH106AT52VGL-440417</v>
      </c>
      <c r="Q558" t="str">
        <f t="shared" si="76"/>
        <v>PO044697</v>
      </c>
      <c r="R558" t="str">
        <f t="shared" si="77"/>
        <v>The Vanca Casual Top - Multicolor</v>
      </c>
      <c r="S558" t="str">
        <f t="shared" si="78"/>
        <v>SA973704</v>
      </c>
      <c r="T558">
        <f t="shared" si="79"/>
        <v>1</v>
      </c>
      <c r="U558">
        <f t="shared" si="80"/>
        <v>61</v>
      </c>
    </row>
    <row r="559" spans="1:21" x14ac:dyDescent="0.25">
      <c r="A559">
        <f t="shared" si="72"/>
        <v>11</v>
      </c>
      <c r="C559" t="s">
        <v>5034</v>
      </c>
      <c r="D559" t="s">
        <v>5035</v>
      </c>
      <c r="E559" t="s">
        <v>4900</v>
      </c>
      <c r="F559" t="s">
        <v>5036</v>
      </c>
      <c r="G559" t="s">
        <v>5033</v>
      </c>
      <c r="H559" s="2">
        <v>1</v>
      </c>
      <c r="I559" s="2">
        <v>28</v>
      </c>
      <c r="N559" t="str">
        <f t="shared" si="73"/>
        <v>Al Kunuz General Trading LLC</v>
      </c>
      <c r="O559" t="str">
        <f t="shared" si="74"/>
        <v>W1315336099</v>
      </c>
      <c r="P559" t="str">
        <f t="shared" si="75"/>
        <v>YE659AT48NOL-569236</v>
      </c>
      <c r="Q559" t="str">
        <f t="shared" si="76"/>
        <v>PO044697</v>
      </c>
      <c r="R559" t="str">
        <f t="shared" si="77"/>
        <v>Rosa Stripes Top, Coral</v>
      </c>
      <c r="S559" t="str">
        <f t="shared" si="78"/>
        <v>SA973706</v>
      </c>
      <c r="T559">
        <f t="shared" si="79"/>
        <v>1</v>
      </c>
      <c r="U559">
        <f t="shared" si="80"/>
        <v>28</v>
      </c>
    </row>
    <row r="560" spans="1:21" x14ac:dyDescent="0.25">
      <c r="A560">
        <f t="shared" si="72"/>
        <v>11</v>
      </c>
      <c r="C560" t="s">
        <v>5038</v>
      </c>
      <c r="D560" t="s">
        <v>5039</v>
      </c>
      <c r="E560" t="s">
        <v>4900</v>
      </c>
      <c r="F560" t="s">
        <v>5040</v>
      </c>
      <c r="G560" t="s">
        <v>5037</v>
      </c>
      <c r="H560" s="2">
        <v>1</v>
      </c>
      <c r="I560" s="2">
        <v>59</v>
      </c>
      <c r="N560" t="str">
        <f t="shared" si="73"/>
        <v>Al Kunuz General Trading LLC</v>
      </c>
      <c r="O560" t="str">
        <f t="shared" si="74"/>
        <v>W1315464329</v>
      </c>
      <c r="P560" t="str">
        <f t="shared" si="75"/>
        <v>ST879AT38CKF-717760</v>
      </c>
      <c r="Q560" t="str">
        <f t="shared" si="76"/>
        <v>PO044697</v>
      </c>
      <c r="R560" t="str">
        <f t="shared" si="77"/>
        <v>Contrast Trim Shirt, Red &amp; Black</v>
      </c>
      <c r="S560" t="str">
        <f t="shared" si="78"/>
        <v>SA973707</v>
      </c>
      <c r="T560">
        <f t="shared" si="79"/>
        <v>1</v>
      </c>
      <c r="U560">
        <f t="shared" si="80"/>
        <v>59</v>
      </c>
    </row>
    <row r="561" spans="1:21" x14ac:dyDescent="0.25">
      <c r="A561">
        <f t="shared" si="72"/>
        <v>11</v>
      </c>
      <c r="C561" t="s">
        <v>5043</v>
      </c>
      <c r="D561" t="s">
        <v>5044</v>
      </c>
      <c r="E561" t="s">
        <v>4900</v>
      </c>
      <c r="F561" t="s">
        <v>5045</v>
      </c>
      <c r="G561" t="s">
        <v>5042</v>
      </c>
      <c r="H561" s="2">
        <v>1</v>
      </c>
      <c r="I561" s="2">
        <v>35</v>
      </c>
      <c r="N561" t="str">
        <f t="shared" si="73"/>
        <v>Al Kunuz General Trading LLC</v>
      </c>
      <c r="O561" t="str">
        <f t="shared" si="74"/>
        <v>W1315165762</v>
      </c>
      <c r="P561" t="str">
        <f t="shared" si="75"/>
        <v>ST879AT37DQO-124610</v>
      </c>
      <c r="Q561" t="str">
        <f t="shared" si="76"/>
        <v>PO044697</v>
      </c>
      <c r="R561" t="str">
        <f t="shared" si="77"/>
        <v>Stoee Playsuit for Women STPS10815 Multicolor</v>
      </c>
      <c r="S561" t="str">
        <f t="shared" si="78"/>
        <v>SA973712</v>
      </c>
      <c r="T561">
        <f t="shared" si="79"/>
        <v>1</v>
      </c>
      <c r="U561">
        <f t="shared" si="80"/>
        <v>35</v>
      </c>
    </row>
    <row r="562" spans="1:21" x14ac:dyDescent="0.25">
      <c r="A562">
        <f t="shared" si="72"/>
        <v>11</v>
      </c>
      <c r="C562" t="s">
        <v>5047</v>
      </c>
      <c r="D562" t="s">
        <v>5048</v>
      </c>
      <c r="E562" t="s">
        <v>4900</v>
      </c>
      <c r="F562" t="s">
        <v>5049</v>
      </c>
      <c r="G562" t="s">
        <v>5046</v>
      </c>
      <c r="H562" s="2">
        <v>1</v>
      </c>
      <c r="I562" s="2">
        <v>16</v>
      </c>
      <c r="N562" t="str">
        <f t="shared" si="73"/>
        <v>Al Kunuz General Trading LLC</v>
      </c>
      <c r="O562" t="str">
        <f t="shared" si="74"/>
        <v>W1315390736</v>
      </c>
      <c r="P562" t="str">
        <f t="shared" si="75"/>
        <v>LA081BE95QJO-633399</v>
      </c>
      <c r="Q562" t="str">
        <f t="shared" si="76"/>
        <v>PO044697</v>
      </c>
      <c r="R562" t="str">
        <f t="shared" si="77"/>
        <v>Enrich Satin Lipstick - P163</v>
      </c>
      <c r="S562" t="str">
        <f t="shared" si="78"/>
        <v>SA973714</v>
      </c>
      <c r="T562">
        <f t="shared" si="79"/>
        <v>1</v>
      </c>
      <c r="U562">
        <f t="shared" si="80"/>
        <v>16</v>
      </c>
    </row>
    <row r="563" spans="1:21" x14ac:dyDescent="0.25">
      <c r="A563">
        <f t="shared" si="72"/>
        <v>11</v>
      </c>
      <c r="C563" t="s">
        <v>5051</v>
      </c>
      <c r="D563" t="s">
        <v>5052</v>
      </c>
      <c r="E563" t="s">
        <v>4900</v>
      </c>
      <c r="F563" t="s">
        <v>5053</v>
      </c>
      <c r="G563" t="s">
        <v>5050</v>
      </c>
      <c r="H563" s="2">
        <v>1</v>
      </c>
      <c r="I563" s="2">
        <v>34</v>
      </c>
      <c r="N563" t="str">
        <f t="shared" si="73"/>
        <v>Al Kunuz General Trading LLC</v>
      </c>
      <c r="O563" t="str">
        <f t="shared" si="74"/>
        <v>W1315334487</v>
      </c>
      <c r="P563" t="str">
        <f t="shared" si="75"/>
        <v>YE659AT99NAY-567571</v>
      </c>
      <c r="Q563" t="str">
        <f t="shared" si="76"/>
        <v>PO044697</v>
      </c>
      <c r="R563" t="str">
        <f t="shared" si="77"/>
        <v>Ellise Party Leggings, Black &amp; Maroon</v>
      </c>
      <c r="S563" t="str">
        <f t="shared" si="78"/>
        <v>SA973716</v>
      </c>
      <c r="T563">
        <f t="shared" si="79"/>
        <v>1</v>
      </c>
      <c r="U563">
        <f t="shared" si="80"/>
        <v>34</v>
      </c>
    </row>
    <row r="564" spans="1:21" x14ac:dyDescent="0.25">
      <c r="A564">
        <f t="shared" si="72"/>
        <v>11</v>
      </c>
      <c r="C564" t="s">
        <v>5055</v>
      </c>
      <c r="D564" t="s">
        <v>5056</v>
      </c>
      <c r="E564" t="s">
        <v>4900</v>
      </c>
      <c r="F564" t="s">
        <v>5057</v>
      </c>
      <c r="G564" t="s">
        <v>5054</v>
      </c>
      <c r="H564" s="2">
        <v>1</v>
      </c>
      <c r="I564" s="2">
        <v>17</v>
      </c>
      <c r="N564" t="str">
        <f t="shared" si="73"/>
        <v>Al Kunuz General Trading LLC</v>
      </c>
      <c r="O564" t="str">
        <f t="shared" si="74"/>
        <v>W1315334587</v>
      </c>
      <c r="P564" t="str">
        <f t="shared" si="75"/>
        <v>YE659AT80NBR-567673</v>
      </c>
      <c r="Q564" t="str">
        <f t="shared" si="76"/>
        <v>PO044697</v>
      </c>
      <c r="R564" t="str">
        <f t="shared" si="77"/>
        <v>Iggy Striped Leggings, Black</v>
      </c>
      <c r="S564" t="str">
        <f t="shared" si="78"/>
        <v>SA973719</v>
      </c>
      <c r="T564">
        <f t="shared" si="79"/>
        <v>1</v>
      </c>
      <c r="U564">
        <f t="shared" si="80"/>
        <v>17</v>
      </c>
    </row>
    <row r="565" spans="1:21" x14ac:dyDescent="0.25">
      <c r="A565">
        <f t="shared" si="72"/>
        <v>11</v>
      </c>
      <c r="C565" t="s">
        <v>5059</v>
      </c>
      <c r="D565" t="s">
        <v>5060</v>
      </c>
      <c r="E565" t="s">
        <v>4900</v>
      </c>
      <c r="F565" t="s">
        <v>5061</v>
      </c>
      <c r="G565" t="s">
        <v>5058</v>
      </c>
      <c r="H565" s="2">
        <v>1</v>
      </c>
      <c r="I565" s="2">
        <v>24</v>
      </c>
      <c r="N565" t="str">
        <f t="shared" si="73"/>
        <v>Al Kunuz General Trading LLC</v>
      </c>
      <c r="O565" t="str">
        <f t="shared" si="74"/>
        <v>W1315316775</v>
      </c>
      <c r="P565" t="str">
        <f t="shared" si="75"/>
        <v>UN563AC98OAZ-522621</v>
      </c>
      <c r="Q565" t="str">
        <f t="shared" si="76"/>
        <v>PO044697</v>
      </c>
      <c r="R565" t="str">
        <f t="shared" si="77"/>
        <v>Hand Crafted Genuine Leather Wallet for Men (UN172, Black)</v>
      </c>
      <c r="S565" t="str">
        <f t="shared" si="78"/>
        <v>SA973750</v>
      </c>
      <c r="T565">
        <f t="shared" si="79"/>
        <v>1</v>
      </c>
      <c r="U565">
        <f t="shared" si="80"/>
        <v>24</v>
      </c>
    </row>
    <row r="566" spans="1:21" x14ac:dyDescent="0.25">
      <c r="A566">
        <f t="shared" si="72"/>
        <v>11</v>
      </c>
      <c r="G566" t="s">
        <v>5062</v>
      </c>
      <c r="H566" s="2">
        <v>1</v>
      </c>
      <c r="I566" s="2">
        <v>24</v>
      </c>
      <c r="N566" t="str">
        <f t="shared" si="73"/>
        <v>Al Kunuz General Trading LLC</v>
      </c>
      <c r="O566" t="str">
        <f t="shared" si="74"/>
        <v>W1315316775</v>
      </c>
      <c r="P566" t="str">
        <f t="shared" si="75"/>
        <v>UN563AC98OAZ-522621</v>
      </c>
      <c r="Q566" t="str">
        <f t="shared" si="76"/>
        <v>PO044697</v>
      </c>
      <c r="R566" t="str">
        <f t="shared" si="77"/>
        <v>Hand Crafted Genuine Leather Wallet for Men (UN172, Black)</v>
      </c>
      <c r="S566" t="str">
        <f t="shared" si="78"/>
        <v>SA973751</v>
      </c>
      <c r="T566">
        <f t="shared" si="79"/>
        <v>1</v>
      </c>
      <c r="U566">
        <f t="shared" si="80"/>
        <v>24</v>
      </c>
    </row>
    <row r="567" spans="1:21" x14ac:dyDescent="0.25">
      <c r="A567">
        <f t="shared" si="72"/>
        <v>11</v>
      </c>
      <c r="G567" t="s">
        <v>5865</v>
      </c>
      <c r="H567" s="2">
        <v>1</v>
      </c>
      <c r="I567" s="2">
        <v>24</v>
      </c>
      <c r="N567" t="str">
        <f t="shared" si="73"/>
        <v>Al Kunuz General Trading LLC</v>
      </c>
      <c r="O567" t="str">
        <f t="shared" si="74"/>
        <v>W1315316775</v>
      </c>
      <c r="P567" t="str">
        <f t="shared" si="75"/>
        <v>UN563AC98OAZ-522621</v>
      </c>
      <c r="Q567" t="str">
        <f t="shared" si="76"/>
        <v>PO044697</v>
      </c>
      <c r="R567" t="str">
        <f t="shared" si="77"/>
        <v>Hand Crafted Genuine Leather Wallet for Men (UN172, Black)</v>
      </c>
      <c r="S567" t="str">
        <f t="shared" si="78"/>
        <v>SA981335</v>
      </c>
      <c r="T567">
        <f t="shared" si="79"/>
        <v>1</v>
      </c>
      <c r="U567">
        <f t="shared" si="80"/>
        <v>24</v>
      </c>
    </row>
    <row r="568" spans="1:21" x14ac:dyDescent="0.25">
      <c r="A568">
        <f t="shared" si="72"/>
        <v>11</v>
      </c>
      <c r="C568" t="s">
        <v>5064</v>
      </c>
      <c r="D568" t="s">
        <v>5065</v>
      </c>
      <c r="E568" t="s">
        <v>4900</v>
      </c>
      <c r="F568" t="s">
        <v>5066</v>
      </c>
      <c r="G568" t="s">
        <v>5063</v>
      </c>
      <c r="H568" s="2">
        <v>1</v>
      </c>
      <c r="I568" s="2">
        <v>37</v>
      </c>
      <c r="N568" t="str">
        <f t="shared" si="73"/>
        <v>Al Kunuz General Trading LLC</v>
      </c>
      <c r="O568" t="str">
        <f t="shared" si="74"/>
        <v>W1315397989</v>
      </c>
      <c r="P568" t="str">
        <f t="shared" si="75"/>
        <v>CA149AC57BVE-642582</v>
      </c>
      <c r="Q568" t="str">
        <f t="shared" si="76"/>
        <v>PO044697</v>
      </c>
      <c r="R568" t="str">
        <f t="shared" si="77"/>
        <v>Aviator Unisex Sunglasses (SOW112, Black)</v>
      </c>
      <c r="S568" t="str">
        <f t="shared" si="78"/>
        <v>SA973753</v>
      </c>
      <c r="T568">
        <f t="shared" si="79"/>
        <v>1</v>
      </c>
      <c r="U568">
        <f t="shared" si="80"/>
        <v>37</v>
      </c>
    </row>
    <row r="569" spans="1:21" x14ac:dyDescent="0.25">
      <c r="A569">
        <f t="shared" si="72"/>
        <v>11</v>
      </c>
      <c r="C569" t="s">
        <v>5068</v>
      </c>
      <c r="D569" t="s">
        <v>5069</v>
      </c>
      <c r="E569" t="s">
        <v>4900</v>
      </c>
      <c r="F569" t="s">
        <v>5070</v>
      </c>
      <c r="G569" t="s">
        <v>5067</v>
      </c>
      <c r="H569" s="2">
        <v>1</v>
      </c>
      <c r="I569" s="2">
        <v>38</v>
      </c>
      <c r="N569" t="str">
        <f t="shared" si="73"/>
        <v>Al Kunuz General Trading LLC</v>
      </c>
      <c r="O569" t="str">
        <f t="shared" si="74"/>
        <v>W1315227512</v>
      </c>
      <c r="P569" t="str">
        <f t="shared" si="75"/>
        <v>SP976AT38JWV-426060</v>
      </c>
      <c r="Q569" t="str">
        <f t="shared" si="76"/>
        <v>PO044697</v>
      </c>
      <c r="R569" t="str">
        <f t="shared" si="77"/>
        <v>Splendent Peach Colored Formal Top SPF16622 S</v>
      </c>
      <c r="S569" t="str">
        <f t="shared" si="78"/>
        <v>SA973772</v>
      </c>
      <c r="T569">
        <f t="shared" si="79"/>
        <v>1</v>
      </c>
      <c r="U569">
        <f t="shared" si="80"/>
        <v>38</v>
      </c>
    </row>
    <row r="570" spans="1:21" x14ac:dyDescent="0.25">
      <c r="A570">
        <f t="shared" si="72"/>
        <v>11</v>
      </c>
      <c r="C570" t="s">
        <v>5072</v>
      </c>
      <c r="D570" t="s">
        <v>5073</v>
      </c>
      <c r="E570" t="s">
        <v>4900</v>
      </c>
      <c r="F570" t="s">
        <v>5074</v>
      </c>
      <c r="G570" t="s">
        <v>5071</v>
      </c>
      <c r="H570" s="2">
        <v>1</v>
      </c>
      <c r="I570" s="2">
        <v>46</v>
      </c>
      <c r="N570" t="str">
        <f t="shared" si="73"/>
        <v>Al Kunuz General Trading LLC</v>
      </c>
      <c r="O570" t="str">
        <f t="shared" si="74"/>
        <v>W1315204135</v>
      </c>
      <c r="P570" t="str">
        <f t="shared" si="75"/>
        <v>CR884AC48JGD-387509</v>
      </c>
      <c r="Q570" t="str">
        <f t="shared" si="76"/>
        <v>PO044697</v>
      </c>
      <c r="R570" t="str">
        <f t="shared" si="77"/>
        <v>Crunchy Fashion Dual Heart Pendant Set (Gold) - CFS0101</v>
      </c>
      <c r="S570" t="str">
        <f t="shared" si="78"/>
        <v>SA973797</v>
      </c>
      <c r="T570">
        <f t="shared" si="79"/>
        <v>1</v>
      </c>
      <c r="U570">
        <f t="shared" si="80"/>
        <v>46</v>
      </c>
    </row>
    <row r="571" spans="1:21" x14ac:dyDescent="0.25">
      <c r="A571">
        <f t="shared" si="72"/>
        <v>11</v>
      </c>
      <c r="C571" t="s">
        <v>5076</v>
      </c>
      <c r="D571" t="s">
        <v>5077</v>
      </c>
      <c r="E571" t="s">
        <v>4900</v>
      </c>
      <c r="F571" t="s">
        <v>3772</v>
      </c>
      <c r="G571" t="s">
        <v>5075</v>
      </c>
      <c r="H571" s="2">
        <v>1</v>
      </c>
      <c r="I571" s="2">
        <v>92</v>
      </c>
      <c r="N571" t="str">
        <f t="shared" si="73"/>
        <v>Al Kunuz General Trading LLC</v>
      </c>
      <c r="O571" t="str">
        <f t="shared" si="74"/>
        <v>W1315347735</v>
      </c>
      <c r="P571" t="str">
        <f t="shared" si="75"/>
        <v>RI918AT98EUN-583463</v>
      </c>
      <c r="Q571" t="str">
        <f t="shared" si="76"/>
        <v>PO044697</v>
      </c>
      <c r="R571" t="str">
        <f t="shared" si="77"/>
        <v>Front Tie Tunic Dress, Green</v>
      </c>
      <c r="S571" t="str">
        <f t="shared" si="78"/>
        <v>SA973816</v>
      </c>
      <c r="T571">
        <f t="shared" si="79"/>
        <v>1</v>
      </c>
      <c r="U571">
        <f t="shared" si="80"/>
        <v>92</v>
      </c>
    </row>
    <row r="572" spans="1:21" x14ac:dyDescent="0.25">
      <c r="A572">
        <f t="shared" si="72"/>
        <v>11</v>
      </c>
      <c r="C572" t="s">
        <v>5080</v>
      </c>
      <c r="D572" t="s">
        <v>5081</v>
      </c>
      <c r="E572" t="s">
        <v>4900</v>
      </c>
      <c r="F572" t="s">
        <v>5082</v>
      </c>
      <c r="G572" t="s">
        <v>5079</v>
      </c>
      <c r="H572" s="2">
        <v>1</v>
      </c>
      <c r="I572" s="2">
        <v>53</v>
      </c>
      <c r="N572" t="str">
        <f t="shared" si="73"/>
        <v>Al Kunuz General Trading LLC</v>
      </c>
      <c r="O572" t="str">
        <f t="shared" si="74"/>
        <v>W1315277741</v>
      </c>
      <c r="P572" t="str">
        <f t="shared" si="75"/>
        <v>SA222AT24BNZ-475360</v>
      </c>
      <c r="Q572" t="str">
        <f t="shared" si="76"/>
        <v>PO044697</v>
      </c>
      <c r="R572" t="str">
        <f t="shared" si="77"/>
        <v>Shirts and Blouses, Maroon</v>
      </c>
      <c r="S572" t="str">
        <f t="shared" si="78"/>
        <v>SA973870</v>
      </c>
      <c r="T572">
        <f t="shared" si="79"/>
        <v>1</v>
      </c>
      <c r="U572">
        <f t="shared" si="80"/>
        <v>53</v>
      </c>
    </row>
    <row r="573" spans="1:21" x14ac:dyDescent="0.25">
      <c r="A573">
        <f t="shared" si="72"/>
        <v>11</v>
      </c>
      <c r="C573" t="s">
        <v>5094</v>
      </c>
      <c r="D573" t="s">
        <v>5095</v>
      </c>
      <c r="E573" t="s">
        <v>4900</v>
      </c>
      <c r="F573" t="s">
        <v>5096</v>
      </c>
      <c r="G573" t="s">
        <v>5093</v>
      </c>
      <c r="H573" s="2">
        <v>1</v>
      </c>
      <c r="I573" s="2">
        <v>26</v>
      </c>
      <c r="N573" t="str">
        <f t="shared" si="73"/>
        <v>Al Kunuz General Trading LLC</v>
      </c>
      <c r="O573" t="str">
        <f t="shared" si="74"/>
        <v>W1315336427</v>
      </c>
      <c r="P573" t="str">
        <f t="shared" si="75"/>
        <v>YE659AT82NQZ-569564</v>
      </c>
      <c r="Q573" t="str">
        <f t="shared" si="76"/>
        <v>PO044697</v>
      </c>
      <c r="R573" t="str">
        <f t="shared" si="77"/>
        <v>Tiffany Asymmetrical Top, Cream &amp; Blue</v>
      </c>
      <c r="S573" t="str">
        <f t="shared" si="78"/>
        <v>SA974025</v>
      </c>
      <c r="T573">
        <f t="shared" si="79"/>
        <v>1</v>
      </c>
      <c r="U573">
        <f t="shared" si="80"/>
        <v>26</v>
      </c>
    </row>
    <row r="574" spans="1:21" x14ac:dyDescent="0.25">
      <c r="A574">
        <f t="shared" si="72"/>
        <v>11</v>
      </c>
      <c r="C574" t="s">
        <v>5106</v>
      </c>
      <c r="D574" t="s">
        <v>5107</v>
      </c>
      <c r="E574" t="s">
        <v>4900</v>
      </c>
      <c r="F574" t="s">
        <v>3710</v>
      </c>
      <c r="G574" t="s">
        <v>5105</v>
      </c>
      <c r="H574" s="2">
        <v>1</v>
      </c>
      <c r="I574" s="2">
        <v>69</v>
      </c>
      <c r="N574" t="str">
        <f t="shared" si="73"/>
        <v>Al Kunuz General Trading LLC</v>
      </c>
      <c r="O574" t="str">
        <f t="shared" si="74"/>
        <v>W1315399249</v>
      </c>
      <c r="P574" t="str">
        <f t="shared" si="75"/>
        <v>SA222AT24CED-643168</v>
      </c>
      <c r="Q574" t="str">
        <f t="shared" si="76"/>
        <v>PO044697</v>
      </c>
      <c r="R574" t="str">
        <f t="shared" si="77"/>
        <v>Floral Maxi Top, Pink</v>
      </c>
      <c r="S574" t="str">
        <f t="shared" si="78"/>
        <v>SA974040</v>
      </c>
      <c r="T574">
        <f t="shared" si="79"/>
        <v>1</v>
      </c>
      <c r="U574">
        <f t="shared" si="80"/>
        <v>69</v>
      </c>
    </row>
    <row r="575" spans="1:21" x14ac:dyDescent="0.25">
      <c r="A575">
        <f t="shared" si="72"/>
        <v>11</v>
      </c>
      <c r="C575" t="s">
        <v>5109</v>
      </c>
      <c r="D575" t="s">
        <v>5110</v>
      </c>
      <c r="E575" t="s">
        <v>4900</v>
      </c>
      <c r="F575" t="s">
        <v>5111</v>
      </c>
      <c r="G575" t="s">
        <v>5108</v>
      </c>
      <c r="H575" s="2">
        <v>1</v>
      </c>
      <c r="I575" s="2">
        <v>10</v>
      </c>
      <c r="N575" t="str">
        <f t="shared" si="73"/>
        <v>Al Kunuz General Trading LLC</v>
      </c>
      <c r="O575" t="str">
        <f t="shared" si="74"/>
        <v>W1315325692</v>
      </c>
      <c r="P575" t="str">
        <f t="shared" si="75"/>
        <v>SI601AC95USE-529304</v>
      </c>
      <c r="Q575" t="str">
        <f t="shared" si="76"/>
        <v>PO044697</v>
      </c>
      <c r="R575" t="str">
        <f t="shared" si="77"/>
        <v>Simaya Fashion earring (FE 1136, Gold tone)</v>
      </c>
      <c r="S575" t="str">
        <f t="shared" si="78"/>
        <v>SA974043</v>
      </c>
      <c r="T575">
        <f t="shared" si="79"/>
        <v>1</v>
      </c>
      <c r="U575">
        <f t="shared" si="80"/>
        <v>10</v>
      </c>
    </row>
    <row r="576" spans="1:21" x14ac:dyDescent="0.25">
      <c r="A576">
        <f t="shared" si="72"/>
        <v>11</v>
      </c>
      <c r="C576" t="s">
        <v>5113</v>
      </c>
      <c r="D576" t="s">
        <v>5114</v>
      </c>
      <c r="E576" t="s">
        <v>4900</v>
      </c>
      <c r="F576" t="s">
        <v>5115</v>
      </c>
      <c r="G576" t="s">
        <v>5112</v>
      </c>
      <c r="H576" s="2">
        <v>1</v>
      </c>
      <c r="I576" s="2">
        <v>14</v>
      </c>
      <c r="N576" t="str">
        <f t="shared" si="73"/>
        <v>Al Kunuz General Trading LLC</v>
      </c>
      <c r="O576" t="str">
        <f t="shared" si="74"/>
        <v>W1315325337</v>
      </c>
      <c r="P576" t="str">
        <f t="shared" si="75"/>
        <v>SI601AC43TXC-528555</v>
      </c>
      <c r="Q576" t="str">
        <f t="shared" si="76"/>
        <v>PO044697</v>
      </c>
      <c r="R576" t="str">
        <f t="shared" si="77"/>
        <v>Simaya Fashion earring (FE 0160, Multi color)</v>
      </c>
      <c r="S576" t="str">
        <f t="shared" si="78"/>
        <v>SA974044</v>
      </c>
      <c r="T576">
        <f t="shared" si="79"/>
        <v>1</v>
      </c>
      <c r="U576">
        <f t="shared" si="80"/>
        <v>14</v>
      </c>
    </row>
    <row r="577" spans="1:21" x14ac:dyDescent="0.25">
      <c r="A577">
        <f t="shared" si="72"/>
        <v>11</v>
      </c>
      <c r="C577" t="s">
        <v>5117</v>
      </c>
      <c r="D577" t="s">
        <v>5118</v>
      </c>
      <c r="E577" t="s">
        <v>4900</v>
      </c>
      <c r="F577" t="s">
        <v>5119</v>
      </c>
      <c r="G577" t="s">
        <v>5116</v>
      </c>
      <c r="H577" s="2">
        <v>1</v>
      </c>
      <c r="I577" s="2">
        <v>18</v>
      </c>
      <c r="N577" t="str">
        <f t="shared" si="73"/>
        <v>Al Kunuz General Trading LLC</v>
      </c>
      <c r="O577" t="str">
        <f t="shared" si="74"/>
        <v>W1315325227</v>
      </c>
      <c r="P577" t="str">
        <f t="shared" si="75"/>
        <v>SI601AC19TQI-528379</v>
      </c>
      <c r="Q577" t="str">
        <f t="shared" si="76"/>
        <v>PO044697</v>
      </c>
      <c r="R577" t="str">
        <f t="shared" si="77"/>
        <v>Simaya Fashion Bracelet (FB 0042, Multi color)</v>
      </c>
      <c r="S577" t="str">
        <f t="shared" si="78"/>
        <v>SA974045</v>
      </c>
      <c r="T577">
        <f t="shared" si="79"/>
        <v>1</v>
      </c>
      <c r="U577">
        <f t="shared" si="80"/>
        <v>18</v>
      </c>
    </row>
    <row r="578" spans="1:21" x14ac:dyDescent="0.25">
      <c r="A578">
        <f t="shared" si="72"/>
        <v>11</v>
      </c>
      <c r="C578" t="s">
        <v>5121</v>
      </c>
      <c r="D578" t="s">
        <v>5122</v>
      </c>
      <c r="E578" t="s">
        <v>4900</v>
      </c>
      <c r="F578" t="s">
        <v>3575</v>
      </c>
      <c r="G578" t="s">
        <v>5120</v>
      </c>
      <c r="H578" s="2">
        <v>1</v>
      </c>
      <c r="I578" s="2">
        <v>43</v>
      </c>
      <c r="N578" t="str">
        <f t="shared" si="73"/>
        <v>Al Kunuz General Trading LLC</v>
      </c>
      <c r="O578" t="str">
        <f t="shared" si="74"/>
        <v>W1315354109</v>
      </c>
      <c r="P578" t="str">
        <f t="shared" si="75"/>
        <v>AM977AT23NQI-592850</v>
      </c>
      <c r="Q578" t="str">
        <f t="shared" si="76"/>
        <v>PO044697</v>
      </c>
      <c r="R578" t="str">
        <f t="shared" si="77"/>
        <v>Night Dress Set of 3, Multicolor</v>
      </c>
      <c r="S578" t="str">
        <f t="shared" si="78"/>
        <v>SA974081</v>
      </c>
      <c r="T578">
        <f t="shared" si="79"/>
        <v>1</v>
      </c>
      <c r="U578">
        <f t="shared" si="80"/>
        <v>43</v>
      </c>
    </row>
    <row r="579" spans="1:21" x14ac:dyDescent="0.25">
      <c r="A579">
        <f t="shared" si="72"/>
        <v>11</v>
      </c>
      <c r="C579" t="s">
        <v>5124</v>
      </c>
      <c r="D579" t="s">
        <v>5125</v>
      </c>
      <c r="E579" t="s">
        <v>4900</v>
      </c>
      <c r="F579" t="s">
        <v>5126</v>
      </c>
      <c r="G579" t="s">
        <v>5123</v>
      </c>
      <c r="H579" s="2">
        <v>1</v>
      </c>
      <c r="I579" s="2">
        <v>52</v>
      </c>
      <c r="N579" t="str">
        <f t="shared" si="73"/>
        <v>Al Kunuz General Trading LLC</v>
      </c>
      <c r="O579" t="str">
        <f t="shared" si="74"/>
        <v>W1315333410</v>
      </c>
      <c r="P579" t="str">
        <f t="shared" si="75"/>
        <v>YE659AT62MQV-566445</v>
      </c>
      <c r="Q579" t="str">
        <f t="shared" si="76"/>
        <v>PO044697</v>
      </c>
      <c r="R579" t="str">
        <f t="shared" si="77"/>
        <v>Tracy Flare Dress, Blue &amp; Brown</v>
      </c>
      <c r="S579" t="str">
        <f t="shared" si="78"/>
        <v>SA974125</v>
      </c>
      <c r="T579">
        <f t="shared" si="79"/>
        <v>1</v>
      </c>
      <c r="U579">
        <f t="shared" si="80"/>
        <v>52</v>
      </c>
    </row>
    <row r="580" spans="1:21" x14ac:dyDescent="0.25">
      <c r="A580">
        <f t="shared" ref="A580:A643" si="81">IF(ISBLANK(B580),A579,A579+1)</f>
        <v>11</v>
      </c>
      <c r="C580" t="s">
        <v>5129</v>
      </c>
      <c r="D580" t="s">
        <v>5130</v>
      </c>
      <c r="E580" t="s">
        <v>4900</v>
      </c>
      <c r="F580" t="s">
        <v>5131</v>
      </c>
      <c r="G580" t="s">
        <v>5128</v>
      </c>
      <c r="H580" s="2">
        <v>1</v>
      </c>
      <c r="I580" s="2">
        <v>58</v>
      </c>
      <c r="N580" t="str">
        <f t="shared" si="73"/>
        <v>Al Kunuz General Trading LLC</v>
      </c>
      <c r="O580" t="str">
        <f t="shared" si="74"/>
        <v>W1315276977</v>
      </c>
      <c r="P580" t="str">
        <f t="shared" si="75"/>
        <v>SP976AT37NFI-494404</v>
      </c>
      <c r="Q580" t="str">
        <f t="shared" si="76"/>
        <v>PO044697</v>
      </c>
      <c r="R580" t="str">
        <f t="shared" si="77"/>
        <v>Dress, Multi Colored</v>
      </c>
      <c r="S580" t="str">
        <f t="shared" si="78"/>
        <v>SA974127</v>
      </c>
      <c r="T580">
        <f t="shared" si="79"/>
        <v>1</v>
      </c>
      <c r="U580">
        <f t="shared" si="80"/>
        <v>58</v>
      </c>
    </row>
    <row r="581" spans="1:21" x14ac:dyDescent="0.25">
      <c r="A581">
        <f t="shared" si="81"/>
        <v>11</v>
      </c>
      <c r="C581" t="s">
        <v>5133</v>
      </c>
      <c r="D581" t="s">
        <v>5134</v>
      </c>
      <c r="E581" t="s">
        <v>4900</v>
      </c>
      <c r="F581" t="s">
        <v>4133</v>
      </c>
      <c r="G581" t="s">
        <v>5132</v>
      </c>
      <c r="H581" s="2">
        <v>1</v>
      </c>
      <c r="I581" s="2">
        <v>53</v>
      </c>
      <c r="N581" t="str">
        <f t="shared" si="73"/>
        <v>Al Kunuz General Trading LLC</v>
      </c>
      <c r="O581" t="str">
        <f t="shared" si="74"/>
        <v>W1315339366</v>
      </c>
      <c r="P581" t="str">
        <f t="shared" si="75"/>
        <v>ST879AT44RGT-573388</v>
      </c>
      <c r="Q581" t="str">
        <f t="shared" si="76"/>
        <v>PO044697</v>
      </c>
      <c r="R581" t="str">
        <f t="shared" si="77"/>
        <v>Top, Wine</v>
      </c>
      <c r="S581" t="str">
        <f t="shared" si="78"/>
        <v>SA974128</v>
      </c>
      <c r="T581">
        <f t="shared" si="79"/>
        <v>1</v>
      </c>
      <c r="U581">
        <f t="shared" si="80"/>
        <v>53</v>
      </c>
    </row>
    <row r="582" spans="1:21" x14ac:dyDescent="0.25">
      <c r="A582">
        <f t="shared" si="81"/>
        <v>11</v>
      </c>
      <c r="C582" t="s">
        <v>5140</v>
      </c>
      <c r="D582" t="s">
        <v>5141</v>
      </c>
      <c r="E582" t="s">
        <v>4900</v>
      </c>
      <c r="F582" t="s">
        <v>4108</v>
      </c>
      <c r="G582" t="s">
        <v>5139</v>
      </c>
      <c r="H582" s="2">
        <v>1</v>
      </c>
      <c r="I582" s="2">
        <v>59</v>
      </c>
      <c r="N582" t="str">
        <f t="shared" ref="N582:N645" si="82">IF(ISBLANK($A582),"",IF(ISBLANK(B582),N581,B582))</f>
        <v>Al Kunuz General Trading LLC</v>
      </c>
      <c r="O582" t="str">
        <f t="shared" ref="O582:O645" si="83">IF(ISBLANK($A582),"",IF(ISBLANK(C582),O581,C582))</f>
        <v>W1315464446</v>
      </c>
      <c r="P582" t="str">
        <f t="shared" ref="P582:P645" si="84">IF(ISBLANK($A582),"",IF(ISBLANK(D582),P581,D582))</f>
        <v>ST879AT09CLI-717874</v>
      </c>
      <c r="Q582" t="str">
        <f t="shared" ref="Q582:Q645" si="85">IF(ISBLANK($A582),"",IF(ISBLANK(E582),Q581,E582))</f>
        <v>PO044697</v>
      </c>
      <c r="R582" t="str">
        <f t="shared" ref="R582:R645" si="86">IF(ISBLANK($A582),"",IF(ISBLANK(F582),R581,F582))</f>
        <v>Double Layered Top, Pink</v>
      </c>
      <c r="S582" t="str">
        <f t="shared" ref="S582:S645" si="87">IF(ISBLANK($A582),"",G582)</f>
        <v>SA974513</v>
      </c>
      <c r="T582">
        <f t="shared" ref="T582:T645" si="88">IF(ISBLANK($A582),"",H582)</f>
        <v>1</v>
      </c>
      <c r="U582">
        <f t="shared" ref="U582:U645" si="89">IF(ISBLANK($A582),"",I582)</f>
        <v>59</v>
      </c>
    </row>
    <row r="583" spans="1:21" x14ac:dyDescent="0.25">
      <c r="A583">
        <f t="shared" si="81"/>
        <v>11</v>
      </c>
      <c r="C583" t="s">
        <v>5143</v>
      </c>
      <c r="D583" t="s">
        <v>5144</v>
      </c>
      <c r="E583" t="s">
        <v>4900</v>
      </c>
      <c r="F583" t="s">
        <v>5145</v>
      </c>
      <c r="G583" t="s">
        <v>5142</v>
      </c>
      <c r="H583" s="2">
        <v>1</v>
      </c>
      <c r="I583" s="2">
        <v>83</v>
      </c>
      <c r="N583" t="str">
        <f t="shared" si="82"/>
        <v>Al Kunuz General Trading LLC</v>
      </c>
      <c r="O583" t="str">
        <f t="shared" si="83"/>
        <v>W1315400957</v>
      </c>
      <c r="P583" t="str">
        <f t="shared" si="84"/>
        <v>MI070AT07DVC-644737</v>
      </c>
      <c r="Q583" t="str">
        <f t="shared" si="85"/>
        <v>PO044697</v>
      </c>
      <c r="R583" t="str">
        <f t="shared" si="86"/>
        <v>Shoulder Cut Out Full Sleeve Round Neck Top, Black</v>
      </c>
      <c r="S583" t="str">
        <f t="shared" si="87"/>
        <v>SA974514</v>
      </c>
      <c r="T583">
        <f t="shared" si="88"/>
        <v>1</v>
      </c>
      <c r="U583">
        <f t="shared" si="89"/>
        <v>83</v>
      </c>
    </row>
    <row r="584" spans="1:21" x14ac:dyDescent="0.25">
      <c r="A584">
        <f t="shared" si="81"/>
        <v>11</v>
      </c>
      <c r="C584" t="s">
        <v>5147</v>
      </c>
      <c r="D584" t="s">
        <v>5148</v>
      </c>
      <c r="E584" t="s">
        <v>4900</v>
      </c>
      <c r="F584" t="s">
        <v>5149</v>
      </c>
      <c r="G584" t="s">
        <v>5146</v>
      </c>
      <c r="H584" s="2">
        <v>1</v>
      </c>
      <c r="I584" s="2">
        <v>12</v>
      </c>
      <c r="N584" t="str">
        <f t="shared" si="82"/>
        <v>Al Kunuz General Trading LLC</v>
      </c>
      <c r="O584" t="str">
        <f t="shared" si="83"/>
        <v>W1315389532</v>
      </c>
      <c r="P584" t="str">
        <f t="shared" si="84"/>
        <v>MA096BE12PPR-632882</v>
      </c>
      <c r="Q584" t="str">
        <f t="shared" si="85"/>
        <v>PO044697</v>
      </c>
      <c r="R584" t="str">
        <f t="shared" si="86"/>
        <v>Baby Lips Color Balm - Cherry Kiss</v>
      </c>
      <c r="S584" t="str">
        <f t="shared" si="87"/>
        <v>SA974555</v>
      </c>
      <c r="T584">
        <f t="shared" si="88"/>
        <v>1</v>
      </c>
      <c r="U584">
        <f t="shared" si="89"/>
        <v>12</v>
      </c>
    </row>
    <row r="585" spans="1:21" x14ac:dyDescent="0.25">
      <c r="A585">
        <f t="shared" si="81"/>
        <v>11</v>
      </c>
      <c r="G585" t="s">
        <v>5820</v>
      </c>
      <c r="H585" s="2">
        <v>1</v>
      </c>
      <c r="I585" s="2">
        <v>12</v>
      </c>
      <c r="N585" t="str">
        <f t="shared" si="82"/>
        <v>Al Kunuz General Trading LLC</v>
      </c>
      <c r="O585" t="str">
        <f t="shared" si="83"/>
        <v>W1315389532</v>
      </c>
      <c r="P585" t="str">
        <f t="shared" si="84"/>
        <v>MA096BE12PPR-632882</v>
      </c>
      <c r="Q585" t="str">
        <f t="shared" si="85"/>
        <v>PO044697</v>
      </c>
      <c r="R585" t="str">
        <f t="shared" si="86"/>
        <v>Baby Lips Color Balm - Cherry Kiss</v>
      </c>
      <c r="S585" t="str">
        <f t="shared" si="87"/>
        <v>SA980997</v>
      </c>
      <c r="T585">
        <f t="shared" si="88"/>
        <v>1</v>
      </c>
      <c r="U585">
        <f t="shared" si="89"/>
        <v>12</v>
      </c>
    </row>
    <row r="586" spans="1:21" x14ac:dyDescent="0.25">
      <c r="A586">
        <f t="shared" si="81"/>
        <v>11</v>
      </c>
      <c r="E586" t="s">
        <v>5091</v>
      </c>
      <c r="F586" t="s">
        <v>5149</v>
      </c>
      <c r="G586" t="s">
        <v>6569</v>
      </c>
      <c r="H586" s="2">
        <v>1</v>
      </c>
      <c r="I586" s="2">
        <v>12</v>
      </c>
      <c r="N586" t="str">
        <f t="shared" si="82"/>
        <v>Al Kunuz General Trading LLC</v>
      </c>
      <c r="O586" t="str">
        <f t="shared" si="83"/>
        <v>W1315389532</v>
      </c>
      <c r="P586" t="str">
        <f t="shared" si="84"/>
        <v>MA096BE12PPR-632882</v>
      </c>
      <c r="Q586" t="str">
        <f t="shared" si="85"/>
        <v>PO044978</v>
      </c>
      <c r="R586" t="str">
        <f t="shared" si="86"/>
        <v>Baby Lips Color Balm - Cherry Kiss</v>
      </c>
      <c r="S586" t="str">
        <f t="shared" si="87"/>
        <v>SA988788</v>
      </c>
      <c r="T586">
        <f t="shared" si="88"/>
        <v>1</v>
      </c>
      <c r="U586">
        <f t="shared" si="89"/>
        <v>12</v>
      </c>
    </row>
    <row r="587" spans="1:21" x14ac:dyDescent="0.25">
      <c r="A587">
        <f t="shared" si="81"/>
        <v>11</v>
      </c>
      <c r="C587" t="s">
        <v>5151</v>
      </c>
      <c r="D587" t="s">
        <v>5152</v>
      </c>
      <c r="E587" t="s">
        <v>4900</v>
      </c>
      <c r="F587" t="s">
        <v>3343</v>
      </c>
      <c r="G587" t="s">
        <v>5150</v>
      </c>
      <c r="H587" s="2">
        <v>1</v>
      </c>
      <c r="I587" s="2">
        <v>46</v>
      </c>
      <c r="N587" t="str">
        <f t="shared" si="82"/>
        <v>Al Kunuz General Trading LLC</v>
      </c>
      <c r="O587" t="str">
        <f t="shared" si="83"/>
        <v>W1315399210</v>
      </c>
      <c r="P587" t="str">
        <f t="shared" si="84"/>
        <v>SA222AT32CDV-643129</v>
      </c>
      <c r="Q587" t="str">
        <f t="shared" si="85"/>
        <v>PO044697</v>
      </c>
      <c r="R587" t="str">
        <f t="shared" si="86"/>
        <v>Laser Cut-Out Top, Navy Blue</v>
      </c>
      <c r="S587" t="str">
        <f t="shared" si="87"/>
        <v>SA974642</v>
      </c>
      <c r="T587">
        <f t="shared" si="88"/>
        <v>1</v>
      </c>
      <c r="U587">
        <f t="shared" si="89"/>
        <v>46</v>
      </c>
    </row>
    <row r="588" spans="1:21" x14ac:dyDescent="0.25">
      <c r="A588">
        <f t="shared" si="81"/>
        <v>11</v>
      </c>
      <c r="C588" t="s">
        <v>5158</v>
      </c>
      <c r="D588" t="s">
        <v>5159</v>
      </c>
      <c r="E588" t="s">
        <v>4900</v>
      </c>
      <c r="F588" t="s">
        <v>5160</v>
      </c>
      <c r="G588" t="s">
        <v>5157</v>
      </c>
      <c r="H588" s="2">
        <v>1</v>
      </c>
      <c r="I588" s="2">
        <v>20</v>
      </c>
      <c r="N588" t="str">
        <f t="shared" si="82"/>
        <v>Al Kunuz General Trading LLC</v>
      </c>
      <c r="O588" t="str">
        <f t="shared" si="83"/>
        <v>W1315439774</v>
      </c>
      <c r="P588" t="str">
        <f t="shared" si="84"/>
        <v>BE247BE59VZC-693750</v>
      </c>
      <c r="Q588" t="str">
        <f t="shared" si="85"/>
        <v>PO044697</v>
      </c>
      <c r="R588" t="str">
        <f t="shared" si="86"/>
        <v>Beardo Beard Wash - The Blood &amp; Sand</v>
      </c>
      <c r="S588" t="str">
        <f t="shared" si="87"/>
        <v>SA974830</v>
      </c>
      <c r="T588">
        <f t="shared" si="88"/>
        <v>1</v>
      </c>
      <c r="U588">
        <f t="shared" si="89"/>
        <v>20</v>
      </c>
    </row>
    <row r="589" spans="1:21" x14ac:dyDescent="0.25">
      <c r="A589">
        <f t="shared" si="81"/>
        <v>11</v>
      </c>
      <c r="C589" t="s">
        <v>5162</v>
      </c>
      <c r="D589" t="s">
        <v>5163</v>
      </c>
      <c r="E589" t="s">
        <v>4900</v>
      </c>
      <c r="F589" t="s">
        <v>5164</v>
      </c>
      <c r="G589" t="s">
        <v>5161</v>
      </c>
      <c r="H589" s="2">
        <v>1</v>
      </c>
      <c r="I589" s="2">
        <v>32</v>
      </c>
      <c r="N589" t="str">
        <f t="shared" si="82"/>
        <v>Al Kunuz General Trading LLC</v>
      </c>
      <c r="O589" t="str">
        <f t="shared" si="83"/>
        <v>W1315439899</v>
      </c>
      <c r="P589" t="str">
        <f t="shared" si="84"/>
        <v>SA302BE57VZE-693752</v>
      </c>
      <c r="Q589" t="str">
        <f t="shared" si="85"/>
        <v>PO044697</v>
      </c>
      <c r="R589" t="str">
        <f t="shared" si="86"/>
        <v>Saint Beard Brush Boar Bristle</v>
      </c>
      <c r="S589" t="str">
        <f t="shared" si="87"/>
        <v>SA974831</v>
      </c>
      <c r="T589">
        <f t="shared" si="88"/>
        <v>1</v>
      </c>
      <c r="U589">
        <f t="shared" si="89"/>
        <v>32</v>
      </c>
    </row>
    <row r="590" spans="1:21" x14ac:dyDescent="0.25">
      <c r="A590">
        <f t="shared" si="81"/>
        <v>11</v>
      </c>
      <c r="C590" t="s">
        <v>5166</v>
      </c>
      <c r="D590" t="s">
        <v>5167</v>
      </c>
      <c r="E590" t="s">
        <v>4900</v>
      </c>
      <c r="F590" t="s">
        <v>5168</v>
      </c>
      <c r="G590" t="s">
        <v>5165</v>
      </c>
      <c r="H590" s="2">
        <v>1</v>
      </c>
      <c r="I590" s="2">
        <v>32</v>
      </c>
      <c r="N590" t="str">
        <f t="shared" si="82"/>
        <v>Al Kunuz General Trading LLC</v>
      </c>
      <c r="O590" t="str">
        <f t="shared" si="83"/>
        <v>W1315438097</v>
      </c>
      <c r="P590" t="str">
        <f t="shared" si="84"/>
        <v>US246BE20VWT-693689</v>
      </c>
      <c r="Q590" t="str">
        <f t="shared" si="85"/>
        <v>PO044697</v>
      </c>
      <c r="R590" t="str">
        <f t="shared" si="86"/>
        <v>Ustraa Woody Beard Softener</v>
      </c>
      <c r="S590" t="str">
        <f t="shared" si="87"/>
        <v>SA974832</v>
      </c>
      <c r="T590">
        <f t="shared" si="88"/>
        <v>1</v>
      </c>
      <c r="U590">
        <f t="shared" si="89"/>
        <v>32</v>
      </c>
    </row>
    <row r="591" spans="1:21" x14ac:dyDescent="0.25">
      <c r="A591">
        <f t="shared" si="81"/>
        <v>11</v>
      </c>
      <c r="C591" t="s">
        <v>5170</v>
      </c>
      <c r="D591" t="s">
        <v>5171</v>
      </c>
      <c r="E591" t="s">
        <v>4900</v>
      </c>
      <c r="F591" t="s">
        <v>5172</v>
      </c>
      <c r="G591" t="s">
        <v>5169</v>
      </c>
      <c r="H591" s="2">
        <v>1</v>
      </c>
      <c r="I591" s="2">
        <v>21</v>
      </c>
      <c r="N591" t="str">
        <f t="shared" si="82"/>
        <v>Al Kunuz General Trading LLC</v>
      </c>
      <c r="O591" t="str">
        <f t="shared" si="83"/>
        <v>W1315438283</v>
      </c>
      <c r="P591" t="str">
        <f t="shared" si="84"/>
        <v>SA302BE08VXF-693701</v>
      </c>
      <c r="Q591" t="str">
        <f t="shared" si="85"/>
        <v>PO044697</v>
      </c>
      <c r="R591" t="str">
        <f t="shared" si="86"/>
        <v>Saint Beard &amp; Moustache Wax</v>
      </c>
      <c r="S591" t="str">
        <f t="shared" si="87"/>
        <v>SA974833</v>
      </c>
      <c r="T591">
        <f t="shared" si="88"/>
        <v>1</v>
      </c>
      <c r="U591">
        <f t="shared" si="89"/>
        <v>21</v>
      </c>
    </row>
    <row r="592" spans="1:21" x14ac:dyDescent="0.25">
      <c r="A592">
        <f t="shared" si="81"/>
        <v>11</v>
      </c>
      <c r="C592" t="s">
        <v>5174</v>
      </c>
      <c r="D592" t="s">
        <v>5175</v>
      </c>
      <c r="E592" t="s">
        <v>4900</v>
      </c>
      <c r="F592" t="s">
        <v>5176</v>
      </c>
      <c r="G592" t="s">
        <v>5173</v>
      </c>
      <c r="H592" s="2">
        <v>1</v>
      </c>
      <c r="I592" s="2">
        <v>100</v>
      </c>
      <c r="N592" t="str">
        <f t="shared" si="82"/>
        <v>Al Kunuz General Trading LLC</v>
      </c>
      <c r="O592" t="str">
        <f t="shared" si="83"/>
        <v>W1315381138</v>
      </c>
      <c r="P592" t="str">
        <f t="shared" si="84"/>
        <v>MO687AT83UJW-636560</v>
      </c>
      <c r="Q592" t="str">
        <f t="shared" si="85"/>
        <v>PO044697</v>
      </c>
      <c r="R592" t="str">
        <f t="shared" si="86"/>
        <v>Casual Capri, Dark Blue</v>
      </c>
      <c r="S592" t="str">
        <f t="shared" si="87"/>
        <v>SA974838</v>
      </c>
      <c r="T592">
        <f t="shared" si="88"/>
        <v>1</v>
      </c>
      <c r="U592">
        <f t="shared" si="89"/>
        <v>100</v>
      </c>
    </row>
    <row r="593" spans="1:21" x14ac:dyDescent="0.25">
      <c r="A593">
        <f t="shared" si="81"/>
        <v>11</v>
      </c>
      <c r="C593" t="s">
        <v>5178</v>
      </c>
      <c r="D593" t="s">
        <v>5179</v>
      </c>
      <c r="E593" t="s">
        <v>4900</v>
      </c>
      <c r="F593" t="s">
        <v>5180</v>
      </c>
      <c r="G593" t="s">
        <v>5177</v>
      </c>
      <c r="H593" s="2">
        <v>1</v>
      </c>
      <c r="I593" s="2">
        <v>47</v>
      </c>
      <c r="N593" t="str">
        <f t="shared" si="82"/>
        <v>Al Kunuz General Trading LLC</v>
      </c>
      <c r="O593" t="str">
        <f t="shared" si="83"/>
        <v>W1315241972</v>
      </c>
      <c r="P593" t="str">
        <f t="shared" si="84"/>
        <v>MI070AT95YWY-444077</v>
      </c>
      <c r="Q593" t="str">
        <f t="shared" si="85"/>
        <v>PO044697</v>
      </c>
      <c r="R593" t="str">
        <f t="shared" si="86"/>
        <v>Top, Orange</v>
      </c>
      <c r="S593" t="str">
        <f t="shared" si="87"/>
        <v>SA974839</v>
      </c>
      <c r="T593">
        <f t="shared" si="88"/>
        <v>1</v>
      </c>
      <c r="U593">
        <f t="shared" si="89"/>
        <v>47</v>
      </c>
    </row>
    <row r="594" spans="1:21" x14ac:dyDescent="0.25">
      <c r="A594">
        <f t="shared" si="81"/>
        <v>11</v>
      </c>
      <c r="C594" t="s">
        <v>5182</v>
      </c>
      <c r="D594" t="s">
        <v>5183</v>
      </c>
      <c r="E594" t="s">
        <v>4900</v>
      </c>
      <c r="F594" t="s">
        <v>5184</v>
      </c>
      <c r="G594" t="s">
        <v>5181</v>
      </c>
      <c r="H594" s="2">
        <v>1</v>
      </c>
      <c r="I594" s="2">
        <v>22</v>
      </c>
      <c r="N594" t="str">
        <f t="shared" si="82"/>
        <v>Al Kunuz General Trading LLC</v>
      </c>
      <c r="O594" t="str">
        <f t="shared" si="83"/>
        <v>W1315153482</v>
      </c>
      <c r="P594" t="str">
        <f t="shared" si="84"/>
        <v>ST879AT19MBO-97434</v>
      </c>
      <c r="Q594" t="str">
        <f t="shared" si="85"/>
        <v>PO044697</v>
      </c>
      <c r="R594" t="str">
        <f t="shared" si="86"/>
        <v>Stoee Women's Top STWF15TPP0101 MultiColored</v>
      </c>
      <c r="S594" t="str">
        <f t="shared" si="87"/>
        <v>SA974842</v>
      </c>
      <c r="T594">
        <f t="shared" si="88"/>
        <v>1</v>
      </c>
      <c r="U594">
        <f t="shared" si="89"/>
        <v>22</v>
      </c>
    </row>
    <row r="595" spans="1:21" x14ac:dyDescent="0.25">
      <c r="A595">
        <f t="shared" si="81"/>
        <v>11</v>
      </c>
      <c r="C595" t="s">
        <v>5188</v>
      </c>
      <c r="D595" t="s">
        <v>5189</v>
      </c>
      <c r="E595" t="s">
        <v>4900</v>
      </c>
      <c r="F595" t="s">
        <v>5190</v>
      </c>
      <c r="G595" t="s">
        <v>5187</v>
      </c>
      <c r="H595" s="2">
        <v>1</v>
      </c>
      <c r="I595" s="2">
        <v>134</v>
      </c>
      <c r="N595" t="str">
        <f t="shared" si="82"/>
        <v>Al Kunuz General Trading LLC</v>
      </c>
      <c r="O595" t="str">
        <f t="shared" si="83"/>
        <v>W1315210301</v>
      </c>
      <c r="P595" t="str">
        <f t="shared" si="84"/>
        <v>MR178AT69FUW-382500</v>
      </c>
      <c r="Q595" t="str">
        <f t="shared" si="85"/>
        <v>PO044697</v>
      </c>
      <c r="R595" t="str">
        <f t="shared" si="86"/>
        <v>Mr Button Black Cotton Solid Shirt</v>
      </c>
      <c r="S595" t="str">
        <f t="shared" si="87"/>
        <v>SA974947</v>
      </c>
      <c r="T595">
        <f t="shared" si="88"/>
        <v>1</v>
      </c>
      <c r="U595">
        <f t="shared" si="89"/>
        <v>134</v>
      </c>
    </row>
    <row r="596" spans="1:21" x14ac:dyDescent="0.25">
      <c r="A596">
        <f t="shared" si="81"/>
        <v>11</v>
      </c>
      <c r="C596" t="s">
        <v>5192</v>
      </c>
      <c r="D596" t="s">
        <v>5193</v>
      </c>
      <c r="E596" t="s">
        <v>4900</v>
      </c>
      <c r="F596" t="s">
        <v>5194</v>
      </c>
      <c r="G596" t="s">
        <v>5191</v>
      </c>
      <c r="H596" s="2">
        <v>1</v>
      </c>
      <c r="I596" s="2">
        <v>36</v>
      </c>
      <c r="N596" t="str">
        <f t="shared" si="82"/>
        <v>Al Kunuz General Trading LLC</v>
      </c>
      <c r="O596" t="str">
        <f t="shared" si="83"/>
        <v>W1315397641</v>
      </c>
      <c r="P596" t="str">
        <f t="shared" si="84"/>
        <v>CA149AC25BOS-642414</v>
      </c>
      <c r="Q596" t="str">
        <f t="shared" si="85"/>
        <v>PO044697</v>
      </c>
      <c r="R596" t="str">
        <f t="shared" si="86"/>
        <v>Round Unisex Sunglasses (SAG39Us, Silver)</v>
      </c>
      <c r="S596" t="str">
        <f t="shared" si="87"/>
        <v>SA974958</v>
      </c>
      <c r="T596">
        <f t="shared" si="88"/>
        <v>1</v>
      </c>
      <c r="U596">
        <f t="shared" si="89"/>
        <v>36</v>
      </c>
    </row>
    <row r="597" spans="1:21" x14ac:dyDescent="0.25">
      <c r="A597">
        <f t="shared" si="81"/>
        <v>11</v>
      </c>
      <c r="C597" t="s">
        <v>5201</v>
      </c>
      <c r="D597" t="s">
        <v>5202</v>
      </c>
      <c r="E597" t="s">
        <v>4900</v>
      </c>
      <c r="F597" t="s">
        <v>5203</v>
      </c>
      <c r="G597" t="s">
        <v>5200</v>
      </c>
      <c r="H597" s="2">
        <v>1</v>
      </c>
      <c r="I597" s="2">
        <v>32</v>
      </c>
      <c r="N597" t="str">
        <f t="shared" si="82"/>
        <v>Al Kunuz General Trading LLC</v>
      </c>
      <c r="O597" t="str">
        <f t="shared" si="83"/>
        <v>W1315391570</v>
      </c>
      <c r="P597" t="str">
        <f t="shared" si="84"/>
        <v>MA096BE79SEI-634639</v>
      </c>
      <c r="Q597" t="str">
        <f t="shared" si="85"/>
        <v>PO044697</v>
      </c>
      <c r="R597" t="str">
        <f t="shared" si="86"/>
        <v>Lash Sensational Mascara - Waterproof Black</v>
      </c>
      <c r="S597" t="str">
        <f t="shared" si="87"/>
        <v>SA975061</v>
      </c>
      <c r="T597">
        <f t="shared" si="88"/>
        <v>1</v>
      </c>
      <c r="U597">
        <f t="shared" si="89"/>
        <v>32</v>
      </c>
    </row>
    <row r="598" spans="1:21" x14ac:dyDescent="0.25">
      <c r="A598">
        <f t="shared" si="81"/>
        <v>11</v>
      </c>
      <c r="G598" t="s">
        <v>5369</v>
      </c>
      <c r="H598" s="2">
        <v>1</v>
      </c>
      <c r="I598" s="2">
        <v>32</v>
      </c>
      <c r="N598" t="str">
        <f t="shared" si="82"/>
        <v>Al Kunuz General Trading LLC</v>
      </c>
      <c r="O598" t="str">
        <f t="shared" si="83"/>
        <v>W1315391570</v>
      </c>
      <c r="P598" t="str">
        <f t="shared" si="84"/>
        <v>MA096BE79SEI-634639</v>
      </c>
      <c r="Q598" t="str">
        <f t="shared" si="85"/>
        <v>PO044697</v>
      </c>
      <c r="R598" t="str">
        <f t="shared" si="86"/>
        <v>Lash Sensational Mascara - Waterproof Black</v>
      </c>
      <c r="S598" t="str">
        <f t="shared" si="87"/>
        <v>SA977414</v>
      </c>
      <c r="T598">
        <f t="shared" si="88"/>
        <v>1</v>
      </c>
      <c r="U598">
        <f t="shared" si="89"/>
        <v>32</v>
      </c>
    </row>
    <row r="599" spans="1:21" x14ac:dyDescent="0.25">
      <c r="A599">
        <f t="shared" si="81"/>
        <v>11</v>
      </c>
      <c r="E599" t="s">
        <v>5091</v>
      </c>
      <c r="F599" t="s">
        <v>5203</v>
      </c>
      <c r="G599" t="s">
        <v>6052</v>
      </c>
      <c r="H599" s="2">
        <v>1</v>
      </c>
      <c r="I599" s="2">
        <v>32</v>
      </c>
      <c r="N599" t="str">
        <f t="shared" si="82"/>
        <v>Al Kunuz General Trading LLC</v>
      </c>
      <c r="O599" t="str">
        <f t="shared" si="83"/>
        <v>W1315391570</v>
      </c>
      <c r="P599" t="str">
        <f t="shared" si="84"/>
        <v>MA096BE79SEI-634639</v>
      </c>
      <c r="Q599" t="str">
        <f t="shared" si="85"/>
        <v>PO044978</v>
      </c>
      <c r="R599" t="str">
        <f t="shared" si="86"/>
        <v>Lash Sensational Mascara - Waterproof Black</v>
      </c>
      <c r="S599" t="str">
        <f t="shared" si="87"/>
        <v>SA983158</v>
      </c>
      <c r="T599">
        <f t="shared" si="88"/>
        <v>1</v>
      </c>
      <c r="U599">
        <f t="shared" si="89"/>
        <v>32</v>
      </c>
    </row>
    <row r="600" spans="1:21" x14ac:dyDescent="0.25">
      <c r="A600">
        <f t="shared" si="81"/>
        <v>11</v>
      </c>
      <c r="C600" t="s">
        <v>5210</v>
      </c>
      <c r="D600" t="s">
        <v>5211</v>
      </c>
      <c r="E600" t="s">
        <v>4900</v>
      </c>
      <c r="F600" t="s">
        <v>3613</v>
      </c>
      <c r="G600" t="s">
        <v>5209</v>
      </c>
      <c r="H600" s="2">
        <v>1</v>
      </c>
      <c r="I600" s="2">
        <v>77</v>
      </c>
      <c r="N600" t="str">
        <f t="shared" si="82"/>
        <v>Al Kunuz General Trading LLC</v>
      </c>
      <c r="O600" t="str">
        <f t="shared" si="83"/>
        <v>W1315186893</v>
      </c>
      <c r="P600" t="str">
        <f t="shared" si="84"/>
        <v>TH718AT52OBZ-365921</v>
      </c>
      <c r="Q600" t="str">
        <f t="shared" si="85"/>
        <v>PO044697</v>
      </c>
      <c r="R600" t="str">
        <f t="shared" si="86"/>
        <v>THREADCURRY Black Graphic Printed Round Neck T Shirt</v>
      </c>
      <c r="S600" t="str">
        <f t="shared" si="87"/>
        <v>SA975164</v>
      </c>
      <c r="T600">
        <f t="shared" si="88"/>
        <v>1</v>
      </c>
      <c r="U600">
        <f t="shared" si="89"/>
        <v>77</v>
      </c>
    </row>
    <row r="601" spans="1:21" x14ac:dyDescent="0.25">
      <c r="A601">
        <f t="shared" si="81"/>
        <v>11</v>
      </c>
      <c r="C601" t="s">
        <v>5220</v>
      </c>
      <c r="D601" t="s">
        <v>5221</v>
      </c>
      <c r="E601" t="s">
        <v>4900</v>
      </c>
      <c r="F601" t="s">
        <v>5222</v>
      </c>
      <c r="G601" t="s">
        <v>5219</v>
      </c>
      <c r="H601" s="2">
        <v>1</v>
      </c>
      <c r="I601" s="2">
        <v>18</v>
      </c>
      <c r="N601" t="str">
        <f t="shared" si="82"/>
        <v>Al Kunuz General Trading LLC</v>
      </c>
      <c r="O601" t="str">
        <f t="shared" si="83"/>
        <v>W1315353941</v>
      </c>
      <c r="P601" t="str">
        <f t="shared" si="84"/>
        <v>AM977AT02NJL-592671</v>
      </c>
      <c r="Q601" t="str">
        <f t="shared" si="85"/>
        <v>PO044697</v>
      </c>
      <c r="R601" t="str">
        <f t="shared" si="86"/>
        <v>Night Dress, Maroon</v>
      </c>
      <c r="S601" t="str">
        <f t="shared" si="87"/>
        <v>SA975350</v>
      </c>
      <c r="T601">
        <f t="shared" si="88"/>
        <v>1</v>
      </c>
      <c r="U601">
        <f t="shared" si="89"/>
        <v>18</v>
      </c>
    </row>
    <row r="602" spans="1:21" x14ac:dyDescent="0.25">
      <c r="A602">
        <f t="shared" si="81"/>
        <v>11</v>
      </c>
      <c r="C602" t="s">
        <v>5224</v>
      </c>
      <c r="D602" t="s">
        <v>5225</v>
      </c>
      <c r="E602" t="s">
        <v>4900</v>
      </c>
      <c r="F602" t="s">
        <v>5226</v>
      </c>
      <c r="G602" t="s">
        <v>5223</v>
      </c>
      <c r="H602" s="2">
        <v>1</v>
      </c>
      <c r="I602" s="2">
        <v>73</v>
      </c>
      <c r="N602" t="str">
        <f t="shared" si="82"/>
        <v>Al Kunuz General Trading LLC</v>
      </c>
      <c r="O602" t="str">
        <f t="shared" si="83"/>
        <v>W1315210653</v>
      </c>
      <c r="P602" t="str">
        <f t="shared" si="84"/>
        <v>MR178AT81FYG-382852</v>
      </c>
      <c r="Q602" t="str">
        <f t="shared" si="85"/>
        <v>PO044697</v>
      </c>
      <c r="R602" t="str">
        <f t="shared" si="86"/>
        <v>Mr Button Black Cotton Trouser</v>
      </c>
      <c r="S602" t="str">
        <f t="shared" si="87"/>
        <v>SA975370</v>
      </c>
      <c r="T602">
        <f t="shared" si="88"/>
        <v>1</v>
      </c>
      <c r="U602">
        <f t="shared" si="89"/>
        <v>73</v>
      </c>
    </row>
    <row r="603" spans="1:21" x14ac:dyDescent="0.25">
      <c r="A603">
        <f t="shared" si="81"/>
        <v>11</v>
      </c>
      <c r="C603" t="s">
        <v>5232</v>
      </c>
      <c r="D603" t="s">
        <v>5233</v>
      </c>
      <c r="E603" t="s">
        <v>4900</v>
      </c>
      <c r="F603" t="s">
        <v>3557</v>
      </c>
      <c r="G603" t="s">
        <v>5231</v>
      </c>
      <c r="H603" s="2">
        <v>1</v>
      </c>
      <c r="I603" s="2">
        <v>53</v>
      </c>
      <c r="N603" t="str">
        <f t="shared" si="82"/>
        <v>Al Kunuz General Trading LLC</v>
      </c>
      <c r="O603" t="str">
        <f t="shared" si="83"/>
        <v>W1315277737</v>
      </c>
      <c r="P603" t="str">
        <f t="shared" si="84"/>
        <v>SA222AT25BNY-475356</v>
      </c>
      <c r="Q603" t="str">
        <f t="shared" si="85"/>
        <v>PO044697</v>
      </c>
      <c r="R603" t="str">
        <f t="shared" si="86"/>
        <v>Shirts and Blouses, Green</v>
      </c>
      <c r="S603" t="str">
        <f t="shared" si="87"/>
        <v>SA975397</v>
      </c>
      <c r="T603">
        <f t="shared" si="88"/>
        <v>1</v>
      </c>
      <c r="U603">
        <f t="shared" si="89"/>
        <v>53</v>
      </c>
    </row>
    <row r="604" spans="1:21" x14ac:dyDescent="0.25">
      <c r="A604">
        <f t="shared" si="81"/>
        <v>11</v>
      </c>
      <c r="G604" t="s">
        <v>5314</v>
      </c>
      <c r="H604" s="2">
        <v>1</v>
      </c>
      <c r="I604" s="2">
        <v>53</v>
      </c>
      <c r="N604" t="str">
        <f t="shared" si="82"/>
        <v>Al Kunuz General Trading LLC</v>
      </c>
      <c r="O604" t="str">
        <f t="shared" si="83"/>
        <v>W1315277737</v>
      </c>
      <c r="P604" t="str">
        <f t="shared" si="84"/>
        <v>SA222AT25BNY-475356</v>
      </c>
      <c r="Q604" t="str">
        <f t="shared" si="85"/>
        <v>PO044697</v>
      </c>
      <c r="R604" t="str">
        <f t="shared" si="86"/>
        <v>Shirts and Blouses, Green</v>
      </c>
      <c r="S604" t="str">
        <f t="shared" si="87"/>
        <v>SA976338</v>
      </c>
      <c r="T604">
        <f t="shared" si="88"/>
        <v>1</v>
      </c>
      <c r="U604">
        <f t="shared" si="89"/>
        <v>53</v>
      </c>
    </row>
    <row r="605" spans="1:21" x14ac:dyDescent="0.25">
      <c r="A605">
        <f t="shared" si="81"/>
        <v>11</v>
      </c>
      <c r="G605" t="s">
        <v>5878</v>
      </c>
      <c r="H605" s="2">
        <v>1</v>
      </c>
      <c r="I605" s="2">
        <v>53</v>
      </c>
      <c r="N605" t="str">
        <f t="shared" si="82"/>
        <v>Al Kunuz General Trading LLC</v>
      </c>
      <c r="O605" t="str">
        <f t="shared" si="83"/>
        <v>W1315277737</v>
      </c>
      <c r="P605" t="str">
        <f t="shared" si="84"/>
        <v>SA222AT25BNY-475356</v>
      </c>
      <c r="Q605" t="str">
        <f t="shared" si="85"/>
        <v>PO044697</v>
      </c>
      <c r="R605" t="str">
        <f t="shared" si="86"/>
        <v>Shirts and Blouses, Green</v>
      </c>
      <c r="S605" t="str">
        <f t="shared" si="87"/>
        <v>SA981559</v>
      </c>
      <c r="T605">
        <f t="shared" si="88"/>
        <v>1</v>
      </c>
      <c r="U605">
        <f t="shared" si="89"/>
        <v>53</v>
      </c>
    </row>
    <row r="606" spans="1:21" x14ac:dyDescent="0.25">
      <c r="A606">
        <f t="shared" si="81"/>
        <v>11</v>
      </c>
      <c r="C606" t="s">
        <v>5240</v>
      </c>
      <c r="D606" t="s">
        <v>5241</v>
      </c>
      <c r="E606" t="s">
        <v>5091</v>
      </c>
      <c r="F606" t="s">
        <v>5242</v>
      </c>
      <c r="G606" t="s">
        <v>5239</v>
      </c>
      <c r="H606" s="2">
        <v>1</v>
      </c>
      <c r="I606" s="2">
        <v>69</v>
      </c>
      <c r="N606" t="str">
        <f t="shared" si="82"/>
        <v>Al Kunuz General Trading LLC</v>
      </c>
      <c r="O606" t="str">
        <f t="shared" si="83"/>
        <v>W1315204141</v>
      </c>
      <c r="P606" t="str">
        <f t="shared" si="84"/>
        <v>CR884AC42JGJ-387515</v>
      </c>
      <c r="Q606" t="str">
        <f t="shared" si="85"/>
        <v>PO044978</v>
      </c>
      <c r="R606" t="str">
        <f t="shared" si="86"/>
        <v>Crunchy Fashion Waves of Wonder Pendant Ring Set (White ) - CFS0102</v>
      </c>
      <c r="S606" t="str">
        <f t="shared" si="87"/>
        <v>SA975481</v>
      </c>
      <c r="T606">
        <f t="shared" si="88"/>
        <v>1</v>
      </c>
      <c r="U606">
        <f t="shared" si="89"/>
        <v>69</v>
      </c>
    </row>
    <row r="607" spans="1:21" x14ac:dyDescent="0.25">
      <c r="A607">
        <f t="shared" si="81"/>
        <v>11</v>
      </c>
      <c r="G607" t="s">
        <v>6478</v>
      </c>
      <c r="H607" s="2">
        <v>1</v>
      </c>
      <c r="I607" s="2">
        <v>69</v>
      </c>
      <c r="N607" t="str">
        <f t="shared" si="82"/>
        <v>Al Kunuz General Trading LLC</v>
      </c>
      <c r="O607" t="str">
        <f t="shared" si="83"/>
        <v>W1315204141</v>
      </c>
      <c r="P607" t="str">
        <f t="shared" si="84"/>
        <v>CR884AC42JGJ-387515</v>
      </c>
      <c r="Q607" t="str">
        <f t="shared" si="85"/>
        <v>PO044978</v>
      </c>
      <c r="R607" t="str">
        <f t="shared" si="86"/>
        <v>Crunchy Fashion Waves of Wonder Pendant Ring Set (White ) - CFS0102</v>
      </c>
      <c r="S607" t="str">
        <f t="shared" si="87"/>
        <v>SA987702</v>
      </c>
      <c r="T607">
        <f t="shared" si="88"/>
        <v>1</v>
      </c>
      <c r="U607">
        <f t="shared" si="89"/>
        <v>69</v>
      </c>
    </row>
    <row r="608" spans="1:21" x14ac:dyDescent="0.25">
      <c r="A608">
        <f t="shared" si="81"/>
        <v>11</v>
      </c>
      <c r="C608" t="s">
        <v>5244</v>
      </c>
      <c r="D608" t="s">
        <v>5245</v>
      </c>
      <c r="E608" t="s">
        <v>4900</v>
      </c>
      <c r="F608" t="s">
        <v>5246</v>
      </c>
      <c r="G608" t="s">
        <v>5243</v>
      </c>
      <c r="H608" s="2">
        <v>1</v>
      </c>
      <c r="I608" s="2">
        <v>11</v>
      </c>
      <c r="N608" t="str">
        <f t="shared" si="82"/>
        <v>Al Kunuz General Trading LLC</v>
      </c>
      <c r="O608" t="str">
        <f t="shared" si="83"/>
        <v>W1315390058</v>
      </c>
      <c r="P608" t="str">
        <f t="shared" si="84"/>
        <v>MA096BE63SQM-634955</v>
      </c>
      <c r="Q608" t="str">
        <f t="shared" si="85"/>
        <v>PO044697</v>
      </c>
      <c r="R608" t="str">
        <f t="shared" si="86"/>
        <v>Color Show Glitter Mania Nail Lacquer - 601 All that Glitters</v>
      </c>
      <c r="S608" t="str">
        <f t="shared" si="87"/>
        <v>SA975545</v>
      </c>
      <c r="T608">
        <f t="shared" si="88"/>
        <v>1</v>
      </c>
      <c r="U608">
        <f t="shared" si="89"/>
        <v>11</v>
      </c>
    </row>
    <row r="609" spans="1:21" x14ac:dyDescent="0.25">
      <c r="A609">
        <f t="shared" si="81"/>
        <v>11</v>
      </c>
      <c r="C609" t="s">
        <v>5248</v>
      </c>
      <c r="D609" t="s">
        <v>5249</v>
      </c>
      <c r="E609" t="s">
        <v>4900</v>
      </c>
      <c r="F609" t="s">
        <v>5250</v>
      </c>
      <c r="G609" t="s">
        <v>5247</v>
      </c>
      <c r="H609" s="2">
        <v>1</v>
      </c>
      <c r="I609" s="2">
        <v>7</v>
      </c>
      <c r="N609" t="str">
        <f t="shared" si="82"/>
        <v>Al Kunuz General Trading LLC</v>
      </c>
      <c r="O609" t="str">
        <f t="shared" si="83"/>
        <v>W1315389762</v>
      </c>
      <c r="P609" t="str">
        <f t="shared" si="84"/>
        <v>MA096BE67SQI-634951</v>
      </c>
      <c r="Q609" t="str">
        <f t="shared" si="85"/>
        <v>PO044697</v>
      </c>
      <c r="R609" t="str">
        <f t="shared" si="86"/>
        <v>Color Show Nail Lacquer - Crazy Berry</v>
      </c>
      <c r="S609" t="str">
        <f t="shared" si="87"/>
        <v>SA975550</v>
      </c>
      <c r="T609">
        <f t="shared" si="88"/>
        <v>1</v>
      </c>
      <c r="U609">
        <f t="shared" si="89"/>
        <v>7</v>
      </c>
    </row>
    <row r="610" spans="1:21" x14ac:dyDescent="0.25">
      <c r="A610">
        <f t="shared" si="81"/>
        <v>11</v>
      </c>
      <c r="C610" t="s">
        <v>5264</v>
      </c>
      <c r="D610" t="s">
        <v>5265</v>
      </c>
      <c r="E610" t="s">
        <v>4900</v>
      </c>
      <c r="F610" t="s">
        <v>5266</v>
      </c>
      <c r="G610" t="s">
        <v>5263</v>
      </c>
      <c r="H610" s="2">
        <v>1</v>
      </c>
      <c r="I610" s="2">
        <v>113</v>
      </c>
      <c r="N610" t="str">
        <f t="shared" si="82"/>
        <v>Al Kunuz General Trading LLC</v>
      </c>
      <c r="O610" t="str">
        <f t="shared" si="83"/>
        <v>W1315379918</v>
      </c>
      <c r="P610" t="str">
        <f t="shared" si="84"/>
        <v>SH079AT41ORM-631306</v>
      </c>
      <c r="Q610" t="str">
        <f t="shared" si="85"/>
        <v>PO044697</v>
      </c>
      <c r="R610" t="str">
        <f t="shared" si="86"/>
        <v>Casual Trousers, Browns</v>
      </c>
      <c r="S610" t="str">
        <f t="shared" si="87"/>
        <v>SA975864</v>
      </c>
      <c r="T610">
        <f t="shared" si="88"/>
        <v>1</v>
      </c>
      <c r="U610">
        <f t="shared" si="89"/>
        <v>113</v>
      </c>
    </row>
    <row r="611" spans="1:21" x14ac:dyDescent="0.25">
      <c r="A611">
        <f t="shared" si="81"/>
        <v>11</v>
      </c>
      <c r="C611" t="s">
        <v>5270</v>
      </c>
      <c r="D611" t="s">
        <v>5271</v>
      </c>
      <c r="E611" t="s">
        <v>4900</v>
      </c>
      <c r="F611" t="s">
        <v>3799</v>
      </c>
      <c r="G611" t="s">
        <v>5269</v>
      </c>
      <c r="H611" s="2">
        <v>1</v>
      </c>
      <c r="I611" s="2">
        <v>41</v>
      </c>
      <c r="N611" t="str">
        <f t="shared" si="82"/>
        <v>Al Kunuz General Trading LLC</v>
      </c>
      <c r="O611" t="str">
        <f t="shared" si="83"/>
        <v>W1315318322</v>
      </c>
      <c r="P611" t="str">
        <f t="shared" si="84"/>
        <v>ST879AT74NAZ-521873</v>
      </c>
      <c r="Q611" t="str">
        <f t="shared" si="85"/>
        <v>PO044697</v>
      </c>
      <c r="R611" t="str">
        <f t="shared" si="86"/>
        <v>Pleated Top, Sky Blue</v>
      </c>
      <c r="S611" t="str">
        <f t="shared" si="87"/>
        <v>SA976088</v>
      </c>
      <c r="T611">
        <f t="shared" si="88"/>
        <v>1</v>
      </c>
      <c r="U611">
        <f t="shared" si="89"/>
        <v>41</v>
      </c>
    </row>
    <row r="612" spans="1:21" x14ac:dyDescent="0.25">
      <c r="A612">
        <f t="shared" si="81"/>
        <v>11</v>
      </c>
      <c r="C612" t="s">
        <v>5273</v>
      </c>
      <c r="D612" t="s">
        <v>5274</v>
      </c>
      <c r="E612" t="s">
        <v>4900</v>
      </c>
      <c r="F612" t="s">
        <v>5275</v>
      </c>
      <c r="G612" t="s">
        <v>5272</v>
      </c>
      <c r="H612" s="2">
        <v>1</v>
      </c>
      <c r="I612" s="2">
        <v>59</v>
      </c>
      <c r="N612" t="str">
        <f t="shared" si="82"/>
        <v>Al Kunuz General Trading LLC</v>
      </c>
      <c r="O612" t="str">
        <f t="shared" si="83"/>
        <v>W1315464186</v>
      </c>
      <c r="P612" t="str">
        <f t="shared" si="84"/>
        <v>ST879AT92CID-717599</v>
      </c>
      <c r="Q612" t="str">
        <f t="shared" si="85"/>
        <v>PO044697</v>
      </c>
      <c r="R612" t="str">
        <f t="shared" si="86"/>
        <v>Victorian Top, Grey</v>
      </c>
      <c r="S612" t="str">
        <f t="shared" si="87"/>
        <v>SA976091</v>
      </c>
      <c r="T612">
        <f t="shared" si="88"/>
        <v>1</v>
      </c>
      <c r="U612">
        <f t="shared" si="89"/>
        <v>59</v>
      </c>
    </row>
    <row r="613" spans="1:21" x14ac:dyDescent="0.25">
      <c r="A613">
        <f t="shared" si="81"/>
        <v>11</v>
      </c>
      <c r="C613" t="s">
        <v>5277</v>
      </c>
      <c r="D613" t="s">
        <v>5278</v>
      </c>
      <c r="E613" t="s">
        <v>4900</v>
      </c>
      <c r="F613" t="s">
        <v>5279</v>
      </c>
      <c r="G613" t="s">
        <v>5276</v>
      </c>
      <c r="H613" s="2">
        <v>1</v>
      </c>
      <c r="I613" s="2">
        <v>27</v>
      </c>
      <c r="N613" t="str">
        <f t="shared" si="82"/>
        <v>Al Kunuz General Trading LLC</v>
      </c>
      <c r="O613" t="str">
        <f t="shared" si="83"/>
        <v>W1315232338</v>
      </c>
      <c r="P613" t="str">
        <f t="shared" si="84"/>
        <v>AL992AT16KYP-427757</v>
      </c>
      <c r="Q613" t="str">
        <f t="shared" si="85"/>
        <v>PO044697</v>
      </c>
      <c r="R613" t="str">
        <f t="shared" si="86"/>
        <v>A Luv Ya Women's Polyester Crepe Bird Print Top</v>
      </c>
      <c r="S613" t="str">
        <f t="shared" si="87"/>
        <v>SA976092</v>
      </c>
      <c r="T613">
        <f t="shared" si="88"/>
        <v>1</v>
      </c>
      <c r="U613">
        <f t="shared" si="89"/>
        <v>27</v>
      </c>
    </row>
    <row r="614" spans="1:21" x14ac:dyDescent="0.25">
      <c r="A614">
        <f t="shared" si="81"/>
        <v>11</v>
      </c>
      <c r="C614" t="s">
        <v>5281</v>
      </c>
      <c r="D614" t="s">
        <v>5282</v>
      </c>
      <c r="E614" t="s">
        <v>4900</v>
      </c>
      <c r="F614" t="s">
        <v>5283</v>
      </c>
      <c r="G614" t="s">
        <v>5280</v>
      </c>
      <c r="H614" s="2">
        <v>1</v>
      </c>
      <c r="I614" s="2">
        <v>57</v>
      </c>
      <c r="N614" t="str">
        <f t="shared" si="82"/>
        <v>Al Kunuz General Trading LLC</v>
      </c>
      <c r="O614" t="str">
        <f t="shared" si="83"/>
        <v>W1315364418</v>
      </c>
      <c r="P614" t="str">
        <f t="shared" si="84"/>
        <v>ST879AT42SQJ-597008</v>
      </c>
      <c r="Q614" t="str">
        <f t="shared" si="85"/>
        <v>PO044697</v>
      </c>
      <c r="R614" t="str">
        <f t="shared" si="86"/>
        <v>Scarf Detailed Shirt, Wine</v>
      </c>
      <c r="S614" t="str">
        <f t="shared" si="87"/>
        <v>SA976096</v>
      </c>
      <c r="T614">
        <f t="shared" si="88"/>
        <v>1</v>
      </c>
      <c r="U614">
        <f t="shared" si="89"/>
        <v>57</v>
      </c>
    </row>
    <row r="615" spans="1:21" x14ac:dyDescent="0.25">
      <c r="A615">
        <f t="shared" si="81"/>
        <v>11</v>
      </c>
      <c r="C615" t="s">
        <v>5285</v>
      </c>
      <c r="D615" t="s">
        <v>5286</v>
      </c>
      <c r="E615" t="s">
        <v>4900</v>
      </c>
      <c r="F615" t="s">
        <v>5287</v>
      </c>
      <c r="G615" t="s">
        <v>5284</v>
      </c>
      <c r="H615" s="2">
        <v>1</v>
      </c>
      <c r="I615" s="2">
        <v>77</v>
      </c>
      <c r="N615" t="str">
        <f t="shared" si="82"/>
        <v>Al Kunuz General Trading LLC</v>
      </c>
      <c r="O615" t="str">
        <f t="shared" si="83"/>
        <v>W1315348781</v>
      </c>
      <c r="P615" t="str">
        <f t="shared" si="84"/>
        <v>FR924AT57LJI-590050</v>
      </c>
      <c r="Q615" t="str">
        <f t="shared" si="85"/>
        <v>PO044697</v>
      </c>
      <c r="R615" t="str">
        <f t="shared" si="86"/>
        <v>Embellished Top with Long Sleeves, Peach</v>
      </c>
      <c r="S615" t="str">
        <f t="shared" si="87"/>
        <v>SA976097</v>
      </c>
      <c r="T615">
        <f t="shared" si="88"/>
        <v>1</v>
      </c>
      <c r="U615">
        <f t="shared" si="89"/>
        <v>77</v>
      </c>
    </row>
    <row r="616" spans="1:21" x14ac:dyDescent="0.25">
      <c r="A616">
        <f t="shared" si="81"/>
        <v>11</v>
      </c>
      <c r="C616" t="s">
        <v>5295</v>
      </c>
      <c r="D616" t="s">
        <v>5296</v>
      </c>
      <c r="E616" t="s">
        <v>4900</v>
      </c>
      <c r="F616" t="s">
        <v>5297</v>
      </c>
      <c r="G616" t="s">
        <v>5294</v>
      </c>
      <c r="H616" s="2">
        <v>1</v>
      </c>
      <c r="I616" s="2">
        <v>35</v>
      </c>
      <c r="N616" t="str">
        <f t="shared" si="82"/>
        <v>Al Kunuz General Trading LLC</v>
      </c>
      <c r="O616" t="str">
        <f t="shared" si="83"/>
        <v>W1315204153</v>
      </c>
      <c r="P616" t="str">
        <f t="shared" si="84"/>
        <v>CR884AC55JJS-387602</v>
      </c>
      <c r="Q616" t="str">
        <f t="shared" si="85"/>
        <v>PO044697</v>
      </c>
      <c r="R616" t="str">
        <f t="shared" si="86"/>
        <v>Crunchy Fashion Rose Gold Dual Heart Pendant Necklace (Gold) - CFN0400</v>
      </c>
      <c r="S616" t="str">
        <f t="shared" si="87"/>
        <v>SA976270</v>
      </c>
      <c r="T616">
        <f t="shared" si="88"/>
        <v>1</v>
      </c>
      <c r="U616">
        <f t="shared" si="89"/>
        <v>35</v>
      </c>
    </row>
    <row r="617" spans="1:21" x14ac:dyDescent="0.25">
      <c r="A617">
        <f t="shared" si="81"/>
        <v>11</v>
      </c>
      <c r="C617" t="s">
        <v>5316</v>
      </c>
      <c r="D617" t="s">
        <v>5317</v>
      </c>
      <c r="E617" t="s">
        <v>4900</v>
      </c>
      <c r="F617" t="s">
        <v>3501</v>
      </c>
      <c r="G617" t="s">
        <v>5315</v>
      </c>
      <c r="H617" s="2">
        <v>1</v>
      </c>
      <c r="I617" s="2">
        <v>57</v>
      </c>
      <c r="N617" t="str">
        <f t="shared" si="82"/>
        <v>Al Kunuz General Trading LLC</v>
      </c>
      <c r="O617" t="str">
        <f t="shared" si="83"/>
        <v>W1315364569</v>
      </c>
      <c r="P617" t="str">
        <f t="shared" si="84"/>
        <v>ST879AT04SRV-597159</v>
      </c>
      <c r="Q617" t="str">
        <f t="shared" si="85"/>
        <v>PO044697</v>
      </c>
      <c r="R617" t="str">
        <f t="shared" si="86"/>
        <v>Peppy Ruffle Top, Wine</v>
      </c>
      <c r="S617" t="str">
        <f t="shared" si="87"/>
        <v>SA976339</v>
      </c>
      <c r="T617">
        <f t="shared" si="88"/>
        <v>1</v>
      </c>
      <c r="U617">
        <f t="shared" si="89"/>
        <v>57</v>
      </c>
    </row>
    <row r="618" spans="1:21" x14ac:dyDescent="0.25">
      <c r="A618">
        <f t="shared" si="81"/>
        <v>11</v>
      </c>
      <c r="C618" t="s">
        <v>5319</v>
      </c>
      <c r="D618" t="s">
        <v>5320</v>
      </c>
      <c r="E618" t="s">
        <v>4900</v>
      </c>
      <c r="F618" t="s">
        <v>5321</v>
      </c>
      <c r="G618" t="s">
        <v>5318</v>
      </c>
      <c r="H618" s="2">
        <v>1</v>
      </c>
      <c r="I618" s="2">
        <v>7</v>
      </c>
      <c r="N618" t="str">
        <f t="shared" si="82"/>
        <v>Al Kunuz General Trading LLC</v>
      </c>
      <c r="O618" t="str">
        <f t="shared" si="83"/>
        <v>W1315436453</v>
      </c>
      <c r="P618" t="str">
        <f t="shared" si="84"/>
        <v>BL253BE75SGI-691234</v>
      </c>
      <c r="Q618" t="str">
        <f t="shared" si="85"/>
        <v>PO044697</v>
      </c>
      <c r="R618" t="str">
        <f t="shared" si="86"/>
        <v>Blue Heaven Xpression Make Up Stick 100% water Proof - Blush 02</v>
      </c>
      <c r="S618" t="str">
        <f t="shared" si="87"/>
        <v>SA976340</v>
      </c>
      <c r="T618">
        <f t="shared" si="88"/>
        <v>1</v>
      </c>
      <c r="U618">
        <f t="shared" si="89"/>
        <v>7</v>
      </c>
    </row>
    <row r="619" spans="1:21" x14ac:dyDescent="0.25">
      <c r="A619">
        <f t="shared" si="81"/>
        <v>11</v>
      </c>
      <c r="C619" t="s">
        <v>5323</v>
      </c>
      <c r="D619" t="s">
        <v>5324</v>
      </c>
      <c r="E619" t="s">
        <v>4900</v>
      </c>
      <c r="F619" t="s">
        <v>5325</v>
      </c>
      <c r="G619" t="s">
        <v>5322</v>
      </c>
      <c r="H619" s="2">
        <v>1</v>
      </c>
      <c r="I619" s="2">
        <v>161</v>
      </c>
      <c r="N619" t="str">
        <f t="shared" si="82"/>
        <v>Al Kunuz General Trading LLC</v>
      </c>
      <c r="O619" t="str">
        <f t="shared" si="83"/>
        <v>W1315210433</v>
      </c>
      <c r="P619" t="str">
        <f t="shared" si="84"/>
        <v>MR178AT36FWD-382632</v>
      </c>
      <c r="Q619" t="str">
        <f t="shared" si="85"/>
        <v>PO044697</v>
      </c>
      <c r="R619" t="str">
        <f t="shared" si="86"/>
        <v>Mr Button Wine Cotton Sleeveless Jacket With Leather Detail</v>
      </c>
      <c r="S619" t="str">
        <f t="shared" si="87"/>
        <v>SA976413</v>
      </c>
      <c r="T619">
        <f t="shared" si="88"/>
        <v>1</v>
      </c>
      <c r="U619">
        <f t="shared" si="89"/>
        <v>161</v>
      </c>
    </row>
    <row r="620" spans="1:21" x14ac:dyDescent="0.25">
      <c r="A620">
        <f t="shared" si="81"/>
        <v>11</v>
      </c>
      <c r="C620" t="s">
        <v>5327</v>
      </c>
      <c r="D620" t="s">
        <v>5328</v>
      </c>
      <c r="E620" t="s">
        <v>4900</v>
      </c>
      <c r="F620" t="s">
        <v>5329</v>
      </c>
      <c r="G620" t="s">
        <v>5326</v>
      </c>
      <c r="H620" s="2">
        <v>1</v>
      </c>
      <c r="I620" s="2">
        <v>25</v>
      </c>
      <c r="N620" t="str">
        <f t="shared" si="82"/>
        <v>Al Kunuz General Trading LLC</v>
      </c>
      <c r="O620" t="str">
        <f t="shared" si="83"/>
        <v>W1315316762</v>
      </c>
      <c r="P620" t="str">
        <f t="shared" si="84"/>
        <v>UN563AC11OAM-522608</v>
      </c>
      <c r="Q620" t="str">
        <f t="shared" si="85"/>
        <v>PO044697</v>
      </c>
      <c r="R620" t="str">
        <f t="shared" si="86"/>
        <v>Hand Crafted Fine Texture Genuine Leather Wallet for Men (UN114, Red)</v>
      </c>
      <c r="S620" t="str">
        <f t="shared" si="87"/>
        <v>SA976609</v>
      </c>
      <c r="T620">
        <f t="shared" si="88"/>
        <v>1</v>
      </c>
      <c r="U620">
        <f t="shared" si="89"/>
        <v>25</v>
      </c>
    </row>
    <row r="621" spans="1:21" x14ac:dyDescent="0.25">
      <c r="A621">
        <f t="shared" si="81"/>
        <v>11</v>
      </c>
      <c r="G621" t="s">
        <v>5711</v>
      </c>
      <c r="H621" s="2">
        <v>1</v>
      </c>
      <c r="I621" s="2">
        <v>25</v>
      </c>
      <c r="N621" t="str">
        <f t="shared" si="82"/>
        <v>Al Kunuz General Trading LLC</v>
      </c>
      <c r="O621" t="str">
        <f t="shared" si="83"/>
        <v>W1315316762</v>
      </c>
      <c r="P621" t="str">
        <f t="shared" si="84"/>
        <v>UN563AC11OAM-522608</v>
      </c>
      <c r="Q621" t="str">
        <f t="shared" si="85"/>
        <v>PO044697</v>
      </c>
      <c r="R621" t="str">
        <f t="shared" si="86"/>
        <v>Hand Crafted Fine Texture Genuine Leather Wallet for Men (UN114, Red)</v>
      </c>
      <c r="S621" t="str">
        <f t="shared" si="87"/>
        <v>SA980579</v>
      </c>
      <c r="T621">
        <f t="shared" si="88"/>
        <v>1</v>
      </c>
      <c r="U621">
        <f t="shared" si="89"/>
        <v>25</v>
      </c>
    </row>
    <row r="622" spans="1:21" x14ac:dyDescent="0.25">
      <c r="A622">
        <f t="shared" si="81"/>
        <v>11</v>
      </c>
      <c r="C622" t="s">
        <v>5331</v>
      </c>
      <c r="D622" t="s">
        <v>5332</v>
      </c>
      <c r="E622" t="s">
        <v>4900</v>
      </c>
      <c r="F622" t="s">
        <v>5333</v>
      </c>
      <c r="G622" t="s">
        <v>5330</v>
      </c>
      <c r="H622" s="2">
        <v>1</v>
      </c>
      <c r="I622" s="2">
        <v>23</v>
      </c>
      <c r="N622" t="str">
        <f t="shared" si="82"/>
        <v>Al Kunuz General Trading LLC</v>
      </c>
      <c r="O622" t="str">
        <f t="shared" si="83"/>
        <v>W1315349945</v>
      </c>
      <c r="P622" t="str">
        <f t="shared" si="84"/>
        <v>AD981AT45DZM-582411</v>
      </c>
      <c r="Q622" t="str">
        <f t="shared" si="85"/>
        <v>PO044697</v>
      </c>
      <c r="R622" t="str">
        <f t="shared" si="86"/>
        <v>Geometric Print Women's Gathered Skirt, Powder blue</v>
      </c>
      <c r="S622" t="str">
        <f t="shared" si="87"/>
        <v>SA976727</v>
      </c>
      <c r="T622">
        <f t="shared" si="88"/>
        <v>1</v>
      </c>
      <c r="U622">
        <f t="shared" si="89"/>
        <v>23</v>
      </c>
    </row>
    <row r="623" spans="1:21" x14ac:dyDescent="0.25">
      <c r="A623">
        <f t="shared" si="81"/>
        <v>11</v>
      </c>
      <c r="C623" t="s">
        <v>5340</v>
      </c>
      <c r="D623" t="s">
        <v>5341</v>
      </c>
      <c r="E623" t="s">
        <v>4900</v>
      </c>
      <c r="F623" t="s">
        <v>5342</v>
      </c>
      <c r="G623" t="s">
        <v>5339</v>
      </c>
      <c r="H623" s="2">
        <v>1</v>
      </c>
      <c r="I623" s="2">
        <v>59</v>
      </c>
      <c r="N623" t="str">
        <f t="shared" si="82"/>
        <v>Al Kunuz General Trading LLC</v>
      </c>
      <c r="O623" t="str">
        <f t="shared" si="83"/>
        <v>W1315278236</v>
      </c>
      <c r="P623" t="str">
        <f t="shared" si="84"/>
        <v>SA222AT57BUK-475910</v>
      </c>
      <c r="Q623" t="str">
        <f t="shared" si="85"/>
        <v>PO044697</v>
      </c>
      <c r="R623" t="str">
        <f t="shared" si="86"/>
        <v>Floral Silk Crop Top, Pink</v>
      </c>
      <c r="S623" t="str">
        <f t="shared" si="87"/>
        <v>SA976798</v>
      </c>
      <c r="T623">
        <f t="shared" si="88"/>
        <v>1</v>
      </c>
      <c r="U623">
        <f t="shared" si="89"/>
        <v>59</v>
      </c>
    </row>
    <row r="624" spans="1:21" x14ac:dyDescent="0.25">
      <c r="A624">
        <f t="shared" si="81"/>
        <v>11</v>
      </c>
      <c r="C624" t="s">
        <v>5344</v>
      </c>
      <c r="D624" t="s">
        <v>5345</v>
      </c>
      <c r="E624" t="s">
        <v>4900</v>
      </c>
      <c r="F624" t="s">
        <v>4108</v>
      </c>
      <c r="G624" t="s">
        <v>5343</v>
      </c>
      <c r="H624" s="2">
        <v>1</v>
      </c>
      <c r="I624" s="2">
        <v>59</v>
      </c>
      <c r="N624" t="str">
        <f t="shared" si="82"/>
        <v>Al Kunuz General Trading LLC</v>
      </c>
      <c r="O624" t="str">
        <f t="shared" si="83"/>
        <v>W1315464443</v>
      </c>
      <c r="P624" t="str">
        <f t="shared" si="84"/>
        <v>ST879AT09CLI-717871</v>
      </c>
      <c r="Q624" t="str">
        <f t="shared" si="85"/>
        <v>PO044697</v>
      </c>
      <c r="R624" t="str">
        <f t="shared" si="86"/>
        <v>Double Layered Top, Pink</v>
      </c>
      <c r="S624" t="str">
        <f t="shared" si="87"/>
        <v>SA976800</v>
      </c>
      <c r="T624">
        <f t="shared" si="88"/>
        <v>1</v>
      </c>
      <c r="U624">
        <f t="shared" si="89"/>
        <v>59</v>
      </c>
    </row>
    <row r="625" spans="1:21" x14ac:dyDescent="0.25">
      <c r="A625">
        <f t="shared" si="81"/>
        <v>11</v>
      </c>
      <c r="C625" t="s">
        <v>5353</v>
      </c>
      <c r="D625" t="s">
        <v>5354</v>
      </c>
      <c r="E625" t="s">
        <v>4900</v>
      </c>
      <c r="F625" t="s">
        <v>3665</v>
      </c>
      <c r="G625" t="s">
        <v>5352</v>
      </c>
      <c r="H625" s="2">
        <v>1</v>
      </c>
      <c r="I625" s="2">
        <v>22</v>
      </c>
      <c r="N625" t="str">
        <f t="shared" si="82"/>
        <v>Al Kunuz General Trading LLC</v>
      </c>
      <c r="O625" t="str">
        <f t="shared" si="83"/>
        <v>W1315351103</v>
      </c>
      <c r="P625" t="str">
        <f t="shared" si="84"/>
        <v>HU968AT71NSI-592962</v>
      </c>
      <c r="Q625" t="str">
        <f t="shared" si="85"/>
        <v>PO044697</v>
      </c>
      <c r="R625" t="str">
        <f t="shared" si="86"/>
        <v>Casual Shorts, Melange Grey</v>
      </c>
      <c r="S625" t="str">
        <f t="shared" si="87"/>
        <v>SA977225</v>
      </c>
      <c r="T625">
        <f t="shared" si="88"/>
        <v>1</v>
      </c>
      <c r="U625">
        <f t="shared" si="89"/>
        <v>22</v>
      </c>
    </row>
    <row r="626" spans="1:21" x14ac:dyDescent="0.25">
      <c r="A626">
        <f t="shared" si="81"/>
        <v>11</v>
      </c>
      <c r="C626" t="s">
        <v>5357</v>
      </c>
      <c r="D626" t="s">
        <v>5358</v>
      </c>
      <c r="E626" t="s">
        <v>4900</v>
      </c>
      <c r="F626" t="s">
        <v>5359</v>
      </c>
      <c r="G626" t="s">
        <v>5356</v>
      </c>
      <c r="H626" s="2">
        <v>1</v>
      </c>
      <c r="I626" s="2">
        <v>26</v>
      </c>
      <c r="N626" t="str">
        <f t="shared" si="82"/>
        <v>Al Kunuz General Trading LLC</v>
      </c>
      <c r="O626" t="str">
        <f t="shared" si="83"/>
        <v>W1315316772</v>
      </c>
      <c r="P626" t="str">
        <f t="shared" si="84"/>
        <v>UN563AC01OAW-522618</v>
      </c>
      <c r="Q626" t="str">
        <f t="shared" si="85"/>
        <v>PO044697</v>
      </c>
      <c r="R626" t="str">
        <f t="shared" si="86"/>
        <v>Hand Crafted Genuine Leather Wallet for Men (UN165, Black)</v>
      </c>
      <c r="S626" t="str">
        <f t="shared" si="87"/>
        <v>SA977320</v>
      </c>
      <c r="T626">
        <f t="shared" si="88"/>
        <v>1</v>
      </c>
      <c r="U626">
        <f t="shared" si="89"/>
        <v>26</v>
      </c>
    </row>
    <row r="627" spans="1:21" x14ac:dyDescent="0.25">
      <c r="A627">
        <f t="shared" si="81"/>
        <v>11</v>
      </c>
      <c r="C627" t="s">
        <v>5361</v>
      </c>
      <c r="D627" t="s">
        <v>5362</v>
      </c>
      <c r="E627" t="s">
        <v>4900</v>
      </c>
      <c r="F627" t="s">
        <v>5363</v>
      </c>
      <c r="G627" t="s">
        <v>5360</v>
      </c>
      <c r="H627" s="2">
        <v>1</v>
      </c>
      <c r="I627" s="2">
        <v>39</v>
      </c>
      <c r="N627" t="str">
        <f t="shared" si="82"/>
        <v>Al Kunuz General Trading LLC</v>
      </c>
      <c r="O627" t="str">
        <f t="shared" si="83"/>
        <v>W1315332143</v>
      </c>
      <c r="P627" t="str">
        <f t="shared" si="84"/>
        <v>YE659AT22LZD-564815</v>
      </c>
      <c r="Q627" t="str">
        <f t="shared" si="85"/>
        <v>PO044697</v>
      </c>
      <c r="R627" t="str">
        <f t="shared" si="86"/>
        <v>Sponge Dab Digital Print Tee, Grey</v>
      </c>
      <c r="S627" t="str">
        <f t="shared" si="87"/>
        <v>SA977347</v>
      </c>
      <c r="T627">
        <f t="shared" si="88"/>
        <v>1</v>
      </c>
      <c r="U627">
        <f t="shared" si="89"/>
        <v>39</v>
      </c>
    </row>
    <row r="628" spans="1:21" x14ac:dyDescent="0.25">
      <c r="A628">
        <f t="shared" si="81"/>
        <v>11</v>
      </c>
      <c r="C628" t="s">
        <v>5374</v>
      </c>
      <c r="D628" t="s">
        <v>5375</v>
      </c>
      <c r="E628" t="s">
        <v>4900</v>
      </c>
      <c r="F628" t="s">
        <v>3493</v>
      </c>
      <c r="G628" t="s">
        <v>5373</v>
      </c>
      <c r="H628" s="2">
        <v>1</v>
      </c>
      <c r="I628" s="2">
        <v>51</v>
      </c>
      <c r="N628" t="str">
        <f t="shared" si="82"/>
        <v>Al Kunuz General Trading LLC</v>
      </c>
      <c r="O628" t="str">
        <f t="shared" si="83"/>
        <v>W1315353918</v>
      </c>
      <c r="P628" t="str">
        <f t="shared" si="84"/>
        <v>AM977AT78QND-595474</v>
      </c>
      <c r="Q628" t="str">
        <f t="shared" si="85"/>
        <v>PO044697</v>
      </c>
      <c r="R628" t="str">
        <f t="shared" si="86"/>
        <v>Baby doll Nighty Set of 3, Multicolor</v>
      </c>
      <c r="S628" t="str">
        <f t="shared" si="87"/>
        <v>SA977665</v>
      </c>
      <c r="T628">
        <f t="shared" si="88"/>
        <v>1</v>
      </c>
      <c r="U628">
        <f t="shared" si="89"/>
        <v>51</v>
      </c>
    </row>
    <row r="629" spans="1:21" x14ac:dyDescent="0.25">
      <c r="A629">
        <f t="shared" si="81"/>
        <v>11</v>
      </c>
      <c r="C629" t="s">
        <v>5382</v>
      </c>
      <c r="D629" t="s">
        <v>5383</v>
      </c>
      <c r="E629" t="s">
        <v>4900</v>
      </c>
      <c r="F629" t="s">
        <v>5384</v>
      </c>
      <c r="G629" t="s">
        <v>5381</v>
      </c>
      <c r="H629" s="2">
        <v>1</v>
      </c>
      <c r="I629" s="2">
        <v>35</v>
      </c>
      <c r="N629" t="str">
        <f t="shared" si="82"/>
        <v>Al Kunuz General Trading LLC</v>
      </c>
      <c r="O629" t="str">
        <f t="shared" si="83"/>
        <v>W1315396618</v>
      </c>
      <c r="P629" t="str">
        <f t="shared" si="84"/>
        <v>KE914AT38ZAV-640640</v>
      </c>
      <c r="Q629" t="str">
        <f t="shared" si="85"/>
        <v>PO044697</v>
      </c>
      <c r="R629" t="str">
        <f t="shared" si="86"/>
        <v>Polo T-Shirt, White</v>
      </c>
      <c r="S629" t="str">
        <f t="shared" si="87"/>
        <v>SA977700</v>
      </c>
      <c r="T629">
        <f t="shared" si="88"/>
        <v>1</v>
      </c>
      <c r="U629">
        <f t="shared" si="89"/>
        <v>35</v>
      </c>
    </row>
    <row r="630" spans="1:21" x14ac:dyDescent="0.25">
      <c r="A630">
        <f t="shared" si="81"/>
        <v>11</v>
      </c>
      <c r="C630" t="s">
        <v>5386</v>
      </c>
      <c r="D630" t="s">
        <v>5387</v>
      </c>
      <c r="E630" t="s">
        <v>4900</v>
      </c>
      <c r="F630" t="s">
        <v>5388</v>
      </c>
      <c r="G630" t="s">
        <v>5385</v>
      </c>
      <c r="H630" s="2">
        <v>1</v>
      </c>
      <c r="I630" s="2">
        <v>83</v>
      </c>
      <c r="N630" t="str">
        <f t="shared" si="82"/>
        <v>Al Kunuz General Trading LLC</v>
      </c>
      <c r="O630" t="str">
        <f t="shared" si="83"/>
        <v>W1315399548</v>
      </c>
      <c r="P630" t="str">
        <f t="shared" si="84"/>
        <v>SA222AT63CGM-643467</v>
      </c>
      <c r="Q630" t="str">
        <f t="shared" si="85"/>
        <v>PO044697</v>
      </c>
      <c r="R630" t="str">
        <f t="shared" si="86"/>
        <v>Peplum Jacket, Green</v>
      </c>
      <c r="S630" t="str">
        <f t="shared" si="87"/>
        <v>SA977740</v>
      </c>
      <c r="T630">
        <f t="shared" si="88"/>
        <v>1</v>
      </c>
      <c r="U630">
        <f t="shared" si="89"/>
        <v>83</v>
      </c>
    </row>
    <row r="631" spans="1:21" x14ac:dyDescent="0.25">
      <c r="A631">
        <f t="shared" si="81"/>
        <v>11</v>
      </c>
      <c r="C631" t="s">
        <v>5390</v>
      </c>
      <c r="D631" t="s">
        <v>5391</v>
      </c>
      <c r="E631" t="s">
        <v>4900</v>
      </c>
      <c r="F631" t="s">
        <v>5392</v>
      </c>
      <c r="G631" t="s">
        <v>5389</v>
      </c>
      <c r="H631" s="2">
        <v>1</v>
      </c>
      <c r="I631" s="2">
        <v>102</v>
      </c>
      <c r="N631" t="str">
        <f t="shared" si="82"/>
        <v>Al Kunuz General Trading LLC</v>
      </c>
      <c r="O631" t="str">
        <f t="shared" si="83"/>
        <v>W1315277349</v>
      </c>
      <c r="P631" t="str">
        <f t="shared" si="84"/>
        <v>SA222AT61BIS-474918</v>
      </c>
      <c r="Q631" t="str">
        <f t="shared" si="85"/>
        <v>PO044697</v>
      </c>
      <c r="R631" t="str">
        <f t="shared" si="86"/>
        <v>Maxi Dress, Blue</v>
      </c>
      <c r="S631" t="str">
        <f t="shared" si="87"/>
        <v>SA977742</v>
      </c>
      <c r="T631">
        <f t="shared" si="88"/>
        <v>1</v>
      </c>
      <c r="U631">
        <f t="shared" si="89"/>
        <v>102</v>
      </c>
    </row>
    <row r="632" spans="1:21" x14ac:dyDescent="0.25">
      <c r="A632">
        <f t="shared" si="81"/>
        <v>11</v>
      </c>
      <c r="C632" t="s">
        <v>5403</v>
      </c>
      <c r="D632" t="s">
        <v>5404</v>
      </c>
      <c r="E632" t="s">
        <v>4900</v>
      </c>
      <c r="F632" t="s">
        <v>5405</v>
      </c>
      <c r="G632" t="s">
        <v>5402</v>
      </c>
      <c r="H632" s="2">
        <v>1</v>
      </c>
      <c r="I632" s="2">
        <v>22</v>
      </c>
      <c r="N632" t="str">
        <f t="shared" si="82"/>
        <v>Al Kunuz General Trading LLC</v>
      </c>
      <c r="O632" t="str">
        <f t="shared" si="83"/>
        <v>W1315391018</v>
      </c>
      <c r="P632" t="str">
        <f t="shared" si="84"/>
        <v>LO860BE06SKZ-634812</v>
      </c>
      <c r="Q632" t="str">
        <f t="shared" si="85"/>
        <v>PO044697</v>
      </c>
      <c r="R632" t="str">
        <f t="shared" si="86"/>
        <v>Kajal Magique Bold</v>
      </c>
      <c r="S632" t="str">
        <f t="shared" si="87"/>
        <v>SA977949</v>
      </c>
      <c r="T632">
        <f t="shared" si="88"/>
        <v>1</v>
      </c>
      <c r="U632">
        <f t="shared" si="89"/>
        <v>22</v>
      </c>
    </row>
    <row r="633" spans="1:21" x14ac:dyDescent="0.25">
      <c r="A633">
        <f t="shared" si="81"/>
        <v>11</v>
      </c>
      <c r="G633" t="s">
        <v>5819</v>
      </c>
      <c r="H633" s="2">
        <v>1</v>
      </c>
      <c r="I633" s="2">
        <v>22</v>
      </c>
      <c r="N633" t="str">
        <f t="shared" si="82"/>
        <v>Al Kunuz General Trading LLC</v>
      </c>
      <c r="O633" t="str">
        <f t="shared" si="83"/>
        <v>W1315391018</v>
      </c>
      <c r="P633" t="str">
        <f t="shared" si="84"/>
        <v>LO860BE06SKZ-634812</v>
      </c>
      <c r="Q633" t="str">
        <f t="shared" si="85"/>
        <v>PO044697</v>
      </c>
      <c r="R633" t="str">
        <f t="shared" si="86"/>
        <v>Kajal Magique Bold</v>
      </c>
      <c r="S633" t="str">
        <f t="shared" si="87"/>
        <v>SA980995</v>
      </c>
      <c r="T633">
        <f t="shared" si="88"/>
        <v>1</v>
      </c>
      <c r="U633">
        <f t="shared" si="89"/>
        <v>22</v>
      </c>
    </row>
    <row r="634" spans="1:21" x14ac:dyDescent="0.25">
      <c r="A634">
        <f t="shared" si="81"/>
        <v>11</v>
      </c>
      <c r="E634" t="s">
        <v>5091</v>
      </c>
      <c r="F634" t="s">
        <v>5405</v>
      </c>
      <c r="G634" t="s">
        <v>6008</v>
      </c>
      <c r="H634" s="2">
        <v>1</v>
      </c>
      <c r="I634" s="2">
        <v>22</v>
      </c>
      <c r="N634" t="str">
        <f t="shared" si="82"/>
        <v>Al Kunuz General Trading LLC</v>
      </c>
      <c r="O634" t="str">
        <f t="shared" si="83"/>
        <v>W1315391018</v>
      </c>
      <c r="P634" t="str">
        <f t="shared" si="84"/>
        <v>LO860BE06SKZ-634812</v>
      </c>
      <c r="Q634" t="str">
        <f t="shared" si="85"/>
        <v>PO044978</v>
      </c>
      <c r="R634" t="str">
        <f t="shared" si="86"/>
        <v>Kajal Magique Bold</v>
      </c>
      <c r="S634" t="str">
        <f t="shared" si="87"/>
        <v>SA982773</v>
      </c>
      <c r="T634">
        <f t="shared" si="88"/>
        <v>1</v>
      </c>
      <c r="U634">
        <f t="shared" si="89"/>
        <v>22</v>
      </c>
    </row>
    <row r="635" spans="1:21" x14ac:dyDescent="0.25">
      <c r="A635">
        <f t="shared" si="81"/>
        <v>11</v>
      </c>
      <c r="C635" t="s">
        <v>5426</v>
      </c>
      <c r="D635" t="s">
        <v>5427</v>
      </c>
      <c r="E635" t="s">
        <v>4900</v>
      </c>
      <c r="F635" t="s">
        <v>5428</v>
      </c>
      <c r="G635" t="s">
        <v>5425</v>
      </c>
      <c r="H635" s="2">
        <v>1</v>
      </c>
      <c r="I635" s="2">
        <v>22</v>
      </c>
      <c r="N635" t="str">
        <f t="shared" si="82"/>
        <v>Al Kunuz General Trading LLC</v>
      </c>
      <c r="O635" t="str">
        <f t="shared" si="83"/>
        <v>W1315351386</v>
      </c>
      <c r="P635" t="str">
        <f t="shared" si="84"/>
        <v>HU968AT03NUY-593245</v>
      </c>
      <c r="Q635" t="str">
        <f t="shared" si="85"/>
        <v>PO044697</v>
      </c>
      <c r="R635" t="str">
        <f t="shared" si="86"/>
        <v>Printed Round Neck T-Shirt, Dark Blue</v>
      </c>
      <c r="S635" t="str">
        <f t="shared" si="87"/>
        <v>SA977990</v>
      </c>
      <c r="T635">
        <f t="shared" si="88"/>
        <v>1</v>
      </c>
      <c r="U635">
        <f t="shared" si="89"/>
        <v>22</v>
      </c>
    </row>
    <row r="636" spans="1:21" x14ac:dyDescent="0.25">
      <c r="A636">
        <f t="shared" si="81"/>
        <v>11</v>
      </c>
      <c r="C636" t="s">
        <v>5430</v>
      </c>
      <c r="D636" t="s">
        <v>5431</v>
      </c>
      <c r="E636" t="s">
        <v>4900</v>
      </c>
      <c r="F636" t="s">
        <v>5432</v>
      </c>
      <c r="G636" t="s">
        <v>5429</v>
      </c>
      <c r="H636" s="2">
        <v>1</v>
      </c>
      <c r="I636" s="2">
        <v>76</v>
      </c>
      <c r="N636" t="str">
        <f t="shared" si="82"/>
        <v>Al Kunuz General Trading LLC</v>
      </c>
      <c r="O636" t="str">
        <f t="shared" si="83"/>
        <v>W1315432228</v>
      </c>
      <c r="P636" t="str">
        <f t="shared" si="84"/>
        <v>ED203AT29ETE-699818</v>
      </c>
      <c r="Q636" t="str">
        <f t="shared" si="85"/>
        <v>PO044697</v>
      </c>
      <c r="R636" t="str">
        <f t="shared" si="86"/>
        <v>Printed Slim Fit Shirt, Maroon</v>
      </c>
      <c r="S636" t="str">
        <f t="shared" si="87"/>
        <v>SA977991</v>
      </c>
      <c r="T636">
        <f t="shared" si="88"/>
        <v>1</v>
      </c>
      <c r="U636">
        <f t="shared" si="89"/>
        <v>76</v>
      </c>
    </row>
    <row r="637" spans="1:21" x14ac:dyDescent="0.25">
      <c r="A637">
        <f t="shared" si="81"/>
        <v>11</v>
      </c>
      <c r="G637" t="s">
        <v>5433</v>
      </c>
      <c r="H637" s="2">
        <v>1</v>
      </c>
      <c r="I637" s="2">
        <v>76</v>
      </c>
      <c r="N637" t="str">
        <f t="shared" si="82"/>
        <v>Al Kunuz General Trading LLC</v>
      </c>
      <c r="O637" t="str">
        <f t="shared" si="83"/>
        <v>W1315432228</v>
      </c>
      <c r="P637" t="str">
        <f t="shared" si="84"/>
        <v>ED203AT29ETE-699818</v>
      </c>
      <c r="Q637" t="str">
        <f t="shared" si="85"/>
        <v>PO044697</v>
      </c>
      <c r="R637" t="str">
        <f t="shared" si="86"/>
        <v>Printed Slim Fit Shirt, Maroon</v>
      </c>
      <c r="S637" t="str">
        <f t="shared" si="87"/>
        <v>SA977992</v>
      </c>
      <c r="T637">
        <f t="shared" si="88"/>
        <v>1</v>
      </c>
      <c r="U637">
        <f t="shared" si="89"/>
        <v>76</v>
      </c>
    </row>
    <row r="638" spans="1:21" x14ac:dyDescent="0.25">
      <c r="A638">
        <f t="shared" si="81"/>
        <v>11</v>
      </c>
      <c r="C638" t="s">
        <v>5435</v>
      </c>
      <c r="D638" t="s">
        <v>5436</v>
      </c>
      <c r="E638" t="s">
        <v>4900</v>
      </c>
      <c r="F638" t="s">
        <v>3471</v>
      </c>
      <c r="G638" t="s">
        <v>5434</v>
      </c>
      <c r="H638" s="2">
        <v>1</v>
      </c>
      <c r="I638" s="2">
        <v>48</v>
      </c>
      <c r="N638" t="str">
        <f t="shared" si="82"/>
        <v>Al Kunuz General Trading LLC</v>
      </c>
      <c r="O638" t="str">
        <f t="shared" si="83"/>
        <v>W1315396627</v>
      </c>
      <c r="P638" t="str">
        <f t="shared" si="84"/>
        <v>KE914AT35ZAY-640649</v>
      </c>
      <c r="Q638" t="str">
        <f t="shared" si="85"/>
        <v>PO044697</v>
      </c>
      <c r="R638" t="str">
        <f t="shared" si="86"/>
        <v>Polo Shirt, Black</v>
      </c>
      <c r="S638" t="str">
        <f t="shared" si="87"/>
        <v>SA977993</v>
      </c>
      <c r="T638">
        <f t="shared" si="88"/>
        <v>1</v>
      </c>
      <c r="U638">
        <f t="shared" si="89"/>
        <v>48</v>
      </c>
    </row>
    <row r="639" spans="1:21" x14ac:dyDescent="0.25">
      <c r="A639">
        <f t="shared" si="81"/>
        <v>11</v>
      </c>
      <c r="C639" t="s">
        <v>5438</v>
      </c>
      <c r="D639" t="s">
        <v>5439</v>
      </c>
      <c r="E639" t="s">
        <v>4900</v>
      </c>
      <c r="F639" t="s">
        <v>5440</v>
      </c>
      <c r="G639" t="s">
        <v>5437</v>
      </c>
      <c r="H639" s="2">
        <v>1</v>
      </c>
      <c r="I639" s="2">
        <v>81</v>
      </c>
      <c r="N639" t="str">
        <f t="shared" si="82"/>
        <v>Al Kunuz General Trading LLC</v>
      </c>
      <c r="O639" t="str">
        <f t="shared" si="83"/>
        <v>W1315396663</v>
      </c>
      <c r="P639" t="str">
        <f t="shared" si="84"/>
        <v>KE914AT18ZBP-640690</v>
      </c>
      <c r="Q639" t="str">
        <f t="shared" si="85"/>
        <v>PO044697</v>
      </c>
      <c r="R639" t="str">
        <f t="shared" si="86"/>
        <v>Sweatshirt with Hoodie, Black/Red</v>
      </c>
      <c r="S639" t="str">
        <f t="shared" si="87"/>
        <v>SA977995</v>
      </c>
      <c r="T639">
        <f t="shared" si="88"/>
        <v>1</v>
      </c>
      <c r="U639">
        <f t="shared" si="89"/>
        <v>81</v>
      </c>
    </row>
    <row r="640" spans="1:21" x14ac:dyDescent="0.25">
      <c r="A640">
        <f t="shared" si="81"/>
        <v>11</v>
      </c>
      <c r="C640" t="s">
        <v>5446</v>
      </c>
      <c r="D640" t="s">
        <v>5447</v>
      </c>
      <c r="E640" t="s">
        <v>5091</v>
      </c>
      <c r="F640" t="s">
        <v>5448</v>
      </c>
      <c r="G640" t="s">
        <v>5445</v>
      </c>
      <c r="H640" s="2">
        <v>1</v>
      </c>
      <c r="I640" s="2">
        <v>25</v>
      </c>
      <c r="N640" t="str">
        <f t="shared" si="82"/>
        <v>Al Kunuz General Trading LLC</v>
      </c>
      <c r="O640" t="str">
        <f t="shared" si="83"/>
        <v>W1315438104</v>
      </c>
      <c r="P640" t="str">
        <f t="shared" si="84"/>
        <v>SA302BE17VWW-693692</v>
      </c>
      <c r="Q640" t="str">
        <f t="shared" si="85"/>
        <v>PO044978</v>
      </c>
      <c r="R640" t="str">
        <f t="shared" si="86"/>
        <v>Saint Beard Oil Forest Rustle</v>
      </c>
      <c r="S640" t="str">
        <f t="shared" si="87"/>
        <v>SA978252</v>
      </c>
      <c r="T640">
        <f t="shared" si="88"/>
        <v>1</v>
      </c>
      <c r="U640">
        <f t="shared" si="89"/>
        <v>25</v>
      </c>
    </row>
    <row r="641" spans="1:21" x14ac:dyDescent="0.25">
      <c r="A641">
        <f t="shared" si="81"/>
        <v>11</v>
      </c>
      <c r="C641" t="s">
        <v>5451</v>
      </c>
      <c r="D641" t="s">
        <v>5452</v>
      </c>
      <c r="E641" t="s">
        <v>4900</v>
      </c>
      <c r="F641" t="s">
        <v>5453</v>
      </c>
      <c r="G641" t="s">
        <v>5450</v>
      </c>
      <c r="H641" s="2">
        <v>1</v>
      </c>
      <c r="I641" s="2">
        <v>134</v>
      </c>
      <c r="N641" t="str">
        <f t="shared" si="82"/>
        <v>Al Kunuz General Trading LLC</v>
      </c>
      <c r="O641" t="str">
        <f t="shared" si="83"/>
        <v>W1315211312</v>
      </c>
      <c r="P641" t="str">
        <f t="shared" si="84"/>
        <v>MR178AT91GJK-384008</v>
      </c>
      <c r="Q641" t="str">
        <f t="shared" si="85"/>
        <v>PO044697</v>
      </c>
      <c r="R641" t="str">
        <f t="shared" si="86"/>
        <v>Mr Button Blue Denim Pinteck Trouser With Cuff</v>
      </c>
      <c r="S641" t="str">
        <f t="shared" si="87"/>
        <v>SA978460</v>
      </c>
      <c r="T641">
        <f t="shared" si="88"/>
        <v>1</v>
      </c>
      <c r="U641">
        <f t="shared" si="89"/>
        <v>134</v>
      </c>
    </row>
    <row r="642" spans="1:21" x14ac:dyDescent="0.25">
      <c r="A642">
        <f t="shared" si="81"/>
        <v>11</v>
      </c>
      <c r="C642" t="s">
        <v>5455</v>
      </c>
      <c r="D642" t="s">
        <v>5456</v>
      </c>
      <c r="E642" t="s">
        <v>4900</v>
      </c>
      <c r="F642" t="s">
        <v>5457</v>
      </c>
      <c r="G642" t="s">
        <v>5454</v>
      </c>
      <c r="H642" s="2">
        <v>1</v>
      </c>
      <c r="I642" s="2">
        <v>482</v>
      </c>
      <c r="N642" t="str">
        <f t="shared" si="82"/>
        <v>Al Kunuz General Trading LLC</v>
      </c>
      <c r="O642" t="str">
        <f t="shared" si="83"/>
        <v>W1315211516</v>
      </c>
      <c r="P642" t="str">
        <f t="shared" si="84"/>
        <v>MR178AT23GEI-383480</v>
      </c>
      <c r="Q642" t="str">
        <f t="shared" si="85"/>
        <v>PO044697</v>
      </c>
      <c r="R642" t="str">
        <f t="shared" si="86"/>
        <v>Mr Button Blue Cotton Bandhgala</v>
      </c>
      <c r="S642" t="str">
        <f t="shared" si="87"/>
        <v>SA978461</v>
      </c>
      <c r="T642">
        <f t="shared" si="88"/>
        <v>1</v>
      </c>
      <c r="U642">
        <f t="shared" si="89"/>
        <v>482</v>
      </c>
    </row>
    <row r="643" spans="1:21" x14ac:dyDescent="0.25">
      <c r="A643">
        <f t="shared" si="81"/>
        <v>11</v>
      </c>
      <c r="C643" t="s">
        <v>5468</v>
      </c>
      <c r="D643" t="s">
        <v>5469</v>
      </c>
      <c r="E643" t="s">
        <v>4900</v>
      </c>
      <c r="F643" t="s">
        <v>5470</v>
      </c>
      <c r="G643" t="s">
        <v>5467</v>
      </c>
      <c r="H643" s="2">
        <v>1</v>
      </c>
      <c r="I643" s="2">
        <v>15</v>
      </c>
      <c r="N643" t="str">
        <f t="shared" si="82"/>
        <v>Al Kunuz General Trading LLC</v>
      </c>
      <c r="O643" t="str">
        <f t="shared" si="83"/>
        <v>W1315325379</v>
      </c>
      <c r="P643" t="str">
        <f t="shared" si="84"/>
        <v>SI601AC97TYW-528601</v>
      </c>
      <c r="Q643" t="str">
        <f t="shared" si="85"/>
        <v>PO044697</v>
      </c>
      <c r="R643" t="str">
        <f t="shared" si="86"/>
        <v>Simaya Fashion earring (FE 0324, Multi color)</v>
      </c>
      <c r="S643" t="str">
        <f t="shared" si="87"/>
        <v>SA978559</v>
      </c>
      <c r="T643">
        <f t="shared" si="88"/>
        <v>1</v>
      </c>
      <c r="U643">
        <f t="shared" si="89"/>
        <v>15</v>
      </c>
    </row>
    <row r="644" spans="1:21" x14ac:dyDescent="0.25">
      <c r="A644">
        <f t="shared" ref="A644:A707" si="90">IF(ISBLANK(B644),A643,A643+1)</f>
        <v>11</v>
      </c>
      <c r="C644" t="s">
        <v>5473</v>
      </c>
      <c r="D644" t="s">
        <v>5474</v>
      </c>
      <c r="E644" t="s">
        <v>4900</v>
      </c>
      <c r="F644" t="s">
        <v>3940</v>
      </c>
      <c r="G644" t="s">
        <v>5472</v>
      </c>
      <c r="H644" s="2">
        <v>1</v>
      </c>
      <c r="I644" s="2">
        <v>128</v>
      </c>
      <c r="N644" t="str">
        <f t="shared" si="82"/>
        <v>Al Kunuz General Trading LLC</v>
      </c>
      <c r="O644" t="str">
        <f t="shared" si="83"/>
        <v>W1315302803</v>
      </c>
      <c r="P644" t="str">
        <f t="shared" si="84"/>
        <v>VM386AT76ZDJ-509787</v>
      </c>
      <c r="Q644" t="str">
        <f t="shared" si="85"/>
        <v>PO044697</v>
      </c>
      <c r="R644" t="str">
        <f t="shared" si="86"/>
        <v>Maxi Dress, Black</v>
      </c>
      <c r="S644" t="str">
        <f t="shared" si="87"/>
        <v>SA978616</v>
      </c>
      <c r="T644">
        <f t="shared" si="88"/>
        <v>1</v>
      </c>
      <c r="U644">
        <f t="shared" si="89"/>
        <v>128</v>
      </c>
    </row>
    <row r="645" spans="1:21" x14ac:dyDescent="0.25">
      <c r="A645">
        <f t="shared" si="90"/>
        <v>11</v>
      </c>
      <c r="C645" t="s">
        <v>5476</v>
      </c>
      <c r="D645" t="s">
        <v>5477</v>
      </c>
      <c r="E645" t="s">
        <v>4900</v>
      </c>
      <c r="F645" t="s">
        <v>3929</v>
      </c>
      <c r="G645" t="s">
        <v>5475</v>
      </c>
      <c r="H645" s="2">
        <v>1</v>
      </c>
      <c r="I645" s="2">
        <v>25</v>
      </c>
      <c r="N645" t="str">
        <f t="shared" si="82"/>
        <v>Al Kunuz General Trading LLC</v>
      </c>
      <c r="O645" t="str">
        <f t="shared" si="83"/>
        <v>W1315332998</v>
      </c>
      <c r="P645" t="str">
        <f t="shared" si="84"/>
        <v>YE659AT07MLG-565814</v>
      </c>
      <c r="Q645" t="str">
        <f t="shared" si="85"/>
        <v>PO044697</v>
      </c>
      <c r="R645" t="str">
        <f t="shared" si="86"/>
        <v>Jerry Trackpant, Green</v>
      </c>
      <c r="S645" t="str">
        <f t="shared" si="87"/>
        <v>SA978632</v>
      </c>
      <c r="T645">
        <f t="shared" si="88"/>
        <v>1</v>
      </c>
      <c r="U645">
        <f t="shared" si="89"/>
        <v>25</v>
      </c>
    </row>
    <row r="646" spans="1:21" x14ac:dyDescent="0.25">
      <c r="A646">
        <f t="shared" si="90"/>
        <v>11</v>
      </c>
      <c r="C646" t="s">
        <v>5479</v>
      </c>
      <c r="D646" t="s">
        <v>5480</v>
      </c>
      <c r="E646" t="s">
        <v>4900</v>
      </c>
      <c r="F646" t="s">
        <v>5481</v>
      </c>
      <c r="G646" t="s">
        <v>5478</v>
      </c>
      <c r="H646" s="2">
        <v>1</v>
      </c>
      <c r="I646" s="2">
        <v>25</v>
      </c>
      <c r="N646" t="str">
        <f t="shared" ref="N646:N709" si="91">IF(ISBLANK($A646),"",IF(ISBLANK(B646),N645,B646))</f>
        <v>Al Kunuz General Trading LLC</v>
      </c>
      <c r="O646" t="str">
        <f t="shared" ref="O646:O709" si="92">IF(ISBLANK($A646),"",IF(ISBLANK(C646),O645,C646))</f>
        <v>W1315332993</v>
      </c>
      <c r="P646" t="str">
        <f t="shared" ref="P646:P709" si="93">IF(ISBLANK($A646),"",IF(ISBLANK(D646),P645,D646))</f>
        <v>YE659AT08MLF-565809</v>
      </c>
      <c r="Q646" t="str">
        <f t="shared" ref="Q646:Q709" si="94">IF(ISBLANK($A646),"",IF(ISBLANK(E646),Q645,E646))</f>
        <v>PO044697</v>
      </c>
      <c r="R646" t="str">
        <f t="shared" ref="R646:R709" si="95">IF(ISBLANK($A646),"",IF(ISBLANK(F646),R645,F646))</f>
        <v>Jerry Trackpant, Blue</v>
      </c>
      <c r="S646" t="str">
        <f t="shared" ref="S646:S709" si="96">IF(ISBLANK($A646),"",G646)</f>
        <v>SA978633</v>
      </c>
      <c r="T646">
        <f t="shared" ref="T646:T709" si="97">IF(ISBLANK($A646),"",H646)</f>
        <v>1</v>
      </c>
      <c r="U646">
        <f t="shared" ref="U646:U709" si="98">IF(ISBLANK($A646),"",I646)</f>
        <v>25</v>
      </c>
    </row>
    <row r="647" spans="1:21" x14ac:dyDescent="0.25">
      <c r="A647">
        <f t="shared" si="90"/>
        <v>11</v>
      </c>
      <c r="C647" t="s">
        <v>5483</v>
      </c>
      <c r="D647" t="s">
        <v>5484</v>
      </c>
      <c r="E647" t="s">
        <v>4900</v>
      </c>
      <c r="F647" t="s">
        <v>5485</v>
      </c>
      <c r="G647" t="s">
        <v>5482</v>
      </c>
      <c r="H647" s="2">
        <v>1</v>
      </c>
      <c r="I647" s="2">
        <v>25</v>
      </c>
      <c r="N647" t="str">
        <f t="shared" si="91"/>
        <v>Al Kunuz General Trading LLC</v>
      </c>
      <c r="O647" t="str">
        <f t="shared" si="92"/>
        <v>W1315332907</v>
      </c>
      <c r="P647" t="str">
        <f t="shared" si="93"/>
        <v>YE659AT25MKO-565723</v>
      </c>
      <c r="Q647" t="str">
        <f t="shared" si="94"/>
        <v>PO044697</v>
      </c>
      <c r="R647" t="str">
        <f t="shared" si="95"/>
        <v>Riocard Trackpants, Blue</v>
      </c>
      <c r="S647" t="str">
        <f t="shared" si="96"/>
        <v>SA978634</v>
      </c>
      <c r="T647">
        <f t="shared" si="97"/>
        <v>1</v>
      </c>
      <c r="U647">
        <f t="shared" si="98"/>
        <v>25</v>
      </c>
    </row>
    <row r="648" spans="1:21" x14ac:dyDescent="0.25">
      <c r="A648">
        <f t="shared" si="90"/>
        <v>11</v>
      </c>
      <c r="C648" t="s">
        <v>5487</v>
      </c>
      <c r="D648" t="s">
        <v>5488</v>
      </c>
      <c r="E648" t="s">
        <v>4900</v>
      </c>
      <c r="F648" t="s">
        <v>5489</v>
      </c>
      <c r="G648" t="s">
        <v>5486</v>
      </c>
      <c r="H648" s="2">
        <v>1</v>
      </c>
      <c r="I648" s="2">
        <v>25</v>
      </c>
      <c r="N648" t="str">
        <f t="shared" si="91"/>
        <v>Al Kunuz General Trading LLC</v>
      </c>
      <c r="O648" t="str">
        <f t="shared" si="92"/>
        <v>W1315333033</v>
      </c>
      <c r="P648" t="str">
        <f t="shared" si="93"/>
        <v>YE659AT00MLN-565849</v>
      </c>
      <c r="Q648" t="str">
        <f t="shared" si="94"/>
        <v>PO044697</v>
      </c>
      <c r="R648" t="str">
        <f t="shared" si="95"/>
        <v>Walfred Trackpants, Green</v>
      </c>
      <c r="S648" t="str">
        <f t="shared" si="96"/>
        <v>SA978636</v>
      </c>
      <c r="T648">
        <f t="shared" si="97"/>
        <v>1</v>
      </c>
      <c r="U648">
        <f t="shared" si="98"/>
        <v>25</v>
      </c>
    </row>
    <row r="649" spans="1:21" x14ac:dyDescent="0.25">
      <c r="A649">
        <f t="shared" si="90"/>
        <v>11</v>
      </c>
      <c r="C649" t="s">
        <v>5491</v>
      </c>
      <c r="D649" t="s">
        <v>5492</v>
      </c>
      <c r="E649" t="s">
        <v>4900</v>
      </c>
      <c r="F649" t="s">
        <v>5493</v>
      </c>
      <c r="G649" t="s">
        <v>5490</v>
      </c>
      <c r="H649" s="2">
        <v>1</v>
      </c>
      <c r="I649" s="2">
        <v>21</v>
      </c>
      <c r="N649" t="str">
        <f t="shared" si="91"/>
        <v>Al Kunuz General Trading LLC</v>
      </c>
      <c r="O649" t="str">
        <f t="shared" si="92"/>
        <v>W1315390711</v>
      </c>
      <c r="P649" t="str">
        <f t="shared" si="93"/>
        <v>MA096BE51QHK-633343</v>
      </c>
      <c r="Q649" t="str">
        <f t="shared" si="94"/>
        <v>PO044697</v>
      </c>
      <c r="R649" t="str">
        <f t="shared" si="95"/>
        <v>Color Show Matte Lipstick - Madly Magenta M402</v>
      </c>
      <c r="S649" t="str">
        <f t="shared" si="96"/>
        <v>SA978831</v>
      </c>
      <c r="T649">
        <f t="shared" si="97"/>
        <v>1</v>
      </c>
      <c r="U649">
        <f t="shared" si="98"/>
        <v>21</v>
      </c>
    </row>
    <row r="650" spans="1:21" x14ac:dyDescent="0.25">
      <c r="A650">
        <f t="shared" si="90"/>
        <v>11</v>
      </c>
      <c r="G650" t="s">
        <v>5793</v>
      </c>
      <c r="H650" s="2">
        <v>1</v>
      </c>
      <c r="I650" s="2">
        <v>21</v>
      </c>
      <c r="N650" t="str">
        <f t="shared" si="91"/>
        <v>Al Kunuz General Trading LLC</v>
      </c>
      <c r="O650" t="str">
        <f t="shared" si="92"/>
        <v>W1315390711</v>
      </c>
      <c r="P650" t="str">
        <f t="shared" si="93"/>
        <v>MA096BE51QHK-633343</v>
      </c>
      <c r="Q650" t="str">
        <f t="shared" si="94"/>
        <v>PO044697</v>
      </c>
      <c r="R650" t="str">
        <f t="shared" si="95"/>
        <v>Color Show Matte Lipstick - Madly Magenta M402</v>
      </c>
      <c r="S650" t="str">
        <f t="shared" si="96"/>
        <v>SA980925</v>
      </c>
      <c r="T650">
        <f t="shared" si="97"/>
        <v>1</v>
      </c>
      <c r="U650">
        <f t="shared" si="98"/>
        <v>21</v>
      </c>
    </row>
    <row r="651" spans="1:21" x14ac:dyDescent="0.25">
      <c r="A651">
        <f t="shared" si="90"/>
        <v>11</v>
      </c>
      <c r="C651" t="s">
        <v>5497</v>
      </c>
      <c r="D651" t="s">
        <v>5498</v>
      </c>
      <c r="E651" t="s">
        <v>5091</v>
      </c>
      <c r="F651" t="s">
        <v>5499</v>
      </c>
      <c r="G651" t="s">
        <v>5496</v>
      </c>
      <c r="H651" s="2">
        <v>1</v>
      </c>
      <c r="I651" s="2">
        <v>29</v>
      </c>
      <c r="N651" t="str">
        <f t="shared" si="91"/>
        <v>Al Kunuz General Trading LLC</v>
      </c>
      <c r="O651" t="str">
        <f t="shared" si="92"/>
        <v>W1315389436</v>
      </c>
      <c r="P651" t="str">
        <f t="shared" si="93"/>
        <v>LA081BE89QCC-633205</v>
      </c>
      <c r="Q651" t="str">
        <f t="shared" si="94"/>
        <v>PO044978</v>
      </c>
      <c r="R651" t="str">
        <f t="shared" si="95"/>
        <v>9 to 5 Pure Rouge Blusher - Rose Crush</v>
      </c>
      <c r="S651" t="str">
        <f t="shared" si="96"/>
        <v>SA978863</v>
      </c>
      <c r="T651">
        <f t="shared" si="97"/>
        <v>1</v>
      </c>
      <c r="U651">
        <f t="shared" si="98"/>
        <v>29</v>
      </c>
    </row>
    <row r="652" spans="1:21" x14ac:dyDescent="0.25">
      <c r="A652">
        <f t="shared" si="90"/>
        <v>11</v>
      </c>
      <c r="C652" t="s">
        <v>5511</v>
      </c>
      <c r="D652" t="s">
        <v>5512</v>
      </c>
      <c r="E652" t="s">
        <v>4900</v>
      </c>
      <c r="F652" t="s">
        <v>5513</v>
      </c>
      <c r="G652" t="s">
        <v>5510</v>
      </c>
      <c r="H652" s="2">
        <v>1</v>
      </c>
      <c r="I652" s="2">
        <v>37</v>
      </c>
      <c r="N652" t="str">
        <f t="shared" si="91"/>
        <v>Al Kunuz General Trading LLC</v>
      </c>
      <c r="O652" t="str">
        <f t="shared" si="92"/>
        <v>W1315383126</v>
      </c>
      <c r="P652" t="str">
        <f t="shared" si="93"/>
        <v>YE659AC46OJP-630939</v>
      </c>
      <c r="Q652" t="str">
        <f t="shared" si="94"/>
        <v>PO044697</v>
      </c>
      <c r="R652" t="str">
        <f t="shared" si="95"/>
        <v>2437 for Men (Analog-Chronograph Watch, Black)</v>
      </c>
      <c r="S652" t="str">
        <f t="shared" si="96"/>
        <v>SA979121</v>
      </c>
      <c r="T652">
        <f t="shared" si="97"/>
        <v>1</v>
      </c>
      <c r="U652">
        <f t="shared" si="98"/>
        <v>37</v>
      </c>
    </row>
    <row r="653" spans="1:21" x14ac:dyDescent="0.25">
      <c r="A653">
        <f t="shared" si="90"/>
        <v>11</v>
      </c>
      <c r="C653" t="s">
        <v>5535</v>
      </c>
      <c r="D653" t="s">
        <v>5536</v>
      </c>
      <c r="E653" t="s">
        <v>4900</v>
      </c>
      <c r="F653" t="s">
        <v>5537</v>
      </c>
      <c r="G653" t="s">
        <v>5534</v>
      </c>
      <c r="H653" s="2">
        <v>1</v>
      </c>
      <c r="I653" s="2">
        <v>16</v>
      </c>
      <c r="N653" t="str">
        <f t="shared" si="91"/>
        <v>Al Kunuz General Trading LLC</v>
      </c>
      <c r="O653" t="str">
        <f t="shared" si="92"/>
        <v>W1315228367</v>
      </c>
      <c r="P653" t="str">
        <f t="shared" si="93"/>
        <v>AD981AT24JPR-425684</v>
      </c>
      <c r="Q653" t="str">
        <f t="shared" si="94"/>
        <v>PO044697</v>
      </c>
      <c r="R653" t="str">
        <f t="shared" si="95"/>
        <v>Addyvero Women's Floral Print Casual Shirt</v>
      </c>
      <c r="S653" t="str">
        <f t="shared" si="96"/>
        <v>SA979373</v>
      </c>
      <c r="T653">
        <f t="shared" si="97"/>
        <v>1</v>
      </c>
      <c r="U653">
        <f t="shared" si="98"/>
        <v>16</v>
      </c>
    </row>
    <row r="654" spans="1:21" x14ac:dyDescent="0.25">
      <c r="A654">
        <f t="shared" si="90"/>
        <v>11</v>
      </c>
      <c r="C654" t="s">
        <v>5539</v>
      </c>
      <c r="D654" t="s">
        <v>5540</v>
      </c>
      <c r="E654" t="s">
        <v>4900</v>
      </c>
      <c r="F654" t="s">
        <v>5541</v>
      </c>
      <c r="G654" t="s">
        <v>5538</v>
      </c>
      <c r="H654" s="2">
        <v>1</v>
      </c>
      <c r="I654" s="2">
        <v>14</v>
      </c>
      <c r="N654" t="str">
        <f t="shared" si="91"/>
        <v>Al Kunuz General Trading LLC</v>
      </c>
      <c r="O654" t="str">
        <f t="shared" si="92"/>
        <v>W1315436918</v>
      </c>
      <c r="P654" t="str">
        <f t="shared" si="93"/>
        <v>EN364BE80RJB-690629</v>
      </c>
      <c r="Q654" t="str">
        <f t="shared" si="94"/>
        <v>PO044697</v>
      </c>
      <c r="R654" t="str">
        <f t="shared" si="95"/>
        <v>Envy Women Perfume Blush</v>
      </c>
      <c r="S654" t="str">
        <f t="shared" si="96"/>
        <v>SA979387</v>
      </c>
      <c r="T654">
        <f t="shared" si="97"/>
        <v>1</v>
      </c>
      <c r="U654">
        <f t="shared" si="98"/>
        <v>14</v>
      </c>
    </row>
    <row r="655" spans="1:21" x14ac:dyDescent="0.25">
      <c r="A655">
        <f t="shared" si="90"/>
        <v>11</v>
      </c>
      <c r="G655" t="s">
        <v>5542</v>
      </c>
      <c r="H655" s="2">
        <v>1</v>
      </c>
      <c r="I655" s="2">
        <v>14</v>
      </c>
      <c r="N655" t="str">
        <f t="shared" si="91"/>
        <v>Al Kunuz General Trading LLC</v>
      </c>
      <c r="O655" t="str">
        <f t="shared" si="92"/>
        <v>W1315436918</v>
      </c>
      <c r="P655" t="str">
        <f t="shared" si="93"/>
        <v>EN364BE80RJB-690629</v>
      </c>
      <c r="Q655" t="str">
        <f t="shared" si="94"/>
        <v>PO044697</v>
      </c>
      <c r="R655" t="str">
        <f t="shared" si="95"/>
        <v>Envy Women Perfume Blush</v>
      </c>
      <c r="S655" t="str">
        <f t="shared" si="96"/>
        <v>SA979388</v>
      </c>
      <c r="T655">
        <f t="shared" si="97"/>
        <v>1</v>
      </c>
      <c r="U655">
        <f t="shared" si="98"/>
        <v>14</v>
      </c>
    </row>
    <row r="656" spans="1:21" x14ac:dyDescent="0.25">
      <c r="A656">
        <f t="shared" si="90"/>
        <v>11</v>
      </c>
      <c r="C656" t="s">
        <v>5545</v>
      </c>
      <c r="D656" t="s">
        <v>5546</v>
      </c>
      <c r="E656" t="s">
        <v>4900</v>
      </c>
      <c r="F656" t="s">
        <v>5547</v>
      </c>
      <c r="G656" t="s">
        <v>5544</v>
      </c>
      <c r="H656" s="2">
        <v>1</v>
      </c>
      <c r="I656" s="2">
        <v>37</v>
      </c>
      <c r="N656" t="str">
        <f t="shared" si="91"/>
        <v>Al Kunuz General Trading LLC</v>
      </c>
      <c r="O656" t="str">
        <f t="shared" si="92"/>
        <v>W1315397353</v>
      </c>
      <c r="P656" t="str">
        <f t="shared" si="93"/>
        <v>CA149AC90AWV-641949</v>
      </c>
      <c r="Q656" t="str">
        <f t="shared" si="94"/>
        <v>PO044697</v>
      </c>
      <c r="R656" t="str">
        <f t="shared" si="95"/>
        <v>CWL799 for Women (Analog Watch, Black)</v>
      </c>
      <c r="S656" t="str">
        <f t="shared" si="96"/>
        <v>SA979523</v>
      </c>
      <c r="T656">
        <f t="shared" si="97"/>
        <v>1</v>
      </c>
      <c r="U656">
        <f t="shared" si="98"/>
        <v>37</v>
      </c>
    </row>
    <row r="657" spans="1:21" x14ac:dyDescent="0.25">
      <c r="A657">
        <f t="shared" si="90"/>
        <v>11</v>
      </c>
      <c r="C657" t="s">
        <v>5549</v>
      </c>
      <c r="D657" t="s">
        <v>5550</v>
      </c>
      <c r="E657" t="s">
        <v>4900</v>
      </c>
      <c r="F657" t="s">
        <v>5551</v>
      </c>
      <c r="G657" t="s">
        <v>5548</v>
      </c>
      <c r="H657" s="2">
        <v>1</v>
      </c>
      <c r="I657" s="2">
        <v>39</v>
      </c>
      <c r="N657" t="str">
        <f t="shared" si="91"/>
        <v>Al Kunuz General Trading LLC</v>
      </c>
      <c r="O657" t="str">
        <f t="shared" si="92"/>
        <v>W1315381443</v>
      </c>
      <c r="P657" t="str">
        <f t="shared" si="93"/>
        <v>YE659AC60OFF-630825</v>
      </c>
      <c r="Q657" t="str">
        <f t="shared" si="94"/>
        <v>PO044697</v>
      </c>
      <c r="R657" t="str">
        <f t="shared" si="95"/>
        <v>1917 for Women (Analog Watch, Black)</v>
      </c>
      <c r="S657" t="str">
        <f t="shared" si="96"/>
        <v>SA979549</v>
      </c>
      <c r="T657">
        <f t="shared" si="97"/>
        <v>1</v>
      </c>
      <c r="U657">
        <f t="shared" si="98"/>
        <v>39</v>
      </c>
    </row>
    <row r="658" spans="1:21" x14ac:dyDescent="0.25">
      <c r="A658">
        <f t="shared" si="90"/>
        <v>11</v>
      </c>
      <c r="C658" t="s">
        <v>5561</v>
      </c>
      <c r="D658" t="s">
        <v>5562</v>
      </c>
      <c r="E658" t="s">
        <v>5091</v>
      </c>
      <c r="F658" t="s">
        <v>5563</v>
      </c>
      <c r="G658" t="s">
        <v>5560</v>
      </c>
      <c r="H658" s="2">
        <v>1</v>
      </c>
      <c r="I658" s="2">
        <v>5</v>
      </c>
      <c r="N658" t="str">
        <f t="shared" si="91"/>
        <v>Al Kunuz General Trading LLC</v>
      </c>
      <c r="O658" t="str">
        <f t="shared" si="92"/>
        <v>W1315438038</v>
      </c>
      <c r="P658" t="str">
        <f t="shared" si="93"/>
        <v>GA254BE07PCI-689102</v>
      </c>
      <c r="Q658" t="str">
        <f t="shared" si="94"/>
        <v>PO044978</v>
      </c>
      <c r="R658" t="str">
        <f t="shared" si="95"/>
        <v>Gala Of London Liquid Line (Eye Liner) - Brown</v>
      </c>
      <c r="S658" t="str">
        <f t="shared" si="96"/>
        <v>SA979745</v>
      </c>
      <c r="T658">
        <f t="shared" si="97"/>
        <v>1</v>
      </c>
      <c r="U658">
        <f t="shared" si="98"/>
        <v>5</v>
      </c>
    </row>
    <row r="659" spans="1:21" x14ac:dyDescent="0.25">
      <c r="A659">
        <f t="shared" si="90"/>
        <v>11</v>
      </c>
      <c r="C659" t="s">
        <v>5565</v>
      </c>
      <c r="D659" t="s">
        <v>5566</v>
      </c>
      <c r="E659" t="s">
        <v>5091</v>
      </c>
      <c r="F659" t="s">
        <v>5567</v>
      </c>
      <c r="G659" t="s">
        <v>5564</v>
      </c>
      <c r="H659" s="2">
        <v>1</v>
      </c>
      <c r="I659" s="2">
        <v>8</v>
      </c>
      <c r="N659" t="str">
        <f t="shared" si="91"/>
        <v>Al Kunuz General Trading LLC</v>
      </c>
      <c r="O659" t="str">
        <f t="shared" si="92"/>
        <v>W1315435266</v>
      </c>
      <c r="P659" t="str">
        <f t="shared" si="93"/>
        <v>BI230BE92VMH-693417</v>
      </c>
      <c r="Q659" t="str">
        <f t="shared" si="94"/>
        <v>PO044978</v>
      </c>
      <c r="R659" t="str">
        <f t="shared" si="95"/>
        <v>Biotique Kaajal Nourishing &amp; Conditioning Eye Liner With Almond Oil</v>
      </c>
      <c r="S659" t="str">
        <f t="shared" si="96"/>
        <v>SA979746</v>
      </c>
      <c r="T659">
        <f t="shared" si="97"/>
        <v>1</v>
      </c>
      <c r="U659">
        <f t="shared" si="98"/>
        <v>8</v>
      </c>
    </row>
    <row r="660" spans="1:21" x14ac:dyDescent="0.25">
      <c r="A660">
        <f t="shared" si="90"/>
        <v>11</v>
      </c>
      <c r="C660" t="s">
        <v>5569</v>
      </c>
      <c r="D660" t="s">
        <v>5570</v>
      </c>
      <c r="E660" t="s">
        <v>5091</v>
      </c>
      <c r="F660" t="s">
        <v>5571</v>
      </c>
      <c r="G660" t="s">
        <v>5568</v>
      </c>
      <c r="H660" s="2">
        <v>1</v>
      </c>
      <c r="I660" s="2">
        <v>25</v>
      </c>
      <c r="N660" t="str">
        <f t="shared" si="91"/>
        <v>Al Kunuz General Trading LLC</v>
      </c>
      <c r="O660" t="str">
        <f t="shared" si="92"/>
        <v>W1315436506</v>
      </c>
      <c r="P660" t="str">
        <f t="shared" si="93"/>
        <v>CO092BE75OSA-688834</v>
      </c>
      <c r="Q660" t="str">
        <f t="shared" si="94"/>
        <v>PO044978</v>
      </c>
      <c r="R660" t="str">
        <f t="shared" si="95"/>
        <v>Coloressence Ink Stylo Eyeliner Pen - Black</v>
      </c>
      <c r="S660" t="str">
        <f t="shared" si="96"/>
        <v>SA979747</v>
      </c>
      <c r="T660">
        <f t="shared" si="97"/>
        <v>1</v>
      </c>
      <c r="U660">
        <f t="shared" si="98"/>
        <v>25</v>
      </c>
    </row>
    <row r="661" spans="1:21" x14ac:dyDescent="0.25">
      <c r="A661">
        <f t="shared" si="90"/>
        <v>11</v>
      </c>
      <c r="G661" t="s">
        <v>6308</v>
      </c>
      <c r="H661" s="2">
        <v>1</v>
      </c>
      <c r="I661" s="2">
        <v>25</v>
      </c>
      <c r="N661" t="str">
        <f t="shared" si="91"/>
        <v>Al Kunuz General Trading LLC</v>
      </c>
      <c r="O661" t="str">
        <f t="shared" si="92"/>
        <v>W1315436506</v>
      </c>
      <c r="P661" t="str">
        <f t="shared" si="93"/>
        <v>CO092BE75OSA-688834</v>
      </c>
      <c r="Q661" t="str">
        <f t="shared" si="94"/>
        <v>PO044978</v>
      </c>
      <c r="R661" t="str">
        <f t="shared" si="95"/>
        <v>Coloressence Ink Stylo Eyeliner Pen - Black</v>
      </c>
      <c r="S661" t="str">
        <f t="shared" si="96"/>
        <v>SA986009</v>
      </c>
      <c r="T661">
        <f t="shared" si="97"/>
        <v>1</v>
      </c>
      <c r="U661">
        <f t="shared" si="98"/>
        <v>25</v>
      </c>
    </row>
    <row r="662" spans="1:21" x14ac:dyDescent="0.25">
      <c r="A662">
        <f t="shared" si="90"/>
        <v>11</v>
      </c>
      <c r="C662" t="s">
        <v>5573</v>
      </c>
      <c r="D662" t="s">
        <v>5574</v>
      </c>
      <c r="E662" t="s">
        <v>5091</v>
      </c>
      <c r="F662" t="s">
        <v>5575</v>
      </c>
      <c r="G662" t="s">
        <v>5572</v>
      </c>
      <c r="H662" s="2">
        <v>1</v>
      </c>
      <c r="I662" s="2">
        <v>21</v>
      </c>
      <c r="N662" t="str">
        <f t="shared" si="91"/>
        <v>Al Kunuz General Trading LLC</v>
      </c>
      <c r="O662" t="str">
        <f t="shared" si="92"/>
        <v>W1315390701</v>
      </c>
      <c r="P662" t="str">
        <f t="shared" si="93"/>
        <v>MA096BE94QYZ-633800</v>
      </c>
      <c r="Q662" t="str">
        <f t="shared" si="94"/>
        <v>PO044978</v>
      </c>
      <c r="R662" t="str">
        <f t="shared" si="95"/>
        <v>Color Show Matte Lipstick - Pop of Pink M102</v>
      </c>
      <c r="S662" t="str">
        <f t="shared" si="96"/>
        <v>SA979748</v>
      </c>
      <c r="T662">
        <f t="shared" si="97"/>
        <v>1</v>
      </c>
      <c r="U662">
        <f t="shared" si="98"/>
        <v>21</v>
      </c>
    </row>
    <row r="663" spans="1:21" x14ac:dyDescent="0.25">
      <c r="A663">
        <f t="shared" si="90"/>
        <v>11</v>
      </c>
      <c r="C663" t="s">
        <v>5578</v>
      </c>
      <c r="D663" t="s">
        <v>5579</v>
      </c>
      <c r="E663" t="s">
        <v>4900</v>
      </c>
      <c r="F663" t="s">
        <v>5580</v>
      </c>
      <c r="G663" t="s">
        <v>5577</v>
      </c>
      <c r="H663" s="2">
        <v>1</v>
      </c>
      <c r="I663" s="2">
        <v>23</v>
      </c>
      <c r="N663" t="str">
        <f t="shared" si="91"/>
        <v>Al Kunuz General Trading LLC</v>
      </c>
      <c r="O663" t="str">
        <f t="shared" si="92"/>
        <v>W1315402171</v>
      </c>
      <c r="P663" t="str">
        <f t="shared" si="93"/>
        <v>AD592AC80FQH-646483</v>
      </c>
      <c r="Q663" t="str">
        <f t="shared" si="94"/>
        <v>PO044697</v>
      </c>
      <c r="R663" t="str">
        <f t="shared" si="95"/>
        <v>Wayfarer Unisex Sunglasses (AD-71203, Black/Purple)</v>
      </c>
      <c r="S663" t="str">
        <f t="shared" si="96"/>
        <v>SA979835</v>
      </c>
      <c r="T663">
        <f t="shared" si="97"/>
        <v>1</v>
      </c>
      <c r="U663">
        <f t="shared" si="98"/>
        <v>23</v>
      </c>
    </row>
    <row r="664" spans="1:21" x14ac:dyDescent="0.25">
      <c r="A664">
        <f t="shared" si="90"/>
        <v>11</v>
      </c>
      <c r="C664" t="s">
        <v>5593</v>
      </c>
      <c r="D664" t="s">
        <v>5594</v>
      </c>
      <c r="E664" t="s">
        <v>4900</v>
      </c>
      <c r="F664" t="s">
        <v>5595</v>
      </c>
      <c r="G664" t="s">
        <v>5592</v>
      </c>
      <c r="H664" s="2">
        <v>1</v>
      </c>
      <c r="I664" s="2">
        <v>78</v>
      </c>
      <c r="N664" t="str">
        <f t="shared" si="91"/>
        <v>Al Kunuz General Trading LLC</v>
      </c>
      <c r="O664" t="str">
        <f t="shared" si="92"/>
        <v>W1315216456</v>
      </c>
      <c r="P664" t="str">
        <f t="shared" si="93"/>
        <v>SR372AC71LAI-427981</v>
      </c>
      <c r="Q664" t="str">
        <f t="shared" si="94"/>
        <v>PO044697</v>
      </c>
      <c r="R664" t="str">
        <f t="shared" si="95"/>
        <v>Srota Men Duffel Bag</v>
      </c>
      <c r="S664" t="str">
        <f t="shared" si="96"/>
        <v>SA979994</v>
      </c>
      <c r="T664">
        <f t="shared" si="97"/>
        <v>1</v>
      </c>
      <c r="U664">
        <f t="shared" si="98"/>
        <v>78</v>
      </c>
    </row>
    <row r="665" spans="1:21" x14ac:dyDescent="0.25">
      <c r="A665">
        <f t="shared" si="90"/>
        <v>11</v>
      </c>
      <c r="G665" t="s">
        <v>5596</v>
      </c>
      <c r="H665" s="2">
        <v>1</v>
      </c>
      <c r="I665" s="2">
        <v>78</v>
      </c>
      <c r="N665" t="str">
        <f t="shared" si="91"/>
        <v>Al Kunuz General Trading LLC</v>
      </c>
      <c r="O665" t="str">
        <f t="shared" si="92"/>
        <v>W1315216456</v>
      </c>
      <c r="P665" t="str">
        <f t="shared" si="93"/>
        <v>SR372AC71LAI-427981</v>
      </c>
      <c r="Q665" t="str">
        <f t="shared" si="94"/>
        <v>PO044697</v>
      </c>
      <c r="R665" t="str">
        <f t="shared" si="95"/>
        <v>Srota Men Duffel Bag</v>
      </c>
      <c r="S665" t="str">
        <f t="shared" si="96"/>
        <v>SA979995</v>
      </c>
      <c r="T665">
        <f t="shared" si="97"/>
        <v>1</v>
      </c>
      <c r="U665">
        <f t="shared" si="98"/>
        <v>78</v>
      </c>
    </row>
    <row r="666" spans="1:21" x14ac:dyDescent="0.25">
      <c r="A666">
        <f t="shared" si="90"/>
        <v>11</v>
      </c>
      <c r="C666" t="s">
        <v>5598</v>
      </c>
      <c r="D666" t="s">
        <v>5599</v>
      </c>
      <c r="E666" t="s">
        <v>5091</v>
      </c>
      <c r="F666" t="s">
        <v>5600</v>
      </c>
      <c r="G666" t="s">
        <v>5597</v>
      </c>
      <c r="H666" s="2">
        <v>1</v>
      </c>
      <c r="I666" s="2">
        <v>9</v>
      </c>
      <c r="N666" t="str">
        <f t="shared" si="91"/>
        <v>Al Kunuz General Trading LLC</v>
      </c>
      <c r="O666" t="str">
        <f t="shared" si="92"/>
        <v>W1315391078</v>
      </c>
      <c r="P666" t="str">
        <f t="shared" si="93"/>
        <v>MA096BE33SRQ-634985</v>
      </c>
      <c r="Q666" t="str">
        <f t="shared" si="94"/>
        <v>PO044978</v>
      </c>
      <c r="R666" t="str">
        <f t="shared" si="95"/>
        <v>Color Show Big Apple Nail Paint - 204 Juicy Red</v>
      </c>
      <c r="S666" t="str">
        <f t="shared" si="96"/>
        <v>SA980021</v>
      </c>
      <c r="T666">
        <f t="shared" si="97"/>
        <v>1</v>
      </c>
      <c r="U666">
        <f t="shared" si="98"/>
        <v>9</v>
      </c>
    </row>
    <row r="667" spans="1:21" x14ac:dyDescent="0.25">
      <c r="A667">
        <f t="shared" si="90"/>
        <v>11</v>
      </c>
      <c r="C667" t="s">
        <v>5610</v>
      </c>
      <c r="D667" t="s">
        <v>5611</v>
      </c>
      <c r="E667" t="s">
        <v>4900</v>
      </c>
      <c r="F667" t="s">
        <v>5612</v>
      </c>
      <c r="G667" t="s">
        <v>5609</v>
      </c>
      <c r="H667" s="2">
        <v>1</v>
      </c>
      <c r="I667" s="2">
        <v>38</v>
      </c>
      <c r="N667" t="str">
        <f t="shared" si="91"/>
        <v>Al Kunuz General Trading LLC</v>
      </c>
      <c r="O667" t="str">
        <f t="shared" si="92"/>
        <v>W1315383132</v>
      </c>
      <c r="P667" t="str">
        <f t="shared" si="93"/>
        <v>YE659AC40OJV-630945</v>
      </c>
      <c r="Q667" t="str">
        <f t="shared" si="94"/>
        <v>PO044697</v>
      </c>
      <c r="R667" t="str">
        <f t="shared" si="95"/>
        <v>2444 for Men (Analog-Chronograph Watch, Green)</v>
      </c>
      <c r="S667" t="str">
        <f t="shared" si="96"/>
        <v>SA980134</v>
      </c>
      <c r="T667">
        <f t="shared" si="97"/>
        <v>1</v>
      </c>
      <c r="U667">
        <f t="shared" si="98"/>
        <v>38</v>
      </c>
    </row>
    <row r="668" spans="1:21" x14ac:dyDescent="0.25">
      <c r="A668">
        <f t="shared" si="90"/>
        <v>11</v>
      </c>
      <c r="G668" t="s">
        <v>5613</v>
      </c>
      <c r="H668" s="2">
        <v>1</v>
      </c>
      <c r="I668" s="2">
        <v>38</v>
      </c>
      <c r="N668" t="str">
        <f t="shared" si="91"/>
        <v>Al Kunuz General Trading LLC</v>
      </c>
      <c r="O668" t="str">
        <f t="shared" si="92"/>
        <v>W1315383132</v>
      </c>
      <c r="P668" t="str">
        <f t="shared" si="93"/>
        <v>YE659AC40OJV-630945</v>
      </c>
      <c r="Q668" t="str">
        <f t="shared" si="94"/>
        <v>PO044697</v>
      </c>
      <c r="R668" t="str">
        <f t="shared" si="95"/>
        <v>2444 for Men (Analog-Chronograph Watch, Green)</v>
      </c>
      <c r="S668" t="str">
        <f t="shared" si="96"/>
        <v>SA980135</v>
      </c>
      <c r="T668">
        <f t="shared" si="97"/>
        <v>1</v>
      </c>
      <c r="U668">
        <f t="shared" si="98"/>
        <v>38</v>
      </c>
    </row>
    <row r="669" spans="1:21" x14ac:dyDescent="0.25">
      <c r="A669">
        <f t="shared" si="90"/>
        <v>11</v>
      </c>
      <c r="C669" t="s">
        <v>5615</v>
      </c>
      <c r="D669" t="s">
        <v>5616</v>
      </c>
      <c r="E669" t="s">
        <v>4900</v>
      </c>
      <c r="F669" t="s">
        <v>5617</v>
      </c>
      <c r="G669" t="s">
        <v>5614</v>
      </c>
      <c r="H669" s="2">
        <v>1</v>
      </c>
      <c r="I669" s="2">
        <v>18</v>
      </c>
      <c r="N669" t="str">
        <f t="shared" si="91"/>
        <v>Al Kunuz General Trading LLC</v>
      </c>
      <c r="O669" t="str">
        <f t="shared" si="92"/>
        <v>W1315325908</v>
      </c>
      <c r="P669" t="str">
        <f t="shared" si="93"/>
        <v>AD592AC21DVQ-548427</v>
      </c>
      <c r="Q669" t="str">
        <f t="shared" si="94"/>
        <v>PO044697</v>
      </c>
      <c r="R669" t="str">
        <f t="shared" si="95"/>
        <v>Wayfarer Sunglasses for Unisex (19230WHITE-BLACK)</v>
      </c>
      <c r="S669" t="str">
        <f t="shared" si="96"/>
        <v>SA980140</v>
      </c>
      <c r="T669">
        <f t="shared" si="97"/>
        <v>1</v>
      </c>
      <c r="U669">
        <f t="shared" si="98"/>
        <v>18</v>
      </c>
    </row>
    <row r="670" spans="1:21" x14ac:dyDescent="0.25">
      <c r="A670">
        <f t="shared" si="90"/>
        <v>11</v>
      </c>
      <c r="C670" t="s">
        <v>5619</v>
      </c>
      <c r="D670" t="s">
        <v>5620</v>
      </c>
      <c r="E670" t="s">
        <v>4900</v>
      </c>
      <c r="F670" t="s">
        <v>5621</v>
      </c>
      <c r="G670" t="s">
        <v>5618</v>
      </c>
      <c r="H670" s="2">
        <v>1</v>
      </c>
      <c r="I670" s="2">
        <v>16</v>
      </c>
      <c r="N670" t="str">
        <f t="shared" si="91"/>
        <v>Al Kunuz General Trading LLC</v>
      </c>
      <c r="O670" t="str">
        <f t="shared" si="92"/>
        <v>W1315325302</v>
      </c>
      <c r="P670" t="str">
        <f t="shared" si="93"/>
        <v>SI601AC95TVC-528503</v>
      </c>
      <c r="Q670" t="str">
        <f t="shared" si="94"/>
        <v>PO044697</v>
      </c>
      <c r="R670" t="str">
        <f t="shared" si="95"/>
        <v>Simaya Fashion Bracelet (FB 0276, Gold tone)</v>
      </c>
      <c r="S670" t="str">
        <f t="shared" si="96"/>
        <v>SA980143</v>
      </c>
      <c r="T670">
        <f t="shared" si="97"/>
        <v>1</v>
      </c>
      <c r="U670">
        <f t="shared" si="98"/>
        <v>16</v>
      </c>
    </row>
    <row r="671" spans="1:21" x14ac:dyDescent="0.25">
      <c r="A671">
        <f t="shared" si="90"/>
        <v>11</v>
      </c>
      <c r="C671" t="s">
        <v>5634</v>
      </c>
      <c r="D671" t="s">
        <v>5635</v>
      </c>
      <c r="E671" t="s">
        <v>4900</v>
      </c>
      <c r="F671" t="s">
        <v>5636</v>
      </c>
      <c r="G671" t="s">
        <v>5633</v>
      </c>
      <c r="H671" s="2">
        <v>1</v>
      </c>
      <c r="I671" s="2">
        <v>91</v>
      </c>
      <c r="N671" t="str">
        <f t="shared" si="91"/>
        <v>Al Kunuz General Trading LLC</v>
      </c>
      <c r="O671" t="str">
        <f t="shared" si="92"/>
        <v>W1315464067</v>
      </c>
      <c r="P671" t="str">
        <f t="shared" si="93"/>
        <v>FU379AT79CEU-717386</v>
      </c>
      <c r="Q671" t="str">
        <f t="shared" si="94"/>
        <v>PO044697</v>
      </c>
      <c r="R671" t="str">
        <f t="shared" si="95"/>
        <v>Lace Accented Neoprene Bralette, Black</v>
      </c>
      <c r="S671" t="str">
        <f t="shared" si="96"/>
        <v>SA980290</v>
      </c>
      <c r="T671">
        <f t="shared" si="97"/>
        <v>1</v>
      </c>
      <c r="U671">
        <f t="shared" si="98"/>
        <v>91</v>
      </c>
    </row>
    <row r="672" spans="1:21" x14ac:dyDescent="0.25">
      <c r="A672">
        <f t="shared" si="90"/>
        <v>11</v>
      </c>
      <c r="C672" t="s">
        <v>5638</v>
      </c>
      <c r="D672" t="s">
        <v>5639</v>
      </c>
      <c r="E672" t="s">
        <v>4900</v>
      </c>
      <c r="F672" t="s">
        <v>5640</v>
      </c>
      <c r="G672" t="s">
        <v>5637</v>
      </c>
      <c r="H672" s="2">
        <v>1</v>
      </c>
      <c r="I672" s="2">
        <v>89</v>
      </c>
      <c r="N672" t="str">
        <f t="shared" si="91"/>
        <v>Al Kunuz General Trading LLC</v>
      </c>
      <c r="O672" t="str">
        <f t="shared" si="92"/>
        <v>W1315506647</v>
      </c>
      <c r="P672" t="str">
        <f t="shared" si="93"/>
        <v>MI070AT07VVG-735912</v>
      </c>
      <c r="Q672" t="str">
        <f t="shared" si="94"/>
        <v>PO044697</v>
      </c>
      <c r="R672" t="str">
        <f t="shared" si="95"/>
        <v>Mini Bardot Dress, Red</v>
      </c>
      <c r="S672" t="str">
        <f t="shared" si="96"/>
        <v>SA980292</v>
      </c>
      <c r="T672">
        <f t="shared" si="97"/>
        <v>1</v>
      </c>
      <c r="U672">
        <f t="shared" si="98"/>
        <v>89</v>
      </c>
    </row>
    <row r="673" spans="1:21" x14ac:dyDescent="0.25">
      <c r="A673">
        <f t="shared" si="90"/>
        <v>11</v>
      </c>
      <c r="C673" t="s">
        <v>5651</v>
      </c>
      <c r="D673" t="s">
        <v>5652</v>
      </c>
      <c r="E673" t="s">
        <v>4900</v>
      </c>
      <c r="F673" t="s">
        <v>5653</v>
      </c>
      <c r="G673" t="s">
        <v>5650</v>
      </c>
      <c r="H673" s="2">
        <v>1</v>
      </c>
      <c r="I673" s="2">
        <v>17</v>
      </c>
      <c r="N673" t="str">
        <f t="shared" si="91"/>
        <v>Al Kunuz General Trading LLC</v>
      </c>
      <c r="O673" t="str">
        <f t="shared" si="92"/>
        <v>W1315334640</v>
      </c>
      <c r="P673" t="str">
        <f t="shared" si="93"/>
        <v>YE659AT71NCA-567726</v>
      </c>
      <c r="Q673" t="str">
        <f t="shared" si="94"/>
        <v>PO044697</v>
      </c>
      <c r="R673" t="str">
        <f t="shared" si="95"/>
        <v>Perry Leggings, Grey &amp; Green</v>
      </c>
      <c r="S673" t="str">
        <f t="shared" si="96"/>
        <v>SA980343</v>
      </c>
      <c r="T673">
        <f t="shared" si="97"/>
        <v>1</v>
      </c>
      <c r="U673">
        <f t="shared" si="98"/>
        <v>17</v>
      </c>
    </row>
    <row r="674" spans="1:21" x14ac:dyDescent="0.25">
      <c r="A674">
        <f t="shared" si="90"/>
        <v>11</v>
      </c>
      <c r="C674" t="s">
        <v>5684</v>
      </c>
      <c r="D674" t="s">
        <v>5685</v>
      </c>
      <c r="E674" t="s">
        <v>4900</v>
      </c>
      <c r="F674" t="s">
        <v>5686</v>
      </c>
      <c r="G674" t="s">
        <v>5683</v>
      </c>
      <c r="H674" s="2">
        <v>1</v>
      </c>
      <c r="I674" s="2">
        <v>16</v>
      </c>
      <c r="N674" t="str">
        <f t="shared" si="91"/>
        <v>Al Kunuz General Trading LLC</v>
      </c>
      <c r="O674" t="str">
        <f t="shared" si="92"/>
        <v>W1315430148</v>
      </c>
      <c r="P674" t="str">
        <f t="shared" si="93"/>
        <v>ZI491AT21MZY-686151</v>
      </c>
      <c r="Q674" t="str">
        <f t="shared" si="94"/>
        <v>PO044697</v>
      </c>
      <c r="R674" t="str">
        <f t="shared" si="95"/>
        <v>Premium Cotton Low Rise Bikini Brief Pack of 2, Yellow Green Stripe</v>
      </c>
      <c r="S674" t="str">
        <f t="shared" si="96"/>
        <v>SA980480</v>
      </c>
      <c r="T674">
        <f t="shared" si="97"/>
        <v>1</v>
      </c>
      <c r="U674">
        <f t="shared" si="98"/>
        <v>16</v>
      </c>
    </row>
    <row r="675" spans="1:21" x14ac:dyDescent="0.25">
      <c r="A675">
        <f t="shared" si="90"/>
        <v>11</v>
      </c>
      <c r="C675" t="s">
        <v>5688</v>
      </c>
      <c r="D675" t="s">
        <v>5689</v>
      </c>
      <c r="E675" t="s">
        <v>4900</v>
      </c>
      <c r="F675" t="s">
        <v>5690</v>
      </c>
      <c r="G675" t="s">
        <v>5687</v>
      </c>
      <c r="H675" s="2">
        <v>1</v>
      </c>
      <c r="I675" s="2">
        <v>16</v>
      </c>
      <c r="N675" t="str">
        <f t="shared" si="91"/>
        <v>Al Kunuz General Trading LLC</v>
      </c>
      <c r="O675" t="str">
        <f t="shared" si="92"/>
        <v>W1315430164</v>
      </c>
      <c r="P675" t="str">
        <f t="shared" si="93"/>
        <v>ZI491AT22MZX-686145</v>
      </c>
      <c r="Q675" t="str">
        <f t="shared" si="94"/>
        <v>PO044697</v>
      </c>
      <c r="R675" t="str">
        <f t="shared" si="95"/>
        <v>Premium Cotton Medium Rise Bikini Brief Pack of 2, White Grey Print</v>
      </c>
      <c r="S675" t="str">
        <f t="shared" si="96"/>
        <v>SA980481</v>
      </c>
      <c r="T675">
        <f t="shared" si="97"/>
        <v>1</v>
      </c>
      <c r="U675">
        <f t="shared" si="98"/>
        <v>16</v>
      </c>
    </row>
    <row r="676" spans="1:21" x14ac:dyDescent="0.25">
      <c r="A676">
        <f t="shared" si="90"/>
        <v>11</v>
      </c>
      <c r="C676" t="s">
        <v>5692</v>
      </c>
      <c r="D676" t="s">
        <v>5693</v>
      </c>
      <c r="E676" t="s">
        <v>4900</v>
      </c>
      <c r="F676" t="s">
        <v>5694</v>
      </c>
      <c r="G676" t="s">
        <v>5691</v>
      </c>
      <c r="H676" s="2">
        <v>1</v>
      </c>
      <c r="I676" s="2">
        <v>16</v>
      </c>
      <c r="N676" t="str">
        <f t="shared" si="91"/>
        <v>Al Kunuz General Trading LLC</v>
      </c>
      <c r="O676" t="str">
        <f t="shared" si="92"/>
        <v>W1315430137</v>
      </c>
      <c r="P676" t="str">
        <f t="shared" si="93"/>
        <v>ZI491AT52MUX-685788</v>
      </c>
      <c r="Q676" t="str">
        <f t="shared" si="94"/>
        <v>PO044697</v>
      </c>
      <c r="R676" t="str">
        <f t="shared" si="95"/>
        <v>Premium Cotton Low Rise Hipster Brief Pack of 2, Pink Chevron</v>
      </c>
      <c r="S676" t="str">
        <f t="shared" si="96"/>
        <v>SA980482</v>
      </c>
      <c r="T676">
        <f t="shared" si="97"/>
        <v>1</v>
      </c>
      <c r="U676">
        <f t="shared" si="98"/>
        <v>16</v>
      </c>
    </row>
    <row r="677" spans="1:21" x14ac:dyDescent="0.25">
      <c r="A677">
        <f t="shared" si="90"/>
        <v>11</v>
      </c>
      <c r="C677" t="s">
        <v>5696</v>
      </c>
      <c r="D677" t="s">
        <v>5697</v>
      </c>
      <c r="E677" t="s">
        <v>4900</v>
      </c>
      <c r="F677" t="s">
        <v>5698</v>
      </c>
      <c r="G677" t="s">
        <v>5695</v>
      </c>
      <c r="H677" s="2">
        <v>1</v>
      </c>
      <c r="I677" s="2">
        <v>25</v>
      </c>
      <c r="N677" t="str">
        <f t="shared" si="91"/>
        <v>Al Kunuz General Trading LLC</v>
      </c>
      <c r="O677" t="str">
        <f t="shared" si="92"/>
        <v>W1315316793</v>
      </c>
      <c r="P677" t="str">
        <f t="shared" si="93"/>
        <v>UN563AC80OBR-522639</v>
      </c>
      <c r="Q677" t="str">
        <f t="shared" si="94"/>
        <v>PO044697</v>
      </c>
      <c r="R677" t="str">
        <f t="shared" si="95"/>
        <v>Hand Crafted Genuine Leather Wallet for Men (UN220, Navy)</v>
      </c>
      <c r="S677" t="str">
        <f t="shared" si="96"/>
        <v>SA980486</v>
      </c>
      <c r="T677">
        <f t="shared" si="97"/>
        <v>1</v>
      </c>
      <c r="U677">
        <f t="shared" si="98"/>
        <v>25</v>
      </c>
    </row>
    <row r="678" spans="1:21" x14ac:dyDescent="0.25">
      <c r="A678">
        <f t="shared" si="90"/>
        <v>11</v>
      </c>
      <c r="C678" t="s">
        <v>5700</v>
      </c>
      <c r="D678" t="s">
        <v>5701</v>
      </c>
      <c r="E678" t="s">
        <v>4900</v>
      </c>
      <c r="F678" t="s">
        <v>5702</v>
      </c>
      <c r="G678" t="s">
        <v>5699</v>
      </c>
      <c r="H678" s="2">
        <v>1</v>
      </c>
      <c r="I678" s="2">
        <v>33</v>
      </c>
      <c r="N678" t="str">
        <f t="shared" si="91"/>
        <v>Al Kunuz General Trading LLC</v>
      </c>
      <c r="O678" t="str">
        <f t="shared" si="92"/>
        <v>W1315242079</v>
      </c>
      <c r="P678" t="str">
        <f t="shared" si="93"/>
        <v>MI070AT73YXU-444184</v>
      </c>
      <c r="Q678" t="str">
        <f t="shared" si="94"/>
        <v>PO044697</v>
      </c>
      <c r="R678" t="str">
        <f t="shared" si="95"/>
        <v>Top, Black and White</v>
      </c>
      <c r="S678" t="str">
        <f t="shared" si="96"/>
        <v>SA980523</v>
      </c>
      <c r="T678">
        <f t="shared" si="97"/>
        <v>1</v>
      </c>
      <c r="U678">
        <f t="shared" si="98"/>
        <v>33</v>
      </c>
    </row>
    <row r="679" spans="1:21" x14ac:dyDescent="0.25">
      <c r="A679">
        <f t="shared" si="90"/>
        <v>11</v>
      </c>
      <c r="C679" t="s">
        <v>5715</v>
      </c>
      <c r="D679" t="s">
        <v>5716</v>
      </c>
      <c r="E679" t="s">
        <v>4900</v>
      </c>
      <c r="F679" t="s">
        <v>5717</v>
      </c>
      <c r="G679" t="s">
        <v>5714</v>
      </c>
      <c r="H679" s="2">
        <v>1</v>
      </c>
      <c r="I679" s="2">
        <v>29</v>
      </c>
      <c r="N679" t="str">
        <f t="shared" si="91"/>
        <v>Al Kunuz General Trading LLC</v>
      </c>
      <c r="O679" t="str">
        <f t="shared" si="92"/>
        <v>W1315246343</v>
      </c>
      <c r="P679" t="str">
        <f t="shared" si="93"/>
        <v>PE989AT83TWQ-435855</v>
      </c>
      <c r="Q679" t="str">
        <f t="shared" si="94"/>
        <v>PO044697</v>
      </c>
      <c r="R679" t="str">
        <f t="shared" si="95"/>
        <v>Penny No Panty Line Laser Cut Animal Print N Solid Thong Briefs (Pack of 2)</v>
      </c>
      <c r="S679" t="str">
        <f t="shared" si="96"/>
        <v>SA980584</v>
      </c>
      <c r="T679">
        <f t="shared" si="97"/>
        <v>1</v>
      </c>
      <c r="U679">
        <f t="shared" si="98"/>
        <v>29</v>
      </c>
    </row>
    <row r="680" spans="1:21" x14ac:dyDescent="0.25">
      <c r="A680">
        <f t="shared" si="90"/>
        <v>11</v>
      </c>
      <c r="C680" t="s">
        <v>5724</v>
      </c>
      <c r="D680" t="s">
        <v>5725</v>
      </c>
      <c r="E680" t="s">
        <v>5091</v>
      </c>
      <c r="F680" t="s">
        <v>5726</v>
      </c>
      <c r="G680" t="s">
        <v>5723</v>
      </c>
      <c r="H680" s="2">
        <v>1</v>
      </c>
      <c r="I680" s="2">
        <v>16</v>
      </c>
      <c r="N680" t="str">
        <f t="shared" si="91"/>
        <v>Al Kunuz General Trading LLC</v>
      </c>
      <c r="O680" t="str">
        <f t="shared" si="92"/>
        <v>W1315389837</v>
      </c>
      <c r="P680" t="str">
        <f t="shared" si="93"/>
        <v>SO088BE37QPQ-633557</v>
      </c>
      <c r="Q680" t="str">
        <f t="shared" si="94"/>
        <v>PO044978</v>
      </c>
      <c r="R680" t="str">
        <f t="shared" si="95"/>
        <v>Castor Carrier Oil - Coldpressed</v>
      </c>
      <c r="S680" t="str">
        <f t="shared" si="96"/>
        <v>SA980602</v>
      </c>
      <c r="T680">
        <f t="shared" si="97"/>
        <v>1</v>
      </c>
      <c r="U680">
        <f t="shared" si="98"/>
        <v>16</v>
      </c>
    </row>
    <row r="681" spans="1:21" x14ac:dyDescent="0.25">
      <c r="A681">
        <f t="shared" si="90"/>
        <v>11</v>
      </c>
      <c r="G681" t="s">
        <v>5900</v>
      </c>
      <c r="H681" s="2">
        <v>1</v>
      </c>
      <c r="I681" s="2">
        <v>16</v>
      </c>
      <c r="N681" t="str">
        <f t="shared" si="91"/>
        <v>Al Kunuz General Trading LLC</v>
      </c>
      <c r="O681" t="str">
        <f t="shared" si="92"/>
        <v>W1315389837</v>
      </c>
      <c r="P681" t="str">
        <f t="shared" si="93"/>
        <v>SO088BE37QPQ-633557</v>
      </c>
      <c r="Q681" t="str">
        <f t="shared" si="94"/>
        <v>PO044978</v>
      </c>
      <c r="R681" t="str">
        <f t="shared" si="95"/>
        <v>Castor Carrier Oil - Coldpressed</v>
      </c>
      <c r="S681" t="str">
        <f t="shared" si="96"/>
        <v>SA981808</v>
      </c>
      <c r="T681">
        <f t="shared" si="97"/>
        <v>1</v>
      </c>
      <c r="U681">
        <f t="shared" si="98"/>
        <v>16</v>
      </c>
    </row>
    <row r="682" spans="1:21" x14ac:dyDescent="0.25">
      <c r="A682">
        <f t="shared" si="90"/>
        <v>11</v>
      </c>
      <c r="C682" t="s">
        <v>5734</v>
      </c>
      <c r="D682" t="s">
        <v>5735</v>
      </c>
      <c r="E682" t="s">
        <v>4900</v>
      </c>
      <c r="F682" t="s">
        <v>3884</v>
      </c>
      <c r="G682" t="s">
        <v>5733</v>
      </c>
      <c r="H682" s="2">
        <v>1</v>
      </c>
      <c r="I682" s="2">
        <v>59</v>
      </c>
      <c r="N682" t="str">
        <f t="shared" si="91"/>
        <v>Al Kunuz General Trading LLC</v>
      </c>
      <c r="O682" t="str">
        <f t="shared" si="92"/>
        <v>W1315399154</v>
      </c>
      <c r="P682" t="str">
        <f t="shared" si="93"/>
        <v>SA222AT43CDK-643073</v>
      </c>
      <c r="Q682" t="str">
        <f t="shared" si="94"/>
        <v>PO044697</v>
      </c>
      <c r="R682" t="str">
        <f t="shared" si="95"/>
        <v>Copper Sequin Beaded Collar Top, Black</v>
      </c>
      <c r="S682" t="str">
        <f t="shared" si="96"/>
        <v>SA980649</v>
      </c>
      <c r="T682">
        <f t="shared" si="97"/>
        <v>1</v>
      </c>
      <c r="U682">
        <f t="shared" si="98"/>
        <v>59</v>
      </c>
    </row>
    <row r="683" spans="1:21" x14ac:dyDescent="0.25">
      <c r="A683">
        <f t="shared" si="90"/>
        <v>11</v>
      </c>
      <c r="C683" t="s">
        <v>5737</v>
      </c>
      <c r="D683" t="s">
        <v>5738</v>
      </c>
      <c r="E683" t="s">
        <v>4900</v>
      </c>
      <c r="F683" t="s">
        <v>5739</v>
      </c>
      <c r="G683" t="s">
        <v>5736</v>
      </c>
      <c r="H683" s="2">
        <v>1</v>
      </c>
      <c r="I683" s="2">
        <v>47</v>
      </c>
      <c r="N683" t="str">
        <f t="shared" si="91"/>
        <v>Al Kunuz General Trading LLC</v>
      </c>
      <c r="O683" t="str">
        <f t="shared" si="92"/>
        <v>W1315245373</v>
      </c>
      <c r="P683" t="str">
        <f t="shared" si="93"/>
        <v>TH106AT66VCB-439787</v>
      </c>
      <c r="Q683" t="str">
        <f t="shared" si="94"/>
        <v>PO044697</v>
      </c>
      <c r="R683" t="str">
        <f t="shared" si="95"/>
        <v>The Vanca Top - Offwhite</v>
      </c>
      <c r="S683" t="str">
        <f t="shared" si="96"/>
        <v>SA980650</v>
      </c>
      <c r="T683">
        <f t="shared" si="97"/>
        <v>1</v>
      </c>
      <c r="U683">
        <f t="shared" si="98"/>
        <v>47</v>
      </c>
    </row>
    <row r="684" spans="1:21" x14ac:dyDescent="0.25">
      <c r="A684">
        <f t="shared" si="90"/>
        <v>11</v>
      </c>
      <c r="C684" t="s">
        <v>5741</v>
      </c>
      <c r="D684" t="s">
        <v>5742</v>
      </c>
      <c r="E684" t="s">
        <v>4900</v>
      </c>
      <c r="F684" t="s">
        <v>5275</v>
      </c>
      <c r="G684" t="s">
        <v>5740</v>
      </c>
      <c r="H684" s="2">
        <v>1</v>
      </c>
      <c r="I684" s="2">
        <v>59</v>
      </c>
      <c r="N684" t="str">
        <f t="shared" si="91"/>
        <v>Al Kunuz General Trading LLC</v>
      </c>
      <c r="O684" t="str">
        <f t="shared" si="92"/>
        <v>W1315464184</v>
      </c>
      <c r="P684" t="str">
        <f t="shared" si="93"/>
        <v>ST879AT92CID-717597</v>
      </c>
      <c r="Q684" t="str">
        <f t="shared" si="94"/>
        <v>PO044697</v>
      </c>
      <c r="R684" t="str">
        <f t="shared" si="95"/>
        <v>Victorian Top, Grey</v>
      </c>
      <c r="S684" t="str">
        <f t="shared" si="96"/>
        <v>SA980652</v>
      </c>
      <c r="T684">
        <f t="shared" si="97"/>
        <v>1</v>
      </c>
      <c r="U684">
        <f t="shared" si="98"/>
        <v>59</v>
      </c>
    </row>
    <row r="685" spans="1:21" x14ac:dyDescent="0.25">
      <c r="A685">
        <f t="shared" si="90"/>
        <v>11</v>
      </c>
      <c r="C685" t="s">
        <v>5744</v>
      </c>
      <c r="D685" t="s">
        <v>5745</v>
      </c>
      <c r="E685" t="s">
        <v>4900</v>
      </c>
      <c r="F685" t="s">
        <v>5746</v>
      </c>
      <c r="G685" t="s">
        <v>5743</v>
      </c>
      <c r="H685" s="2">
        <v>1</v>
      </c>
      <c r="I685" s="2">
        <v>47</v>
      </c>
      <c r="N685" t="str">
        <f t="shared" si="91"/>
        <v>Al Kunuz General Trading LLC</v>
      </c>
      <c r="O685" t="str">
        <f t="shared" si="92"/>
        <v>W1315302637</v>
      </c>
      <c r="P685" t="str">
        <f t="shared" si="93"/>
        <v>AL992AT63BVC-512154</v>
      </c>
      <c r="Q685" t="str">
        <f t="shared" si="94"/>
        <v>PO044697</v>
      </c>
      <c r="R685" t="str">
        <f t="shared" si="95"/>
        <v>Long Sleeve Top, White</v>
      </c>
      <c r="S685" t="str">
        <f t="shared" si="96"/>
        <v>SA980654</v>
      </c>
      <c r="T685">
        <f t="shared" si="97"/>
        <v>1</v>
      </c>
      <c r="U685">
        <f t="shared" si="98"/>
        <v>47</v>
      </c>
    </row>
    <row r="686" spans="1:21" x14ac:dyDescent="0.25">
      <c r="A686">
        <f t="shared" si="90"/>
        <v>11</v>
      </c>
      <c r="C686" t="s">
        <v>5753</v>
      </c>
      <c r="D686" t="s">
        <v>5754</v>
      </c>
      <c r="E686" t="s">
        <v>4900</v>
      </c>
      <c r="F686" t="s">
        <v>5755</v>
      </c>
      <c r="G686" t="s">
        <v>5752</v>
      </c>
      <c r="H686" s="2">
        <v>1</v>
      </c>
      <c r="I686" s="2">
        <v>24</v>
      </c>
      <c r="N686" t="str">
        <f t="shared" si="91"/>
        <v>Al Kunuz General Trading LLC</v>
      </c>
      <c r="O686" t="str">
        <f t="shared" si="92"/>
        <v>W1315336874</v>
      </c>
      <c r="P686" t="str">
        <f t="shared" si="93"/>
        <v>YE659AT93NUK-570011</v>
      </c>
      <c r="Q686" t="str">
        <f t="shared" si="94"/>
        <v>PO044697</v>
      </c>
      <c r="R686" t="str">
        <f t="shared" si="95"/>
        <v>Anabelle Crop Top, Blue</v>
      </c>
      <c r="S686" t="str">
        <f t="shared" si="96"/>
        <v>SA980687</v>
      </c>
      <c r="T686">
        <f t="shared" si="97"/>
        <v>1</v>
      </c>
      <c r="U686">
        <f t="shared" si="98"/>
        <v>24</v>
      </c>
    </row>
    <row r="687" spans="1:21" x14ac:dyDescent="0.25">
      <c r="A687">
        <f t="shared" si="90"/>
        <v>11</v>
      </c>
      <c r="C687" t="s">
        <v>5761</v>
      </c>
      <c r="D687" t="s">
        <v>5762</v>
      </c>
      <c r="E687" t="s">
        <v>4900</v>
      </c>
      <c r="F687" t="s">
        <v>5763</v>
      </c>
      <c r="G687" t="s">
        <v>5760</v>
      </c>
      <c r="H687" s="2">
        <v>1</v>
      </c>
      <c r="I687" s="2">
        <v>53</v>
      </c>
      <c r="N687" t="str">
        <f t="shared" si="91"/>
        <v>Al Kunuz General Trading LLC</v>
      </c>
      <c r="O687" t="str">
        <f t="shared" si="92"/>
        <v>W1315278325</v>
      </c>
      <c r="P687" t="str">
        <f t="shared" si="93"/>
        <v>SA222AT17BVY-476020</v>
      </c>
      <c r="Q687" t="str">
        <f t="shared" si="94"/>
        <v>PO044697</v>
      </c>
      <c r="R687" t="str">
        <f t="shared" si="95"/>
        <v>Blingy Neck Top, Ivory</v>
      </c>
      <c r="S687" t="str">
        <f t="shared" si="96"/>
        <v>SA980726</v>
      </c>
      <c r="T687">
        <f t="shared" si="97"/>
        <v>1</v>
      </c>
      <c r="U687">
        <f t="shared" si="98"/>
        <v>53</v>
      </c>
    </row>
    <row r="688" spans="1:21" x14ac:dyDescent="0.25">
      <c r="A688">
        <f t="shared" si="90"/>
        <v>11</v>
      </c>
      <c r="C688" t="s">
        <v>5765</v>
      </c>
      <c r="D688" t="s">
        <v>5766</v>
      </c>
      <c r="E688" t="s">
        <v>4900</v>
      </c>
      <c r="F688" t="s">
        <v>5767</v>
      </c>
      <c r="G688" t="s">
        <v>5764</v>
      </c>
      <c r="H688" s="2">
        <v>1</v>
      </c>
      <c r="I688" s="2">
        <v>34</v>
      </c>
      <c r="N688" t="str">
        <f t="shared" si="91"/>
        <v>Al Kunuz General Trading LLC</v>
      </c>
      <c r="O688" t="str">
        <f t="shared" si="92"/>
        <v>W1315365862</v>
      </c>
      <c r="P688" t="str">
        <f t="shared" si="93"/>
        <v>AD981AT38TRL-598575</v>
      </c>
      <c r="Q688" t="str">
        <f t="shared" si="94"/>
        <v>PO044697</v>
      </c>
      <c r="R688" t="str">
        <f t="shared" si="95"/>
        <v>Dress, Snow White</v>
      </c>
      <c r="S688" t="str">
        <f t="shared" si="96"/>
        <v>SA980757</v>
      </c>
      <c r="T688">
        <f t="shared" si="97"/>
        <v>1</v>
      </c>
      <c r="U688">
        <f t="shared" si="98"/>
        <v>34</v>
      </c>
    </row>
    <row r="689" spans="1:21" x14ac:dyDescent="0.25">
      <c r="A689">
        <f t="shared" si="90"/>
        <v>11</v>
      </c>
      <c r="C689" t="s">
        <v>5769</v>
      </c>
      <c r="D689" t="s">
        <v>5770</v>
      </c>
      <c r="E689" t="s">
        <v>4900</v>
      </c>
      <c r="F689" t="s">
        <v>5771</v>
      </c>
      <c r="G689" t="s">
        <v>5768</v>
      </c>
      <c r="H689" s="2">
        <v>1</v>
      </c>
      <c r="I689" s="2">
        <v>5</v>
      </c>
      <c r="N689" t="str">
        <f t="shared" si="91"/>
        <v>Al Kunuz General Trading LLC</v>
      </c>
      <c r="O689" t="str">
        <f t="shared" si="92"/>
        <v>W1315325467</v>
      </c>
      <c r="P689" t="str">
        <f t="shared" si="93"/>
        <v>SI601AC14UFX-528955</v>
      </c>
      <c r="Q689" t="str">
        <f t="shared" si="94"/>
        <v>PO044697</v>
      </c>
      <c r="R689" t="str">
        <f t="shared" si="95"/>
        <v>Simaya Fashion Cuff Earring (FE 0604, Gold tone)</v>
      </c>
      <c r="S689" t="str">
        <f t="shared" si="96"/>
        <v>SA980759</v>
      </c>
      <c r="T689">
        <f t="shared" si="97"/>
        <v>1</v>
      </c>
      <c r="U689">
        <f t="shared" si="98"/>
        <v>5</v>
      </c>
    </row>
    <row r="690" spans="1:21" x14ac:dyDescent="0.25">
      <c r="A690">
        <f t="shared" si="90"/>
        <v>11</v>
      </c>
      <c r="C690" t="s">
        <v>5777</v>
      </c>
      <c r="D690" t="s">
        <v>5778</v>
      </c>
      <c r="E690" t="s">
        <v>5091</v>
      </c>
      <c r="F690" t="s">
        <v>5779</v>
      </c>
      <c r="G690" t="s">
        <v>5776</v>
      </c>
      <c r="H690" s="2">
        <v>1</v>
      </c>
      <c r="I690" s="2">
        <v>14</v>
      </c>
      <c r="N690" t="str">
        <f t="shared" si="91"/>
        <v>Al Kunuz General Trading LLC</v>
      </c>
      <c r="O690" t="str">
        <f t="shared" si="92"/>
        <v>W1315316059</v>
      </c>
      <c r="P690" t="str">
        <f t="shared" si="93"/>
        <v>WE564AT68OCD-522681</v>
      </c>
      <c r="Q690" t="str">
        <f t="shared" si="94"/>
        <v>PO044978</v>
      </c>
      <c r="R690" t="str">
        <f t="shared" si="95"/>
        <v>Men's Plain Round Neck T-Shirt, Black</v>
      </c>
      <c r="S690" t="str">
        <f t="shared" si="96"/>
        <v>SA980817</v>
      </c>
      <c r="T690">
        <f t="shared" si="97"/>
        <v>1</v>
      </c>
      <c r="U690">
        <f t="shared" si="98"/>
        <v>14</v>
      </c>
    </row>
    <row r="691" spans="1:21" x14ac:dyDescent="0.25">
      <c r="A691">
        <f t="shared" si="90"/>
        <v>11</v>
      </c>
      <c r="C691" t="s">
        <v>5783</v>
      </c>
      <c r="D691" t="s">
        <v>5784</v>
      </c>
      <c r="E691" t="s">
        <v>4900</v>
      </c>
      <c r="F691" t="s">
        <v>3415</v>
      </c>
      <c r="G691" t="s">
        <v>5782</v>
      </c>
      <c r="H691" s="2">
        <v>1</v>
      </c>
      <c r="I691" s="2">
        <v>59</v>
      </c>
      <c r="N691" t="str">
        <f t="shared" si="91"/>
        <v>Al Kunuz General Trading LLC</v>
      </c>
      <c r="O691" t="str">
        <f t="shared" si="92"/>
        <v>W1315399708</v>
      </c>
      <c r="P691" t="str">
        <f t="shared" si="93"/>
        <v>SA222AT31CHS-643627</v>
      </c>
      <c r="Q691" t="str">
        <f t="shared" si="94"/>
        <v>PO044697</v>
      </c>
      <c r="R691" t="str">
        <f t="shared" si="95"/>
        <v>Cuffed Sleeve Blouse, Navy Blue</v>
      </c>
      <c r="S691" t="str">
        <f t="shared" si="96"/>
        <v>SA980839</v>
      </c>
      <c r="T691">
        <f t="shared" si="97"/>
        <v>1</v>
      </c>
      <c r="U691">
        <f t="shared" si="98"/>
        <v>59</v>
      </c>
    </row>
    <row r="692" spans="1:21" x14ac:dyDescent="0.25">
      <c r="A692">
        <f t="shared" si="90"/>
        <v>11</v>
      </c>
      <c r="C692" t="s">
        <v>5786</v>
      </c>
      <c r="D692" t="s">
        <v>5787</v>
      </c>
      <c r="E692" t="s">
        <v>4900</v>
      </c>
      <c r="F692" t="s">
        <v>5788</v>
      </c>
      <c r="G692" t="s">
        <v>5785</v>
      </c>
      <c r="H692" s="2">
        <v>1</v>
      </c>
      <c r="I692" s="2">
        <v>131</v>
      </c>
      <c r="N692" t="str">
        <f t="shared" si="91"/>
        <v>Al Kunuz General Trading LLC</v>
      </c>
      <c r="O692" t="str">
        <f t="shared" si="92"/>
        <v>W1315244308</v>
      </c>
      <c r="P692" t="str">
        <f t="shared" si="93"/>
        <v>TH106AT36URR-438721</v>
      </c>
      <c r="Q692" t="str">
        <f t="shared" si="94"/>
        <v>PO044697</v>
      </c>
      <c r="R692" t="str">
        <f t="shared" si="95"/>
        <v>The Vanca Blue Shirt In Denim With Emblishment At Collar</v>
      </c>
      <c r="S692" t="str">
        <f t="shared" si="96"/>
        <v>SA980840</v>
      </c>
      <c r="T692">
        <f t="shared" si="97"/>
        <v>1</v>
      </c>
      <c r="U692">
        <f t="shared" si="98"/>
        <v>131</v>
      </c>
    </row>
    <row r="693" spans="1:21" x14ac:dyDescent="0.25">
      <c r="A693">
        <f t="shared" si="90"/>
        <v>11</v>
      </c>
      <c r="C693" t="s">
        <v>5790</v>
      </c>
      <c r="D693" t="s">
        <v>5791</v>
      </c>
      <c r="E693" t="s">
        <v>4900</v>
      </c>
      <c r="F693" t="s">
        <v>5763</v>
      </c>
      <c r="G693" t="s">
        <v>5789</v>
      </c>
      <c r="H693" s="2">
        <v>1</v>
      </c>
      <c r="I693" s="2">
        <v>53</v>
      </c>
      <c r="N693" t="str">
        <f t="shared" si="91"/>
        <v>Al Kunuz General Trading LLC</v>
      </c>
      <c r="O693" t="str">
        <f t="shared" si="92"/>
        <v>W1315278326</v>
      </c>
      <c r="P693" t="str">
        <f t="shared" si="93"/>
        <v>SA222AT17BVY-476021</v>
      </c>
      <c r="Q693" t="str">
        <f t="shared" si="94"/>
        <v>PO044697</v>
      </c>
      <c r="R693" t="str">
        <f t="shared" si="95"/>
        <v>Blingy Neck Top, Ivory</v>
      </c>
      <c r="S693" t="str">
        <f t="shared" si="96"/>
        <v>SA980841</v>
      </c>
      <c r="T693">
        <f t="shared" si="97"/>
        <v>1</v>
      </c>
      <c r="U693">
        <f t="shared" si="98"/>
        <v>53</v>
      </c>
    </row>
    <row r="694" spans="1:21" x14ac:dyDescent="0.25">
      <c r="A694">
        <f t="shared" si="90"/>
        <v>11</v>
      </c>
      <c r="C694" t="s">
        <v>5795</v>
      </c>
      <c r="D694" t="s">
        <v>5796</v>
      </c>
      <c r="E694" t="s">
        <v>4900</v>
      </c>
      <c r="F694" t="s">
        <v>5797</v>
      </c>
      <c r="G694" t="s">
        <v>5794</v>
      </c>
      <c r="H694" s="2">
        <v>1</v>
      </c>
      <c r="I694" s="2">
        <v>16</v>
      </c>
      <c r="N694" t="str">
        <f t="shared" si="91"/>
        <v>Al Kunuz General Trading LLC</v>
      </c>
      <c r="O694" t="str">
        <f t="shared" si="92"/>
        <v>W1315391491</v>
      </c>
      <c r="P694" t="str">
        <f t="shared" si="93"/>
        <v>LA081BE50QLH-633444</v>
      </c>
      <c r="Q694" t="str">
        <f t="shared" si="94"/>
        <v>PO044697</v>
      </c>
      <c r="R694" t="str">
        <f t="shared" si="95"/>
        <v>Enrich Satin Lip Color - R368</v>
      </c>
      <c r="S694" t="str">
        <f t="shared" si="96"/>
        <v>SA980927</v>
      </c>
      <c r="T694">
        <f t="shared" si="97"/>
        <v>1</v>
      </c>
      <c r="U694">
        <f t="shared" si="98"/>
        <v>16</v>
      </c>
    </row>
    <row r="695" spans="1:21" x14ac:dyDescent="0.25">
      <c r="A695">
        <f t="shared" si="90"/>
        <v>11</v>
      </c>
      <c r="C695" t="s">
        <v>5801</v>
      </c>
      <c r="D695" t="s">
        <v>5802</v>
      </c>
      <c r="E695" t="s">
        <v>4900</v>
      </c>
      <c r="F695" t="s">
        <v>5803</v>
      </c>
      <c r="G695" t="s">
        <v>5800</v>
      </c>
      <c r="H695" s="2">
        <v>1</v>
      </c>
      <c r="I695" s="2">
        <v>11</v>
      </c>
      <c r="N695" t="str">
        <f t="shared" si="91"/>
        <v>Al Kunuz General Trading LLC</v>
      </c>
      <c r="O695" t="str">
        <f t="shared" si="92"/>
        <v>W1315391127</v>
      </c>
      <c r="P695" t="str">
        <f t="shared" si="93"/>
        <v>NY094BE35SNS-634883</v>
      </c>
      <c r="Q695" t="str">
        <f t="shared" si="94"/>
        <v>PO044697</v>
      </c>
      <c r="R695" t="str">
        <f t="shared" si="95"/>
        <v>Pastel Nail Enamel - Lilac Cupcake, No.73</v>
      </c>
      <c r="S695" t="str">
        <f t="shared" si="96"/>
        <v>SA980962</v>
      </c>
      <c r="T695">
        <f t="shared" si="97"/>
        <v>1</v>
      </c>
      <c r="U695">
        <f t="shared" si="98"/>
        <v>11</v>
      </c>
    </row>
    <row r="696" spans="1:21" x14ac:dyDescent="0.25">
      <c r="A696">
        <f t="shared" si="90"/>
        <v>11</v>
      </c>
      <c r="C696" t="s">
        <v>5806</v>
      </c>
      <c r="D696" t="s">
        <v>5807</v>
      </c>
      <c r="E696" t="s">
        <v>4900</v>
      </c>
      <c r="F696" t="s">
        <v>5808</v>
      </c>
      <c r="G696" t="s">
        <v>5805</v>
      </c>
      <c r="H696" s="2">
        <v>1</v>
      </c>
      <c r="I696" s="2">
        <v>25</v>
      </c>
      <c r="N696" t="str">
        <f t="shared" si="91"/>
        <v>Al Kunuz General Trading LLC</v>
      </c>
      <c r="O696" t="str">
        <f t="shared" si="92"/>
        <v>W1315390891</v>
      </c>
      <c r="P696" t="str">
        <f t="shared" si="93"/>
        <v>MA096BE24PWX-633070</v>
      </c>
      <c r="Q696" t="str">
        <f t="shared" si="94"/>
        <v>PO044697</v>
      </c>
      <c r="R696" t="str">
        <f t="shared" si="95"/>
        <v>Fit Me Blush # Medium Nude 208</v>
      </c>
      <c r="S696" t="str">
        <f t="shared" si="96"/>
        <v>SA980964</v>
      </c>
      <c r="T696">
        <f t="shared" si="97"/>
        <v>1</v>
      </c>
      <c r="U696">
        <f t="shared" si="98"/>
        <v>25</v>
      </c>
    </row>
    <row r="697" spans="1:21" x14ac:dyDescent="0.25">
      <c r="A697">
        <f t="shared" si="90"/>
        <v>11</v>
      </c>
      <c r="C697" t="s">
        <v>5810</v>
      </c>
      <c r="D697" t="s">
        <v>5811</v>
      </c>
      <c r="E697" t="s">
        <v>4900</v>
      </c>
      <c r="F697" t="s">
        <v>5812</v>
      </c>
      <c r="G697" t="s">
        <v>5809</v>
      </c>
      <c r="H697" s="2">
        <v>1</v>
      </c>
      <c r="I697" s="2">
        <v>16</v>
      </c>
      <c r="N697" t="str">
        <f t="shared" si="91"/>
        <v>Al Kunuz General Trading LLC</v>
      </c>
      <c r="O697" t="str">
        <f t="shared" si="92"/>
        <v>W1315390369</v>
      </c>
      <c r="P697" t="str">
        <f t="shared" si="93"/>
        <v>CO092BE35POU-632859</v>
      </c>
      <c r="Q697" t="str">
        <f t="shared" si="94"/>
        <v>PO044697</v>
      </c>
      <c r="R697" t="str">
        <f t="shared" si="95"/>
        <v>Satin Smooth Highlighter Blusher SH-3</v>
      </c>
      <c r="S697" t="str">
        <f t="shared" si="96"/>
        <v>SA980965</v>
      </c>
      <c r="T697">
        <f t="shared" si="97"/>
        <v>1</v>
      </c>
      <c r="U697">
        <f t="shared" si="98"/>
        <v>16</v>
      </c>
    </row>
    <row r="698" spans="1:21" x14ac:dyDescent="0.25">
      <c r="A698">
        <f t="shared" si="90"/>
        <v>11</v>
      </c>
      <c r="C698" t="s">
        <v>5814</v>
      </c>
      <c r="D698" t="s">
        <v>5815</v>
      </c>
      <c r="E698" t="s">
        <v>4900</v>
      </c>
      <c r="F698" t="s">
        <v>5816</v>
      </c>
      <c r="G698" t="s">
        <v>5813</v>
      </c>
      <c r="H698" s="2">
        <v>1</v>
      </c>
      <c r="I698" s="2">
        <v>9</v>
      </c>
      <c r="N698" t="str">
        <f t="shared" si="91"/>
        <v>Al Kunuz General Trading LLC</v>
      </c>
      <c r="O698" t="str">
        <f t="shared" si="92"/>
        <v>W1315390787</v>
      </c>
      <c r="P698" t="str">
        <f t="shared" si="93"/>
        <v>NY094BE11SOQ-634907</v>
      </c>
      <c r="Q698" t="str">
        <f t="shared" si="94"/>
        <v>PO044697</v>
      </c>
      <c r="R698" t="str">
        <f t="shared" si="95"/>
        <v>Pastel Nail Enamel - Lychee Delight, No. 82</v>
      </c>
      <c r="S698" t="str">
        <f t="shared" si="96"/>
        <v>SA980966</v>
      </c>
      <c r="T698">
        <f t="shared" si="97"/>
        <v>1</v>
      </c>
      <c r="U698">
        <f t="shared" si="98"/>
        <v>9</v>
      </c>
    </row>
    <row r="699" spans="1:21" x14ac:dyDescent="0.25">
      <c r="A699">
        <f t="shared" si="90"/>
        <v>11</v>
      </c>
      <c r="C699" t="s">
        <v>5822</v>
      </c>
      <c r="D699" t="s">
        <v>5823</v>
      </c>
      <c r="E699" t="s">
        <v>4900</v>
      </c>
      <c r="F699" t="s">
        <v>5824</v>
      </c>
      <c r="G699" t="s">
        <v>5821</v>
      </c>
      <c r="H699" s="2">
        <v>1</v>
      </c>
      <c r="I699" s="2">
        <v>23</v>
      </c>
      <c r="N699" t="str">
        <f t="shared" si="91"/>
        <v>Al Kunuz General Trading LLC</v>
      </c>
      <c r="O699" t="str">
        <f t="shared" si="92"/>
        <v>W1315350945</v>
      </c>
      <c r="P699" t="str">
        <f t="shared" si="93"/>
        <v>HU968AT11MMA-591730</v>
      </c>
      <c r="Q699" t="str">
        <f t="shared" si="94"/>
        <v>PO044697</v>
      </c>
      <c r="R699" t="str">
        <f t="shared" si="95"/>
        <v>Printed V-Neck T-Shirt, Navy</v>
      </c>
      <c r="S699" t="str">
        <f t="shared" si="96"/>
        <v>SA980999</v>
      </c>
      <c r="T699">
        <f t="shared" si="97"/>
        <v>1</v>
      </c>
      <c r="U699">
        <f t="shared" si="98"/>
        <v>23</v>
      </c>
    </row>
    <row r="700" spans="1:21" x14ac:dyDescent="0.25">
      <c r="A700">
        <f t="shared" si="90"/>
        <v>11</v>
      </c>
      <c r="C700" t="s">
        <v>5831</v>
      </c>
      <c r="D700" t="s">
        <v>5832</v>
      </c>
      <c r="E700" t="s">
        <v>4900</v>
      </c>
      <c r="F700" t="s">
        <v>5824</v>
      </c>
      <c r="G700" t="s">
        <v>5830</v>
      </c>
      <c r="H700" s="2">
        <v>1</v>
      </c>
      <c r="I700" s="2">
        <v>23</v>
      </c>
      <c r="N700" t="str">
        <f t="shared" si="91"/>
        <v>Al Kunuz General Trading LLC</v>
      </c>
      <c r="O700" t="str">
        <f t="shared" si="92"/>
        <v>W1315350953</v>
      </c>
      <c r="P700" t="str">
        <f t="shared" si="93"/>
        <v>HU968AT09MMC-591738</v>
      </c>
      <c r="Q700" t="str">
        <f t="shared" si="94"/>
        <v>PO044697</v>
      </c>
      <c r="R700" t="str">
        <f t="shared" si="95"/>
        <v>Printed V-Neck T-Shirt, Navy</v>
      </c>
      <c r="S700" t="str">
        <f t="shared" si="96"/>
        <v>SA981003</v>
      </c>
      <c r="T700">
        <f t="shared" si="97"/>
        <v>1</v>
      </c>
      <c r="U700">
        <f t="shared" si="98"/>
        <v>23</v>
      </c>
    </row>
    <row r="701" spans="1:21" x14ac:dyDescent="0.25">
      <c r="A701">
        <f t="shared" si="90"/>
        <v>11</v>
      </c>
      <c r="C701" t="s">
        <v>5836</v>
      </c>
      <c r="D701" t="s">
        <v>5837</v>
      </c>
      <c r="E701" t="s">
        <v>4900</v>
      </c>
      <c r="F701" t="s">
        <v>5838</v>
      </c>
      <c r="G701" t="s">
        <v>5835</v>
      </c>
      <c r="H701" s="2">
        <v>1</v>
      </c>
      <c r="I701" s="2">
        <v>86</v>
      </c>
      <c r="N701" t="str">
        <f t="shared" si="91"/>
        <v>Al Kunuz General Trading LLC</v>
      </c>
      <c r="O701" t="str">
        <f t="shared" si="92"/>
        <v>W1315390598</v>
      </c>
      <c r="P701" t="str">
        <f t="shared" si="93"/>
        <v>MA093BE02QBP-633192</v>
      </c>
      <c r="Q701" t="str">
        <f t="shared" si="94"/>
        <v>PO044697</v>
      </c>
      <c r="R701" t="str">
        <f t="shared" si="95"/>
        <v>Euphoria Palette - Bare</v>
      </c>
      <c r="S701" t="str">
        <f t="shared" si="96"/>
        <v>SA981054</v>
      </c>
      <c r="T701">
        <f t="shared" si="97"/>
        <v>1</v>
      </c>
      <c r="U701">
        <f t="shared" si="98"/>
        <v>86</v>
      </c>
    </row>
    <row r="702" spans="1:21" x14ac:dyDescent="0.25">
      <c r="A702">
        <f t="shared" si="90"/>
        <v>11</v>
      </c>
      <c r="C702" t="s">
        <v>5840</v>
      </c>
      <c r="D702" t="s">
        <v>5841</v>
      </c>
      <c r="E702" t="s">
        <v>4900</v>
      </c>
      <c r="F702" t="s">
        <v>5842</v>
      </c>
      <c r="G702" t="s">
        <v>5839</v>
      </c>
      <c r="H702" s="2">
        <v>1</v>
      </c>
      <c r="I702" s="2">
        <v>16</v>
      </c>
      <c r="N702" t="str">
        <f t="shared" si="91"/>
        <v>Al Kunuz General Trading LLC</v>
      </c>
      <c r="O702" t="str">
        <f t="shared" si="92"/>
        <v>W1315390568</v>
      </c>
      <c r="P702" t="str">
        <f t="shared" si="93"/>
        <v>LA081BE81RDI-633913</v>
      </c>
      <c r="Q702" t="str">
        <f t="shared" si="94"/>
        <v>PO044697</v>
      </c>
      <c r="R702" t="str">
        <f t="shared" si="95"/>
        <v>Enrich Satin Lipstick - P152</v>
      </c>
      <c r="S702" t="str">
        <f t="shared" si="96"/>
        <v>SA981056</v>
      </c>
      <c r="T702">
        <f t="shared" si="97"/>
        <v>1</v>
      </c>
      <c r="U702">
        <f t="shared" si="98"/>
        <v>16</v>
      </c>
    </row>
    <row r="703" spans="1:21" x14ac:dyDescent="0.25">
      <c r="A703">
        <f t="shared" si="90"/>
        <v>11</v>
      </c>
      <c r="C703" t="s">
        <v>5844</v>
      </c>
      <c r="D703" t="s">
        <v>5845</v>
      </c>
      <c r="E703" t="s">
        <v>4900</v>
      </c>
      <c r="F703" t="s">
        <v>5846</v>
      </c>
      <c r="G703" t="s">
        <v>5843</v>
      </c>
      <c r="H703" s="2">
        <v>1</v>
      </c>
      <c r="I703" s="2">
        <v>31</v>
      </c>
      <c r="N703" t="str">
        <f t="shared" si="91"/>
        <v>Al Kunuz General Trading LLC</v>
      </c>
      <c r="O703" t="str">
        <f t="shared" si="92"/>
        <v>W1315339339</v>
      </c>
      <c r="P703" t="str">
        <f t="shared" si="93"/>
        <v>SR372AC16RHV-573455</v>
      </c>
      <c r="Q703" t="str">
        <f t="shared" si="94"/>
        <v>PO044697</v>
      </c>
      <c r="R703" t="str">
        <f t="shared" si="95"/>
        <v>Clutches for Women (SWB00019BR, Brown)</v>
      </c>
      <c r="S703" t="str">
        <f t="shared" si="96"/>
        <v>SA981075</v>
      </c>
      <c r="T703">
        <f t="shared" si="97"/>
        <v>1</v>
      </c>
      <c r="U703">
        <f t="shared" si="98"/>
        <v>31</v>
      </c>
    </row>
    <row r="704" spans="1:21" x14ac:dyDescent="0.25">
      <c r="A704">
        <f t="shared" si="90"/>
        <v>11</v>
      </c>
      <c r="C704" t="s">
        <v>5855</v>
      </c>
      <c r="D704" t="s">
        <v>5856</v>
      </c>
      <c r="E704" t="s">
        <v>4900</v>
      </c>
      <c r="F704" t="s">
        <v>3480</v>
      </c>
      <c r="G704" t="s">
        <v>5854</v>
      </c>
      <c r="H704" s="2">
        <v>1</v>
      </c>
      <c r="I704" s="2">
        <v>22</v>
      </c>
      <c r="N704" t="str">
        <f t="shared" si="91"/>
        <v>Al Kunuz General Trading LLC</v>
      </c>
      <c r="O704" t="str">
        <f t="shared" si="92"/>
        <v>W1315351110</v>
      </c>
      <c r="P704" t="str">
        <f t="shared" si="93"/>
        <v>HU968AT70NSJ-592969</v>
      </c>
      <c r="Q704" t="str">
        <f t="shared" si="94"/>
        <v>PO044697</v>
      </c>
      <c r="R704" t="str">
        <f t="shared" si="95"/>
        <v>Casual Shorts, Black</v>
      </c>
      <c r="S704" t="str">
        <f t="shared" si="96"/>
        <v>SA981218</v>
      </c>
      <c r="T704">
        <f t="shared" si="97"/>
        <v>1</v>
      </c>
      <c r="U704">
        <f t="shared" si="98"/>
        <v>22</v>
      </c>
    </row>
    <row r="705" spans="1:21" x14ac:dyDescent="0.25">
      <c r="A705">
        <f t="shared" si="90"/>
        <v>11</v>
      </c>
      <c r="C705" t="s">
        <v>5858</v>
      </c>
      <c r="D705" t="s">
        <v>5859</v>
      </c>
      <c r="E705" t="s">
        <v>4900</v>
      </c>
      <c r="F705" t="s">
        <v>5860</v>
      </c>
      <c r="G705" t="s">
        <v>5857</v>
      </c>
      <c r="H705" s="2">
        <v>1</v>
      </c>
      <c r="I705" s="2">
        <v>22</v>
      </c>
      <c r="N705" t="str">
        <f t="shared" si="91"/>
        <v>Al Kunuz General Trading LLC</v>
      </c>
      <c r="O705" t="str">
        <f t="shared" si="92"/>
        <v>W1315351435</v>
      </c>
      <c r="P705" t="str">
        <f t="shared" si="93"/>
        <v>HU968AT91NVK-593294</v>
      </c>
      <c r="Q705" t="str">
        <f t="shared" si="94"/>
        <v>PO044697</v>
      </c>
      <c r="R705" t="str">
        <f t="shared" si="95"/>
        <v>Printed Round Neck T-Shirt, Grey</v>
      </c>
      <c r="S705" t="str">
        <f t="shared" si="96"/>
        <v>SA981220</v>
      </c>
      <c r="T705">
        <f t="shared" si="97"/>
        <v>1</v>
      </c>
      <c r="U705">
        <f t="shared" si="98"/>
        <v>22</v>
      </c>
    </row>
    <row r="706" spans="1:21" x14ac:dyDescent="0.25">
      <c r="A706">
        <f t="shared" si="90"/>
        <v>11</v>
      </c>
      <c r="C706" t="s">
        <v>5862</v>
      </c>
      <c r="D706" t="s">
        <v>5863</v>
      </c>
      <c r="E706" t="s">
        <v>4900</v>
      </c>
      <c r="F706" t="s">
        <v>3419</v>
      </c>
      <c r="G706" t="s">
        <v>5861</v>
      </c>
      <c r="H706" s="2">
        <v>1</v>
      </c>
      <c r="I706" s="2">
        <v>31</v>
      </c>
      <c r="N706" t="str">
        <f t="shared" si="91"/>
        <v>Al Kunuz General Trading LLC</v>
      </c>
      <c r="O706" t="str">
        <f t="shared" si="92"/>
        <v>W1315396631</v>
      </c>
      <c r="P706" t="str">
        <f t="shared" si="93"/>
        <v>KE914AT34ZAZ-640653</v>
      </c>
      <c r="Q706" t="str">
        <f t="shared" si="94"/>
        <v>PO044697</v>
      </c>
      <c r="R706" t="str">
        <f t="shared" si="95"/>
        <v>Crew Neck T-Shirt, Black</v>
      </c>
      <c r="S706" t="str">
        <f t="shared" si="96"/>
        <v>SA981221</v>
      </c>
      <c r="T706">
        <f t="shared" si="97"/>
        <v>1</v>
      </c>
      <c r="U706">
        <f t="shared" si="98"/>
        <v>31</v>
      </c>
    </row>
    <row r="707" spans="1:21" x14ac:dyDescent="0.25">
      <c r="A707">
        <f t="shared" si="90"/>
        <v>11</v>
      </c>
      <c r="C707" t="s">
        <v>5869</v>
      </c>
      <c r="D707" t="s">
        <v>5870</v>
      </c>
      <c r="E707" t="s">
        <v>4900</v>
      </c>
      <c r="F707" t="s">
        <v>3566</v>
      </c>
      <c r="G707" t="s">
        <v>5868</v>
      </c>
      <c r="H707" s="2">
        <v>1</v>
      </c>
      <c r="I707" s="2">
        <v>73</v>
      </c>
      <c r="N707" t="str">
        <f t="shared" si="91"/>
        <v>Al Kunuz General Trading LLC</v>
      </c>
      <c r="O707" t="str">
        <f t="shared" si="92"/>
        <v>W1315399403</v>
      </c>
      <c r="P707" t="str">
        <f t="shared" si="93"/>
        <v>SA222AT92CFJ-643322</v>
      </c>
      <c r="Q707" t="str">
        <f t="shared" si="94"/>
        <v>PO044697</v>
      </c>
      <c r="R707" t="str">
        <f t="shared" si="95"/>
        <v>Geo Floral Cold Shoulder Dress, Pink</v>
      </c>
      <c r="S707" t="str">
        <f t="shared" si="96"/>
        <v>SA981422</v>
      </c>
      <c r="T707">
        <f t="shared" si="97"/>
        <v>1</v>
      </c>
      <c r="U707">
        <f t="shared" si="98"/>
        <v>73</v>
      </c>
    </row>
    <row r="708" spans="1:21" x14ac:dyDescent="0.25">
      <c r="A708">
        <f t="shared" ref="A708:A771" si="99">IF(ISBLANK(B708),A707,A707+1)</f>
        <v>11</v>
      </c>
      <c r="C708" t="s">
        <v>5875</v>
      </c>
      <c r="D708" t="s">
        <v>5876</v>
      </c>
      <c r="E708" t="s">
        <v>4900</v>
      </c>
      <c r="F708" t="s">
        <v>5877</v>
      </c>
      <c r="G708" t="s">
        <v>5874</v>
      </c>
      <c r="H708" s="2">
        <v>1</v>
      </c>
      <c r="I708" s="2">
        <v>32</v>
      </c>
      <c r="N708" t="str">
        <f t="shared" si="91"/>
        <v>Al Kunuz General Trading LLC</v>
      </c>
      <c r="O708" t="str">
        <f t="shared" si="92"/>
        <v>W1315390894</v>
      </c>
      <c r="P708" t="str">
        <f t="shared" si="93"/>
        <v>MA096BE82SEF-634636</v>
      </c>
      <c r="Q708" t="str">
        <f t="shared" si="94"/>
        <v>PO044697</v>
      </c>
      <c r="R708" t="str">
        <f t="shared" si="95"/>
        <v>Fit Me Concealer # 25 Medium</v>
      </c>
      <c r="S708" t="str">
        <f t="shared" si="96"/>
        <v>SA981528</v>
      </c>
      <c r="T708">
        <f t="shared" si="97"/>
        <v>1</v>
      </c>
      <c r="U708">
        <f t="shared" si="98"/>
        <v>32</v>
      </c>
    </row>
    <row r="709" spans="1:21" x14ac:dyDescent="0.25">
      <c r="A709">
        <f t="shared" si="99"/>
        <v>11</v>
      </c>
      <c r="C709" t="s">
        <v>5880</v>
      </c>
      <c r="D709" t="s">
        <v>5881</v>
      </c>
      <c r="E709" t="s">
        <v>4900</v>
      </c>
      <c r="F709" t="s">
        <v>5882</v>
      </c>
      <c r="G709" t="s">
        <v>5879</v>
      </c>
      <c r="H709" s="2">
        <v>1</v>
      </c>
      <c r="I709" s="2">
        <v>62</v>
      </c>
      <c r="N709" t="str">
        <f t="shared" si="91"/>
        <v>Al Kunuz General Trading LLC</v>
      </c>
      <c r="O709" t="str">
        <f t="shared" si="92"/>
        <v>W1315364454</v>
      </c>
      <c r="P709" t="str">
        <f t="shared" si="93"/>
        <v>ST879AT33SQS-597044</v>
      </c>
      <c r="Q709" t="str">
        <f t="shared" si="94"/>
        <v>PO044697</v>
      </c>
      <c r="R709" t="str">
        <f t="shared" si="95"/>
        <v>Ravishing Ruffle Top, White</v>
      </c>
      <c r="S709" t="str">
        <f t="shared" si="96"/>
        <v>SA981561</v>
      </c>
      <c r="T709">
        <f t="shared" si="97"/>
        <v>1</v>
      </c>
      <c r="U709">
        <f t="shared" si="98"/>
        <v>62</v>
      </c>
    </row>
    <row r="710" spans="1:21" x14ac:dyDescent="0.25">
      <c r="A710">
        <f t="shared" si="99"/>
        <v>11</v>
      </c>
      <c r="C710" t="s">
        <v>5897</v>
      </c>
      <c r="D710" t="s">
        <v>5898</v>
      </c>
      <c r="E710" t="s">
        <v>5091</v>
      </c>
      <c r="F710" t="s">
        <v>5899</v>
      </c>
      <c r="G710" t="s">
        <v>5896</v>
      </c>
      <c r="H710" s="2">
        <v>1</v>
      </c>
      <c r="I710" s="2">
        <v>16</v>
      </c>
      <c r="N710" t="str">
        <f t="shared" ref="N710:N773" si="100">IF(ISBLANK($A710),"",IF(ISBLANK(B710),N709,B710))</f>
        <v>Al Kunuz General Trading LLC</v>
      </c>
      <c r="O710" t="str">
        <f t="shared" ref="O710:O773" si="101">IF(ISBLANK($A710),"",IF(ISBLANK(C710),O709,C710))</f>
        <v>W1315389838</v>
      </c>
      <c r="P710" t="str">
        <f t="shared" ref="P710:P773" si="102">IF(ISBLANK($A710),"",IF(ISBLANK(D710),P709,D710))</f>
        <v>SO088BE72RDR-633922</v>
      </c>
      <c r="Q710" t="str">
        <f t="shared" ref="Q710:Q773" si="103">IF(ISBLANK($A710),"",IF(ISBLANK(E710),Q709,E710))</f>
        <v>PO044978</v>
      </c>
      <c r="R710" t="str">
        <f t="shared" ref="R710:R773" si="104">IF(ISBLANK($A710),"",IF(ISBLANK(F710),R709,F710))</f>
        <v>Pure Natural Bhringraj Oil</v>
      </c>
      <c r="S710" t="str">
        <f t="shared" ref="S710:S773" si="105">IF(ISBLANK($A710),"",G710)</f>
        <v>SA981807</v>
      </c>
      <c r="T710">
        <f t="shared" ref="T710:T773" si="106">IF(ISBLANK($A710),"",H710)</f>
        <v>1</v>
      </c>
      <c r="U710">
        <f t="shared" ref="U710:U773" si="107">IF(ISBLANK($A710),"",I710)</f>
        <v>16</v>
      </c>
    </row>
    <row r="711" spans="1:21" x14ac:dyDescent="0.25">
      <c r="A711">
        <f t="shared" si="99"/>
        <v>11</v>
      </c>
      <c r="C711" t="s">
        <v>5902</v>
      </c>
      <c r="D711" t="s">
        <v>5903</v>
      </c>
      <c r="E711" t="s">
        <v>5091</v>
      </c>
      <c r="F711" t="s">
        <v>3278</v>
      </c>
      <c r="G711" t="s">
        <v>5901</v>
      </c>
      <c r="H711" s="2">
        <v>1</v>
      </c>
      <c r="I711" s="2">
        <v>23</v>
      </c>
      <c r="N711" t="str">
        <f t="shared" si="100"/>
        <v>Al Kunuz General Trading LLC</v>
      </c>
      <c r="O711" t="str">
        <f t="shared" si="101"/>
        <v>W1315350836</v>
      </c>
      <c r="P711" t="str">
        <f t="shared" si="102"/>
        <v>HU968AT38MKZ-591621</v>
      </c>
      <c r="Q711" t="str">
        <f t="shared" si="103"/>
        <v>PO044978</v>
      </c>
      <c r="R711" t="str">
        <f t="shared" si="104"/>
        <v>Printed V-Neck T-Shirt, Grey</v>
      </c>
      <c r="S711" t="str">
        <f t="shared" si="105"/>
        <v>SA981813</v>
      </c>
      <c r="T711">
        <f t="shared" si="106"/>
        <v>1</v>
      </c>
      <c r="U711">
        <f t="shared" si="107"/>
        <v>23</v>
      </c>
    </row>
    <row r="712" spans="1:21" x14ac:dyDescent="0.25">
      <c r="A712">
        <f t="shared" si="99"/>
        <v>11</v>
      </c>
      <c r="C712" t="s">
        <v>5905</v>
      </c>
      <c r="D712" t="s">
        <v>5906</v>
      </c>
      <c r="E712" t="s">
        <v>5091</v>
      </c>
      <c r="F712" t="s">
        <v>5824</v>
      </c>
      <c r="G712" t="s">
        <v>5904</v>
      </c>
      <c r="H712" s="2">
        <v>1</v>
      </c>
      <c r="I712" s="2">
        <v>23</v>
      </c>
      <c r="N712" t="str">
        <f t="shared" si="100"/>
        <v>Al Kunuz General Trading LLC</v>
      </c>
      <c r="O712" t="str">
        <f t="shared" si="101"/>
        <v>W1315350952</v>
      </c>
      <c r="P712" t="str">
        <f t="shared" si="102"/>
        <v>HU968AT09MMC-591737</v>
      </c>
      <c r="Q712" t="str">
        <f t="shared" si="103"/>
        <v>PO044978</v>
      </c>
      <c r="R712" t="str">
        <f t="shared" si="104"/>
        <v>Printed V-Neck T-Shirt, Navy</v>
      </c>
      <c r="S712" t="str">
        <f t="shared" si="105"/>
        <v>SA981817</v>
      </c>
      <c r="T712">
        <f t="shared" si="106"/>
        <v>1</v>
      </c>
      <c r="U712">
        <f t="shared" si="107"/>
        <v>23</v>
      </c>
    </row>
    <row r="713" spans="1:21" x14ac:dyDescent="0.25">
      <c r="A713">
        <f t="shared" si="99"/>
        <v>11</v>
      </c>
      <c r="C713" t="s">
        <v>5938</v>
      </c>
      <c r="D713" t="s">
        <v>5939</v>
      </c>
      <c r="E713" t="s">
        <v>5091</v>
      </c>
      <c r="F713" t="s">
        <v>5940</v>
      </c>
      <c r="G713" t="s">
        <v>5937</v>
      </c>
      <c r="H713" s="2">
        <v>1</v>
      </c>
      <c r="I713" s="2">
        <v>35</v>
      </c>
      <c r="N713" t="str">
        <f t="shared" si="100"/>
        <v>Al Kunuz General Trading LLC</v>
      </c>
      <c r="O713" t="str">
        <f t="shared" si="101"/>
        <v>W1315203545</v>
      </c>
      <c r="P713" t="str">
        <f t="shared" si="102"/>
        <v>CR884AC04KBB-388053</v>
      </c>
      <c r="Q713" t="str">
        <f t="shared" si="103"/>
        <v>PO044978</v>
      </c>
      <c r="R713" t="str">
        <f t="shared" si="104"/>
        <v>Crunchy Fashion Pendant Necklace (Silver) - CFN0466</v>
      </c>
      <c r="S713" t="str">
        <f t="shared" si="105"/>
        <v>SA982018</v>
      </c>
      <c r="T713">
        <f t="shared" si="106"/>
        <v>1</v>
      </c>
      <c r="U713">
        <f t="shared" si="107"/>
        <v>35</v>
      </c>
    </row>
    <row r="714" spans="1:21" x14ac:dyDescent="0.25">
      <c r="A714">
        <f t="shared" si="99"/>
        <v>11</v>
      </c>
      <c r="C714" t="s">
        <v>5946</v>
      </c>
      <c r="D714" t="s">
        <v>5947</v>
      </c>
      <c r="E714" t="s">
        <v>5091</v>
      </c>
      <c r="F714" t="s">
        <v>3598</v>
      </c>
      <c r="G714" t="s">
        <v>5945</v>
      </c>
      <c r="H714" s="2">
        <v>1</v>
      </c>
      <c r="I714" s="2">
        <v>114</v>
      </c>
      <c r="N714" t="str">
        <f t="shared" si="100"/>
        <v>Al Kunuz General Trading LLC</v>
      </c>
      <c r="O714" t="str">
        <f t="shared" si="101"/>
        <v>W1315338429</v>
      </c>
      <c r="P714" t="str">
        <f t="shared" si="102"/>
        <v>JU688AT09QWO-573049</v>
      </c>
      <c r="Q714" t="str">
        <f t="shared" si="103"/>
        <v>PO044978</v>
      </c>
      <c r="R714" t="str">
        <f t="shared" si="104"/>
        <v>Women's Casual Top, Multicolor</v>
      </c>
      <c r="S714" t="str">
        <f t="shared" si="105"/>
        <v>SA982059</v>
      </c>
      <c r="T714">
        <f t="shared" si="106"/>
        <v>1</v>
      </c>
      <c r="U714">
        <f t="shared" si="107"/>
        <v>114</v>
      </c>
    </row>
    <row r="715" spans="1:21" x14ac:dyDescent="0.25">
      <c r="A715">
        <f t="shared" si="99"/>
        <v>11</v>
      </c>
      <c r="C715" t="s">
        <v>5954</v>
      </c>
      <c r="D715" t="s">
        <v>5955</v>
      </c>
      <c r="E715" t="s">
        <v>5091</v>
      </c>
      <c r="F715" t="s">
        <v>5956</v>
      </c>
      <c r="G715" t="s">
        <v>5953</v>
      </c>
      <c r="H715" s="2">
        <v>1</v>
      </c>
      <c r="I715" s="2">
        <v>64</v>
      </c>
      <c r="N715" t="str">
        <f t="shared" si="100"/>
        <v>Al Kunuz General Trading LLC</v>
      </c>
      <c r="O715" t="str">
        <f t="shared" si="101"/>
        <v>W1315349602</v>
      </c>
      <c r="P715" t="str">
        <f t="shared" si="102"/>
        <v>HO923AT91KOU-588407</v>
      </c>
      <c r="Q715" t="str">
        <f t="shared" si="103"/>
        <v>PO044978</v>
      </c>
      <c r="R715" t="str">
        <f t="shared" si="104"/>
        <v>Amanda Top, Navy Blue</v>
      </c>
      <c r="S715" t="str">
        <f t="shared" si="105"/>
        <v>SA982200</v>
      </c>
      <c r="T715">
        <f t="shared" si="106"/>
        <v>1</v>
      </c>
      <c r="U715">
        <f t="shared" si="107"/>
        <v>64</v>
      </c>
    </row>
    <row r="716" spans="1:21" x14ac:dyDescent="0.25">
      <c r="A716">
        <f t="shared" si="99"/>
        <v>11</v>
      </c>
      <c r="C716" t="s">
        <v>5968</v>
      </c>
      <c r="D716" t="s">
        <v>5969</v>
      </c>
      <c r="E716" t="s">
        <v>5091</v>
      </c>
      <c r="F716" t="s">
        <v>3587</v>
      </c>
      <c r="G716" t="s">
        <v>5967</v>
      </c>
      <c r="H716" s="2">
        <v>1</v>
      </c>
      <c r="I716" s="2">
        <v>36</v>
      </c>
      <c r="N716" t="str">
        <f t="shared" si="100"/>
        <v>Al Kunuz General Trading LLC</v>
      </c>
      <c r="O716" t="str">
        <f t="shared" si="101"/>
        <v>W1315399891</v>
      </c>
      <c r="P716" t="str">
        <f t="shared" si="102"/>
        <v>WE564AT15CII-643666</v>
      </c>
      <c r="Q716" t="str">
        <f t="shared" si="103"/>
        <v>PO044978</v>
      </c>
      <c r="R716" t="str">
        <f t="shared" si="104"/>
        <v>Combo of 2 Henley T-shirts, Multi</v>
      </c>
      <c r="S716" t="str">
        <f t="shared" si="105"/>
        <v>SA982368</v>
      </c>
      <c r="T716">
        <f t="shared" si="106"/>
        <v>1</v>
      </c>
      <c r="U716">
        <f t="shared" si="107"/>
        <v>36</v>
      </c>
    </row>
    <row r="717" spans="1:21" x14ac:dyDescent="0.25">
      <c r="A717">
        <f t="shared" si="99"/>
        <v>11</v>
      </c>
      <c r="C717" t="s">
        <v>5981</v>
      </c>
      <c r="D717" t="s">
        <v>5982</v>
      </c>
      <c r="E717" t="s">
        <v>5091</v>
      </c>
      <c r="F717" t="s">
        <v>5983</v>
      </c>
      <c r="G717" t="s">
        <v>5980</v>
      </c>
      <c r="H717" s="2">
        <v>1</v>
      </c>
      <c r="I717" s="2">
        <v>11</v>
      </c>
      <c r="N717" t="str">
        <f t="shared" si="100"/>
        <v>Al Kunuz General Trading LLC</v>
      </c>
      <c r="O717" t="str">
        <f t="shared" si="101"/>
        <v>W1315390082</v>
      </c>
      <c r="P717" t="str">
        <f t="shared" si="102"/>
        <v>NI863BE67QKQ-633427</v>
      </c>
      <c r="Q717" t="str">
        <f t="shared" si="103"/>
        <v>PO044978</v>
      </c>
      <c r="R717" t="str">
        <f t="shared" si="104"/>
        <v>Fruity Shine Lip Balm - Strawberry</v>
      </c>
      <c r="S717" t="str">
        <f t="shared" si="105"/>
        <v>SA982567</v>
      </c>
      <c r="T717">
        <f t="shared" si="106"/>
        <v>1</v>
      </c>
      <c r="U717">
        <f t="shared" si="107"/>
        <v>11</v>
      </c>
    </row>
    <row r="718" spans="1:21" x14ac:dyDescent="0.25">
      <c r="A718">
        <f t="shared" si="99"/>
        <v>11</v>
      </c>
      <c r="C718" t="s">
        <v>5993</v>
      </c>
      <c r="D718" t="s">
        <v>5994</v>
      </c>
      <c r="E718" t="s">
        <v>5091</v>
      </c>
      <c r="F718" t="s">
        <v>5995</v>
      </c>
      <c r="G718" t="s">
        <v>5992</v>
      </c>
      <c r="H718" s="2">
        <v>1</v>
      </c>
      <c r="I718" s="2">
        <v>29</v>
      </c>
      <c r="N718" t="str">
        <f t="shared" si="100"/>
        <v>Al Kunuz General Trading LLC</v>
      </c>
      <c r="O718" t="str">
        <f t="shared" si="101"/>
        <v>W1315390416</v>
      </c>
      <c r="P718" t="str">
        <f t="shared" si="102"/>
        <v>LA081BE09QBI-633185</v>
      </c>
      <c r="Q718" t="str">
        <f t="shared" si="103"/>
        <v>PO044978</v>
      </c>
      <c r="R718" t="str">
        <f t="shared" si="104"/>
        <v>9 To 5 Matte Lip Color - Burgundy Business</v>
      </c>
      <c r="S718" t="str">
        <f t="shared" si="105"/>
        <v>SA982654</v>
      </c>
      <c r="T718">
        <f t="shared" si="106"/>
        <v>1</v>
      </c>
      <c r="U718">
        <f t="shared" si="107"/>
        <v>29</v>
      </c>
    </row>
    <row r="719" spans="1:21" x14ac:dyDescent="0.25">
      <c r="A719">
        <f t="shared" si="99"/>
        <v>11</v>
      </c>
      <c r="C719" t="s">
        <v>5997</v>
      </c>
      <c r="D719" t="s">
        <v>5998</v>
      </c>
      <c r="E719" t="s">
        <v>5091</v>
      </c>
      <c r="F719" t="s">
        <v>5999</v>
      </c>
      <c r="G719" t="s">
        <v>5996</v>
      </c>
      <c r="H719" s="2">
        <v>1</v>
      </c>
      <c r="I719" s="2">
        <v>34</v>
      </c>
      <c r="N719" t="str">
        <f t="shared" si="100"/>
        <v>Al Kunuz General Trading LLC</v>
      </c>
      <c r="O719" t="str">
        <f t="shared" si="101"/>
        <v>W1315203574</v>
      </c>
      <c r="P719" t="str">
        <f t="shared" si="102"/>
        <v>CR884AC11KEQ-388146</v>
      </c>
      <c r="Q719" t="str">
        <f t="shared" si="103"/>
        <v>PO044978</v>
      </c>
      <c r="R719" t="str">
        <f t="shared" si="104"/>
        <v>Crunchy Fashion Pearl Handbag Chain (White) - CFN0160</v>
      </c>
      <c r="S719" t="str">
        <f t="shared" si="105"/>
        <v>SA982686</v>
      </c>
      <c r="T719">
        <f t="shared" si="106"/>
        <v>1</v>
      </c>
      <c r="U719">
        <f t="shared" si="107"/>
        <v>34</v>
      </c>
    </row>
    <row r="720" spans="1:21" x14ac:dyDescent="0.25">
      <c r="A720">
        <f t="shared" si="99"/>
        <v>11</v>
      </c>
      <c r="C720" t="s">
        <v>6001</v>
      </c>
      <c r="D720" t="s">
        <v>6002</v>
      </c>
      <c r="E720" t="s">
        <v>5091</v>
      </c>
      <c r="F720" t="s">
        <v>6003</v>
      </c>
      <c r="G720" t="s">
        <v>6000</v>
      </c>
      <c r="H720" s="2">
        <v>1</v>
      </c>
      <c r="I720" s="2">
        <v>27</v>
      </c>
      <c r="N720" t="str">
        <f t="shared" si="100"/>
        <v>Al Kunuz General Trading LLC</v>
      </c>
      <c r="O720" t="str">
        <f t="shared" si="101"/>
        <v>W1315204045</v>
      </c>
      <c r="P720" t="str">
        <f t="shared" si="102"/>
        <v>CR884AC38JCR-387419</v>
      </c>
      <c r="Q720" t="str">
        <f t="shared" si="103"/>
        <v>PO044978</v>
      </c>
      <c r="R720" t="str">
        <f t="shared" si="104"/>
        <v>Crunchy Fashion Sparkling Butterfly Necklace (Red &amp; Blue &amp; Green) - CFN0361</v>
      </c>
      <c r="S720" t="str">
        <f t="shared" si="105"/>
        <v>SA982691</v>
      </c>
      <c r="T720">
        <f t="shared" si="106"/>
        <v>1</v>
      </c>
      <c r="U720">
        <f t="shared" si="107"/>
        <v>27</v>
      </c>
    </row>
    <row r="721" spans="1:21" x14ac:dyDescent="0.25">
      <c r="A721">
        <f t="shared" si="99"/>
        <v>11</v>
      </c>
      <c r="C721" t="s">
        <v>6016</v>
      </c>
      <c r="D721" t="s">
        <v>6017</v>
      </c>
      <c r="E721" t="s">
        <v>5091</v>
      </c>
      <c r="F721" t="s">
        <v>6018</v>
      </c>
      <c r="G721" t="s">
        <v>6015</v>
      </c>
      <c r="H721" s="2">
        <v>1</v>
      </c>
      <c r="I721" s="2">
        <v>10</v>
      </c>
      <c r="N721" t="str">
        <f t="shared" si="100"/>
        <v>Al Kunuz General Trading LLC</v>
      </c>
      <c r="O721" t="str">
        <f t="shared" si="101"/>
        <v>W1315390042</v>
      </c>
      <c r="P721" t="str">
        <f t="shared" si="102"/>
        <v>AR083BE90PUJ-633004</v>
      </c>
      <c r="Q721" t="str">
        <f t="shared" si="103"/>
        <v>PO044978</v>
      </c>
      <c r="R721" t="str">
        <f t="shared" si="104"/>
        <v>Aloe Vera Sunscreen Gel - 50ml</v>
      </c>
      <c r="S721" t="str">
        <f t="shared" si="105"/>
        <v>SA982965</v>
      </c>
      <c r="T721">
        <f t="shared" si="106"/>
        <v>1</v>
      </c>
      <c r="U721">
        <f t="shared" si="107"/>
        <v>10</v>
      </c>
    </row>
    <row r="722" spans="1:21" x14ac:dyDescent="0.25">
      <c r="A722">
        <f t="shared" si="99"/>
        <v>11</v>
      </c>
      <c r="C722" t="s">
        <v>6027</v>
      </c>
      <c r="D722" t="s">
        <v>6028</v>
      </c>
      <c r="E722" t="s">
        <v>5091</v>
      </c>
      <c r="F722" t="s">
        <v>6029</v>
      </c>
      <c r="G722" t="s">
        <v>6026</v>
      </c>
      <c r="H722" s="2">
        <v>1</v>
      </c>
      <c r="I722" s="2">
        <v>58</v>
      </c>
      <c r="N722" t="str">
        <f t="shared" si="100"/>
        <v>Al Kunuz General Trading LLC</v>
      </c>
      <c r="O722" t="str">
        <f t="shared" si="101"/>
        <v>W1315348677</v>
      </c>
      <c r="P722" t="str">
        <f t="shared" si="102"/>
        <v>FR924AT77KTE-588810</v>
      </c>
      <c r="Q722" t="str">
        <f t="shared" si="103"/>
        <v>PO044978</v>
      </c>
      <c r="R722" t="str">
        <f t="shared" si="104"/>
        <v>Multi Color Top with Peplum Effect, Multicolor</v>
      </c>
      <c r="S722" t="str">
        <f t="shared" si="105"/>
        <v>SA983069</v>
      </c>
      <c r="T722">
        <f t="shared" si="106"/>
        <v>1</v>
      </c>
      <c r="U722">
        <f t="shared" si="107"/>
        <v>58</v>
      </c>
    </row>
    <row r="723" spans="1:21" x14ac:dyDescent="0.25">
      <c r="A723">
        <f t="shared" si="99"/>
        <v>11</v>
      </c>
      <c r="C723" t="s">
        <v>6031</v>
      </c>
      <c r="D723" t="s">
        <v>6032</v>
      </c>
      <c r="E723" t="s">
        <v>5091</v>
      </c>
      <c r="F723" t="s">
        <v>6033</v>
      </c>
      <c r="G723" t="s">
        <v>6030</v>
      </c>
      <c r="H723" s="2">
        <v>1</v>
      </c>
      <c r="I723" s="2">
        <v>71</v>
      </c>
      <c r="N723" t="str">
        <f t="shared" si="100"/>
        <v>Al Kunuz General Trading LLC</v>
      </c>
      <c r="O723" t="str">
        <f t="shared" si="101"/>
        <v>W1315244585</v>
      </c>
      <c r="P723" t="str">
        <f t="shared" si="102"/>
        <v>TH106AT67UUI-438998</v>
      </c>
      <c r="Q723" t="str">
        <f t="shared" si="103"/>
        <v>PO044978</v>
      </c>
      <c r="R723" t="str">
        <f t="shared" si="104"/>
        <v>The Vanca Casual Shirt - Peach</v>
      </c>
      <c r="S723" t="str">
        <f t="shared" si="105"/>
        <v>SA983070</v>
      </c>
      <c r="T723">
        <f t="shared" si="106"/>
        <v>1</v>
      </c>
      <c r="U723">
        <f t="shared" si="107"/>
        <v>71</v>
      </c>
    </row>
    <row r="724" spans="1:21" x14ac:dyDescent="0.25">
      <c r="A724">
        <f t="shared" si="99"/>
        <v>11</v>
      </c>
      <c r="C724" t="s">
        <v>6035</v>
      </c>
      <c r="D724" t="s">
        <v>6036</v>
      </c>
      <c r="E724" t="s">
        <v>5091</v>
      </c>
      <c r="F724" t="s">
        <v>6037</v>
      </c>
      <c r="G724" t="s">
        <v>6034</v>
      </c>
      <c r="H724" s="2">
        <v>1</v>
      </c>
      <c r="I724" s="2">
        <v>51</v>
      </c>
      <c r="N724" t="str">
        <f t="shared" si="100"/>
        <v>Al Kunuz General Trading LLC</v>
      </c>
      <c r="O724" t="str">
        <f t="shared" si="101"/>
        <v>W1315245455</v>
      </c>
      <c r="P724" t="str">
        <f t="shared" si="102"/>
        <v>TH106AT46VCV-439869</v>
      </c>
      <c r="Q724" t="str">
        <f t="shared" si="103"/>
        <v>PO044978</v>
      </c>
      <c r="R724" t="str">
        <f t="shared" si="104"/>
        <v>The Vanca Casual Top - White</v>
      </c>
      <c r="S724" t="str">
        <f t="shared" si="105"/>
        <v>SA983075</v>
      </c>
      <c r="T724">
        <f t="shared" si="106"/>
        <v>1</v>
      </c>
      <c r="U724">
        <f t="shared" si="107"/>
        <v>51</v>
      </c>
    </row>
    <row r="725" spans="1:21" x14ac:dyDescent="0.25">
      <c r="A725">
        <f t="shared" si="99"/>
        <v>11</v>
      </c>
      <c r="C725" t="s">
        <v>6048</v>
      </c>
      <c r="D725" t="s">
        <v>6049</v>
      </c>
      <c r="E725" t="s">
        <v>5091</v>
      </c>
      <c r="F725" t="s">
        <v>6050</v>
      </c>
      <c r="G725" t="s">
        <v>6047</v>
      </c>
      <c r="H725" s="2">
        <v>1</v>
      </c>
      <c r="I725" s="2">
        <v>60</v>
      </c>
      <c r="N725" t="str">
        <f t="shared" si="100"/>
        <v>Al Kunuz General Trading LLC</v>
      </c>
      <c r="O725" t="str">
        <f t="shared" si="101"/>
        <v>W1315391420</v>
      </c>
      <c r="P725" t="str">
        <f t="shared" si="102"/>
        <v>LA412BE42QPL-633552</v>
      </c>
      <c r="Q725" t="str">
        <f t="shared" si="103"/>
        <v>PO044978</v>
      </c>
      <c r="R725" t="str">
        <f t="shared" si="104"/>
        <v>L.A Girl Line Art Matte Eyeliner Pen - Espresso</v>
      </c>
      <c r="S725" t="str">
        <f t="shared" si="105"/>
        <v>SA983152</v>
      </c>
      <c r="T725">
        <f t="shared" si="106"/>
        <v>1</v>
      </c>
      <c r="U725">
        <f t="shared" si="107"/>
        <v>60</v>
      </c>
    </row>
    <row r="726" spans="1:21" x14ac:dyDescent="0.25">
      <c r="A726">
        <f t="shared" si="99"/>
        <v>11</v>
      </c>
      <c r="G726" t="s">
        <v>6051</v>
      </c>
      <c r="H726" s="2">
        <v>1</v>
      </c>
      <c r="I726" s="2">
        <v>60</v>
      </c>
      <c r="N726" t="str">
        <f t="shared" si="100"/>
        <v>Al Kunuz General Trading LLC</v>
      </c>
      <c r="O726" t="str">
        <f t="shared" si="101"/>
        <v>W1315391420</v>
      </c>
      <c r="P726" t="str">
        <f t="shared" si="102"/>
        <v>LA412BE42QPL-633552</v>
      </c>
      <c r="Q726" t="str">
        <f t="shared" si="103"/>
        <v>PO044978</v>
      </c>
      <c r="R726" t="str">
        <f t="shared" si="104"/>
        <v>L.A Girl Line Art Matte Eyeliner Pen - Espresso</v>
      </c>
      <c r="S726" t="str">
        <f t="shared" si="105"/>
        <v>SA983153</v>
      </c>
      <c r="T726">
        <f t="shared" si="106"/>
        <v>1</v>
      </c>
      <c r="U726">
        <f t="shared" si="107"/>
        <v>60</v>
      </c>
    </row>
    <row r="727" spans="1:21" x14ac:dyDescent="0.25">
      <c r="A727">
        <f t="shared" si="99"/>
        <v>11</v>
      </c>
      <c r="C727" t="s">
        <v>6056</v>
      </c>
      <c r="D727" t="s">
        <v>6057</v>
      </c>
      <c r="E727" t="s">
        <v>5091</v>
      </c>
      <c r="F727" t="s">
        <v>6058</v>
      </c>
      <c r="G727" t="s">
        <v>6055</v>
      </c>
      <c r="H727" s="2">
        <v>1</v>
      </c>
      <c r="I727" s="2">
        <v>43</v>
      </c>
      <c r="N727" t="str">
        <f t="shared" si="100"/>
        <v>Al Kunuz General Trading LLC</v>
      </c>
      <c r="O727" t="str">
        <f t="shared" si="101"/>
        <v>W1315238007</v>
      </c>
      <c r="P727" t="str">
        <f t="shared" si="102"/>
        <v>TH145AT70OSN-431965</v>
      </c>
      <c r="Q727" t="str">
        <f t="shared" si="103"/>
        <v>PO044978</v>
      </c>
      <c r="R727" t="str">
        <f t="shared" si="104"/>
        <v>The Gud Look Lura Printed Maxi Dress</v>
      </c>
      <c r="S727" t="str">
        <f t="shared" si="105"/>
        <v>SA983251</v>
      </c>
      <c r="T727">
        <f t="shared" si="106"/>
        <v>1</v>
      </c>
      <c r="U727">
        <f t="shared" si="107"/>
        <v>43</v>
      </c>
    </row>
    <row r="728" spans="1:21" x14ac:dyDescent="0.25">
      <c r="A728">
        <f t="shared" si="99"/>
        <v>11</v>
      </c>
      <c r="C728" t="s">
        <v>6061</v>
      </c>
      <c r="D728" t="s">
        <v>6062</v>
      </c>
      <c r="E728" t="s">
        <v>5091</v>
      </c>
      <c r="F728" t="s">
        <v>3598</v>
      </c>
      <c r="G728" t="s">
        <v>6060</v>
      </c>
      <c r="H728" s="2">
        <v>1</v>
      </c>
      <c r="I728" s="2">
        <v>114</v>
      </c>
      <c r="N728" t="str">
        <f t="shared" si="100"/>
        <v>Al Kunuz General Trading LLC</v>
      </c>
      <c r="O728" t="str">
        <f t="shared" si="101"/>
        <v>W1315338427</v>
      </c>
      <c r="P728" t="str">
        <f t="shared" si="102"/>
        <v>JU688AT09QWO-573047</v>
      </c>
      <c r="Q728" t="str">
        <f t="shared" si="103"/>
        <v>PO044978</v>
      </c>
      <c r="R728" t="str">
        <f t="shared" si="104"/>
        <v>Women's Casual Top, Multicolor</v>
      </c>
      <c r="S728" t="str">
        <f t="shared" si="105"/>
        <v>SA983269</v>
      </c>
      <c r="T728">
        <f t="shared" si="106"/>
        <v>1</v>
      </c>
      <c r="U728">
        <f t="shared" si="107"/>
        <v>114</v>
      </c>
    </row>
    <row r="729" spans="1:21" x14ac:dyDescent="0.25">
      <c r="A729">
        <f t="shared" si="99"/>
        <v>11</v>
      </c>
      <c r="C729" t="s">
        <v>6064</v>
      </c>
      <c r="D729" t="s">
        <v>6065</v>
      </c>
      <c r="E729" t="s">
        <v>5091</v>
      </c>
      <c r="F729" t="s">
        <v>6066</v>
      </c>
      <c r="G729" t="s">
        <v>6063</v>
      </c>
      <c r="H729" s="2">
        <v>1</v>
      </c>
      <c r="I729" s="2">
        <v>107</v>
      </c>
      <c r="N729" t="str">
        <f t="shared" si="100"/>
        <v>Al Kunuz General Trading LLC</v>
      </c>
      <c r="O729" t="str">
        <f t="shared" si="101"/>
        <v>W1315243909</v>
      </c>
      <c r="P729" t="str">
        <f t="shared" si="102"/>
        <v>TH106AT71UMM-438052</v>
      </c>
      <c r="Q729" t="str">
        <f t="shared" si="103"/>
        <v>PO044978</v>
      </c>
      <c r="R729" t="str">
        <f t="shared" si="104"/>
        <v>The Vanca Maxi Dress - Peach</v>
      </c>
      <c r="S729" t="str">
        <f t="shared" si="105"/>
        <v>SA983272</v>
      </c>
      <c r="T729">
        <f t="shared" si="106"/>
        <v>1</v>
      </c>
      <c r="U729">
        <f t="shared" si="107"/>
        <v>107</v>
      </c>
    </row>
    <row r="730" spans="1:21" x14ac:dyDescent="0.25">
      <c r="A730">
        <f t="shared" si="99"/>
        <v>11</v>
      </c>
      <c r="C730" t="s">
        <v>6068</v>
      </c>
      <c r="D730" t="s">
        <v>6069</v>
      </c>
      <c r="E730" t="s">
        <v>5091</v>
      </c>
      <c r="F730" t="s">
        <v>6070</v>
      </c>
      <c r="G730" t="s">
        <v>6067</v>
      </c>
      <c r="H730" s="2">
        <v>1</v>
      </c>
      <c r="I730" s="2">
        <v>25</v>
      </c>
      <c r="N730" t="str">
        <f t="shared" si="100"/>
        <v>Al Kunuz General Trading LLC</v>
      </c>
      <c r="O730" t="str">
        <f t="shared" si="101"/>
        <v>W1315389374</v>
      </c>
      <c r="P730" t="str">
        <f t="shared" si="102"/>
        <v>MA096BE53RXQ-634465</v>
      </c>
      <c r="Q730" t="str">
        <f t="shared" si="103"/>
        <v>PO044978</v>
      </c>
      <c r="R730" t="str">
        <f t="shared" si="104"/>
        <v>The Colossal Volum Express Mascara Washable - 2 Washable Black</v>
      </c>
      <c r="S730" t="str">
        <f t="shared" si="105"/>
        <v>SA983299</v>
      </c>
      <c r="T730">
        <f t="shared" si="106"/>
        <v>1</v>
      </c>
      <c r="U730">
        <f t="shared" si="107"/>
        <v>25</v>
      </c>
    </row>
    <row r="731" spans="1:21" x14ac:dyDescent="0.25">
      <c r="A731">
        <f t="shared" si="99"/>
        <v>11</v>
      </c>
      <c r="C731" t="s">
        <v>6102</v>
      </c>
      <c r="D731" t="s">
        <v>6103</v>
      </c>
      <c r="E731" t="s">
        <v>5091</v>
      </c>
      <c r="F731" t="s">
        <v>6104</v>
      </c>
      <c r="G731" t="s">
        <v>6101</v>
      </c>
      <c r="H731" s="2">
        <v>1</v>
      </c>
      <c r="I731" s="2">
        <v>11</v>
      </c>
      <c r="N731" t="str">
        <f t="shared" si="100"/>
        <v>Al Kunuz General Trading LLC</v>
      </c>
      <c r="O731" t="str">
        <f t="shared" si="101"/>
        <v>W1315391585</v>
      </c>
      <c r="P731" t="str">
        <f t="shared" si="102"/>
        <v>NY094BE12SKT-634806</v>
      </c>
      <c r="Q731" t="str">
        <f t="shared" si="103"/>
        <v>PO044978</v>
      </c>
      <c r="R731" t="str">
        <f t="shared" si="104"/>
        <v>Floral Carnival Nail Enamel - Arabian Night Rose 127</v>
      </c>
      <c r="S731" t="str">
        <f t="shared" si="105"/>
        <v>SA983809</v>
      </c>
      <c r="T731">
        <f t="shared" si="106"/>
        <v>1</v>
      </c>
      <c r="U731">
        <f t="shared" si="107"/>
        <v>11</v>
      </c>
    </row>
    <row r="732" spans="1:21" x14ac:dyDescent="0.25">
      <c r="A732">
        <f t="shared" si="99"/>
        <v>11</v>
      </c>
      <c r="C732" t="s">
        <v>6113</v>
      </c>
      <c r="D732" t="s">
        <v>6114</v>
      </c>
      <c r="E732" t="s">
        <v>5091</v>
      </c>
      <c r="F732" t="s">
        <v>6115</v>
      </c>
      <c r="G732" t="s">
        <v>6112</v>
      </c>
      <c r="H732" s="2">
        <v>1</v>
      </c>
      <c r="I732" s="2">
        <v>37</v>
      </c>
      <c r="N732" t="str">
        <f t="shared" si="100"/>
        <v>Al Kunuz General Trading LLC</v>
      </c>
      <c r="O732" t="str">
        <f t="shared" si="101"/>
        <v>W1315399733</v>
      </c>
      <c r="P732" t="str">
        <f t="shared" si="102"/>
        <v>WE564AT11CAU-642785</v>
      </c>
      <c r="Q732" t="str">
        <f t="shared" si="103"/>
        <v>PO044978</v>
      </c>
      <c r="R732" t="str">
        <f t="shared" si="104"/>
        <v>Hooded Printed Sweatshirt, Navy</v>
      </c>
      <c r="S732" t="str">
        <f t="shared" si="105"/>
        <v>SA983948</v>
      </c>
      <c r="T732">
        <f t="shared" si="106"/>
        <v>1</v>
      </c>
      <c r="U732">
        <f t="shared" si="107"/>
        <v>37</v>
      </c>
    </row>
    <row r="733" spans="1:21" x14ac:dyDescent="0.25">
      <c r="A733">
        <f t="shared" si="99"/>
        <v>11</v>
      </c>
      <c r="C733" t="s">
        <v>6172</v>
      </c>
      <c r="D733" t="s">
        <v>6173</v>
      </c>
      <c r="E733" t="s">
        <v>5091</v>
      </c>
      <c r="F733" t="s">
        <v>6174</v>
      </c>
      <c r="G733" t="s">
        <v>6171</v>
      </c>
      <c r="H733" s="2">
        <v>1</v>
      </c>
      <c r="I733" s="2">
        <v>25</v>
      </c>
      <c r="N733" t="str">
        <f t="shared" si="100"/>
        <v>Al Kunuz General Trading LLC</v>
      </c>
      <c r="O733" t="str">
        <f t="shared" si="101"/>
        <v>W1315391552</v>
      </c>
      <c r="P733" t="str">
        <f t="shared" si="102"/>
        <v>SC724BE11QUM-633683</v>
      </c>
      <c r="Q733" t="str">
        <f t="shared" si="103"/>
        <v>PO044978</v>
      </c>
      <c r="R733" t="str">
        <f t="shared" si="104"/>
        <v>Taft All Weather Shine Gel Wax</v>
      </c>
      <c r="S733" t="str">
        <f t="shared" si="105"/>
        <v>SA984679</v>
      </c>
      <c r="T733">
        <f t="shared" si="106"/>
        <v>1</v>
      </c>
      <c r="U733">
        <f t="shared" si="107"/>
        <v>25</v>
      </c>
    </row>
    <row r="734" spans="1:21" x14ac:dyDescent="0.25">
      <c r="A734">
        <f t="shared" si="99"/>
        <v>11</v>
      </c>
      <c r="C734" t="s">
        <v>6176</v>
      </c>
      <c r="D734" t="s">
        <v>6177</v>
      </c>
      <c r="E734" t="s">
        <v>5091</v>
      </c>
      <c r="F734" t="s">
        <v>6178</v>
      </c>
      <c r="G734" t="s">
        <v>6175</v>
      </c>
      <c r="H734" s="2">
        <v>1</v>
      </c>
      <c r="I734" s="2">
        <v>11</v>
      </c>
      <c r="N734" t="str">
        <f t="shared" si="100"/>
        <v>Al Kunuz General Trading LLC</v>
      </c>
      <c r="O734" t="str">
        <f t="shared" si="101"/>
        <v>W1315390789</v>
      </c>
      <c r="P734" t="str">
        <f t="shared" si="102"/>
        <v>NY094BE15RVG-634403</v>
      </c>
      <c r="Q734" t="str">
        <f t="shared" si="103"/>
        <v>PO044978</v>
      </c>
      <c r="R734" t="str">
        <f t="shared" si="104"/>
        <v>Top Coat Nail Enamel - Sugar Syrup, No. 105</v>
      </c>
      <c r="S734" t="str">
        <f t="shared" si="105"/>
        <v>SA984713</v>
      </c>
      <c r="T734">
        <f t="shared" si="106"/>
        <v>1</v>
      </c>
      <c r="U734">
        <f t="shared" si="107"/>
        <v>11</v>
      </c>
    </row>
    <row r="735" spans="1:21" x14ac:dyDescent="0.25">
      <c r="A735">
        <f t="shared" si="99"/>
        <v>11</v>
      </c>
      <c r="C735" t="s">
        <v>6190</v>
      </c>
      <c r="D735" t="s">
        <v>6191</v>
      </c>
      <c r="E735" t="s">
        <v>5091</v>
      </c>
      <c r="F735" t="s">
        <v>6192</v>
      </c>
      <c r="G735" t="s">
        <v>6189</v>
      </c>
      <c r="H735" s="2">
        <v>1</v>
      </c>
      <c r="I735" s="2">
        <v>11</v>
      </c>
      <c r="N735" t="str">
        <f t="shared" si="100"/>
        <v>Al Kunuz General Trading LLC</v>
      </c>
      <c r="O735" t="str">
        <f t="shared" si="101"/>
        <v>W1315438455</v>
      </c>
      <c r="P735" t="str">
        <f t="shared" si="102"/>
        <v>OR263BE00PZR-689709</v>
      </c>
      <c r="Q735" t="str">
        <f t="shared" si="103"/>
        <v>PO044978</v>
      </c>
      <c r="R735" t="str">
        <f t="shared" si="104"/>
        <v>Organistick Lipstick - Earthy</v>
      </c>
      <c r="S735" t="str">
        <f t="shared" si="105"/>
        <v>SA984925</v>
      </c>
      <c r="T735">
        <f t="shared" si="106"/>
        <v>1</v>
      </c>
      <c r="U735">
        <f t="shared" si="107"/>
        <v>11</v>
      </c>
    </row>
    <row r="736" spans="1:21" x14ac:dyDescent="0.25">
      <c r="A736">
        <f t="shared" si="99"/>
        <v>11</v>
      </c>
      <c r="C736" t="s">
        <v>6207</v>
      </c>
      <c r="D736" t="s">
        <v>6208</v>
      </c>
      <c r="E736" t="s">
        <v>5091</v>
      </c>
      <c r="F736" t="s">
        <v>3180</v>
      </c>
      <c r="G736" t="s">
        <v>6206</v>
      </c>
      <c r="H736" s="2">
        <v>1</v>
      </c>
      <c r="I736" s="2">
        <v>55</v>
      </c>
      <c r="N736" t="str">
        <f t="shared" si="100"/>
        <v>Al Kunuz General Trading LLC</v>
      </c>
      <c r="O736" t="str">
        <f t="shared" si="101"/>
        <v>W1315187103</v>
      </c>
      <c r="P736" t="str">
        <f t="shared" si="102"/>
        <v>TH718AT88OXR-368164</v>
      </c>
      <c r="Q736" t="str">
        <f t="shared" si="103"/>
        <v>PO044978</v>
      </c>
      <c r="R736" t="str">
        <f t="shared" si="104"/>
        <v>THREADCURRY Fishernaut Graphic Printed Tee</v>
      </c>
      <c r="S736" t="str">
        <f t="shared" si="105"/>
        <v>SA985153</v>
      </c>
      <c r="T736">
        <f t="shared" si="106"/>
        <v>1</v>
      </c>
      <c r="U736">
        <f t="shared" si="107"/>
        <v>55</v>
      </c>
    </row>
    <row r="737" spans="1:21" x14ac:dyDescent="0.25">
      <c r="A737">
        <f t="shared" si="99"/>
        <v>11</v>
      </c>
      <c r="C737" t="s">
        <v>6210</v>
      </c>
      <c r="D737" t="s">
        <v>6211</v>
      </c>
      <c r="E737" t="s">
        <v>5091</v>
      </c>
      <c r="F737" t="s">
        <v>6212</v>
      </c>
      <c r="G737" t="s">
        <v>6209</v>
      </c>
      <c r="H737" s="2">
        <v>1</v>
      </c>
      <c r="I737" s="2">
        <v>63</v>
      </c>
      <c r="N737" t="str">
        <f t="shared" si="100"/>
        <v>Al Kunuz General Trading LLC</v>
      </c>
      <c r="O737" t="str">
        <f t="shared" si="101"/>
        <v>W1315436635</v>
      </c>
      <c r="P737" t="str">
        <f t="shared" si="102"/>
        <v>CO203BE12VHR-693297</v>
      </c>
      <c r="Q737" t="str">
        <f t="shared" si="103"/>
        <v>PO044978</v>
      </c>
      <c r="R737" t="str">
        <f t="shared" si="104"/>
        <v>Colorbar Skin Care Hydra White Anti-spot Serum</v>
      </c>
      <c r="S737" t="str">
        <f t="shared" si="105"/>
        <v>SA985161</v>
      </c>
      <c r="T737">
        <f t="shared" si="106"/>
        <v>1</v>
      </c>
      <c r="U737">
        <f t="shared" si="107"/>
        <v>63</v>
      </c>
    </row>
    <row r="738" spans="1:21" x14ac:dyDescent="0.25">
      <c r="A738">
        <f t="shared" si="99"/>
        <v>11</v>
      </c>
      <c r="C738" t="s">
        <v>6214</v>
      </c>
      <c r="D738" t="s">
        <v>6215</v>
      </c>
      <c r="E738" t="s">
        <v>5091</v>
      </c>
      <c r="F738" t="s">
        <v>6216</v>
      </c>
      <c r="G738" t="s">
        <v>6213</v>
      </c>
      <c r="H738" s="2">
        <v>1</v>
      </c>
      <c r="I738" s="2">
        <v>13</v>
      </c>
      <c r="N738" t="str">
        <f t="shared" si="100"/>
        <v>Al Kunuz General Trading LLC</v>
      </c>
      <c r="O738" t="str">
        <f t="shared" si="101"/>
        <v>W1315436885</v>
      </c>
      <c r="P738" t="str">
        <f t="shared" si="102"/>
        <v>GA858BE66OWF-688943</v>
      </c>
      <c r="Q738" t="str">
        <f t="shared" si="103"/>
        <v>PO044978</v>
      </c>
      <c r="R738" t="str">
        <f t="shared" si="104"/>
        <v>Garnier Sun Control Daily Moisturiser UVA - SPF 15</v>
      </c>
      <c r="S738" t="str">
        <f t="shared" si="105"/>
        <v>SA985162</v>
      </c>
      <c r="T738">
        <f t="shared" si="106"/>
        <v>1</v>
      </c>
      <c r="U738">
        <f t="shared" si="107"/>
        <v>13</v>
      </c>
    </row>
    <row r="739" spans="1:21" x14ac:dyDescent="0.25">
      <c r="A739">
        <f t="shared" si="99"/>
        <v>11</v>
      </c>
      <c r="C739" t="s">
        <v>6218</v>
      </c>
      <c r="D739" t="s">
        <v>6219</v>
      </c>
      <c r="E739" t="s">
        <v>5091</v>
      </c>
      <c r="F739" t="s">
        <v>6220</v>
      </c>
      <c r="G739" t="s">
        <v>6217</v>
      </c>
      <c r="H739" s="2">
        <v>1</v>
      </c>
      <c r="I739" s="2">
        <v>7</v>
      </c>
      <c r="N739" t="str">
        <f t="shared" si="100"/>
        <v>Al Kunuz General Trading LLC</v>
      </c>
      <c r="O739" t="str">
        <f t="shared" si="101"/>
        <v>W1315390358</v>
      </c>
      <c r="P739" t="str">
        <f t="shared" si="102"/>
        <v>LO860BE23SOE-634895</v>
      </c>
      <c r="Q739" t="str">
        <f t="shared" si="103"/>
        <v>PO044978</v>
      </c>
      <c r="R739" t="str">
        <f t="shared" si="104"/>
        <v>Age 20+ Skin Perfect Facial Foam</v>
      </c>
      <c r="S739" t="str">
        <f t="shared" si="105"/>
        <v>SA985163</v>
      </c>
      <c r="T739">
        <f t="shared" si="106"/>
        <v>1</v>
      </c>
      <c r="U739">
        <f t="shared" si="107"/>
        <v>7</v>
      </c>
    </row>
    <row r="740" spans="1:21" x14ac:dyDescent="0.25">
      <c r="A740">
        <f t="shared" si="99"/>
        <v>11</v>
      </c>
      <c r="C740" t="s">
        <v>6232</v>
      </c>
      <c r="D740" t="s">
        <v>6233</v>
      </c>
      <c r="E740" t="s">
        <v>5091</v>
      </c>
      <c r="F740" t="s">
        <v>6234</v>
      </c>
      <c r="G740" t="s">
        <v>6231</v>
      </c>
      <c r="H740" s="2">
        <v>1</v>
      </c>
      <c r="I740" s="2">
        <v>27</v>
      </c>
      <c r="N740" t="str">
        <f t="shared" si="100"/>
        <v>Al Kunuz General Trading LLC</v>
      </c>
      <c r="O740" t="str">
        <f t="shared" si="101"/>
        <v>W1315436960</v>
      </c>
      <c r="P740" t="str">
        <f t="shared" si="102"/>
        <v>CO092BE60VRJ-693549</v>
      </c>
      <c r="Q740" t="str">
        <f t="shared" si="103"/>
        <v>PO044978</v>
      </c>
      <c r="R740" t="str">
        <f t="shared" si="104"/>
        <v>Coloressence Satin Eye Shades - Earthly Tone</v>
      </c>
      <c r="S740" t="str">
        <f t="shared" si="105"/>
        <v>SA985347</v>
      </c>
      <c r="T740">
        <f t="shared" si="106"/>
        <v>1</v>
      </c>
      <c r="U740">
        <f t="shared" si="107"/>
        <v>27</v>
      </c>
    </row>
    <row r="741" spans="1:21" x14ac:dyDescent="0.25">
      <c r="A741">
        <f t="shared" si="99"/>
        <v>11</v>
      </c>
      <c r="C741" t="s">
        <v>6248</v>
      </c>
      <c r="D741" t="s">
        <v>6249</v>
      </c>
      <c r="E741" t="s">
        <v>5091</v>
      </c>
      <c r="F741" t="s">
        <v>6250</v>
      </c>
      <c r="G741" t="s">
        <v>6247</v>
      </c>
      <c r="H741" s="2">
        <v>1</v>
      </c>
      <c r="I741" s="2">
        <v>15</v>
      </c>
      <c r="N741" t="str">
        <f t="shared" si="100"/>
        <v>Al Kunuz General Trading LLC</v>
      </c>
      <c r="O741" t="str">
        <f t="shared" si="101"/>
        <v>W1315237894</v>
      </c>
      <c r="P741" t="str">
        <f t="shared" si="102"/>
        <v>TH145AT93ORQ-431852</v>
      </c>
      <c r="Q741" t="str">
        <f t="shared" si="103"/>
        <v>PO044978</v>
      </c>
      <c r="R741" t="str">
        <f t="shared" si="104"/>
        <v>The Gud Look Stretch Legging</v>
      </c>
      <c r="S741" t="str">
        <f t="shared" si="105"/>
        <v>SA985481</v>
      </c>
      <c r="T741">
        <f t="shared" si="106"/>
        <v>1</v>
      </c>
      <c r="U741">
        <f t="shared" si="107"/>
        <v>15</v>
      </c>
    </row>
    <row r="742" spans="1:21" x14ac:dyDescent="0.25">
      <c r="A742">
        <f t="shared" si="99"/>
        <v>11</v>
      </c>
      <c r="C742" t="s">
        <v>6305</v>
      </c>
      <c r="D742" t="s">
        <v>6306</v>
      </c>
      <c r="E742" t="s">
        <v>5091</v>
      </c>
      <c r="F742" t="s">
        <v>6307</v>
      </c>
      <c r="G742" t="s">
        <v>6304</v>
      </c>
      <c r="H742" s="2">
        <v>1</v>
      </c>
      <c r="I742" s="2">
        <v>43</v>
      </c>
      <c r="N742" t="str">
        <f t="shared" si="100"/>
        <v>Al Kunuz General Trading LLC</v>
      </c>
      <c r="O742" t="str">
        <f t="shared" si="101"/>
        <v>W1315435029</v>
      </c>
      <c r="P742" t="str">
        <f t="shared" si="102"/>
        <v>NY144BE03UOU-692806</v>
      </c>
      <c r="Q742" t="str">
        <f t="shared" si="103"/>
        <v>PO044978</v>
      </c>
      <c r="R742" t="str">
        <f t="shared" si="104"/>
        <v>NYX Soft Matte Lip Cream - Copenhagen</v>
      </c>
      <c r="S742" t="str">
        <f t="shared" si="105"/>
        <v>SA986008</v>
      </c>
      <c r="T742">
        <f t="shared" si="106"/>
        <v>1</v>
      </c>
      <c r="U742">
        <f t="shared" si="107"/>
        <v>43</v>
      </c>
    </row>
    <row r="743" spans="1:21" x14ac:dyDescent="0.25">
      <c r="A743">
        <f t="shared" si="99"/>
        <v>11</v>
      </c>
      <c r="C743" t="s">
        <v>6311</v>
      </c>
      <c r="D743" t="s">
        <v>6312</v>
      </c>
      <c r="E743" t="s">
        <v>5091</v>
      </c>
      <c r="F743" t="s">
        <v>6313</v>
      </c>
      <c r="G743" t="s">
        <v>6310</v>
      </c>
      <c r="H743" s="2">
        <v>1</v>
      </c>
      <c r="I743" s="2">
        <v>36</v>
      </c>
      <c r="N743" t="str">
        <f t="shared" si="100"/>
        <v>Al Kunuz General Trading LLC</v>
      </c>
      <c r="O743" t="str">
        <f t="shared" si="101"/>
        <v>W1315391188</v>
      </c>
      <c r="P743" t="str">
        <f t="shared" si="102"/>
        <v>LA412BE56QHF-633338</v>
      </c>
      <c r="Q743" t="str">
        <f t="shared" si="103"/>
        <v>PO044978</v>
      </c>
      <c r="R743" t="str">
        <f t="shared" si="104"/>
        <v>Matte Flat Finish Pigment Gloss - Secret</v>
      </c>
      <c r="S743" t="str">
        <f t="shared" si="105"/>
        <v>SA986012</v>
      </c>
      <c r="T743">
        <f t="shared" si="106"/>
        <v>1</v>
      </c>
      <c r="U743">
        <f t="shared" si="107"/>
        <v>36</v>
      </c>
    </row>
    <row r="744" spans="1:21" x14ac:dyDescent="0.25">
      <c r="A744">
        <f t="shared" si="99"/>
        <v>11</v>
      </c>
      <c r="C744" t="s">
        <v>6323</v>
      </c>
      <c r="D744" t="s">
        <v>6324</v>
      </c>
      <c r="E744" t="s">
        <v>5091</v>
      </c>
      <c r="F744" t="s">
        <v>6325</v>
      </c>
      <c r="G744" t="s">
        <v>6322</v>
      </c>
      <c r="H744" s="2">
        <v>1</v>
      </c>
      <c r="I744" s="2">
        <v>32</v>
      </c>
      <c r="N744" t="str">
        <f t="shared" si="100"/>
        <v>Al Kunuz General Trading LLC</v>
      </c>
      <c r="O744" t="str">
        <f t="shared" si="101"/>
        <v>W1315391601</v>
      </c>
      <c r="P744" t="str">
        <f t="shared" si="102"/>
        <v>NE157BE99SDO-634619</v>
      </c>
      <c r="Q744" t="str">
        <f t="shared" si="103"/>
        <v>PO044978</v>
      </c>
      <c r="R744" t="str">
        <f t="shared" si="104"/>
        <v>UltraSheer Dry Touch Sunblock SPF 50+</v>
      </c>
      <c r="S744" t="str">
        <f t="shared" si="105"/>
        <v>SA986078</v>
      </c>
      <c r="T744">
        <f t="shared" si="106"/>
        <v>1</v>
      </c>
      <c r="U744">
        <f t="shared" si="107"/>
        <v>32</v>
      </c>
    </row>
    <row r="745" spans="1:21" x14ac:dyDescent="0.25">
      <c r="A745">
        <f t="shared" si="99"/>
        <v>11</v>
      </c>
      <c r="C745" t="s">
        <v>6415</v>
      </c>
      <c r="D745" t="s">
        <v>6416</v>
      </c>
      <c r="E745" t="s">
        <v>5091</v>
      </c>
      <c r="F745" t="s">
        <v>6066</v>
      </c>
      <c r="G745" t="s">
        <v>6414</v>
      </c>
      <c r="H745" s="2">
        <v>1</v>
      </c>
      <c r="I745" s="2">
        <v>107</v>
      </c>
      <c r="N745" t="str">
        <f t="shared" si="100"/>
        <v>Al Kunuz General Trading LLC</v>
      </c>
      <c r="O745" t="str">
        <f t="shared" si="101"/>
        <v>W1315243912</v>
      </c>
      <c r="P745" t="str">
        <f t="shared" si="102"/>
        <v>TH106AT71UMM-438055</v>
      </c>
      <c r="Q745" t="str">
        <f t="shared" si="103"/>
        <v>PO044978</v>
      </c>
      <c r="R745" t="str">
        <f t="shared" si="104"/>
        <v>The Vanca Maxi Dress - Peach</v>
      </c>
      <c r="S745" t="str">
        <f t="shared" si="105"/>
        <v>SA986830</v>
      </c>
      <c r="T745">
        <f t="shared" si="106"/>
        <v>1</v>
      </c>
      <c r="U745">
        <f t="shared" si="107"/>
        <v>107</v>
      </c>
    </row>
    <row r="746" spans="1:21" x14ac:dyDescent="0.25">
      <c r="A746">
        <f t="shared" si="99"/>
        <v>11</v>
      </c>
      <c r="C746" t="s">
        <v>6418</v>
      </c>
      <c r="D746" t="s">
        <v>6419</v>
      </c>
      <c r="E746" t="s">
        <v>5091</v>
      </c>
      <c r="F746" t="s">
        <v>6420</v>
      </c>
      <c r="G746" t="s">
        <v>6417</v>
      </c>
      <c r="H746" s="2">
        <v>1</v>
      </c>
      <c r="I746" s="2">
        <v>35</v>
      </c>
      <c r="N746" t="str">
        <f t="shared" si="100"/>
        <v>Al Kunuz General Trading LLC</v>
      </c>
      <c r="O746" t="str">
        <f t="shared" si="101"/>
        <v>W1315390211</v>
      </c>
      <c r="P746" t="str">
        <f t="shared" si="102"/>
        <v>BB090BE29PWS-633065</v>
      </c>
      <c r="Q746" t="str">
        <f t="shared" si="103"/>
        <v>PO044978</v>
      </c>
      <c r="R746" t="str">
        <f t="shared" si="104"/>
        <v>Blown Away, Volumizing Leave-In Spray</v>
      </c>
      <c r="S746" t="str">
        <f t="shared" si="105"/>
        <v>SA986837</v>
      </c>
      <c r="T746">
        <f t="shared" si="106"/>
        <v>1</v>
      </c>
      <c r="U746">
        <f t="shared" si="107"/>
        <v>35</v>
      </c>
    </row>
    <row r="747" spans="1:21" x14ac:dyDescent="0.25">
      <c r="A747">
        <f t="shared" si="99"/>
        <v>11</v>
      </c>
      <c r="C747" t="s">
        <v>6422</v>
      </c>
      <c r="D747" t="s">
        <v>6423</v>
      </c>
      <c r="E747" t="s">
        <v>5091</v>
      </c>
      <c r="F747" t="s">
        <v>3786</v>
      </c>
      <c r="G747" t="s">
        <v>6421</v>
      </c>
      <c r="H747" s="2">
        <v>1</v>
      </c>
      <c r="I747" s="2">
        <v>37</v>
      </c>
      <c r="N747" t="str">
        <f t="shared" si="100"/>
        <v>Al Kunuz General Trading LLC</v>
      </c>
      <c r="O747" t="str">
        <f t="shared" si="101"/>
        <v>W1315399751</v>
      </c>
      <c r="P747" t="str">
        <f t="shared" si="102"/>
        <v>WE564AT07CAY-642803</v>
      </c>
      <c r="Q747" t="str">
        <f t="shared" si="103"/>
        <v>PO044978</v>
      </c>
      <c r="R747" t="str">
        <f t="shared" si="104"/>
        <v>Hooded Chuck Print Sweatshirt, Grey</v>
      </c>
      <c r="S747" t="str">
        <f t="shared" si="105"/>
        <v>SA986841</v>
      </c>
      <c r="T747">
        <f t="shared" si="106"/>
        <v>1</v>
      </c>
      <c r="U747">
        <f t="shared" si="107"/>
        <v>37</v>
      </c>
    </row>
    <row r="748" spans="1:21" x14ac:dyDescent="0.25">
      <c r="A748">
        <f t="shared" si="99"/>
        <v>11</v>
      </c>
      <c r="C748" t="s">
        <v>6425</v>
      </c>
      <c r="D748" t="s">
        <v>6426</v>
      </c>
      <c r="E748" t="s">
        <v>5091</v>
      </c>
      <c r="F748" t="s">
        <v>6427</v>
      </c>
      <c r="G748" t="s">
        <v>6424</v>
      </c>
      <c r="H748" s="2">
        <v>1</v>
      </c>
      <c r="I748" s="2">
        <v>19</v>
      </c>
      <c r="N748" t="str">
        <f t="shared" si="100"/>
        <v>Al Kunuz General Trading LLC</v>
      </c>
      <c r="O748" t="str">
        <f t="shared" si="101"/>
        <v>W1315390215</v>
      </c>
      <c r="P748" t="str">
        <f t="shared" si="102"/>
        <v>BB090BE11RRO-634307</v>
      </c>
      <c r="Q748" t="str">
        <f t="shared" si="103"/>
        <v>PO044978</v>
      </c>
      <c r="R748" t="str">
        <f t="shared" si="104"/>
        <v>One Night Stand Temporary Hair Colour, Copper</v>
      </c>
      <c r="S748" t="str">
        <f t="shared" si="105"/>
        <v>SA986843</v>
      </c>
      <c r="T748">
        <f t="shared" si="106"/>
        <v>1</v>
      </c>
      <c r="U748">
        <f t="shared" si="107"/>
        <v>19</v>
      </c>
    </row>
    <row r="749" spans="1:21" x14ac:dyDescent="0.25">
      <c r="A749">
        <f t="shared" si="99"/>
        <v>11</v>
      </c>
      <c r="C749" t="s">
        <v>6456</v>
      </c>
      <c r="D749" t="s">
        <v>6457</v>
      </c>
      <c r="E749" t="s">
        <v>5091</v>
      </c>
      <c r="F749" t="s">
        <v>6458</v>
      </c>
      <c r="G749" t="s">
        <v>6455</v>
      </c>
      <c r="H749" s="2">
        <v>1</v>
      </c>
      <c r="I749" s="2">
        <v>9</v>
      </c>
      <c r="N749" t="str">
        <f t="shared" si="100"/>
        <v>Al Kunuz General Trading LLC</v>
      </c>
      <c r="O749" t="str">
        <f t="shared" si="101"/>
        <v>W1315390127</v>
      </c>
      <c r="P749" t="str">
        <f t="shared" si="102"/>
        <v>AR089BE33RFE-633961</v>
      </c>
      <c r="Q749" t="str">
        <f t="shared" si="103"/>
        <v>PO044978</v>
      </c>
      <c r="R749" t="str">
        <f t="shared" si="104"/>
        <v>Lavender Pure Essential Oil</v>
      </c>
      <c r="S749" t="str">
        <f t="shared" si="105"/>
        <v>SA987361</v>
      </c>
      <c r="T749">
        <f t="shared" si="106"/>
        <v>1</v>
      </c>
      <c r="U749">
        <f t="shared" si="107"/>
        <v>9</v>
      </c>
    </row>
    <row r="750" spans="1:21" x14ac:dyDescent="0.25">
      <c r="A750">
        <f t="shared" si="99"/>
        <v>11</v>
      </c>
      <c r="C750" t="s">
        <v>6464</v>
      </c>
      <c r="D750" t="s">
        <v>6465</v>
      </c>
      <c r="E750" t="s">
        <v>5091</v>
      </c>
      <c r="F750" t="s">
        <v>6466</v>
      </c>
      <c r="G750" t="s">
        <v>6463</v>
      </c>
      <c r="H750" s="2">
        <v>1</v>
      </c>
      <c r="I750" s="2">
        <v>27</v>
      </c>
      <c r="N750" t="str">
        <f t="shared" si="100"/>
        <v>Al Kunuz General Trading LLC</v>
      </c>
      <c r="O750" t="str">
        <f t="shared" si="101"/>
        <v>W1315391073</v>
      </c>
      <c r="P750" t="str">
        <f t="shared" si="102"/>
        <v>LO860BE14RZD-634504</v>
      </c>
      <c r="Q750" t="str">
        <f t="shared" si="103"/>
        <v>PO044978</v>
      </c>
      <c r="R750" t="str">
        <f t="shared" si="104"/>
        <v>Mat Magique All-In-One Pressed Powder N2 Nude Vanilla</v>
      </c>
      <c r="S750" t="str">
        <f t="shared" si="105"/>
        <v>SA987550</v>
      </c>
      <c r="T750">
        <f t="shared" si="106"/>
        <v>1</v>
      </c>
      <c r="U750">
        <f t="shared" si="107"/>
        <v>27</v>
      </c>
    </row>
    <row r="751" spans="1:21" x14ac:dyDescent="0.25">
      <c r="A751">
        <f t="shared" si="99"/>
        <v>11</v>
      </c>
      <c r="C751" t="s">
        <v>6468</v>
      </c>
      <c r="D751" t="s">
        <v>6469</v>
      </c>
      <c r="E751" t="s">
        <v>5091</v>
      </c>
      <c r="F751" t="s">
        <v>6470</v>
      </c>
      <c r="G751" t="s">
        <v>6467</v>
      </c>
      <c r="H751" s="2">
        <v>1</v>
      </c>
      <c r="I751" s="2">
        <v>19</v>
      </c>
      <c r="N751" t="str">
        <f t="shared" si="100"/>
        <v>Al Kunuz General Trading LLC</v>
      </c>
      <c r="O751" t="str">
        <f t="shared" si="101"/>
        <v>W1315390680</v>
      </c>
      <c r="P751" t="str">
        <f t="shared" si="102"/>
        <v>MA096BE46QLL-633448</v>
      </c>
      <c r="Q751" t="str">
        <f t="shared" si="103"/>
        <v>PO044978</v>
      </c>
      <c r="R751" t="str">
        <f t="shared" si="104"/>
        <v>Fashion Brow Duo Shaper - Brown</v>
      </c>
      <c r="S751" t="str">
        <f t="shared" si="105"/>
        <v>SA987552</v>
      </c>
      <c r="T751">
        <f t="shared" si="106"/>
        <v>1</v>
      </c>
      <c r="U751">
        <f t="shared" si="107"/>
        <v>19</v>
      </c>
    </row>
    <row r="752" spans="1:21" x14ac:dyDescent="0.25">
      <c r="A752">
        <f t="shared" si="99"/>
        <v>11</v>
      </c>
      <c r="C752" t="s">
        <v>6486</v>
      </c>
      <c r="D752" t="s">
        <v>6487</v>
      </c>
      <c r="E752" t="s">
        <v>5091</v>
      </c>
      <c r="F752" t="s">
        <v>6488</v>
      </c>
      <c r="G752" t="s">
        <v>6485</v>
      </c>
      <c r="H752" s="2">
        <v>1</v>
      </c>
      <c r="I752" s="2">
        <v>198</v>
      </c>
      <c r="N752" t="str">
        <f t="shared" si="100"/>
        <v>Al Kunuz General Trading LLC</v>
      </c>
      <c r="O752" t="str">
        <f t="shared" si="101"/>
        <v>W1315408917</v>
      </c>
      <c r="P752" t="str">
        <f t="shared" si="102"/>
        <v>MU172AT36VJR-663834</v>
      </c>
      <c r="Q752" t="str">
        <f t="shared" si="103"/>
        <v>PO044978</v>
      </c>
      <c r="R752" t="str">
        <f t="shared" si="104"/>
        <v>Coat, Multicolor</v>
      </c>
      <c r="S752" t="str">
        <f t="shared" si="105"/>
        <v>SA987751</v>
      </c>
      <c r="T752">
        <f t="shared" si="106"/>
        <v>1</v>
      </c>
      <c r="U752">
        <f t="shared" si="107"/>
        <v>198</v>
      </c>
    </row>
    <row r="753" spans="1:21" x14ac:dyDescent="0.25">
      <c r="A753">
        <f t="shared" si="99"/>
        <v>11</v>
      </c>
      <c r="C753" t="s">
        <v>6490</v>
      </c>
      <c r="D753" t="s">
        <v>6491</v>
      </c>
      <c r="E753" t="s">
        <v>5091</v>
      </c>
      <c r="F753" t="s">
        <v>6492</v>
      </c>
      <c r="G753" t="s">
        <v>6489</v>
      </c>
      <c r="H753" s="2">
        <v>1</v>
      </c>
      <c r="I753" s="2">
        <v>154</v>
      </c>
      <c r="N753" t="str">
        <f t="shared" si="100"/>
        <v>Al Kunuz General Trading LLC</v>
      </c>
      <c r="O753" t="str">
        <f t="shared" si="101"/>
        <v>W1315406695</v>
      </c>
      <c r="P753" t="str">
        <f t="shared" si="102"/>
        <v>MU172AT19URC-662663</v>
      </c>
      <c r="Q753" t="str">
        <f t="shared" si="103"/>
        <v>PO044978</v>
      </c>
      <c r="R753" t="str">
        <f t="shared" si="104"/>
        <v>Coat, White</v>
      </c>
      <c r="S753" t="str">
        <f t="shared" si="105"/>
        <v>SA987752</v>
      </c>
      <c r="T753">
        <f t="shared" si="106"/>
        <v>1</v>
      </c>
      <c r="U753">
        <f t="shared" si="107"/>
        <v>154</v>
      </c>
    </row>
    <row r="754" spans="1:21" x14ac:dyDescent="0.25">
      <c r="A754">
        <f t="shared" si="99"/>
        <v>11</v>
      </c>
      <c r="C754" t="s">
        <v>6520</v>
      </c>
      <c r="D754" t="s">
        <v>6521</v>
      </c>
      <c r="E754" t="s">
        <v>5091</v>
      </c>
      <c r="F754" t="s">
        <v>6522</v>
      </c>
      <c r="G754" t="s">
        <v>6519</v>
      </c>
      <c r="H754" s="2">
        <v>1</v>
      </c>
      <c r="I754" s="2">
        <v>86</v>
      </c>
      <c r="N754" t="str">
        <f t="shared" si="100"/>
        <v>Al Kunuz General Trading LLC</v>
      </c>
      <c r="O754" t="str">
        <f t="shared" si="101"/>
        <v>W1315349518</v>
      </c>
      <c r="P754" t="str">
        <f t="shared" si="102"/>
        <v>HO923AT10KOB-588323</v>
      </c>
      <c r="Q754" t="str">
        <f t="shared" si="103"/>
        <v>PO044978</v>
      </c>
      <c r="R754" t="str">
        <f t="shared" si="104"/>
        <v>Janifer Dress, Pink</v>
      </c>
      <c r="S754" t="str">
        <f t="shared" si="105"/>
        <v>SA988065</v>
      </c>
      <c r="T754">
        <f t="shared" si="106"/>
        <v>1</v>
      </c>
      <c r="U754">
        <f t="shared" si="107"/>
        <v>86</v>
      </c>
    </row>
    <row r="755" spans="1:21" x14ac:dyDescent="0.25">
      <c r="A755">
        <f t="shared" si="99"/>
        <v>11</v>
      </c>
      <c r="C755" t="s">
        <v>6561</v>
      </c>
      <c r="D755" t="s">
        <v>6562</v>
      </c>
      <c r="E755" t="s">
        <v>5091</v>
      </c>
      <c r="F755" t="s">
        <v>6563</v>
      </c>
      <c r="G755" t="s">
        <v>6560</v>
      </c>
      <c r="H755" s="2">
        <v>1</v>
      </c>
      <c r="I755" s="2">
        <v>17</v>
      </c>
      <c r="N755" t="str">
        <f t="shared" si="100"/>
        <v>Al Kunuz General Trading LLC</v>
      </c>
      <c r="O755" t="str">
        <f t="shared" si="101"/>
        <v>W1315316044</v>
      </c>
      <c r="P755" t="str">
        <f t="shared" si="102"/>
        <v>WE564AT71OCA-522666</v>
      </c>
      <c r="Q755" t="str">
        <f t="shared" si="103"/>
        <v>PO044978</v>
      </c>
      <c r="R755" t="str">
        <f t="shared" si="104"/>
        <v>Men's Plain Polo Neck T-Shirt, Maroon</v>
      </c>
      <c r="S755" t="str">
        <f t="shared" si="105"/>
        <v>SA988703</v>
      </c>
      <c r="T755">
        <f t="shared" si="106"/>
        <v>1</v>
      </c>
      <c r="U755">
        <f t="shared" si="107"/>
        <v>17</v>
      </c>
    </row>
    <row r="756" spans="1:21" x14ac:dyDescent="0.25">
      <c r="A756">
        <f t="shared" si="99"/>
        <v>11</v>
      </c>
      <c r="C756" t="s">
        <v>6565</v>
      </c>
      <c r="D756" t="s">
        <v>6566</v>
      </c>
      <c r="E756" t="s">
        <v>5091</v>
      </c>
      <c r="F756" t="s">
        <v>6567</v>
      </c>
      <c r="G756" t="s">
        <v>6564</v>
      </c>
      <c r="H756" s="2">
        <v>1</v>
      </c>
      <c r="I756" s="2">
        <v>17</v>
      </c>
      <c r="N756" t="str">
        <f t="shared" si="100"/>
        <v>Al Kunuz General Trading LLC</v>
      </c>
      <c r="O756" t="str">
        <f t="shared" si="101"/>
        <v>W1315316052</v>
      </c>
      <c r="P756" t="str">
        <f t="shared" si="102"/>
        <v>WE564AT69OCC-522674</v>
      </c>
      <c r="Q756" t="str">
        <f t="shared" si="103"/>
        <v>PO044978</v>
      </c>
      <c r="R756" t="str">
        <f t="shared" si="104"/>
        <v>Men's Plain Polo Neck T-Shirt, Grey</v>
      </c>
      <c r="S756" t="str">
        <f t="shared" si="105"/>
        <v>SA988705</v>
      </c>
      <c r="T756">
        <f t="shared" si="106"/>
        <v>1</v>
      </c>
      <c r="U756">
        <f t="shared" si="107"/>
        <v>17</v>
      </c>
    </row>
    <row r="757" spans="1:21" x14ac:dyDescent="0.25">
      <c r="A757">
        <f t="shared" si="99"/>
        <v>11</v>
      </c>
      <c r="C757" t="s">
        <v>6571</v>
      </c>
      <c r="D757" t="s">
        <v>6572</v>
      </c>
      <c r="E757" t="s">
        <v>5091</v>
      </c>
      <c r="F757" t="s">
        <v>6573</v>
      </c>
      <c r="G757" t="s">
        <v>6570</v>
      </c>
      <c r="H757" s="2">
        <v>1</v>
      </c>
      <c r="I757" s="2">
        <v>11</v>
      </c>
      <c r="N757" t="str">
        <f t="shared" si="100"/>
        <v>Al Kunuz General Trading LLC</v>
      </c>
      <c r="O757" t="str">
        <f t="shared" si="101"/>
        <v>W1315390548</v>
      </c>
      <c r="P757" t="str">
        <f t="shared" si="102"/>
        <v>MA096BE46POJ-632848</v>
      </c>
      <c r="Q757" t="str">
        <f t="shared" si="103"/>
        <v>PO044978</v>
      </c>
      <c r="R757" t="str">
        <f t="shared" si="104"/>
        <v>Baby Lips Spiced Up - Berry Sherbet</v>
      </c>
      <c r="S757" t="str">
        <f t="shared" si="105"/>
        <v>SA988789</v>
      </c>
      <c r="T757">
        <f t="shared" si="106"/>
        <v>1</v>
      </c>
      <c r="U757">
        <f t="shared" si="107"/>
        <v>11</v>
      </c>
    </row>
    <row r="758" spans="1:21" x14ac:dyDescent="0.25">
      <c r="A758">
        <f t="shared" si="99"/>
        <v>11</v>
      </c>
      <c r="C758" t="s">
        <v>6575</v>
      </c>
      <c r="D758" t="s">
        <v>6576</v>
      </c>
      <c r="E758" t="s">
        <v>5091</v>
      </c>
      <c r="F758" t="s">
        <v>6577</v>
      </c>
      <c r="G758" t="s">
        <v>6574</v>
      </c>
      <c r="H758" s="2">
        <v>1</v>
      </c>
      <c r="I758" s="2">
        <v>11</v>
      </c>
      <c r="N758" t="str">
        <f t="shared" si="100"/>
        <v>Al Kunuz General Trading LLC</v>
      </c>
      <c r="O758" t="str">
        <f t="shared" si="101"/>
        <v>W1315389505</v>
      </c>
      <c r="P758" t="str">
        <f t="shared" si="102"/>
        <v>MA096BE18PXD-633076</v>
      </c>
      <c r="Q758" t="str">
        <f t="shared" si="103"/>
        <v>PO044978</v>
      </c>
      <c r="R758" t="str">
        <f t="shared" si="104"/>
        <v>Baby Lips Color Balm - Pink Lolita</v>
      </c>
      <c r="S758" t="str">
        <f t="shared" si="105"/>
        <v>SA988790</v>
      </c>
      <c r="T758">
        <f t="shared" si="106"/>
        <v>1</v>
      </c>
      <c r="U758">
        <f t="shared" si="107"/>
        <v>11</v>
      </c>
    </row>
    <row r="759" spans="1:21" x14ac:dyDescent="0.25">
      <c r="A759">
        <f t="shared" si="99"/>
        <v>11</v>
      </c>
      <c r="C759" t="s">
        <v>6579</v>
      </c>
      <c r="D759" t="s">
        <v>6580</v>
      </c>
      <c r="E759" t="s">
        <v>5091</v>
      </c>
      <c r="F759" t="s">
        <v>6581</v>
      </c>
      <c r="G759" t="s">
        <v>6578</v>
      </c>
      <c r="H759" s="2">
        <v>1</v>
      </c>
      <c r="I759" s="2">
        <v>185</v>
      </c>
      <c r="N759" t="str">
        <f t="shared" si="100"/>
        <v>Al Kunuz General Trading LLC</v>
      </c>
      <c r="O759" t="str">
        <f t="shared" si="101"/>
        <v>W1315204464</v>
      </c>
      <c r="P759" t="str">
        <f t="shared" si="102"/>
        <v>RO885AC42JRX-387815</v>
      </c>
      <c r="Q759" t="str">
        <f t="shared" si="103"/>
        <v>PO044978</v>
      </c>
      <c r="R759" t="str">
        <f t="shared" si="104"/>
        <v>Royal Bling Esoteric Fushia multi chain Jewel Set (Gold) - RBS0002</v>
      </c>
      <c r="S759" t="str">
        <f t="shared" si="105"/>
        <v>SA988803</v>
      </c>
      <c r="T759">
        <f t="shared" si="106"/>
        <v>1</v>
      </c>
      <c r="U759">
        <f t="shared" si="107"/>
        <v>185</v>
      </c>
    </row>
    <row r="760" spans="1:21" x14ac:dyDescent="0.25">
      <c r="A760">
        <f t="shared" si="99"/>
        <v>11</v>
      </c>
      <c r="C760" t="s">
        <v>6583</v>
      </c>
      <c r="D760" t="s">
        <v>6584</v>
      </c>
      <c r="E760" t="s">
        <v>5091</v>
      </c>
      <c r="F760" t="s">
        <v>6585</v>
      </c>
      <c r="G760" t="s">
        <v>6582</v>
      </c>
      <c r="H760" s="2">
        <v>1</v>
      </c>
      <c r="I760" s="2">
        <v>69</v>
      </c>
      <c r="N760" t="str">
        <f t="shared" si="100"/>
        <v>Al Kunuz General Trading LLC</v>
      </c>
      <c r="O760" t="str">
        <f t="shared" si="101"/>
        <v>W1315204581</v>
      </c>
      <c r="P760" t="str">
        <f t="shared" si="102"/>
        <v>RO885AC20JWP-387937</v>
      </c>
      <c r="Q760" t="str">
        <f t="shared" si="103"/>
        <v>PO044978</v>
      </c>
      <c r="R760" t="str">
        <f t="shared" si="104"/>
        <v>Royal Bling Milky Charm Precious Jewel Set (Gold) - RAS0016</v>
      </c>
      <c r="S760" t="str">
        <f t="shared" si="105"/>
        <v>SA988804</v>
      </c>
      <c r="T760">
        <f t="shared" si="106"/>
        <v>1</v>
      </c>
      <c r="U760">
        <f t="shared" si="107"/>
        <v>69</v>
      </c>
    </row>
    <row r="761" spans="1:21" x14ac:dyDescent="0.25">
      <c r="A761">
        <f t="shared" si="99"/>
        <v>11</v>
      </c>
      <c r="C761" t="s">
        <v>6656</v>
      </c>
      <c r="D761" t="s">
        <v>6657</v>
      </c>
      <c r="E761" t="s">
        <v>5091</v>
      </c>
      <c r="F761" t="s">
        <v>6658</v>
      </c>
      <c r="G761" t="s">
        <v>6655</v>
      </c>
      <c r="H761" s="2">
        <v>1</v>
      </c>
      <c r="I761" s="2">
        <v>51</v>
      </c>
      <c r="N761" t="str">
        <f t="shared" si="100"/>
        <v>Al Kunuz General Trading LLC</v>
      </c>
      <c r="O761" t="str">
        <f t="shared" si="101"/>
        <v>W1315204317</v>
      </c>
      <c r="P761" t="str">
        <f t="shared" si="102"/>
        <v>CR884AC67JNC-387690</v>
      </c>
      <c r="Q761" t="str">
        <f t="shared" si="103"/>
        <v>PO044978</v>
      </c>
      <c r="R761" t="str">
        <f t="shared" si="104"/>
        <v>Crunchy Fashion Madly in Love Pendant Necklace (Gold) - CFN0453</v>
      </c>
      <c r="S761" t="str">
        <f t="shared" si="105"/>
        <v>SA989323</v>
      </c>
      <c r="T761">
        <f t="shared" si="106"/>
        <v>1</v>
      </c>
      <c r="U761">
        <f t="shared" si="107"/>
        <v>51</v>
      </c>
    </row>
    <row r="762" spans="1:21" x14ac:dyDescent="0.25">
      <c r="A762">
        <f t="shared" si="99"/>
        <v>11</v>
      </c>
      <c r="C762" t="s">
        <v>6669</v>
      </c>
      <c r="D762" t="s">
        <v>6670</v>
      </c>
      <c r="E762" t="s">
        <v>5091</v>
      </c>
      <c r="F762" t="s">
        <v>6671</v>
      </c>
      <c r="G762" t="s">
        <v>6668</v>
      </c>
      <c r="H762" s="2">
        <v>1</v>
      </c>
      <c r="I762" s="2">
        <v>57</v>
      </c>
      <c r="N762" t="str">
        <f t="shared" si="100"/>
        <v>Al Kunuz General Trading LLC</v>
      </c>
      <c r="O762" t="str">
        <f t="shared" si="101"/>
        <v>W1315390180</v>
      </c>
      <c r="P762" t="str">
        <f t="shared" si="102"/>
        <v>LO860BE52SFJ-634666</v>
      </c>
      <c r="Q762" t="str">
        <f t="shared" si="103"/>
        <v>PO044978</v>
      </c>
      <c r="R762" t="str">
        <f t="shared" si="104"/>
        <v>Voluminous Butterfly Waterproof Mascara</v>
      </c>
      <c r="S762" t="str">
        <f t="shared" si="105"/>
        <v>SA989361</v>
      </c>
      <c r="T762">
        <f t="shared" si="106"/>
        <v>1</v>
      </c>
      <c r="U762">
        <f t="shared" si="107"/>
        <v>57</v>
      </c>
    </row>
    <row r="763" spans="1:21" x14ac:dyDescent="0.25">
      <c r="A763">
        <f t="shared" si="99"/>
        <v>11</v>
      </c>
      <c r="C763" t="s">
        <v>6673</v>
      </c>
      <c r="D763" t="s">
        <v>6674</v>
      </c>
      <c r="E763" t="s">
        <v>5091</v>
      </c>
      <c r="F763" t="s">
        <v>6675</v>
      </c>
      <c r="G763" t="s">
        <v>6672</v>
      </c>
      <c r="H763" s="2">
        <v>1</v>
      </c>
      <c r="I763" s="2">
        <v>12</v>
      </c>
      <c r="N763" t="str">
        <f t="shared" si="100"/>
        <v>Al Kunuz General Trading LLC</v>
      </c>
      <c r="O763" t="str">
        <f t="shared" si="101"/>
        <v>W1315390695</v>
      </c>
      <c r="P763" t="str">
        <f t="shared" si="102"/>
        <v>RE065BE21SSC-634997</v>
      </c>
      <c r="Q763" t="str">
        <f t="shared" si="103"/>
        <v>PO044978</v>
      </c>
      <c r="R763" t="str">
        <f t="shared" si="104"/>
        <v>Nail Enamel - Matt Top Coat</v>
      </c>
      <c r="S763" t="str">
        <f t="shared" si="105"/>
        <v>SA989362</v>
      </c>
      <c r="T763">
        <f t="shared" si="106"/>
        <v>1</v>
      </c>
      <c r="U763">
        <f t="shared" si="107"/>
        <v>12</v>
      </c>
    </row>
    <row r="764" spans="1:21" x14ac:dyDescent="0.25">
      <c r="A764">
        <f t="shared" si="99"/>
        <v>12</v>
      </c>
      <c r="B764" t="s">
        <v>2691</v>
      </c>
      <c r="C764" t="s">
        <v>2958</v>
      </c>
      <c r="D764" t="s">
        <v>2959</v>
      </c>
      <c r="E764" t="s">
        <v>3830</v>
      </c>
      <c r="F764" t="s">
        <v>4877</v>
      </c>
      <c r="G764" t="s">
        <v>3829</v>
      </c>
      <c r="H764" s="2">
        <v>1</v>
      </c>
      <c r="I764" s="2">
        <v>27</v>
      </c>
      <c r="N764" t="str">
        <f t="shared" si="100"/>
        <v>Compunics Technologies LLC</v>
      </c>
      <c r="O764" t="str">
        <f t="shared" si="101"/>
        <v>W1315102009</v>
      </c>
      <c r="P764" t="str">
        <f t="shared" si="102"/>
        <v>SA854EL25BXA-1286</v>
      </c>
      <c r="Q764" t="str">
        <f t="shared" si="103"/>
        <v>PO044378</v>
      </c>
      <c r="R764" t="str">
        <f t="shared" si="104"/>
        <v>Sandisk 16 GB Ultra Dual USB Flash Drive SDDD-016G-G46 - Black</v>
      </c>
      <c r="S764" t="str">
        <f t="shared" si="105"/>
        <v>SA960196</v>
      </c>
      <c r="T764">
        <f t="shared" si="106"/>
        <v>1</v>
      </c>
      <c r="U764">
        <f t="shared" si="107"/>
        <v>27</v>
      </c>
    </row>
    <row r="765" spans="1:21" x14ac:dyDescent="0.25">
      <c r="A765">
        <f t="shared" si="99"/>
        <v>12</v>
      </c>
      <c r="E765" t="s">
        <v>5377</v>
      </c>
      <c r="F765" t="s">
        <v>4877</v>
      </c>
      <c r="G765" t="s">
        <v>5792</v>
      </c>
      <c r="H765" s="2">
        <v>1</v>
      </c>
      <c r="I765" s="2">
        <v>27</v>
      </c>
      <c r="N765" t="str">
        <f t="shared" si="100"/>
        <v>Compunics Technologies LLC</v>
      </c>
      <c r="O765" t="str">
        <f t="shared" si="101"/>
        <v>W1315102009</v>
      </c>
      <c r="P765" t="str">
        <f t="shared" si="102"/>
        <v>SA854EL25BXA-1286</v>
      </c>
      <c r="Q765" t="str">
        <f t="shared" si="103"/>
        <v>PO045018</v>
      </c>
      <c r="R765" t="str">
        <f t="shared" si="104"/>
        <v>Sandisk 16 GB Ultra Dual USB Flash Drive SDDD-016G-G46 - Black</v>
      </c>
      <c r="S765" t="str">
        <f t="shared" si="105"/>
        <v>SA980890</v>
      </c>
      <c r="T765">
        <f t="shared" si="106"/>
        <v>1</v>
      </c>
      <c r="U765">
        <f t="shared" si="107"/>
        <v>27</v>
      </c>
    </row>
    <row r="766" spans="1:21" x14ac:dyDescent="0.25">
      <c r="A766">
        <f t="shared" si="99"/>
        <v>12</v>
      </c>
      <c r="C766" t="s">
        <v>4247</v>
      </c>
      <c r="D766" t="s">
        <v>4248</v>
      </c>
      <c r="E766" t="s">
        <v>5377</v>
      </c>
      <c r="F766" t="s">
        <v>4249</v>
      </c>
      <c r="G766" t="s">
        <v>5376</v>
      </c>
      <c r="H766" s="2">
        <v>1</v>
      </c>
      <c r="I766" s="2">
        <v>282</v>
      </c>
      <c r="N766" t="str">
        <f t="shared" si="100"/>
        <v>Compunics Technologies LLC</v>
      </c>
      <c r="O766" t="str">
        <f t="shared" si="101"/>
        <v>W1315129847</v>
      </c>
      <c r="P766" t="str">
        <f t="shared" si="102"/>
        <v>WD848EL81UES-52438</v>
      </c>
      <c r="Q766" t="str">
        <f t="shared" si="103"/>
        <v>PO045018</v>
      </c>
      <c r="R766" t="str">
        <f t="shared" si="104"/>
        <v>Element Portable USB 3.0 WDBU6Y0020BBK (2 TB, Black)</v>
      </c>
      <c r="S766" t="str">
        <f t="shared" si="105"/>
        <v>SA977691</v>
      </c>
      <c r="T766">
        <f t="shared" si="106"/>
        <v>1</v>
      </c>
      <c r="U766">
        <f t="shared" si="107"/>
        <v>282</v>
      </c>
    </row>
    <row r="767" spans="1:21" x14ac:dyDescent="0.25">
      <c r="A767">
        <f t="shared" si="99"/>
        <v>12</v>
      </c>
      <c r="G767" t="s">
        <v>6532</v>
      </c>
      <c r="H767" s="2">
        <v>1</v>
      </c>
      <c r="I767" s="2">
        <v>282</v>
      </c>
      <c r="N767" t="str">
        <f t="shared" si="100"/>
        <v>Compunics Technologies LLC</v>
      </c>
      <c r="O767" t="str">
        <f t="shared" si="101"/>
        <v>W1315129847</v>
      </c>
      <c r="P767" t="str">
        <f t="shared" si="102"/>
        <v>WD848EL81UES-52438</v>
      </c>
      <c r="Q767" t="str">
        <f t="shared" si="103"/>
        <v>PO045018</v>
      </c>
      <c r="R767" t="str">
        <f t="shared" si="104"/>
        <v>Element Portable USB 3.0 WDBU6Y0020BBK (2 TB, Black)</v>
      </c>
      <c r="S767" t="str">
        <f t="shared" si="105"/>
        <v>SA988249</v>
      </c>
      <c r="T767">
        <f t="shared" si="106"/>
        <v>1</v>
      </c>
      <c r="U767">
        <f t="shared" si="107"/>
        <v>282</v>
      </c>
    </row>
    <row r="768" spans="1:21" x14ac:dyDescent="0.25">
      <c r="A768">
        <f t="shared" si="99"/>
        <v>13</v>
      </c>
      <c r="B768" t="s">
        <v>184</v>
      </c>
      <c r="C768" t="s">
        <v>3207</v>
      </c>
      <c r="D768" t="s">
        <v>3208</v>
      </c>
      <c r="E768" t="s">
        <v>3210</v>
      </c>
      <c r="F768" t="s">
        <v>3209</v>
      </c>
      <c r="G768" t="s">
        <v>3206</v>
      </c>
      <c r="H768" s="2">
        <v>1</v>
      </c>
      <c r="I768" s="2">
        <v>399</v>
      </c>
      <c r="N768" t="str">
        <f t="shared" si="100"/>
        <v>AL JABAR OPTICAL CENTER</v>
      </c>
      <c r="O768" t="str">
        <f t="shared" si="101"/>
        <v>W1315172821</v>
      </c>
      <c r="P768" t="str">
        <f t="shared" si="102"/>
        <v>RA736AC39FYY-354540</v>
      </c>
      <c r="Q768" t="str">
        <f t="shared" si="103"/>
        <v>UPO011654</v>
      </c>
      <c r="R768" t="str">
        <f t="shared" si="104"/>
        <v>Ray Ban Fleck Round 49-21-145 Unisex Sunglasses - RB2447-901-49</v>
      </c>
      <c r="S768" t="str">
        <f t="shared" si="105"/>
        <v>AE61192</v>
      </c>
      <c r="T768">
        <f t="shared" si="106"/>
        <v>1</v>
      </c>
      <c r="U768">
        <f t="shared" si="107"/>
        <v>399</v>
      </c>
    </row>
    <row r="769" spans="1:21" x14ac:dyDescent="0.25">
      <c r="A769">
        <f t="shared" si="99"/>
        <v>13</v>
      </c>
      <c r="C769" t="s">
        <v>3238</v>
      </c>
      <c r="D769" t="s">
        <v>3239</v>
      </c>
      <c r="E769" t="s">
        <v>5962</v>
      </c>
      <c r="F769" t="s">
        <v>3240</v>
      </c>
      <c r="G769" t="s">
        <v>5961</v>
      </c>
      <c r="H769" s="2">
        <v>1</v>
      </c>
      <c r="I769" s="2">
        <v>399</v>
      </c>
      <c r="N769" t="str">
        <f t="shared" si="100"/>
        <v>AL JABAR OPTICAL CENTER</v>
      </c>
      <c r="O769" t="str">
        <f t="shared" si="101"/>
        <v>W1315102389</v>
      </c>
      <c r="P769" t="str">
        <f t="shared" si="102"/>
        <v>RA736AC20BDZ-778</v>
      </c>
      <c r="Q769" t="str">
        <f t="shared" si="103"/>
        <v>PO044838</v>
      </c>
      <c r="R769" t="str">
        <f t="shared" si="104"/>
        <v>Ray Ban RB3025-003 Aviator Light Blue Shaded Unisex Sunglasses - RB3025-003/3F-58</v>
      </c>
      <c r="S769" t="str">
        <f t="shared" si="105"/>
        <v>SA982340</v>
      </c>
      <c r="T769">
        <f t="shared" si="106"/>
        <v>1</v>
      </c>
      <c r="U769">
        <f t="shared" si="107"/>
        <v>399</v>
      </c>
    </row>
    <row r="770" spans="1:21" x14ac:dyDescent="0.25">
      <c r="A770">
        <f t="shared" si="99"/>
        <v>13</v>
      </c>
      <c r="C770" t="s">
        <v>3788</v>
      </c>
      <c r="D770" t="s">
        <v>3789</v>
      </c>
      <c r="E770" t="s">
        <v>3791</v>
      </c>
      <c r="F770" t="s">
        <v>3790</v>
      </c>
      <c r="G770" t="s">
        <v>3787</v>
      </c>
      <c r="H770" s="2">
        <v>1</v>
      </c>
      <c r="I770" s="2">
        <v>399</v>
      </c>
      <c r="N770" t="str">
        <f t="shared" si="100"/>
        <v>AL JABAR OPTICAL CENTER</v>
      </c>
      <c r="O770" t="str">
        <f t="shared" si="101"/>
        <v>W1315102404</v>
      </c>
      <c r="P770" t="str">
        <f t="shared" si="102"/>
        <v>RA736AC05BEO-793</v>
      </c>
      <c r="Q770" t="str">
        <f t="shared" si="103"/>
        <v>PO044317</v>
      </c>
      <c r="R770" t="str">
        <f t="shared" si="104"/>
        <v>Ray Ban RB3449-003 Aviator Grey Shaded Men's Sunglasses - RB3449-003/8G-59</v>
      </c>
      <c r="S770" t="str">
        <f t="shared" si="105"/>
        <v>SA958684</v>
      </c>
      <c r="T770">
        <f t="shared" si="106"/>
        <v>1</v>
      </c>
      <c r="U770">
        <f t="shared" si="107"/>
        <v>399</v>
      </c>
    </row>
    <row r="771" spans="1:21" x14ac:dyDescent="0.25">
      <c r="A771">
        <f t="shared" si="99"/>
        <v>13</v>
      </c>
      <c r="C771" t="s">
        <v>4629</v>
      </c>
      <c r="D771" t="s">
        <v>4630</v>
      </c>
      <c r="E771" t="s">
        <v>4782</v>
      </c>
      <c r="F771" t="s">
        <v>4631</v>
      </c>
      <c r="G771" t="s">
        <v>4781</v>
      </c>
      <c r="H771" s="2">
        <v>1</v>
      </c>
      <c r="I771" s="2">
        <v>399</v>
      </c>
      <c r="N771" t="str">
        <f t="shared" si="100"/>
        <v>AL JABAR OPTICAL CENTER</v>
      </c>
      <c r="O771" t="str">
        <f t="shared" si="101"/>
        <v>W1315185160</v>
      </c>
      <c r="P771" t="str">
        <f t="shared" si="102"/>
        <v>RA736AC33NNI-365018</v>
      </c>
      <c r="Q771" t="str">
        <f t="shared" si="103"/>
        <v>UPO011840</v>
      </c>
      <c r="R771" t="str">
        <f t="shared" si="104"/>
        <v>Ray Ban Justin Wayfarer Polarized Men's Sunglasses - RB4165-622/T3-55</v>
      </c>
      <c r="S771" t="str">
        <f t="shared" si="105"/>
        <v>AE62006</v>
      </c>
      <c r="T771">
        <f t="shared" si="106"/>
        <v>1</v>
      </c>
      <c r="U771">
        <f t="shared" si="107"/>
        <v>399</v>
      </c>
    </row>
    <row r="772" spans="1:21" x14ac:dyDescent="0.25">
      <c r="A772">
        <f t="shared" ref="A772:A835" si="108">IF(ISBLANK(B772),A771,A771+1)</f>
        <v>13</v>
      </c>
      <c r="E772" t="s">
        <v>5962</v>
      </c>
      <c r="F772" t="s">
        <v>4631</v>
      </c>
      <c r="G772" t="s">
        <v>6100</v>
      </c>
      <c r="H772" s="2">
        <v>1</v>
      </c>
      <c r="I772" s="2">
        <v>399</v>
      </c>
      <c r="N772" t="str">
        <f t="shared" si="100"/>
        <v>AL JABAR OPTICAL CENTER</v>
      </c>
      <c r="O772" t="str">
        <f t="shared" si="101"/>
        <v>W1315185160</v>
      </c>
      <c r="P772" t="str">
        <f t="shared" si="102"/>
        <v>RA736AC33NNI-365018</v>
      </c>
      <c r="Q772" t="str">
        <f t="shared" si="103"/>
        <v>PO044838</v>
      </c>
      <c r="R772" t="str">
        <f t="shared" si="104"/>
        <v>Ray Ban Justin Wayfarer Polarized Men's Sunglasses - RB4165-622/T3-55</v>
      </c>
      <c r="S772" t="str">
        <f t="shared" si="105"/>
        <v>SA983790</v>
      </c>
      <c r="T772">
        <f t="shared" si="106"/>
        <v>1</v>
      </c>
      <c r="U772">
        <f t="shared" si="107"/>
        <v>399</v>
      </c>
    </row>
    <row r="773" spans="1:21" x14ac:dyDescent="0.25">
      <c r="A773">
        <f t="shared" si="108"/>
        <v>13</v>
      </c>
      <c r="C773" t="s">
        <v>6400</v>
      </c>
      <c r="D773" t="s">
        <v>6401</v>
      </c>
      <c r="E773" t="s">
        <v>6403</v>
      </c>
      <c r="F773" t="s">
        <v>6402</v>
      </c>
      <c r="G773" t="s">
        <v>6399</v>
      </c>
      <c r="H773" s="2">
        <v>1</v>
      </c>
      <c r="I773" s="2">
        <v>399</v>
      </c>
      <c r="N773" t="str">
        <f t="shared" si="100"/>
        <v>AL JABAR OPTICAL CENTER</v>
      </c>
      <c r="O773" t="str">
        <f t="shared" si="101"/>
        <v>W1315102399</v>
      </c>
      <c r="P773" t="str">
        <f t="shared" si="102"/>
        <v>RA736AC10BEJ-788</v>
      </c>
      <c r="Q773" t="str">
        <f t="shared" si="103"/>
        <v>PO044953</v>
      </c>
      <c r="R773" t="str">
        <f t="shared" si="104"/>
        <v>Ray Ban RB3447 Round Grey Green Unisex Sunglasses - RB3447-001-50</v>
      </c>
      <c r="S773" t="str">
        <f t="shared" si="105"/>
        <v>SA986713</v>
      </c>
      <c r="T773">
        <f t="shared" si="106"/>
        <v>1</v>
      </c>
      <c r="U773">
        <f t="shared" si="107"/>
        <v>399</v>
      </c>
    </row>
    <row r="774" spans="1:21" x14ac:dyDescent="0.25">
      <c r="A774">
        <f t="shared" si="108"/>
        <v>13</v>
      </c>
      <c r="C774" t="s">
        <v>6450</v>
      </c>
      <c r="D774" t="s">
        <v>6451</v>
      </c>
      <c r="E774" t="s">
        <v>6403</v>
      </c>
      <c r="F774" t="s">
        <v>6452</v>
      </c>
      <c r="G774" t="s">
        <v>6449</v>
      </c>
      <c r="H774" s="2">
        <v>1</v>
      </c>
      <c r="I774" s="2">
        <v>1197</v>
      </c>
      <c r="N774" t="str">
        <f t="shared" ref="N774:N837" si="109">IF(ISBLANK($A774),"",IF(ISBLANK(B774),N773,B774))</f>
        <v>AL JABAR OPTICAL CENTER</v>
      </c>
      <c r="O774" t="str">
        <f t="shared" ref="O774:O837" si="110">IF(ISBLANK($A774),"",IF(ISBLANK(C774),O773,C774))</f>
        <v>W1315318577</v>
      </c>
      <c r="P774" t="str">
        <f t="shared" ref="P774:P837" si="111">IF(ISBLANK($A774),"",IF(ISBLANK(D774),P773,D774))</f>
        <v>FE270AC46OAB-570575</v>
      </c>
      <c r="Q774" t="str">
        <f t="shared" ref="Q774:Q837" si="112">IF(ISBLANK($A774),"",IF(ISBLANK(E774),Q773,E774))</f>
        <v>PO044953</v>
      </c>
      <c r="R774" t="str">
        <f t="shared" ref="R774:R837" si="113">IF(ISBLANK($A774),"",IF(ISBLANK(F774),R773,F774))</f>
        <v>Cat Eye Sunglasses for Women (FN-0136/S-NY151HD)</v>
      </c>
      <c r="S774" t="str">
        <f t="shared" ref="S774:S837" si="114">IF(ISBLANK($A774),"",G774)</f>
        <v>SA987238</v>
      </c>
      <c r="T774">
        <f t="shared" ref="T774:T837" si="115">IF(ISBLANK($A774),"",H774)</f>
        <v>1</v>
      </c>
      <c r="U774">
        <f t="shared" ref="U774:U837" si="116">IF(ISBLANK($A774),"",I774)</f>
        <v>1197</v>
      </c>
    </row>
    <row r="775" spans="1:21" x14ac:dyDescent="0.25">
      <c r="A775">
        <f t="shared" si="108"/>
        <v>13</v>
      </c>
      <c r="C775" t="s">
        <v>6660</v>
      </c>
      <c r="D775" t="s">
        <v>6661</v>
      </c>
      <c r="E775" t="s">
        <v>6663</v>
      </c>
      <c r="F775" t="s">
        <v>6662</v>
      </c>
      <c r="G775" t="s">
        <v>6659</v>
      </c>
      <c r="H775" s="2">
        <v>1</v>
      </c>
      <c r="I775" s="2">
        <v>399</v>
      </c>
      <c r="N775" t="str">
        <f t="shared" si="109"/>
        <v>AL JABAR OPTICAL CENTER</v>
      </c>
      <c r="O775" t="str">
        <f t="shared" si="110"/>
        <v>W1315102406</v>
      </c>
      <c r="P775" t="str">
        <f t="shared" si="111"/>
        <v>RA736AC04BEP-794</v>
      </c>
      <c r="Q775" t="str">
        <f t="shared" si="112"/>
        <v>PO045030</v>
      </c>
      <c r="R775" t="str">
        <f t="shared" si="113"/>
        <v>Ray Ban RB4125-601 Aviator Grey Shaded Unisex Sunglasses - RB4125-601/32-59</v>
      </c>
      <c r="S775" t="str">
        <f t="shared" si="114"/>
        <v>SA989338</v>
      </c>
      <c r="T775">
        <f t="shared" si="115"/>
        <v>1</v>
      </c>
      <c r="U775">
        <f t="shared" si="116"/>
        <v>399</v>
      </c>
    </row>
    <row r="776" spans="1:21" x14ac:dyDescent="0.25">
      <c r="A776">
        <f t="shared" si="108"/>
        <v>14</v>
      </c>
      <c r="B776" t="s">
        <v>54</v>
      </c>
      <c r="C776" t="s">
        <v>4820</v>
      </c>
      <c r="D776" t="s">
        <v>4821</v>
      </c>
      <c r="E776" t="s">
        <v>4823</v>
      </c>
      <c r="F776" t="s">
        <v>4822</v>
      </c>
      <c r="G776" t="s">
        <v>4819</v>
      </c>
      <c r="H776" s="2">
        <v>1</v>
      </c>
      <c r="I776" s="2">
        <v>4370</v>
      </c>
      <c r="N776" t="str">
        <f t="shared" si="109"/>
        <v>TRIZONE ELECTRONICS TRADING LLC</v>
      </c>
      <c r="O776" t="str">
        <f t="shared" si="110"/>
        <v>W1315347061</v>
      </c>
      <c r="P776" t="str">
        <f t="shared" si="111"/>
        <v>SA766EL34UJX-575542</v>
      </c>
      <c r="Q776" t="str">
        <f t="shared" si="112"/>
        <v>UPO011847</v>
      </c>
      <c r="R776" t="str">
        <f t="shared" si="113"/>
        <v>Samsung 55 inches SUHD Curved Smart LED TV (55KS8500)</v>
      </c>
      <c r="S776" t="str">
        <f t="shared" si="114"/>
        <v>AE61944</v>
      </c>
      <c r="T776">
        <f t="shared" si="115"/>
        <v>1</v>
      </c>
      <c r="U776">
        <f t="shared" si="116"/>
        <v>4370</v>
      </c>
    </row>
    <row r="777" spans="1:21" x14ac:dyDescent="0.25">
      <c r="A777">
        <f t="shared" si="108"/>
        <v>15</v>
      </c>
      <c r="B777" t="s">
        <v>1264</v>
      </c>
      <c r="C777" t="s">
        <v>4015</v>
      </c>
      <c r="D777" t="s">
        <v>4016</v>
      </c>
      <c r="E777" t="s">
        <v>4018</v>
      </c>
      <c r="F777" t="s">
        <v>4017</v>
      </c>
      <c r="G777" t="s">
        <v>4014</v>
      </c>
      <c r="H777" s="2">
        <v>1</v>
      </c>
      <c r="I777" s="2">
        <v>1490</v>
      </c>
      <c r="N777" t="str">
        <f t="shared" si="109"/>
        <v>Sleek International General Trading LLC</v>
      </c>
      <c r="O777" t="str">
        <f t="shared" si="110"/>
        <v>W1315230544</v>
      </c>
      <c r="P777" t="str">
        <f t="shared" si="111"/>
        <v>SA766EL05DSO-412182</v>
      </c>
      <c r="Q777" t="str">
        <f t="shared" si="112"/>
        <v>PO044477</v>
      </c>
      <c r="R777" t="str">
        <f t="shared" si="113"/>
        <v>Galaxy S7 (32 GB, 4G LTE, Silver, Dual SIM)</v>
      </c>
      <c r="S777" t="str">
        <f t="shared" si="114"/>
        <v>SA963988</v>
      </c>
      <c r="T777">
        <f t="shared" si="115"/>
        <v>1</v>
      </c>
      <c r="U777">
        <f t="shared" si="116"/>
        <v>1490</v>
      </c>
    </row>
    <row r="778" spans="1:21" x14ac:dyDescent="0.25">
      <c r="A778">
        <f t="shared" si="108"/>
        <v>15</v>
      </c>
      <c r="C778" t="s">
        <v>4974</v>
      </c>
      <c r="D778" t="s">
        <v>4975</v>
      </c>
      <c r="E778" t="s">
        <v>4977</v>
      </c>
      <c r="F778" t="s">
        <v>4976</v>
      </c>
      <c r="G778" t="s">
        <v>4973</v>
      </c>
      <c r="H778" s="2">
        <v>1</v>
      </c>
      <c r="I778" s="2">
        <v>425</v>
      </c>
      <c r="N778" t="str">
        <f t="shared" si="109"/>
        <v>Sleek International General Trading LLC</v>
      </c>
      <c r="O778" t="str">
        <f t="shared" si="110"/>
        <v>W1315197627</v>
      </c>
      <c r="P778" t="str">
        <f t="shared" si="111"/>
        <v>HU814EL25YMG-376574</v>
      </c>
      <c r="Q778" t="str">
        <f t="shared" si="112"/>
        <v>PO044777</v>
      </c>
      <c r="R778" t="str">
        <f t="shared" si="113"/>
        <v>Huawei MediaPad T1 8.0 (3G, 8 inches, 8 GB)- Silver</v>
      </c>
      <c r="S778" t="str">
        <f t="shared" si="114"/>
        <v>SA971925</v>
      </c>
      <c r="T778">
        <f t="shared" si="115"/>
        <v>1</v>
      </c>
      <c r="U778">
        <f t="shared" si="116"/>
        <v>425</v>
      </c>
    </row>
    <row r="779" spans="1:21" x14ac:dyDescent="0.25">
      <c r="A779">
        <f t="shared" si="108"/>
        <v>15</v>
      </c>
      <c r="C779" t="s">
        <v>6160</v>
      </c>
      <c r="D779" t="s">
        <v>6161</v>
      </c>
      <c r="E779" t="s">
        <v>6163</v>
      </c>
      <c r="F779" t="s">
        <v>6162</v>
      </c>
      <c r="G779" t="s">
        <v>6159</v>
      </c>
      <c r="H779" s="2">
        <v>1</v>
      </c>
      <c r="I779" s="2">
        <v>235</v>
      </c>
      <c r="N779" t="str">
        <f t="shared" si="109"/>
        <v>Sleek International General Trading LLC</v>
      </c>
      <c r="O779" t="str">
        <f t="shared" si="110"/>
        <v>W1315401233</v>
      </c>
      <c r="P779" t="str">
        <f t="shared" si="111"/>
        <v>SA766EL71EAI-645069</v>
      </c>
      <c r="Q779" t="str">
        <f t="shared" si="112"/>
        <v>PO044810</v>
      </c>
      <c r="R779" t="str">
        <f t="shared" si="113"/>
        <v>J1 Mini Prime J106 HD (8 GB, 3G, White, Dual SIM)</v>
      </c>
      <c r="S779" t="str">
        <f t="shared" si="114"/>
        <v>SA984505</v>
      </c>
      <c r="T779">
        <f t="shared" si="115"/>
        <v>1</v>
      </c>
      <c r="U779">
        <f t="shared" si="116"/>
        <v>235</v>
      </c>
    </row>
    <row r="780" spans="1:21" x14ac:dyDescent="0.25">
      <c r="A780">
        <f t="shared" si="108"/>
        <v>15</v>
      </c>
      <c r="C780" t="s">
        <v>6294</v>
      </c>
      <c r="D780" t="s">
        <v>6295</v>
      </c>
      <c r="E780" t="s">
        <v>6297</v>
      </c>
      <c r="F780" t="s">
        <v>6296</v>
      </c>
      <c r="G780" t="s">
        <v>6293</v>
      </c>
      <c r="H780" s="2">
        <v>1</v>
      </c>
      <c r="I780" s="2">
        <v>405</v>
      </c>
      <c r="N780" t="str">
        <f t="shared" si="109"/>
        <v>Sleek International General Trading LLC</v>
      </c>
      <c r="O780" t="str">
        <f t="shared" si="110"/>
        <v>W1315154267</v>
      </c>
      <c r="P780" t="str">
        <f t="shared" si="111"/>
        <v>SA766EL65NAS-98170</v>
      </c>
      <c r="Q780" t="str">
        <f t="shared" si="112"/>
        <v>PO044862</v>
      </c>
      <c r="R780" t="str">
        <f t="shared" si="113"/>
        <v>Samsung Galaxy Tab 3 Lite T116 (3G, 7 inches, 8 GB) - White</v>
      </c>
      <c r="S780" t="str">
        <f t="shared" si="114"/>
        <v>SA985934</v>
      </c>
      <c r="T780">
        <f t="shared" si="115"/>
        <v>1</v>
      </c>
      <c r="U780">
        <f t="shared" si="116"/>
        <v>405</v>
      </c>
    </row>
    <row r="781" spans="1:21" x14ac:dyDescent="0.25">
      <c r="A781">
        <f t="shared" si="108"/>
        <v>15</v>
      </c>
      <c r="C781" t="s">
        <v>6593</v>
      </c>
      <c r="D781" t="s">
        <v>6594</v>
      </c>
      <c r="E781" t="s">
        <v>6596</v>
      </c>
      <c r="F781" t="s">
        <v>6595</v>
      </c>
      <c r="G781" t="s">
        <v>6592</v>
      </c>
      <c r="H781" s="2">
        <v>1</v>
      </c>
      <c r="I781" s="2">
        <v>610</v>
      </c>
      <c r="N781" t="str">
        <f t="shared" si="109"/>
        <v>Sleek International General Trading LLC</v>
      </c>
      <c r="O781" t="str">
        <f t="shared" si="110"/>
        <v>W1315194455</v>
      </c>
      <c r="P781" t="str">
        <f t="shared" si="111"/>
        <v>AS777EL47WBW-374937</v>
      </c>
      <c r="Q781" t="str">
        <f t="shared" si="112"/>
        <v>PO044968</v>
      </c>
      <c r="R781" t="str">
        <f t="shared" si="113"/>
        <v>ZenFone 2 ZE551ML (64 GB, 4G , Dual SIM)</v>
      </c>
      <c r="S781" t="str">
        <f t="shared" si="114"/>
        <v>SA988882</v>
      </c>
      <c r="T781">
        <f t="shared" si="115"/>
        <v>1</v>
      </c>
      <c r="U781">
        <f t="shared" si="116"/>
        <v>610</v>
      </c>
    </row>
    <row r="782" spans="1:21" x14ac:dyDescent="0.25">
      <c r="A782">
        <f t="shared" si="108"/>
        <v>15</v>
      </c>
      <c r="C782" t="s">
        <v>6619</v>
      </c>
      <c r="D782" t="s">
        <v>6620</v>
      </c>
      <c r="E782" t="s">
        <v>6596</v>
      </c>
      <c r="F782" t="s">
        <v>6621</v>
      </c>
      <c r="G782" t="s">
        <v>6618</v>
      </c>
      <c r="H782" s="2">
        <v>1</v>
      </c>
      <c r="I782" s="2">
        <v>500</v>
      </c>
      <c r="N782" t="str">
        <f t="shared" si="109"/>
        <v>Sleek International General Trading LLC</v>
      </c>
      <c r="O782" t="str">
        <f t="shared" si="110"/>
        <v>W1315258545</v>
      </c>
      <c r="P782" t="str">
        <f t="shared" si="111"/>
        <v>HT767EL56HBZ-453292</v>
      </c>
      <c r="Q782" t="str">
        <f t="shared" si="112"/>
        <v>PO044968</v>
      </c>
      <c r="R782" t="str">
        <f t="shared" si="113"/>
        <v>Desire 828 (16 GB, 4G LTE, Grey/Rose Gold Dual SIM)</v>
      </c>
      <c r="S782" t="str">
        <f t="shared" si="114"/>
        <v>SA989031</v>
      </c>
      <c r="T782">
        <f t="shared" si="115"/>
        <v>1</v>
      </c>
      <c r="U782">
        <f t="shared" si="116"/>
        <v>500</v>
      </c>
    </row>
    <row r="783" spans="1:21" x14ac:dyDescent="0.25">
      <c r="A783">
        <f t="shared" si="108"/>
        <v>16</v>
      </c>
      <c r="B783" t="s">
        <v>1277</v>
      </c>
      <c r="C783" t="s">
        <v>3285</v>
      </c>
      <c r="D783" t="s">
        <v>3286</v>
      </c>
      <c r="E783" t="s">
        <v>3288</v>
      </c>
      <c r="F783" t="s">
        <v>3287</v>
      </c>
      <c r="G783" t="s">
        <v>3284</v>
      </c>
      <c r="H783" s="2">
        <v>1</v>
      </c>
      <c r="I783" s="2">
        <v>188</v>
      </c>
      <c r="N783" t="str">
        <f t="shared" si="109"/>
        <v>Kanary Commercial Brokers</v>
      </c>
      <c r="O783" t="str">
        <f t="shared" si="110"/>
        <v>W1315194284</v>
      </c>
      <c r="P783" t="str">
        <f t="shared" si="111"/>
        <v>MI534AC33TPA-373227</v>
      </c>
      <c r="Q783" t="str">
        <f t="shared" si="112"/>
        <v>PO043159</v>
      </c>
      <c r="R783" t="str">
        <f t="shared" si="113"/>
        <v>Michael Kors Gold Tone Earring MKJ4044710</v>
      </c>
      <c r="S783" t="str">
        <f t="shared" si="114"/>
        <v>SA903503</v>
      </c>
      <c r="T783">
        <f t="shared" si="115"/>
        <v>1</v>
      </c>
      <c r="U783">
        <f t="shared" si="116"/>
        <v>188</v>
      </c>
    </row>
    <row r="784" spans="1:21" x14ac:dyDescent="0.25">
      <c r="A784">
        <f t="shared" si="108"/>
        <v>16</v>
      </c>
      <c r="C784" t="s">
        <v>3571</v>
      </c>
      <c r="D784" t="s">
        <v>3572</v>
      </c>
      <c r="E784" t="s">
        <v>3559</v>
      </c>
      <c r="F784" t="s">
        <v>3573</v>
      </c>
      <c r="G784" t="s">
        <v>3570</v>
      </c>
      <c r="H784" s="2">
        <v>1</v>
      </c>
      <c r="I784" s="2">
        <v>828</v>
      </c>
      <c r="N784" t="str">
        <f t="shared" si="109"/>
        <v>Kanary Commercial Brokers</v>
      </c>
      <c r="O784" t="str">
        <f t="shared" si="110"/>
        <v>W1315206881</v>
      </c>
      <c r="P784" t="str">
        <f t="shared" si="111"/>
        <v>JB997AC52LLR-389334</v>
      </c>
      <c r="Q784" t="str">
        <f t="shared" si="112"/>
        <v>PO044009</v>
      </c>
      <c r="R784" t="str">
        <f t="shared" si="113"/>
        <v>JBW Blue Dial JB997AC53LLQ Diamond Watch For Women</v>
      </c>
      <c r="S784" t="str">
        <f t="shared" si="114"/>
        <v>SA947033</v>
      </c>
      <c r="T784">
        <f t="shared" si="115"/>
        <v>1</v>
      </c>
      <c r="U784">
        <f t="shared" si="116"/>
        <v>828</v>
      </c>
    </row>
    <row r="785" spans="1:21" x14ac:dyDescent="0.25">
      <c r="A785">
        <f t="shared" si="108"/>
        <v>16</v>
      </c>
      <c r="C785" t="s">
        <v>3762</v>
      </c>
      <c r="D785" t="s">
        <v>3763</v>
      </c>
      <c r="E785" t="s">
        <v>3734</v>
      </c>
      <c r="F785" t="s">
        <v>3764</v>
      </c>
      <c r="G785" t="s">
        <v>3761</v>
      </c>
      <c r="H785" s="2">
        <v>1</v>
      </c>
      <c r="I785" s="2">
        <v>289</v>
      </c>
      <c r="N785" t="str">
        <f t="shared" si="109"/>
        <v>Kanary Commercial Brokers</v>
      </c>
      <c r="O785" t="str">
        <f t="shared" si="110"/>
        <v>W1315374702</v>
      </c>
      <c r="P785" t="str">
        <f t="shared" si="111"/>
        <v>JU842AC11JVS-627106</v>
      </c>
      <c r="Q785" t="str">
        <f t="shared" si="112"/>
        <v>PO044277</v>
      </c>
      <c r="R785" t="str">
        <f t="shared" si="113"/>
        <v>R7251574502 for Women (Analog Watch, Black)</v>
      </c>
      <c r="S785" t="str">
        <f t="shared" si="114"/>
        <v>SA957582</v>
      </c>
      <c r="T785">
        <f t="shared" si="115"/>
        <v>1</v>
      </c>
      <c r="U785">
        <f t="shared" si="116"/>
        <v>289</v>
      </c>
    </row>
    <row r="786" spans="1:21" x14ac:dyDescent="0.25">
      <c r="A786">
        <f t="shared" si="108"/>
        <v>16</v>
      </c>
      <c r="C786" t="s">
        <v>3980</v>
      </c>
      <c r="D786" t="s">
        <v>3981</v>
      </c>
      <c r="E786" t="s">
        <v>3808</v>
      </c>
      <c r="F786" t="s">
        <v>3982</v>
      </c>
      <c r="G786" t="s">
        <v>3979</v>
      </c>
      <c r="H786" s="2">
        <v>1</v>
      </c>
      <c r="I786" s="2">
        <v>466</v>
      </c>
      <c r="N786" t="str">
        <f t="shared" si="109"/>
        <v>Kanary Commercial Brokers</v>
      </c>
      <c r="O786" t="str">
        <f t="shared" si="110"/>
        <v>W1315325181</v>
      </c>
      <c r="P786" t="str">
        <f t="shared" si="111"/>
        <v>DA568AC48IVJ-559540</v>
      </c>
      <c r="Q786" t="str">
        <f t="shared" si="112"/>
        <v>PO044484</v>
      </c>
      <c r="R786" t="str">
        <f t="shared" si="113"/>
        <v>0106DW for Men (Analog Watch, Brown)</v>
      </c>
      <c r="S786" t="str">
        <f t="shared" si="114"/>
        <v>SA963388</v>
      </c>
      <c r="T786">
        <f t="shared" si="115"/>
        <v>1</v>
      </c>
      <c r="U786">
        <f t="shared" si="116"/>
        <v>466</v>
      </c>
    </row>
    <row r="787" spans="1:21" x14ac:dyDescent="0.25">
      <c r="A787">
        <f t="shared" si="108"/>
        <v>16</v>
      </c>
      <c r="C787" t="s">
        <v>4062</v>
      </c>
      <c r="D787" t="s">
        <v>4063</v>
      </c>
      <c r="E787" t="s">
        <v>6281</v>
      </c>
      <c r="F787" t="s">
        <v>4064</v>
      </c>
      <c r="G787" t="s">
        <v>6555</v>
      </c>
      <c r="H787" s="2">
        <v>1</v>
      </c>
      <c r="I787" s="2">
        <v>415</v>
      </c>
      <c r="N787" t="str">
        <f t="shared" si="109"/>
        <v>Kanary Commercial Brokers</v>
      </c>
      <c r="O787" t="str">
        <f t="shared" si="110"/>
        <v>W1315202980</v>
      </c>
      <c r="P787" t="str">
        <f t="shared" si="111"/>
        <v>GU094AC97BAS-378321</v>
      </c>
      <c r="Q787" t="str">
        <f t="shared" si="112"/>
        <v>PO044957</v>
      </c>
      <c r="R787" t="str">
        <f t="shared" si="113"/>
        <v>Guess Analog-Chronograph Leather Men's Watch W0380G4</v>
      </c>
      <c r="S787" t="str">
        <f t="shared" si="114"/>
        <v>SA988475</v>
      </c>
      <c r="T787">
        <f t="shared" si="115"/>
        <v>1</v>
      </c>
      <c r="U787">
        <f t="shared" si="116"/>
        <v>415</v>
      </c>
    </row>
    <row r="788" spans="1:21" x14ac:dyDescent="0.25">
      <c r="A788">
        <f t="shared" si="108"/>
        <v>16</v>
      </c>
      <c r="C788" t="s">
        <v>4761</v>
      </c>
      <c r="D788" t="s">
        <v>4762</v>
      </c>
      <c r="E788" t="s">
        <v>4764</v>
      </c>
      <c r="F788" t="s">
        <v>4763</v>
      </c>
      <c r="G788" t="s">
        <v>4760</v>
      </c>
      <c r="H788" s="2">
        <v>1</v>
      </c>
      <c r="I788" s="2">
        <v>781</v>
      </c>
      <c r="N788" t="str">
        <f t="shared" si="109"/>
        <v>Kanary Commercial Brokers</v>
      </c>
      <c r="O788" t="str">
        <f t="shared" si="110"/>
        <v>W1315213095</v>
      </c>
      <c r="P788" t="str">
        <f t="shared" si="111"/>
        <v>EM989AC96DPB-412091</v>
      </c>
      <c r="Q788" t="str">
        <f t="shared" si="112"/>
        <v>UPO011856</v>
      </c>
      <c r="R788" t="str">
        <f t="shared" si="113"/>
        <v>Emporio Armani Sportivo AR5905 Watch for Men</v>
      </c>
      <c r="S788" t="str">
        <f t="shared" si="114"/>
        <v>AE62034</v>
      </c>
      <c r="T788">
        <f t="shared" si="115"/>
        <v>1</v>
      </c>
      <c r="U788">
        <f t="shared" si="116"/>
        <v>781</v>
      </c>
    </row>
    <row r="789" spans="1:21" x14ac:dyDescent="0.25">
      <c r="A789">
        <f t="shared" si="108"/>
        <v>16</v>
      </c>
      <c r="C789" t="s">
        <v>4863</v>
      </c>
      <c r="D789" t="s">
        <v>4864</v>
      </c>
      <c r="E789" t="s">
        <v>4866</v>
      </c>
      <c r="F789" t="s">
        <v>4865</v>
      </c>
      <c r="G789" t="s">
        <v>4862</v>
      </c>
      <c r="H789" s="2">
        <v>1</v>
      </c>
      <c r="I789" s="2">
        <v>1548</v>
      </c>
      <c r="N789" t="str">
        <f t="shared" si="109"/>
        <v>Kanary Commercial Brokers</v>
      </c>
      <c r="O789" t="str">
        <f t="shared" si="110"/>
        <v>W1315250306</v>
      </c>
      <c r="P789" t="str">
        <f t="shared" si="111"/>
        <v>GU797AC61BLQ-446377</v>
      </c>
      <c r="Q789" t="str">
        <f t="shared" si="112"/>
        <v>PO044734</v>
      </c>
      <c r="R789" t="str">
        <f t="shared" si="113"/>
        <v>Sync YA137104 for Men (Analog Watch, Blue)</v>
      </c>
      <c r="S789" t="str">
        <f t="shared" si="114"/>
        <v>SA916634</v>
      </c>
      <c r="T789">
        <f t="shared" si="115"/>
        <v>1</v>
      </c>
      <c r="U789">
        <f t="shared" si="116"/>
        <v>1548</v>
      </c>
    </row>
    <row r="790" spans="1:21" x14ac:dyDescent="0.25">
      <c r="A790">
        <f t="shared" si="108"/>
        <v>16</v>
      </c>
      <c r="C790" t="s">
        <v>4874</v>
      </c>
      <c r="D790" t="s">
        <v>4875</v>
      </c>
      <c r="E790" t="s">
        <v>4866</v>
      </c>
      <c r="F790" t="s">
        <v>4876</v>
      </c>
      <c r="G790" t="s">
        <v>4873</v>
      </c>
      <c r="H790" s="2">
        <v>1</v>
      </c>
      <c r="I790" s="2">
        <v>533</v>
      </c>
      <c r="N790" t="str">
        <f t="shared" si="109"/>
        <v>Kanary Commercial Brokers</v>
      </c>
      <c r="O790" t="str">
        <f t="shared" si="110"/>
        <v>W1315374707</v>
      </c>
      <c r="P790" t="str">
        <f t="shared" si="111"/>
        <v>JU842AC01JZY-627216</v>
      </c>
      <c r="Q790" t="str">
        <f t="shared" si="112"/>
        <v>PO044734</v>
      </c>
      <c r="R790" t="str">
        <f t="shared" si="113"/>
        <v>R7253215507 for Women (Analog Watch, Silver)</v>
      </c>
      <c r="S790" t="str">
        <f t="shared" si="114"/>
        <v>SA957691</v>
      </c>
      <c r="T790">
        <f t="shared" si="115"/>
        <v>1</v>
      </c>
      <c r="U790">
        <f t="shared" si="116"/>
        <v>533</v>
      </c>
    </row>
    <row r="791" spans="1:21" x14ac:dyDescent="0.25">
      <c r="A791">
        <f t="shared" si="108"/>
        <v>16</v>
      </c>
      <c r="C791" t="s">
        <v>4923</v>
      </c>
      <c r="D791" t="s">
        <v>4924</v>
      </c>
      <c r="E791" t="s">
        <v>4866</v>
      </c>
      <c r="F791" t="s">
        <v>4925</v>
      </c>
      <c r="G791" t="s">
        <v>4922</v>
      </c>
      <c r="H791" s="2">
        <v>1</v>
      </c>
      <c r="I791" s="2">
        <v>489</v>
      </c>
      <c r="N791" t="str">
        <f t="shared" si="109"/>
        <v>Kanary Commercial Brokers</v>
      </c>
      <c r="O791" t="str">
        <f t="shared" si="110"/>
        <v>W1315191901</v>
      </c>
      <c r="P791" t="str">
        <f t="shared" si="111"/>
        <v>MI534AC24SSH-372598</v>
      </c>
      <c r="Q791" t="str">
        <f t="shared" si="112"/>
        <v>PO044734</v>
      </c>
      <c r="R791" t="str">
        <f t="shared" si="113"/>
        <v>Michael Kors MK3179 Watch for Women (Analog, Gold)</v>
      </c>
      <c r="S791" t="str">
        <f t="shared" si="114"/>
        <v>SA964012</v>
      </c>
      <c r="T791">
        <f t="shared" si="115"/>
        <v>1</v>
      </c>
      <c r="U791">
        <f t="shared" si="116"/>
        <v>489</v>
      </c>
    </row>
    <row r="792" spans="1:21" x14ac:dyDescent="0.25">
      <c r="A792">
        <f t="shared" si="108"/>
        <v>16</v>
      </c>
      <c r="C792" t="s">
        <v>4935</v>
      </c>
      <c r="D792" t="s">
        <v>4936</v>
      </c>
      <c r="E792" t="s">
        <v>4938</v>
      </c>
      <c r="F792" t="s">
        <v>4937</v>
      </c>
      <c r="G792" t="s">
        <v>4934</v>
      </c>
      <c r="H792" s="2">
        <v>1</v>
      </c>
      <c r="I792" s="2">
        <v>1740</v>
      </c>
      <c r="N792" t="str">
        <f t="shared" si="109"/>
        <v>Kanary Commercial Brokers</v>
      </c>
      <c r="O792" t="str">
        <f t="shared" si="110"/>
        <v>W1315374839</v>
      </c>
      <c r="P792" t="str">
        <f t="shared" si="111"/>
        <v>MA669AC77KES-627340</v>
      </c>
      <c r="Q792" t="str">
        <f t="shared" si="112"/>
        <v>PO044852</v>
      </c>
      <c r="R792" t="str">
        <f t="shared" si="113"/>
        <v>R8821108002 for Men (Analog Watch, Black)</v>
      </c>
      <c r="S792" t="str">
        <f t="shared" si="114"/>
        <v>SA967281</v>
      </c>
      <c r="T792">
        <f t="shared" si="115"/>
        <v>1</v>
      </c>
      <c r="U792">
        <f t="shared" si="116"/>
        <v>1740</v>
      </c>
    </row>
    <row r="793" spans="1:21" x14ac:dyDescent="0.25">
      <c r="A793">
        <f t="shared" si="108"/>
        <v>16</v>
      </c>
      <c r="C793" t="s">
        <v>5460</v>
      </c>
      <c r="D793" t="s">
        <v>5461</v>
      </c>
      <c r="E793" t="s">
        <v>4866</v>
      </c>
      <c r="F793" t="s">
        <v>5462</v>
      </c>
      <c r="G793" t="s">
        <v>5459</v>
      </c>
      <c r="H793" s="2">
        <v>1</v>
      </c>
      <c r="I793" s="2">
        <v>741</v>
      </c>
      <c r="N793" t="str">
        <f t="shared" si="109"/>
        <v>Kanary Commercial Brokers</v>
      </c>
      <c r="O793" t="str">
        <f t="shared" si="110"/>
        <v>W1315181404</v>
      </c>
      <c r="P793" t="str">
        <f t="shared" si="111"/>
        <v>MI534AC15GLK-354877</v>
      </c>
      <c r="Q793" t="str">
        <f t="shared" si="112"/>
        <v>PO044734</v>
      </c>
      <c r="R793" t="str">
        <f t="shared" si="113"/>
        <v>Michael Kors Analog Stainless Steel Women's Watch MK3222</v>
      </c>
      <c r="S793" t="str">
        <f t="shared" si="114"/>
        <v>SA978482</v>
      </c>
      <c r="T793">
        <f t="shared" si="115"/>
        <v>1</v>
      </c>
      <c r="U793">
        <f t="shared" si="116"/>
        <v>741</v>
      </c>
    </row>
    <row r="794" spans="1:21" x14ac:dyDescent="0.25">
      <c r="A794">
        <f t="shared" si="108"/>
        <v>16</v>
      </c>
      <c r="C794" t="s">
        <v>5464</v>
      </c>
      <c r="D794" t="s">
        <v>5465</v>
      </c>
      <c r="E794" t="s">
        <v>4866</v>
      </c>
      <c r="F794" t="s">
        <v>5466</v>
      </c>
      <c r="G794" t="s">
        <v>5463</v>
      </c>
      <c r="H794" s="2">
        <v>1</v>
      </c>
      <c r="I794" s="2">
        <v>709</v>
      </c>
      <c r="N794" t="str">
        <f t="shared" si="109"/>
        <v>Kanary Commercial Brokers</v>
      </c>
      <c r="O794" t="str">
        <f t="shared" si="110"/>
        <v>W1315206960</v>
      </c>
      <c r="P794" t="str">
        <f t="shared" si="111"/>
        <v>JB997AC73LOS-389413</v>
      </c>
      <c r="Q794" t="str">
        <f t="shared" si="112"/>
        <v>PO044734</v>
      </c>
      <c r="R794" t="str">
        <f t="shared" si="113"/>
        <v>JBW Black Stainless Black Dial Classic for Men J6287K</v>
      </c>
      <c r="S794" t="str">
        <f t="shared" si="114"/>
        <v>SA978491</v>
      </c>
      <c r="T794">
        <f t="shared" si="115"/>
        <v>1</v>
      </c>
      <c r="U794">
        <f t="shared" si="116"/>
        <v>709</v>
      </c>
    </row>
    <row r="795" spans="1:21" x14ac:dyDescent="0.25">
      <c r="A795">
        <f t="shared" si="108"/>
        <v>16</v>
      </c>
      <c r="C795" t="s">
        <v>5502</v>
      </c>
      <c r="D795" t="s">
        <v>5503</v>
      </c>
      <c r="E795" t="s">
        <v>4866</v>
      </c>
      <c r="F795" t="s">
        <v>5504</v>
      </c>
      <c r="G795" t="s">
        <v>5501</v>
      </c>
      <c r="H795" s="2">
        <v>1</v>
      </c>
      <c r="I795" s="2">
        <v>1301</v>
      </c>
      <c r="N795" t="str">
        <f t="shared" si="109"/>
        <v>Kanary Commercial Brokers</v>
      </c>
      <c r="O795" t="str">
        <f t="shared" si="110"/>
        <v>W1315236128</v>
      </c>
      <c r="P795" t="str">
        <f t="shared" si="111"/>
        <v>JB997AC68VRJ-441052</v>
      </c>
      <c r="Q795" t="str">
        <f t="shared" si="112"/>
        <v>PO044734</v>
      </c>
      <c r="R795" t="str">
        <f t="shared" si="113"/>
        <v>Victory JB-6210-160-C For Women (Analog-Chronograph Watch, Pink)</v>
      </c>
      <c r="S795" t="str">
        <f t="shared" si="114"/>
        <v>SA978990</v>
      </c>
      <c r="T795">
        <f t="shared" si="115"/>
        <v>1</v>
      </c>
      <c r="U795">
        <f t="shared" si="116"/>
        <v>1301</v>
      </c>
    </row>
    <row r="796" spans="1:21" x14ac:dyDescent="0.25">
      <c r="A796">
        <f t="shared" si="108"/>
        <v>16</v>
      </c>
      <c r="C796" t="s">
        <v>5660</v>
      </c>
      <c r="D796" t="s">
        <v>5661</v>
      </c>
      <c r="E796" t="s">
        <v>4938</v>
      </c>
      <c r="F796" t="s">
        <v>5662</v>
      </c>
      <c r="G796" t="s">
        <v>5659</v>
      </c>
      <c r="H796" s="2">
        <v>1</v>
      </c>
      <c r="I796" s="2">
        <v>138</v>
      </c>
      <c r="N796" t="str">
        <f t="shared" si="109"/>
        <v>Kanary Commercial Brokers</v>
      </c>
      <c r="O796" t="str">
        <f t="shared" si="110"/>
        <v>W1315341390</v>
      </c>
      <c r="P796" t="str">
        <f t="shared" si="111"/>
        <v>CO916AC80EVF-583506</v>
      </c>
      <c r="Q796" t="str">
        <f t="shared" si="112"/>
        <v>PO044852</v>
      </c>
      <c r="R796" t="str">
        <f t="shared" si="113"/>
        <v>5-COL197 Unisex Watch (Analog-Chronograph Watch, Gold)</v>
      </c>
      <c r="S796" t="str">
        <f t="shared" si="114"/>
        <v>SA980377</v>
      </c>
      <c r="T796">
        <f t="shared" si="115"/>
        <v>1</v>
      </c>
      <c r="U796">
        <f t="shared" si="116"/>
        <v>138</v>
      </c>
    </row>
    <row r="797" spans="1:21" x14ac:dyDescent="0.25">
      <c r="A797">
        <f t="shared" si="108"/>
        <v>16</v>
      </c>
      <c r="C797" t="s">
        <v>5728</v>
      </c>
      <c r="D797" t="s">
        <v>5729</v>
      </c>
      <c r="E797" t="s">
        <v>4866</v>
      </c>
      <c r="F797" t="s">
        <v>5730</v>
      </c>
      <c r="G797" t="s">
        <v>5727</v>
      </c>
      <c r="H797" s="2">
        <v>1</v>
      </c>
      <c r="I797" s="2">
        <v>549</v>
      </c>
      <c r="N797" t="str">
        <f t="shared" si="109"/>
        <v>Kanary Commercial Brokers</v>
      </c>
      <c r="O797" t="str">
        <f t="shared" si="110"/>
        <v>W1315191935</v>
      </c>
      <c r="P797" t="str">
        <f t="shared" si="111"/>
        <v>MI534AC90STP-372632</v>
      </c>
      <c r="Q797" t="str">
        <f t="shared" si="112"/>
        <v>PO044734</v>
      </c>
      <c r="R797" t="str">
        <f t="shared" si="113"/>
        <v>Michael Kors Analog-Chronograph MK5076 Women's Watch</v>
      </c>
      <c r="S797" t="str">
        <f t="shared" si="114"/>
        <v>SA980607</v>
      </c>
      <c r="T797">
        <f t="shared" si="115"/>
        <v>1</v>
      </c>
      <c r="U797">
        <f t="shared" si="116"/>
        <v>549</v>
      </c>
    </row>
    <row r="798" spans="1:21" x14ac:dyDescent="0.25">
      <c r="A798">
        <f t="shared" si="108"/>
        <v>16</v>
      </c>
      <c r="C798" t="s">
        <v>5773</v>
      </c>
      <c r="D798" t="s">
        <v>5774</v>
      </c>
      <c r="E798" t="s">
        <v>4866</v>
      </c>
      <c r="F798" t="s">
        <v>5775</v>
      </c>
      <c r="G798" t="s">
        <v>5772</v>
      </c>
      <c r="H798" s="2">
        <v>1</v>
      </c>
      <c r="I798" s="2">
        <v>699</v>
      </c>
      <c r="N798" t="str">
        <f t="shared" si="109"/>
        <v>Kanary Commercial Brokers</v>
      </c>
      <c r="O798" t="str">
        <f t="shared" si="110"/>
        <v>W1315192004</v>
      </c>
      <c r="P798" t="str">
        <f t="shared" si="111"/>
        <v>MI534AC21SWG-372701</v>
      </c>
      <c r="Q798" t="str">
        <f t="shared" si="112"/>
        <v>PO044734</v>
      </c>
      <c r="R798" t="str">
        <f t="shared" si="113"/>
        <v>Michael Kors Analog-Chronograph MK8309 Men's Watch</v>
      </c>
      <c r="S798" t="str">
        <f t="shared" si="114"/>
        <v>SA980816</v>
      </c>
      <c r="T798">
        <f t="shared" si="115"/>
        <v>1</v>
      </c>
      <c r="U798">
        <f t="shared" si="116"/>
        <v>699</v>
      </c>
    </row>
    <row r="799" spans="1:21" x14ac:dyDescent="0.25">
      <c r="A799">
        <f t="shared" si="108"/>
        <v>16</v>
      </c>
      <c r="C799" t="s">
        <v>5827</v>
      </c>
      <c r="D799" t="s">
        <v>5828</v>
      </c>
      <c r="E799" t="s">
        <v>4866</v>
      </c>
      <c r="F799" t="s">
        <v>5829</v>
      </c>
      <c r="G799" t="s">
        <v>5826</v>
      </c>
      <c r="H799" s="2">
        <v>1</v>
      </c>
      <c r="I799" s="2">
        <v>589</v>
      </c>
      <c r="N799" t="str">
        <f t="shared" si="109"/>
        <v>Kanary Commercial Brokers</v>
      </c>
      <c r="O799" t="str">
        <f t="shared" si="110"/>
        <v>W1315169261</v>
      </c>
      <c r="P799" t="str">
        <f t="shared" si="111"/>
        <v>MI534AC55PXC-147021</v>
      </c>
      <c r="Q799" t="str">
        <f t="shared" si="112"/>
        <v>PO044734</v>
      </c>
      <c r="R799" t="str">
        <f t="shared" si="113"/>
        <v>Michael Kors Chronograph Stainless Steel Men's Watch MK8096</v>
      </c>
      <c r="S799" t="str">
        <f t="shared" si="114"/>
        <v>SA981001</v>
      </c>
      <c r="T799">
        <f t="shared" si="115"/>
        <v>1</v>
      </c>
      <c r="U799">
        <f t="shared" si="116"/>
        <v>589</v>
      </c>
    </row>
    <row r="800" spans="1:21" x14ac:dyDescent="0.25">
      <c r="A800">
        <f t="shared" si="108"/>
        <v>16</v>
      </c>
      <c r="C800" t="s">
        <v>5977</v>
      </c>
      <c r="D800" t="s">
        <v>5978</v>
      </c>
      <c r="E800" t="s">
        <v>4938</v>
      </c>
      <c r="F800" t="s">
        <v>5979</v>
      </c>
      <c r="G800" t="s">
        <v>5976</v>
      </c>
      <c r="H800" s="2">
        <v>1</v>
      </c>
      <c r="I800" s="2">
        <v>1130</v>
      </c>
      <c r="N800" t="str">
        <f t="shared" si="109"/>
        <v>Kanary Commercial Brokers</v>
      </c>
      <c r="O800" t="str">
        <f t="shared" si="110"/>
        <v>W1315391965</v>
      </c>
      <c r="P800" t="str">
        <f t="shared" si="111"/>
        <v>JB997AC21UQC-636919</v>
      </c>
      <c r="Q800" t="str">
        <f t="shared" si="112"/>
        <v>PO044852</v>
      </c>
      <c r="R800" t="str">
        <f t="shared" si="113"/>
        <v>J6336B for Men (Analog-Chronograph Watch, Gold)</v>
      </c>
      <c r="S800" t="str">
        <f t="shared" si="114"/>
        <v>SA982547</v>
      </c>
      <c r="T800">
        <f t="shared" si="115"/>
        <v>1</v>
      </c>
      <c r="U800">
        <f t="shared" si="116"/>
        <v>1130</v>
      </c>
    </row>
    <row r="801" spans="1:21" x14ac:dyDescent="0.25">
      <c r="A801">
        <f t="shared" si="108"/>
        <v>16</v>
      </c>
      <c r="G801" t="s">
        <v>6108</v>
      </c>
      <c r="H801" s="2">
        <v>1</v>
      </c>
      <c r="I801" s="2">
        <v>1130</v>
      </c>
      <c r="N801" t="str">
        <f t="shared" si="109"/>
        <v>Kanary Commercial Brokers</v>
      </c>
      <c r="O801" t="str">
        <f t="shared" si="110"/>
        <v>W1315391965</v>
      </c>
      <c r="P801" t="str">
        <f t="shared" si="111"/>
        <v>JB997AC21UQC-636919</v>
      </c>
      <c r="Q801" t="str">
        <f t="shared" si="112"/>
        <v>PO044852</v>
      </c>
      <c r="R801" t="str">
        <f t="shared" si="113"/>
        <v>J6336B for Men (Analog-Chronograph Watch, Gold)</v>
      </c>
      <c r="S801" t="str">
        <f t="shared" si="114"/>
        <v>SA983893</v>
      </c>
      <c r="T801">
        <f t="shared" si="115"/>
        <v>1</v>
      </c>
      <c r="U801">
        <f t="shared" si="116"/>
        <v>1130</v>
      </c>
    </row>
    <row r="802" spans="1:21" x14ac:dyDescent="0.25">
      <c r="A802">
        <f t="shared" si="108"/>
        <v>16</v>
      </c>
      <c r="C802" t="s">
        <v>5989</v>
      </c>
      <c r="D802" t="s">
        <v>5990</v>
      </c>
      <c r="E802" t="s">
        <v>4938</v>
      </c>
      <c r="F802" t="s">
        <v>5991</v>
      </c>
      <c r="G802" t="s">
        <v>5988</v>
      </c>
      <c r="H802" s="2">
        <v>1</v>
      </c>
      <c r="I802" s="2">
        <v>729</v>
      </c>
      <c r="N802" t="str">
        <f t="shared" si="109"/>
        <v>Kanary Commercial Brokers</v>
      </c>
      <c r="O802" t="str">
        <f t="shared" si="110"/>
        <v>W1315206824</v>
      </c>
      <c r="P802" t="str">
        <f t="shared" si="111"/>
        <v>JB997AC09LJM-389277</v>
      </c>
      <c r="Q802" t="str">
        <f t="shared" si="112"/>
        <v>PO044852</v>
      </c>
      <c r="R802" t="str">
        <f t="shared" si="113"/>
        <v>JBW Black Dial JB-6225-J Casual Watch For Men</v>
      </c>
      <c r="S802" t="str">
        <f t="shared" si="114"/>
        <v>SA982601</v>
      </c>
      <c r="T802">
        <f t="shared" si="115"/>
        <v>1</v>
      </c>
      <c r="U802">
        <f t="shared" si="116"/>
        <v>729</v>
      </c>
    </row>
    <row r="803" spans="1:21" x14ac:dyDescent="0.25">
      <c r="A803">
        <f t="shared" si="108"/>
        <v>16</v>
      </c>
      <c r="C803" t="s">
        <v>6278</v>
      </c>
      <c r="D803" t="s">
        <v>6279</v>
      </c>
      <c r="E803" t="s">
        <v>6281</v>
      </c>
      <c r="F803" t="s">
        <v>6280</v>
      </c>
      <c r="G803" t="s">
        <v>6277</v>
      </c>
      <c r="H803" s="2">
        <v>1</v>
      </c>
      <c r="I803" s="2">
        <v>1605</v>
      </c>
      <c r="N803" t="str">
        <f t="shared" si="109"/>
        <v>Kanary Commercial Brokers</v>
      </c>
      <c r="O803" t="str">
        <f t="shared" si="110"/>
        <v>W1315105082</v>
      </c>
      <c r="P803" t="str">
        <f t="shared" si="111"/>
        <v>TI948AC49OSS-24484</v>
      </c>
      <c r="Q803" t="str">
        <f t="shared" si="112"/>
        <v>PO044957</v>
      </c>
      <c r="R803" t="str">
        <f t="shared" si="113"/>
        <v>tissot Tradition T0636373603700</v>
      </c>
      <c r="S803" t="str">
        <f t="shared" si="114"/>
        <v>SA985714</v>
      </c>
      <c r="T803">
        <f t="shared" si="115"/>
        <v>1</v>
      </c>
      <c r="U803">
        <f t="shared" si="116"/>
        <v>1605</v>
      </c>
    </row>
    <row r="804" spans="1:21" x14ac:dyDescent="0.25">
      <c r="A804">
        <f t="shared" si="108"/>
        <v>17</v>
      </c>
      <c r="B804" t="s">
        <v>216</v>
      </c>
      <c r="C804" t="s">
        <v>4404</v>
      </c>
      <c r="D804" t="s">
        <v>4405</v>
      </c>
      <c r="E804" t="s">
        <v>6195</v>
      </c>
      <c r="F804" t="s">
        <v>4406</v>
      </c>
      <c r="G804" t="s">
        <v>6194</v>
      </c>
      <c r="H804" s="2">
        <v>1</v>
      </c>
      <c r="I804" s="2">
        <v>1625</v>
      </c>
      <c r="N804" t="str">
        <f t="shared" si="109"/>
        <v>Sheeba General trading LL</v>
      </c>
      <c r="O804" t="str">
        <f t="shared" si="110"/>
        <v>W1315100217</v>
      </c>
      <c r="P804" t="str">
        <f t="shared" si="111"/>
        <v>AP771EL49ARI-449</v>
      </c>
      <c r="Q804" t="str">
        <f t="shared" si="112"/>
        <v>PO044789</v>
      </c>
      <c r="R804" t="str">
        <f t="shared" si="113"/>
        <v>iPad Air 2 (WiFi 64 GB Space Grey)</v>
      </c>
      <c r="S804" t="str">
        <f t="shared" si="114"/>
        <v>SA985059</v>
      </c>
      <c r="T804">
        <f t="shared" si="115"/>
        <v>1</v>
      </c>
      <c r="U804">
        <f t="shared" si="116"/>
        <v>1625</v>
      </c>
    </row>
    <row r="805" spans="1:21" x14ac:dyDescent="0.25">
      <c r="A805">
        <f t="shared" si="108"/>
        <v>17</v>
      </c>
      <c r="C805" t="s">
        <v>4650</v>
      </c>
      <c r="D805" t="s">
        <v>4651</v>
      </c>
      <c r="E805" t="s">
        <v>4818</v>
      </c>
      <c r="F805" t="s">
        <v>4652</v>
      </c>
      <c r="G805" t="s">
        <v>4817</v>
      </c>
      <c r="H805" s="2">
        <v>1</v>
      </c>
      <c r="I805" s="2">
        <v>625</v>
      </c>
      <c r="N805" t="str">
        <f t="shared" si="109"/>
        <v>Sheeba General trading LL</v>
      </c>
      <c r="O805" t="str">
        <f t="shared" si="110"/>
        <v>W1315329015</v>
      </c>
      <c r="P805" t="str">
        <f t="shared" si="111"/>
        <v>LE769EL38JSV-560178</v>
      </c>
      <c r="Q805" t="str">
        <f t="shared" si="112"/>
        <v>UPO011866</v>
      </c>
      <c r="R805" t="str">
        <f t="shared" si="113"/>
        <v>Vibe K5 Note (32 GB, 4G LTE, Gold Dual SIM)</v>
      </c>
      <c r="S805" t="str">
        <f t="shared" si="114"/>
        <v>AE61948</v>
      </c>
      <c r="T805">
        <f t="shared" si="115"/>
        <v>1</v>
      </c>
      <c r="U805">
        <f t="shared" si="116"/>
        <v>625</v>
      </c>
    </row>
    <row r="806" spans="1:21" x14ac:dyDescent="0.25">
      <c r="A806">
        <f t="shared" si="108"/>
        <v>17</v>
      </c>
      <c r="C806" t="s">
        <v>4969</v>
      </c>
      <c r="D806" t="s">
        <v>4970</v>
      </c>
      <c r="E806" t="s">
        <v>4972</v>
      </c>
      <c r="F806" t="s">
        <v>4971</v>
      </c>
      <c r="G806" t="s">
        <v>4968</v>
      </c>
      <c r="H806" s="2">
        <v>1</v>
      </c>
      <c r="I806" s="2">
        <v>1850</v>
      </c>
      <c r="N806" t="str">
        <f t="shared" si="109"/>
        <v>Sheeba General trading LL</v>
      </c>
      <c r="O806" t="str">
        <f t="shared" si="110"/>
        <v>W1315338064</v>
      </c>
      <c r="P806" t="str">
        <f t="shared" si="111"/>
        <v>AP771EL16NHZ-568471</v>
      </c>
      <c r="Q806" t="str">
        <f t="shared" si="112"/>
        <v>PO045009</v>
      </c>
      <c r="R806" t="str">
        <f t="shared" si="113"/>
        <v>iPhone 6 Plus (64 GB, 4G LTE, Gold)</v>
      </c>
      <c r="S806" t="str">
        <f t="shared" si="114"/>
        <v>SA971868</v>
      </c>
      <c r="T806">
        <f t="shared" si="115"/>
        <v>1</v>
      </c>
      <c r="U806">
        <f t="shared" si="116"/>
        <v>1850</v>
      </c>
    </row>
    <row r="807" spans="1:21" x14ac:dyDescent="0.25">
      <c r="A807">
        <f t="shared" si="108"/>
        <v>17</v>
      </c>
      <c r="C807" t="s">
        <v>6547</v>
      </c>
      <c r="D807" t="s">
        <v>6548</v>
      </c>
      <c r="E807" t="s">
        <v>6550</v>
      </c>
      <c r="F807" t="s">
        <v>6549</v>
      </c>
      <c r="G807" t="s">
        <v>6546</v>
      </c>
      <c r="H807" s="2">
        <v>1</v>
      </c>
      <c r="I807" s="2">
        <v>98</v>
      </c>
      <c r="N807" t="str">
        <f t="shared" si="109"/>
        <v>Sheeba General trading LL</v>
      </c>
      <c r="O807" t="str">
        <f t="shared" si="110"/>
        <v>W1315138399</v>
      </c>
      <c r="P807" t="str">
        <f t="shared" si="111"/>
        <v>NO765EL72IOD-63848</v>
      </c>
      <c r="Q807" t="str">
        <f t="shared" si="112"/>
        <v>PO045000</v>
      </c>
      <c r="R807" t="str">
        <f t="shared" si="113"/>
        <v>130 DS RM-1035 (2G, 1.8 inches, Dual Sim) - Black</v>
      </c>
      <c r="S807" t="str">
        <f t="shared" si="114"/>
        <v>SA986616</v>
      </c>
      <c r="T807">
        <f t="shared" si="115"/>
        <v>1</v>
      </c>
      <c r="U807">
        <f t="shared" si="116"/>
        <v>98</v>
      </c>
    </row>
    <row r="808" spans="1:21" x14ac:dyDescent="0.25">
      <c r="A808">
        <f t="shared" si="108"/>
        <v>18</v>
      </c>
      <c r="B808" t="s">
        <v>1799</v>
      </c>
      <c r="C808" t="s">
        <v>6333</v>
      </c>
      <c r="D808" t="s">
        <v>6334</v>
      </c>
      <c r="E808" t="s">
        <v>6336</v>
      </c>
      <c r="F808" t="s">
        <v>6335</v>
      </c>
      <c r="G808" t="s">
        <v>6332</v>
      </c>
      <c r="H808" s="2">
        <v>1</v>
      </c>
      <c r="I808" s="2">
        <v>723</v>
      </c>
      <c r="N808" t="str">
        <f t="shared" si="109"/>
        <v>Italy Motors DWC-LLC</v>
      </c>
      <c r="O808" t="str">
        <f t="shared" si="110"/>
        <v>W1315293731</v>
      </c>
      <c r="P808" t="str">
        <f t="shared" si="111"/>
        <v>FI498EL48SJN-499782</v>
      </c>
      <c r="Q808" t="str">
        <f t="shared" si="112"/>
        <v>PO044965</v>
      </c>
      <c r="R808" t="str">
        <f t="shared" si="113"/>
        <v>Fitbit Blaze Smart Fitness Watch</v>
      </c>
      <c r="S808" t="str">
        <f t="shared" si="114"/>
        <v>SA986141</v>
      </c>
      <c r="T808">
        <f t="shared" si="115"/>
        <v>1</v>
      </c>
      <c r="U808">
        <f t="shared" si="116"/>
        <v>723</v>
      </c>
    </row>
    <row r="809" spans="1:21" x14ac:dyDescent="0.25">
      <c r="A809">
        <f t="shared" si="108"/>
        <v>19</v>
      </c>
      <c r="B809" t="s">
        <v>1711</v>
      </c>
      <c r="C809" t="s">
        <v>3190</v>
      </c>
      <c r="D809" t="s">
        <v>3191</v>
      </c>
      <c r="E809" t="s">
        <v>6264</v>
      </c>
      <c r="F809" t="s">
        <v>3192</v>
      </c>
      <c r="G809" t="s">
        <v>6438</v>
      </c>
      <c r="H809" s="2">
        <v>1</v>
      </c>
      <c r="I809" s="2">
        <v>108</v>
      </c>
      <c r="N809" t="str">
        <f t="shared" si="109"/>
        <v>Jubilee store LLC</v>
      </c>
      <c r="O809" t="str">
        <f t="shared" si="110"/>
        <v>W1315255374</v>
      </c>
      <c r="P809" t="str">
        <f t="shared" si="111"/>
        <v>CA511AC97KKW-455765</v>
      </c>
      <c r="Q809" t="str">
        <f t="shared" si="112"/>
        <v>PO045024</v>
      </c>
      <c r="R809" t="str">
        <f t="shared" si="113"/>
        <v>Analog-Chronograph Rose Gold Dial Watch for Men (MTP-1374L-9AVDF)</v>
      </c>
      <c r="S809" t="str">
        <f t="shared" si="114"/>
        <v>SA987151</v>
      </c>
      <c r="T809">
        <f t="shared" si="115"/>
        <v>1</v>
      </c>
      <c r="U809">
        <f t="shared" si="116"/>
        <v>108</v>
      </c>
    </row>
    <row r="810" spans="1:21" x14ac:dyDescent="0.25">
      <c r="A810">
        <f t="shared" si="108"/>
        <v>19</v>
      </c>
      <c r="C810" t="s">
        <v>3409</v>
      </c>
      <c r="D810" t="s">
        <v>3410</v>
      </c>
      <c r="E810" t="s">
        <v>3411</v>
      </c>
      <c r="F810" t="s">
        <v>4868</v>
      </c>
      <c r="G810" t="s">
        <v>3408</v>
      </c>
      <c r="H810" s="2">
        <v>1</v>
      </c>
      <c r="I810" s="2">
        <v>375</v>
      </c>
      <c r="N810" t="str">
        <f t="shared" si="109"/>
        <v>Jubilee store LLC</v>
      </c>
      <c r="O810" t="str">
        <f t="shared" si="110"/>
        <v>W1315237657</v>
      </c>
      <c r="P810" t="str">
        <f t="shared" si="111"/>
        <v>CA511AC50VSB-441070</v>
      </c>
      <c r="Q810" t="str">
        <f t="shared" si="112"/>
        <v>PO044641</v>
      </c>
      <c r="R810" t="str">
        <f t="shared" si="113"/>
        <v>Edifice EFR-534SG-1AVDF For Men (Analog-Chronograph Watch White)</v>
      </c>
      <c r="S810" t="str">
        <f t="shared" si="114"/>
        <v>SA930055</v>
      </c>
      <c r="T810">
        <f t="shared" si="115"/>
        <v>1</v>
      </c>
      <c r="U810">
        <f t="shared" si="116"/>
        <v>375</v>
      </c>
    </row>
    <row r="811" spans="1:21" x14ac:dyDescent="0.25">
      <c r="A811">
        <f t="shared" si="108"/>
        <v>19</v>
      </c>
      <c r="C811" t="s">
        <v>4257</v>
      </c>
      <c r="D811" t="s">
        <v>4258</v>
      </c>
      <c r="E811" t="s">
        <v>5853</v>
      </c>
      <c r="F811" t="s">
        <v>4259</v>
      </c>
      <c r="G811" t="s">
        <v>5852</v>
      </c>
      <c r="H811" s="2">
        <v>1</v>
      </c>
      <c r="I811" s="2">
        <v>79</v>
      </c>
      <c r="N811" t="str">
        <f t="shared" si="109"/>
        <v>Jubilee store LLC</v>
      </c>
      <c r="O811" t="str">
        <f t="shared" si="110"/>
        <v>W1315204739</v>
      </c>
      <c r="P811" t="str">
        <f t="shared" si="111"/>
        <v>CA511AC67DPG-380570</v>
      </c>
      <c r="Q811" t="str">
        <f t="shared" si="112"/>
        <v>PO044883</v>
      </c>
      <c r="R811" t="str">
        <f t="shared" si="113"/>
        <v>AW-80D-1A2VDF for Men (Analog-Digital Watch)</v>
      </c>
      <c r="S811" t="str">
        <f t="shared" si="114"/>
        <v>SA981211</v>
      </c>
      <c r="T811">
        <f t="shared" si="115"/>
        <v>1</v>
      </c>
      <c r="U811">
        <f t="shared" si="116"/>
        <v>79</v>
      </c>
    </row>
    <row r="812" spans="1:21" x14ac:dyDescent="0.25">
      <c r="A812">
        <f t="shared" si="108"/>
        <v>19</v>
      </c>
      <c r="G812" t="s">
        <v>6109</v>
      </c>
      <c r="H812" s="2">
        <v>1</v>
      </c>
      <c r="I812" s="2">
        <v>79</v>
      </c>
      <c r="N812" t="str">
        <f t="shared" si="109"/>
        <v>Jubilee store LLC</v>
      </c>
      <c r="O812" t="str">
        <f t="shared" si="110"/>
        <v>W1315204739</v>
      </c>
      <c r="P812" t="str">
        <f t="shared" si="111"/>
        <v>CA511AC67DPG-380570</v>
      </c>
      <c r="Q812" t="str">
        <f t="shared" si="112"/>
        <v>PO044883</v>
      </c>
      <c r="R812" t="str">
        <f t="shared" si="113"/>
        <v>AW-80D-1A2VDF for Men (Analog-Digital Watch)</v>
      </c>
      <c r="S812" t="str">
        <f t="shared" si="114"/>
        <v>SA983929</v>
      </c>
      <c r="T812">
        <f t="shared" si="115"/>
        <v>1</v>
      </c>
      <c r="U812">
        <f t="shared" si="116"/>
        <v>79</v>
      </c>
    </row>
    <row r="813" spans="1:21" x14ac:dyDescent="0.25">
      <c r="A813">
        <f t="shared" si="108"/>
        <v>19</v>
      </c>
      <c r="E813" t="s">
        <v>6264</v>
      </c>
      <c r="F813" t="s">
        <v>4259</v>
      </c>
      <c r="G813" t="s">
        <v>6330</v>
      </c>
      <c r="H813" s="2">
        <v>1</v>
      </c>
      <c r="I813" s="2">
        <v>79</v>
      </c>
      <c r="N813" t="str">
        <f t="shared" si="109"/>
        <v>Jubilee store LLC</v>
      </c>
      <c r="O813" t="str">
        <f t="shared" si="110"/>
        <v>W1315204739</v>
      </c>
      <c r="P813" t="str">
        <f t="shared" si="111"/>
        <v>CA511AC67DPG-380570</v>
      </c>
      <c r="Q813" t="str">
        <f t="shared" si="112"/>
        <v>PO045024</v>
      </c>
      <c r="R813" t="str">
        <f t="shared" si="113"/>
        <v>AW-80D-1A2VDF for Men (Analog-Digital Watch)</v>
      </c>
      <c r="S813" t="str">
        <f t="shared" si="114"/>
        <v>SA986135</v>
      </c>
      <c r="T813">
        <f t="shared" si="115"/>
        <v>1</v>
      </c>
      <c r="U813">
        <f t="shared" si="116"/>
        <v>79</v>
      </c>
    </row>
    <row r="814" spans="1:21" x14ac:dyDescent="0.25">
      <c r="A814">
        <f t="shared" si="108"/>
        <v>19</v>
      </c>
      <c r="G814" t="s">
        <v>6587</v>
      </c>
      <c r="H814" s="2">
        <v>1</v>
      </c>
      <c r="I814" s="2">
        <v>79</v>
      </c>
      <c r="N814" t="str">
        <f t="shared" si="109"/>
        <v>Jubilee store LLC</v>
      </c>
      <c r="O814" t="str">
        <f t="shared" si="110"/>
        <v>W1315204739</v>
      </c>
      <c r="P814" t="str">
        <f t="shared" si="111"/>
        <v>CA511AC67DPG-380570</v>
      </c>
      <c r="Q814" t="str">
        <f t="shared" si="112"/>
        <v>PO045024</v>
      </c>
      <c r="R814" t="str">
        <f t="shared" si="113"/>
        <v>AW-80D-1A2VDF for Men (Analog-Digital Watch)</v>
      </c>
      <c r="S814" t="str">
        <f t="shared" si="114"/>
        <v>SA988848</v>
      </c>
      <c r="T814">
        <f t="shared" si="115"/>
        <v>1</v>
      </c>
      <c r="U814">
        <f t="shared" si="116"/>
        <v>79</v>
      </c>
    </row>
    <row r="815" spans="1:21" x14ac:dyDescent="0.25">
      <c r="A815">
        <f t="shared" si="108"/>
        <v>19</v>
      </c>
      <c r="C815" t="s">
        <v>4362</v>
      </c>
      <c r="D815" t="s">
        <v>4363</v>
      </c>
      <c r="E815" t="s">
        <v>6264</v>
      </c>
      <c r="F815" t="s">
        <v>4364</v>
      </c>
      <c r="G815" t="s">
        <v>6443</v>
      </c>
      <c r="H815" s="2">
        <v>1</v>
      </c>
      <c r="I815" s="2">
        <v>37</v>
      </c>
      <c r="N815" t="str">
        <f t="shared" si="109"/>
        <v>Jubilee store LLC</v>
      </c>
      <c r="O815" t="str">
        <f t="shared" si="110"/>
        <v>W1315130713</v>
      </c>
      <c r="P815" t="str">
        <f t="shared" si="111"/>
        <v>CA511AC30AAR-57371</v>
      </c>
      <c r="Q815" t="str">
        <f t="shared" si="112"/>
        <v>PO045024</v>
      </c>
      <c r="R815" t="str">
        <f t="shared" si="113"/>
        <v>Casio Analog Leather Men's Watch MTP-V001L-7BUDF</v>
      </c>
      <c r="S815" t="str">
        <f t="shared" si="114"/>
        <v>SA987158</v>
      </c>
      <c r="T815">
        <f t="shared" si="115"/>
        <v>1</v>
      </c>
      <c r="U815">
        <f t="shared" si="116"/>
        <v>37</v>
      </c>
    </row>
    <row r="816" spans="1:21" x14ac:dyDescent="0.25">
      <c r="A816">
        <f t="shared" si="108"/>
        <v>19</v>
      </c>
      <c r="C816" t="s">
        <v>6261</v>
      </c>
      <c r="D816" t="s">
        <v>6262</v>
      </c>
      <c r="E816" t="s">
        <v>6264</v>
      </c>
      <c r="F816" t="s">
        <v>6263</v>
      </c>
      <c r="G816" t="s">
        <v>6260</v>
      </c>
      <c r="H816" s="2">
        <v>1</v>
      </c>
      <c r="I816" s="2">
        <v>71</v>
      </c>
      <c r="N816" t="str">
        <f t="shared" si="109"/>
        <v>Jubilee store LLC</v>
      </c>
      <c r="O816" t="str">
        <f t="shared" si="110"/>
        <v>W1315130398</v>
      </c>
      <c r="P816" t="str">
        <f t="shared" si="111"/>
        <v>CA511AC63YMY-56338</v>
      </c>
      <c r="Q816" t="str">
        <f t="shared" si="112"/>
        <v>PO045024</v>
      </c>
      <c r="R816" t="str">
        <f t="shared" si="113"/>
        <v>Casio Quartz Classic Analog Stainless Steel Women's Watch LTP-1314D-5AV</v>
      </c>
      <c r="S816" t="str">
        <f t="shared" si="114"/>
        <v>SA985598</v>
      </c>
      <c r="T816">
        <f t="shared" si="115"/>
        <v>1</v>
      </c>
      <c r="U816">
        <f t="shared" si="116"/>
        <v>71</v>
      </c>
    </row>
    <row r="817" spans="1:21" x14ac:dyDescent="0.25">
      <c r="A817">
        <f t="shared" si="108"/>
        <v>19</v>
      </c>
      <c r="C817" t="s">
        <v>6271</v>
      </c>
      <c r="D817" t="s">
        <v>6272</v>
      </c>
      <c r="E817" t="s">
        <v>6264</v>
      </c>
      <c r="F817" t="s">
        <v>6273</v>
      </c>
      <c r="G817" t="s">
        <v>6270</v>
      </c>
      <c r="H817" s="2">
        <v>1</v>
      </c>
      <c r="I817" s="2">
        <v>55</v>
      </c>
      <c r="N817" t="str">
        <f t="shared" si="109"/>
        <v>Jubilee store LLC</v>
      </c>
      <c r="O817" t="str">
        <f t="shared" si="110"/>
        <v>W1315328634</v>
      </c>
      <c r="P817" t="str">
        <f t="shared" si="111"/>
        <v>CA511AC41KTQ-561732</v>
      </c>
      <c r="Q817" t="str">
        <f t="shared" si="112"/>
        <v>PO045024</v>
      </c>
      <c r="R817" t="str">
        <f t="shared" si="113"/>
        <v>AE-1000W-1A3VDF for Men (Digital Watch, Black)</v>
      </c>
      <c r="S817" t="str">
        <f t="shared" si="114"/>
        <v>SA985689</v>
      </c>
      <c r="T817">
        <f t="shared" si="115"/>
        <v>1</v>
      </c>
      <c r="U817">
        <f t="shared" si="116"/>
        <v>55</v>
      </c>
    </row>
    <row r="818" spans="1:21" x14ac:dyDescent="0.25">
      <c r="A818">
        <f t="shared" si="108"/>
        <v>19</v>
      </c>
      <c r="G818" t="s">
        <v>6274</v>
      </c>
      <c r="H818" s="2">
        <v>1</v>
      </c>
      <c r="I818" s="2">
        <v>55</v>
      </c>
      <c r="N818" t="str">
        <f t="shared" si="109"/>
        <v>Jubilee store LLC</v>
      </c>
      <c r="O818" t="str">
        <f t="shared" si="110"/>
        <v>W1315328634</v>
      </c>
      <c r="P818" t="str">
        <f t="shared" si="111"/>
        <v>CA511AC41KTQ-561732</v>
      </c>
      <c r="Q818" t="str">
        <f t="shared" si="112"/>
        <v>PO045024</v>
      </c>
      <c r="R818" t="str">
        <f t="shared" si="113"/>
        <v>AE-1000W-1A3VDF for Men (Digital Watch, Black)</v>
      </c>
      <c r="S818" t="str">
        <f t="shared" si="114"/>
        <v>SA985690</v>
      </c>
      <c r="T818">
        <f t="shared" si="115"/>
        <v>1</v>
      </c>
      <c r="U818">
        <f t="shared" si="116"/>
        <v>55</v>
      </c>
    </row>
    <row r="819" spans="1:21" x14ac:dyDescent="0.25">
      <c r="A819">
        <f t="shared" si="108"/>
        <v>19</v>
      </c>
      <c r="G819" t="s">
        <v>6275</v>
      </c>
      <c r="H819" s="2">
        <v>1</v>
      </c>
      <c r="I819" s="2">
        <v>55</v>
      </c>
      <c r="N819" t="str">
        <f t="shared" si="109"/>
        <v>Jubilee store LLC</v>
      </c>
      <c r="O819" t="str">
        <f t="shared" si="110"/>
        <v>W1315328634</v>
      </c>
      <c r="P819" t="str">
        <f t="shared" si="111"/>
        <v>CA511AC41KTQ-561732</v>
      </c>
      <c r="Q819" t="str">
        <f t="shared" si="112"/>
        <v>PO045024</v>
      </c>
      <c r="R819" t="str">
        <f t="shared" si="113"/>
        <v>AE-1000W-1A3VDF for Men (Digital Watch, Black)</v>
      </c>
      <c r="S819" t="str">
        <f t="shared" si="114"/>
        <v>SA985691</v>
      </c>
      <c r="T819">
        <f t="shared" si="115"/>
        <v>1</v>
      </c>
      <c r="U819">
        <f t="shared" si="116"/>
        <v>55</v>
      </c>
    </row>
    <row r="820" spans="1:21" x14ac:dyDescent="0.25">
      <c r="A820">
        <f t="shared" si="108"/>
        <v>19</v>
      </c>
      <c r="C820" t="s">
        <v>6352</v>
      </c>
      <c r="D820" t="s">
        <v>6353</v>
      </c>
      <c r="E820" t="s">
        <v>6264</v>
      </c>
      <c r="F820" t="s">
        <v>6354</v>
      </c>
      <c r="G820" t="s">
        <v>6351</v>
      </c>
      <c r="H820" s="2">
        <v>1</v>
      </c>
      <c r="I820" s="2">
        <v>42</v>
      </c>
      <c r="N820" t="str">
        <f t="shared" si="109"/>
        <v>Jubilee store LLC</v>
      </c>
      <c r="O820" t="str">
        <f t="shared" si="110"/>
        <v>W1315370200</v>
      </c>
      <c r="P820" t="str">
        <f t="shared" si="111"/>
        <v>CA511AC83BLO-604402</v>
      </c>
      <c r="Q820" t="str">
        <f t="shared" si="112"/>
        <v>PO045024</v>
      </c>
      <c r="R820" t="str">
        <f t="shared" si="113"/>
        <v>LQ-142LB-4A2DF for Women (Analog Watch, Pink)</v>
      </c>
      <c r="S820" t="str">
        <f t="shared" si="114"/>
        <v>SA986266</v>
      </c>
      <c r="T820">
        <f t="shared" si="115"/>
        <v>1</v>
      </c>
      <c r="U820">
        <f t="shared" si="116"/>
        <v>42</v>
      </c>
    </row>
    <row r="821" spans="1:21" x14ac:dyDescent="0.25">
      <c r="A821">
        <f t="shared" si="108"/>
        <v>19</v>
      </c>
      <c r="C821" t="s">
        <v>6539</v>
      </c>
      <c r="D821" t="s">
        <v>6540</v>
      </c>
      <c r="E821" t="s">
        <v>6264</v>
      </c>
      <c r="F821" t="s">
        <v>6541</v>
      </c>
      <c r="G821" t="s">
        <v>6538</v>
      </c>
      <c r="H821" s="2">
        <v>1</v>
      </c>
      <c r="I821" s="2">
        <v>44</v>
      </c>
      <c r="N821" t="str">
        <f t="shared" si="109"/>
        <v>Jubilee store LLC</v>
      </c>
      <c r="O821" t="str">
        <f t="shared" si="110"/>
        <v>W1315373953</v>
      </c>
      <c r="P821" t="str">
        <f t="shared" si="111"/>
        <v>CA511AC34DHP-611205</v>
      </c>
      <c r="Q821" t="str">
        <f t="shared" si="112"/>
        <v>PO045024</v>
      </c>
      <c r="R821" t="str">
        <f t="shared" si="113"/>
        <v>AW-49HE-7AVDF for Men (Analog-Digital Watch, Black)</v>
      </c>
      <c r="S821" t="str">
        <f t="shared" si="114"/>
        <v>SA988291</v>
      </c>
      <c r="T821">
        <f t="shared" si="115"/>
        <v>1</v>
      </c>
      <c r="U821">
        <f t="shared" si="116"/>
        <v>44</v>
      </c>
    </row>
    <row r="822" spans="1:21" x14ac:dyDescent="0.25">
      <c r="A822">
        <f t="shared" si="108"/>
        <v>20</v>
      </c>
      <c r="B822" t="s">
        <v>174</v>
      </c>
      <c r="C822" t="s">
        <v>3202</v>
      </c>
      <c r="D822" t="s">
        <v>3203</v>
      </c>
      <c r="E822" t="s">
        <v>3205</v>
      </c>
      <c r="F822" t="s">
        <v>3204</v>
      </c>
      <c r="G822" t="s">
        <v>3201</v>
      </c>
      <c r="H822" s="2">
        <v>1</v>
      </c>
      <c r="I822" s="2">
        <v>48</v>
      </c>
      <c r="N822" t="str">
        <f t="shared" si="109"/>
        <v>BAIT AL ARAB LLC</v>
      </c>
      <c r="O822" t="str">
        <f t="shared" si="110"/>
        <v>W1315304768</v>
      </c>
      <c r="P822" t="str">
        <f t="shared" si="111"/>
        <v>JE080BE78GVH-516560</v>
      </c>
      <c r="Q822" t="str">
        <f t="shared" si="112"/>
        <v>UPO011691</v>
      </c>
      <c r="R822" t="str">
        <f t="shared" si="113"/>
        <v>J.Lo Live JNG2010100 for Women (EDP, 100 ml)</v>
      </c>
      <c r="S822" t="str">
        <f t="shared" si="114"/>
        <v>AE61388</v>
      </c>
      <c r="T822">
        <f t="shared" si="115"/>
        <v>1</v>
      </c>
      <c r="U822">
        <f t="shared" si="116"/>
        <v>48</v>
      </c>
    </row>
    <row r="823" spans="1:21" x14ac:dyDescent="0.25">
      <c r="A823">
        <f t="shared" si="108"/>
        <v>20</v>
      </c>
      <c r="C823" t="s">
        <v>3933</v>
      </c>
      <c r="D823" t="s">
        <v>3934</v>
      </c>
      <c r="E823" t="s">
        <v>6139</v>
      </c>
      <c r="F823" t="s">
        <v>3935</v>
      </c>
      <c r="G823" t="s">
        <v>6436</v>
      </c>
      <c r="H823" s="2">
        <v>1</v>
      </c>
      <c r="I823" s="2">
        <v>46</v>
      </c>
      <c r="N823" t="str">
        <f t="shared" si="109"/>
        <v>BAIT AL ARAB LLC</v>
      </c>
      <c r="O823" t="str">
        <f t="shared" si="110"/>
        <v>W1315149696</v>
      </c>
      <c r="P823" t="str">
        <f t="shared" si="111"/>
        <v>EL793AC07DUQ-83923</v>
      </c>
      <c r="Q823" t="str">
        <f t="shared" si="112"/>
        <v>PO044961</v>
      </c>
      <c r="R823" t="str">
        <f t="shared" si="113"/>
        <v>Elizabeth Arden Green Tea Scent Spray for Women - 100 ml - EDP</v>
      </c>
      <c r="S823" t="str">
        <f t="shared" si="114"/>
        <v>SA987138</v>
      </c>
      <c r="T823">
        <f t="shared" si="115"/>
        <v>1</v>
      </c>
      <c r="U823">
        <f t="shared" si="116"/>
        <v>46</v>
      </c>
    </row>
    <row r="824" spans="1:21" x14ac:dyDescent="0.25">
      <c r="A824">
        <f t="shared" si="108"/>
        <v>20</v>
      </c>
      <c r="C824" t="s">
        <v>3972</v>
      </c>
      <c r="D824" t="s">
        <v>3973</v>
      </c>
      <c r="E824" t="s">
        <v>5443</v>
      </c>
      <c r="F824" t="s">
        <v>5442</v>
      </c>
      <c r="G824" t="s">
        <v>5441</v>
      </c>
      <c r="H824" s="2">
        <v>1</v>
      </c>
      <c r="I824" s="2">
        <v>135</v>
      </c>
      <c r="N824" t="str">
        <f t="shared" si="109"/>
        <v>BAIT AL ARAB LLC</v>
      </c>
      <c r="O824" t="str">
        <f t="shared" si="110"/>
        <v>W1315110777</v>
      </c>
      <c r="P824" t="str">
        <f t="shared" si="111"/>
        <v>DO962BE51VZC-29382</v>
      </c>
      <c r="Q824" t="str">
        <f t="shared" si="112"/>
        <v>PO044683</v>
      </c>
      <c r="R824" t="str">
        <f t="shared" si="113"/>
        <v>Dolce &amp; Gabbana Pour Femme for Women - 100 ml - EDP</v>
      </c>
      <c r="S824" t="str">
        <f t="shared" si="114"/>
        <v>SA978109</v>
      </c>
      <c r="T824">
        <f t="shared" si="115"/>
        <v>1</v>
      </c>
      <c r="U824">
        <f t="shared" si="116"/>
        <v>135</v>
      </c>
    </row>
    <row r="825" spans="1:21" x14ac:dyDescent="0.25">
      <c r="A825">
        <f t="shared" si="108"/>
        <v>20</v>
      </c>
      <c r="C825" t="s">
        <v>4044</v>
      </c>
      <c r="D825" t="s">
        <v>4045</v>
      </c>
      <c r="E825" t="s">
        <v>6139</v>
      </c>
      <c r="F825" t="s">
        <v>4046</v>
      </c>
      <c r="G825" t="s">
        <v>6453</v>
      </c>
      <c r="H825" s="2">
        <v>1</v>
      </c>
      <c r="I825" s="2">
        <v>42</v>
      </c>
      <c r="N825" t="str">
        <f t="shared" si="109"/>
        <v>BAIT AL ARAB LLC</v>
      </c>
      <c r="O825" t="str">
        <f t="shared" si="110"/>
        <v>W1315304753</v>
      </c>
      <c r="P825" t="str">
        <f t="shared" si="111"/>
        <v>CA959BE91GUU-516547</v>
      </c>
      <c r="Q825" t="str">
        <f t="shared" si="112"/>
        <v>PO044961</v>
      </c>
      <c r="R825" t="str">
        <f t="shared" si="113"/>
        <v>Pour Homme PUH1064 for Men (EDT, 25 ml)</v>
      </c>
      <c r="S825" t="str">
        <f t="shared" si="114"/>
        <v>SA987313</v>
      </c>
      <c r="T825">
        <f t="shared" si="115"/>
        <v>1</v>
      </c>
      <c r="U825">
        <f t="shared" si="116"/>
        <v>42</v>
      </c>
    </row>
    <row r="826" spans="1:21" x14ac:dyDescent="0.25">
      <c r="A826">
        <f t="shared" si="108"/>
        <v>20</v>
      </c>
      <c r="C826" t="s">
        <v>4742</v>
      </c>
      <c r="D826" t="s">
        <v>4743</v>
      </c>
      <c r="E826" t="s">
        <v>4745</v>
      </c>
      <c r="F826" t="s">
        <v>4744</v>
      </c>
      <c r="G826" t="s">
        <v>4741</v>
      </c>
      <c r="H826" s="2">
        <v>1</v>
      </c>
      <c r="I826" s="2">
        <v>810</v>
      </c>
      <c r="N826" t="str">
        <f t="shared" si="109"/>
        <v>BAIT AL ARAB LLC</v>
      </c>
      <c r="O826" t="str">
        <f t="shared" si="110"/>
        <v>W1315131122</v>
      </c>
      <c r="P826" t="str">
        <f t="shared" si="111"/>
        <v>CR961BE32ZHJ-56869</v>
      </c>
      <c r="Q826" t="str">
        <f t="shared" si="112"/>
        <v>UPO011870</v>
      </c>
      <c r="R826" t="str">
        <f t="shared" si="113"/>
        <v>Creed Aventus for Men - 120 ml - EDP</v>
      </c>
      <c r="S826" t="str">
        <f t="shared" si="114"/>
        <v>AE62098</v>
      </c>
      <c r="T826">
        <f t="shared" si="115"/>
        <v>1</v>
      </c>
      <c r="U826">
        <f t="shared" si="116"/>
        <v>810</v>
      </c>
    </row>
    <row r="827" spans="1:21" x14ac:dyDescent="0.25">
      <c r="A827">
        <f t="shared" si="108"/>
        <v>20</v>
      </c>
      <c r="C827" t="s">
        <v>4756</v>
      </c>
      <c r="D827" t="s">
        <v>4757</v>
      </c>
      <c r="E827" t="s">
        <v>4759</v>
      </c>
      <c r="F827" t="s">
        <v>4758</v>
      </c>
      <c r="G827" t="s">
        <v>4755</v>
      </c>
      <c r="H827" s="2">
        <v>1</v>
      </c>
      <c r="I827" s="2">
        <v>190</v>
      </c>
      <c r="N827" t="str">
        <f t="shared" si="109"/>
        <v>BAIT AL ARAB LLC</v>
      </c>
      <c r="O827" t="str">
        <f t="shared" si="110"/>
        <v>W1315131086</v>
      </c>
      <c r="P827" t="str">
        <f t="shared" si="111"/>
        <v>CA811BE83ZFK-56818</v>
      </c>
      <c r="Q827" t="str">
        <f t="shared" si="112"/>
        <v>UPO011857</v>
      </c>
      <c r="R827" t="str">
        <f t="shared" si="113"/>
        <v>Carolina Herrera 212 Sexy for women - 100 ml - EDP</v>
      </c>
      <c r="S827" t="str">
        <f t="shared" si="114"/>
        <v>AE62033</v>
      </c>
      <c r="T827">
        <f t="shared" si="115"/>
        <v>1</v>
      </c>
      <c r="U827">
        <f t="shared" si="116"/>
        <v>190</v>
      </c>
    </row>
    <row r="828" spans="1:21" x14ac:dyDescent="0.25">
      <c r="A828">
        <f t="shared" si="108"/>
        <v>20</v>
      </c>
      <c r="C828" t="s">
        <v>6136</v>
      </c>
      <c r="D828" t="s">
        <v>6137</v>
      </c>
      <c r="E828" t="s">
        <v>6139</v>
      </c>
      <c r="F828" t="s">
        <v>6138</v>
      </c>
      <c r="G828" t="s">
        <v>6135</v>
      </c>
      <c r="H828" s="2">
        <v>1</v>
      </c>
      <c r="I828" s="2">
        <v>155</v>
      </c>
      <c r="N828" t="str">
        <f t="shared" si="109"/>
        <v>BAIT AL ARAB LLC</v>
      </c>
      <c r="O828" t="str">
        <f t="shared" si="110"/>
        <v>W1315121329</v>
      </c>
      <c r="P828" t="str">
        <f t="shared" si="111"/>
        <v>GU797BE37HRM-37296</v>
      </c>
      <c r="Q828" t="str">
        <f t="shared" si="112"/>
        <v>PO044961</v>
      </c>
      <c r="R828" t="str">
        <f t="shared" si="113"/>
        <v>GUCCI Envy Me for women - 50 ml - EDT</v>
      </c>
      <c r="S828" t="str">
        <f t="shared" si="114"/>
        <v>SA984143</v>
      </c>
      <c r="T828">
        <f t="shared" si="115"/>
        <v>1</v>
      </c>
      <c r="U828">
        <f t="shared" si="116"/>
        <v>155</v>
      </c>
    </row>
    <row r="829" spans="1:21" x14ac:dyDescent="0.25">
      <c r="A829">
        <f t="shared" si="108"/>
        <v>20</v>
      </c>
      <c r="C829" t="s">
        <v>6340</v>
      </c>
      <c r="D829" t="s">
        <v>6341</v>
      </c>
      <c r="E829" t="s">
        <v>6139</v>
      </c>
      <c r="F829" t="s">
        <v>6342</v>
      </c>
      <c r="G829" t="s">
        <v>6339</v>
      </c>
      <c r="H829" s="2">
        <v>1</v>
      </c>
      <c r="I829" s="2">
        <v>215</v>
      </c>
      <c r="N829" t="str">
        <f t="shared" si="109"/>
        <v>BAIT AL ARAB LLC</v>
      </c>
      <c r="O829" t="str">
        <f t="shared" si="110"/>
        <v>W1315105197</v>
      </c>
      <c r="P829" t="str">
        <f t="shared" si="111"/>
        <v>GU798AC01PCG-24732</v>
      </c>
      <c r="Q829" t="str">
        <f t="shared" si="112"/>
        <v>PO044961</v>
      </c>
      <c r="R829" t="str">
        <f t="shared" si="113"/>
        <v>Guerlain Idylle for Women - 100 ml - EDP</v>
      </c>
      <c r="S829" t="str">
        <f t="shared" si="114"/>
        <v>SA986194</v>
      </c>
      <c r="T829">
        <f t="shared" si="115"/>
        <v>1</v>
      </c>
      <c r="U829">
        <f t="shared" si="116"/>
        <v>215</v>
      </c>
    </row>
    <row r="830" spans="1:21" x14ac:dyDescent="0.25">
      <c r="A830">
        <f t="shared" si="108"/>
        <v>20</v>
      </c>
      <c r="G830" t="s">
        <v>6551</v>
      </c>
      <c r="H830" s="2">
        <v>1</v>
      </c>
      <c r="I830" s="2">
        <v>215</v>
      </c>
      <c r="N830" t="str">
        <f t="shared" si="109"/>
        <v>BAIT AL ARAB LLC</v>
      </c>
      <c r="O830" t="str">
        <f t="shared" si="110"/>
        <v>W1315105197</v>
      </c>
      <c r="P830" t="str">
        <f t="shared" si="111"/>
        <v>GU798AC01PCG-24732</v>
      </c>
      <c r="Q830" t="str">
        <f t="shared" si="112"/>
        <v>PO044961</v>
      </c>
      <c r="R830" t="str">
        <f t="shared" si="113"/>
        <v>Guerlain Idylle for Women - 100 ml - EDP</v>
      </c>
      <c r="S830" t="str">
        <f t="shared" si="114"/>
        <v>SA988361</v>
      </c>
      <c r="T830">
        <f t="shared" si="115"/>
        <v>1</v>
      </c>
      <c r="U830">
        <f t="shared" si="116"/>
        <v>215</v>
      </c>
    </row>
    <row r="831" spans="1:21" x14ac:dyDescent="0.25">
      <c r="A831">
        <f t="shared" si="108"/>
        <v>20</v>
      </c>
      <c r="C831" t="s">
        <v>6344</v>
      </c>
      <c r="D831" t="s">
        <v>6345</v>
      </c>
      <c r="E831" t="s">
        <v>6347</v>
      </c>
      <c r="F831" t="s">
        <v>6346</v>
      </c>
      <c r="G831" t="s">
        <v>6343</v>
      </c>
      <c r="H831" s="2">
        <v>1</v>
      </c>
      <c r="I831" s="2">
        <v>178</v>
      </c>
      <c r="N831" t="str">
        <f t="shared" si="109"/>
        <v>BAIT AL ARAB LLC</v>
      </c>
      <c r="O831" t="str">
        <f t="shared" si="110"/>
        <v>W1315100321</v>
      </c>
      <c r="P831" t="str">
        <f t="shared" si="111"/>
        <v>ES795BE10ADL-89</v>
      </c>
      <c r="Q831" t="str">
        <f t="shared" si="112"/>
        <v>PO045031</v>
      </c>
      <c r="R831" t="str">
        <f t="shared" si="113"/>
        <v>Estee Lauder Pleasures for Women - 100 ml - EDP</v>
      </c>
      <c r="S831" t="str">
        <f t="shared" si="114"/>
        <v>SA986206</v>
      </c>
      <c r="T831">
        <f t="shared" si="115"/>
        <v>1</v>
      </c>
      <c r="U831">
        <f t="shared" si="116"/>
        <v>178</v>
      </c>
    </row>
    <row r="832" spans="1:21" x14ac:dyDescent="0.25">
      <c r="A832">
        <f t="shared" si="108"/>
        <v>20</v>
      </c>
      <c r="C832" t="s">
        <v>6480</v>
      </c>
      <c r="D832" t="s">
        <v>6481</v>
      </c>
      <c r="E832" t="s">
        <v>6139</v>
      </c>
      <c r="F832" t="s">
        <v>6482</v>
      </c>
      <c r="G832" t="s">
        <v>6479</v>
      </c>
      <c r="H832" s="2">
        <v>1</v>
      </c>
      <c r="I832" s="2">
        <v>52</v>
      </c>
      <c r="N832" t="str">
        <f t="shared" si="109"/>
        <v>BAIT AL ARAB LLC</v>
      </c>
      <c r="O832" t="str">
        <f t="shared" si="110"/>
        <v>W1315122172</v>
      </c>
      <c r="P832" t="str">
        <f t="shared" si="111"/>
        <v>TE972BE47GUA-36686</v>
      </c>
      <c r="Q832" t="str">
        <f t="shared" si="112"/>
        <v>PO044961</v>
      </c>
      <c r="R832" t="str">
        <f t="shared" si="113"/>
        <v>Ted Lapidus Creation for women - 100 ml - EDT</v>
      </c>
      <c r="S832" t="str">
        <f t="shared" si="114"/>
        <v>SA987709</v>
      </c>
      <c r="T832">
        <f t="shared" si="115"/>
        <v>1</v>
      </c>
      <c r="U832">
        <f t="shared" si="116"/>
        <v>52</v>
      </c>
    </row>
    <row r="833" spans="1:21" x14ac:dyDescent="0.25">
      <c r="A833">
        <f t="shared" si="108"/>
        <v>20</v>
      </c>
      <c r="C833" t="s">
        <v>6506</v>
      </c>
      <c r="D833" t="s">
        <v>6507</v>
      </c>
      <c r="E833" t="s">
        <v>6139</v>
      </c>
      <c r="F833" t="s">
        <v>6508</v>
      </c>
      <c r="G833" t="s">
        <v>6505</v>
      </c>
      <c r="H833" s="2">
        <v>1</v>
      </c>
      <c r="I833" s="2">
        <v>208</v>
      </c>
      <c r="N833" t="str">
        <f t="shared" si="109"/>
        <v>BAIT AL ARAB LLC</v>
      </c>
      <c r="O833" t="str">
        <f t="shared" si="110"/>
        <v>W1315121914</v>
      </c>
      <c r="P833" t="str">
        <f t="shared" si="111"/>
        <v>HE078BE69GHQ-36364</v>
      </c>
      <c r="Q833" t="str">
        <f t="shared" si="112"/>
        <v>PO044961</v>
      </c>
      <c r="R833" t="str">
        <f t="shared" si="113"/>
        <v>Hermes Terre D' Hermes for Men - 100 ml - EDT</v>
      </c>
      <c r="S833" t="str">
        <f t="shared" si="114"/>
        <v>SA987913</v>
      </c>
      <c r="T833">
        <f t="shared" si="115"/>
        <v>1</v>
      </c>
      <c r="U833">
        <f t="shared" si="116"/>
        <v>208</v>
      </c>
    </row>
    <row r="834" spans="1:21" x14ac:dyDescent="0.25">
      <c r="A834">
        <f t="shared" si="108"/>
        <v>20</v>
      </c>
      <c r="C834" t="s">
        <v>6687</v>
      </c>
      <c r="D834" t="s">
        <v>6688</v>
      </c>
      <c r="E834" t="s">
        <v>6347</v>
      </c>
      <c r="F834" t="s">
        <v>6689</v>
      </c>
      <c r="G834" t="s">
        <v>6686</v>
      </c>
      <c r="H834" s="2">
        <v>1</v>
      </c>
      <c r="I834" s="2">
        <v>150</v>
      </c>
      <c r="N834" t="str">
        <f t="shared" si="109"/>
        <v>BAIT AL ARAB LLC</v>
      </c>
      <c r="O834" t="str">
        <f t="shared" si="110"/>
        <v>W1315149293</v>
      </c>
      <c r="P834" t="str">
        <f t="shared" si="111"/>
        <v>VI802AC99CIM-82831</v>
      </c>
      <c r="Q834" t="str">
        <f t="shared" si="112"/>
        <v>PO045031</v>
      </c>
      <c r="R834" t="str">
        <f t="shared" si="113"/>
        <v>Viva New York Briefcase Soft Bag (Size: 39X9X29.5cm, Colour: Black) - NY-1001</v>
      </c>
      <c r="S834" t="str">
        <f t="shared" si="114"/>
        <v>SA989429</v>
      </c>
      <c r="T834">
        <f t="shared" si="115"/>
        <v>1</v>
      </c>
      <c r="U834">
        <f t="shared" si="116"/>
        <v>150</v>
      </c>
    </row>
    <row r="835" spans="1:21" x14ac:dyDescent="0.25">
      <c r="A835">
        <f t="shared" si="108"/>
        <v>21</v>
      </c>
      <c r="B835" t="s">
        <v>373</v>
      </c>
      <c r="C835" t="s">
        <v>3442</v>
      </c>
      <c r="D835" t="s">
        <v>3443</v>
      </c>
      <c r="E835" t="s">
        <v>3444</v>
      </c>
      <c r="F835" t="s">
        <v>4869</v>
      </c>
      <c r="G835" t="s">
        <v>3441</v>
      </c>
      <c r="H835" s="2">
        <v>1</v>
      </c>
      <c r="I835" s="2">
        <v>255</v>
      </c>
      <c r="N835" t="str">
        <f t="shared" si="109"/>
        <v>MID ASIA TRADING (LLC)</v>
      </c>
      <c r="O835" t="str">
        <f t="shared" si="110"/>
        <v>W1315485244</v>
      </c>
      <c r="P835" t="str">
        <f t="shared" si="111"/>
        <v>CA511AC45MPI-724704</v>
      </c>
      <c r="Q835" t="str">
        <f t="shared" si="112"/>
        <v>PO044087</v>
      </c>
      <c r="R835" t="str">
        <f t="shared" si="113"/>
        <v>Digital Grey Dial Watch for Men (G-8900A-7DR)</v>
      </c>
      <c r="S835" t="str">
        <f t="shared" si="114"/>
        <v>SA935518</v>
      </c>
      <c r="T835">
        <f t="shared" si="115"/>
        <v>1</v>
      </c>
      <c r="U835">
        <f t="shared" si="116"/>
        <v>255</v>
      </c>
    </row>
    <row r="836" spans="1:21" x14ac:dyDescent="0.25">
      <c r="A836">
        <f t="shared" ref="A836:A899" si="117">IF(ISBLANK(B836),A835,A835+1)</f>
        <v>21</v>
      </c>
      <c r="C836" t="s">
        <v>5909</v>
      </c>
      <c r="D836" t="s">
        <v>5910</v>
      </c>
      <c r="E836" t="s">
        <v>5912</v>
      </c>
      <c r="F836" t="s">
        <v>5911</v>
      </c>
      <c r="G836" t="s">
        <v>5908</v>
      </c>
      <c r="H836" s="2">
        <v>1</v>
      </c>
      <c r="I836" s="2">
        <v>297</v>
      </c>
      <c r="N836" t="str">
        <f t="shared" si="109"/>
        <v>MID ASIA TRADING (LLC)</v>
      </c>
      <c r="O836" t="str">
        <f t="shared" si="110"/>
        <v>W1315485196</v>
      </c>
      <c r="P836" t="str">
        <f t="shared" si="111"/>
        <v>CA511AC15MMQ-724634</v>
      </c>
      <c r="Q836" t="str">
        <f t="shared" si="112"/>
        <v>PO044960</v>
      </c>
      <c r="R836" t="str">
        <f t="shared" si="113"/>
        <v>Analog-Digital Gold Dial Watch for Women (BGA-160-1BDR)</v>
      </c>
      <c r="S836" t="str">
        <f t="shared" si="114"/>
        <v>SA981823</v>
      </c>
      <c r="T836">
        <f t="shared" si="115"/>
        <v>1</v>
      </c>
      <c r="U836">
        <f t="shared" si="116"/>
        <v>297</v>
      </c>
    </row>
    <row r="837" spans="1:21" x14ac:dyDescent="0.25">
      <c r="A837">
        <f t="shared" si="117"/>
        <v>21</v>
      </c>
      <c r="C837" t="s">
        <v>6319</v>
      </c>
      <c r="D837" t="s">
        <v>6320</v>
      </c>
      <c r="E837" t="s">
        <v>5912</v>
      </c>
      <c r="F837" t="s">
        <v>6321</v>
      </c>
      <c r="G837" t="s">
        <v>6318</v>
      </c>
      <c r="H837" s="2">
        <v>1</v>
      </c>
      <c r="I837" s="2">
        <v>255</v>
      </c>
      <c r="N837" t="str">
        <f t="shared" si="109"/>
        <v>MID ASIA TRADING (LLC)</v>
      </c>
      <c r="O837" t="str">
        <f t="shared" si="110"/>
        <v>W1315485168</v>
      </c>
      <c r="P837" t="str">
        <f t="shared" si="111"/>
        <v>CA511AC45MLM-724604</v>
      </c>
      <c r="Q837" t="str">
        <f t="shared" si="112"/>
        <v>PO044960</v>
      </c>
      <c r="R837" t="str">
        <f t="shared" si="113"/>
        <v>Analog-Digital Black Dial Watch for Men (AW-591BB-1ADR)</v>
      </c>
      <c r="S837" t="str">
        <f t="shared" si="114"/>
        <v>SA986062</v>
      </c>
      <c r="T837">
        <f t="shared" si="115"/>
        <v>1</v>
      </c>
      <c r="U837">
        <f t="shared" si="116"/>
        <v>255</v>
      </c>
    </row>
    <row r="838" spans="1:21" x14ac:dyDescent="0.25">
      <c r="A838">
        <f t="shared" si="117"/>
        <v>22</v>
      </c>
      <c r="B838" t="s">
        <v>220</v>
      </c>
      <c r="C838" t="s">
        <v>4134</v>
      </c>
      <c r="D838" t="s">
        <v>4135</v>
      </c>
      <c r="E838" t="s">
        <v>6205</v>
      </c>
      <c r="F838" t="s">
        <v>4136</v>
      </c>
      <c r="G838" t="s">
        <v>6204</v>
      </c>
      <c r="H838" s="2">
        <v>1</v>
      </c>
      <c r="I838" s="2">
        <v>105</v>
      </c>
      <c r="N838" t="str">
        <f t="shared" ref="N838:N901" si="118">IF(ISBLANK($A838),"",IF(ISBLANK(B838),N837,B838))</f>
        <v>Global Tech General Trading LLC</v>
      </c>
      <c r="O838" t="str">
        <f t="shared" ref="O838:O901" si="119">IF(ISBLANK($A838),"",IF(ISBLANK(C838),O837,C838))</f>
        <v>W1315366196</v>
      </c>
      <c r="P838" t="str">
        <f t="shared" ref="P838:P901" si="120">IF(ISBLANK($A838),"",IF(ISBLANK(D838),P837,D838))</f>
        <v>XI296EL25UDM-598980</v>
      </c>
      <c r="Q838" t="str">
        <f t="shared" ref="Q838:Q901" si="121">IF(ISBLANK($A838),"",IF(ISBLANK(E838),Q837,E838))</f>
        <v>PO044929</v>
      </c>
      <c r="R838" t="str">
        <f t="shared" ref="R838:R901" si="122">IF(ISBLANK($A838),"",IF(ISBLANK(F838),R837,F838))</f>
        <v>Mi Fitness Band 2 with HR and Display (Black)</v>
      </c>
      <c r="S838" t="str">
        <f t="shared" ref="S838:S901" si="123">IF(ISBLANK($A838),"",G838)</f>
        <v>SA985139</v>
      </c>
      <c r="T838">
        <f t="shared" ref="T838:T901" si="124">IF(ISBLANK($A838),"",H838)</f>
        <v>1</v>
      </c>
      <c r="U838">
        <f t="shared" ref="U838:U901" si="125">IF(ISBLANK($A838),"",I838)</f>
        <v>105</v>
      </c>
    </row>
    <row r="839" spans="1:21" x14ac:dyDescent="0.25">
      <c r="A839">
        <f t="shared" si="117"/>
        <v>22</v>
      </c>
      <c r="G839" t="s">
        <v>6303</v>
      </c>
      <c r="H839" s="2">
        <v>1</v>
      </c>
      <c r="I839" s="2">
        <v>105</v>
      </c>
      <c r="N839" t="str">
        <f t="shared" si="118"/>
        <v>Global Tech General Trading LLC</v>
      </c>
      <c r="O839" t="str">
        <f t="shared" si="119"/>
        <v>W1315366196</v>
      </c>
      <c r="P839" t="str">
        <f t="shared" si="120"/>
        <v>XI296EL25UDM-598980</v>
      </c>
      <c r="Q839" t="str">
        <f t="shared" si="121"/>
        <v>PO044929</v>
      </c>
      <c r="R839" t="str">
        <f t="shared" si="122"/>
        <v>Mi Fitness Band 2 with HR and Display (Black)</v>
      </c>
      <c r="S839" t="str">
        <f t="shared" si="123"/>
        <v>SA985959</v>
      </c>
      <c r="T839">
        <f t="shared" si="124"/>
        <v>1</v>
      </c>
      <c r="U839">
        <f t="shared" si="125"/>
        <v>105</v>
      </c>
    </row>
    <row r="840" spans="1:21" x14ac:dyDescent="0.25">
      <c r="A840">
        <f t="shared" si="117"/>
        <v>22</v>
      </c>
      <c r="G840" t="s">
        <v>6315</v>
      </c>
      <c r="H840" s="2">
        <v>1</v>
      </c>
      <c r="I840" s="2">
        <v>105</v>
      </c>
      <c r="N840" t="str">
        <f t="shared" si="118"/>
        <v>Global Tech General Trading LLC</v>
      </c>
      <c r="O840" t="str">
        <f t="shared" si="119"/>
        <v>W1315366196</v>
      </c>
      <c r="P840" t="str">
        <f t="shared" si="120"/>
        <v>XI296EL25UDM-598980</v>
      </c>
      <c r="Q840" t="str">
        <f t="shared" si="121"/>
        <v>PO044929</v>
      </c>
      <c r="R840" t="str">
        <f t="shared" si="122"/>
        <v>Mi Fitness Band 2 with HR and Display (Black)</v>
      </c>
      <c r="S840" t="str">
        <f t="shared" si="123"/>
        <v>SA986023</v>
      </c>
      <c r="T840">
        <f t="shared" si="124"/>
        <v>1</v>
      </c>
      <c r="U840">
        <f t="shared" si="125"/>
        <v>105</v>
      </c>
    </row>
    <row r="841" spans="1:21" x14ac:dyDescent="0.25">
      <c r="A841">
        <f t="shared" si="117"/>
        <v>22</v>
      </c>
      <c r="G841" t="s">
        <v>6337</v>
      </c>
      <c r="H841" s="2">
        <v>1</v>
      </c>
      <c r="I841" s="2">
        <v>105</v>
      </c>
      <c r="N841" t="str">
        <f t="shared" si="118"/>
        <v>Global Tech General Trading LLC</v>
      </c>
      <c r="O841" t="str">
        <f t="shared" si="119"/>
        <v>W1315366196</v>
      </c>
      <c r="P841" t="str">
        <f t="shared" si="120"/>
        <v>XI296EL25UDM-598980</v>
      </c>
      <c r="Q841" t="str">
        <f t="shared" si="121"/>
        <v>PO044929</v>
      </c>
      <c r="R841" t="str">
        <f t="shared" si="122"/>
        <v>Mi Fitness Band 2 with HR and Display (Black)</v>
      </c>
      <c r="S841" t="str">
        <f t="shared" si="123"/>
        <v>SA986142</v>
      </c>
      <c r="T841">
        <f t="shared" si="124"/>
        <v>1</v>
      </c>
      <c r="U841">
        <f t="shared" si="125"/>
        <v>105</v>
      </c>
    </row>
    <row r="842" spans="1:21" x14ac:dyDescent="0.25">
      <c r="A842">
        <f t="shared" si="117"/>
        <v>22</v>
      </c>
      <c r="G842" t="s">
        <v>6338</v>
      </c>
      <c r="H842" s="2">
        <v>1</v>
      </c>
      <c r="I842" s="2">
        <v>105</v>
      </c>
      <c r="N842" t="str">
        <f t="shared" si="118"/>
        <v>Global Tech General Trading LLC</v>
      </c>
      <c r="O842" t="str">
        <f t="shared" si="119"/>
        <v>W1315366196</v>
      </c>
      <c r="P842" t="str">
        <f t="shared" si="120"/>
        <v>XI296EL25UDM-598980</v>
      </c>
      <c r="Q842" t="str">
        <f t="shared" si="121"/>
        <v>PO044929</v>
      </c>
      <c r="R842" t="str">
        <f t="shared" si="122"/>
        <v>Mi Fitness Band 2 with HR and Display (Black)</v>
      </c>
      <c r="S842" t="str">
        <f t="shared" si="123"/>
        <v>SA986143</v>
      </c>
      <c r="T842">
        <f t="shared" si="124"/>
        <v>1</v>
      </c>
      <c r="U842">
        <f t="shared" si="125"/>
        <v>105</v>
      </c>
    </row>
    <row r="843" spans="1:21" x14ac:dyDescent="0.25">
      <c r="A843">
        <f t="shared" si="117"/>
        <v>22</v>
      </c>
      <c r="G843" t="s">
        <v>6348</v>
      </c>
      <c r="H843" s="2">
        <v>1</v>
      </c>
      <c r="I843" s="2">
        <v>105</v>
      </c>
      <c r="N843" t="str">
        <f t="shared" si="118"/>
        <v>Global Tech General Trading LLC</v>
      </c>
      <c r="O843" t="str">
        <f t="shared" si="119"/>
        <v>W1315366196</v>
      </c>
      <c r="P843" t="str">
        <f t="shared" si="120"/>
        <v>XI296EL25UDM-598980</v>
      </c>
      <c r="Q843" t="str">
        <f t="shared" si="121"/>
        <v>PO044929</v>
      </c>
      <c r="R843" t="str">
        <f t="shared" si="122"/>
        <v>Mi Fitness Band 2 with HR and Display (Black)</v>
      </c>
      <c r="S843" t="str">
        <f t="shared" si="123"/>
        <v>SA986235</v>
      </c>
      <c r="T843">
        <f t="shared" si="124"/>
        <v>1</v>
      </c>
      <c r="U843">
        <f t="shared" si="125"/>
        <v>105</v>
      </c>
    </row>
    <row r="844" spans="1:21" x14ac:dyDescent="0.25">
      <c r="A844">
        <f t="shared" si="117"/>
        <v>22</v>
      </c>
      <c r="G844" t="s">
        <v>6368</v>
      </c>
      <c r="H844" s="2">
        <v>1</v>
      </c>
      <c r="I844" s="2">
        <v>105</v>
      </c>
      <c r="N844" t="str">
        <f t="shared" si="118"/>
        <v>Global Tech General Trading LLC</v>
      </c>
      <c r="O844" t="str">
        <f t="shared" si="119"/>
        <v>W1315366196</v>
      </c>
      <c r="P844" t="str">
        <f t="shared" si="120"/>
        <v>XI296EL25UDM-598980</v>
      </c>
      <c r="Q844" t="str">
        <f t="shared" si="121"/>
        <v>PO044929</v>
      </c>
      <c r="R844" t="str">
        <f t="shared" si="122"/>
        <v>Mi Fitness Band 2 with HR and Display (Black)</v>
      </c>
      <c r="S844" t="str">
        <f t="shared" si="123"/>
        <v>SA986306</v>
      </c>
      <c r="T844">
        <f t="shared" si="124"/>
        <v>1</v>
      </c>
      <c r="U844">
        <f t="shared" si="125"/>
        <v>105</v>
      </c>
    </row>
    <row r="845" spans="1:21" x14ac:dyDescent="0.25">
      <c r="A845">
        <f t="shared" si="117"/>
        <v>22</v>
      </c>
      <c r="G845" t="s">
        <v>6369</v>
      </c>
      <c r="H845" s="2">
        <v>1</v>
      </c>
      <c r="I845" s="2">
        <v>105</v>
      </c>
      <c r="N845" t="str">
        <f t="shared" si="118"/>
        <v>Global Tech General Trading LLC</v>
      </c>
      <c r="O845" t="str">
        <f t="shared" si="119"/>
        <v>W1315366196</v>
      </c>
      <c r="P845" t="str">
        <f t="shared" si="120"/>
        <v>XI296EL25UDM-598980</v>
      </c>
      <c r="Q845" t="str">
        <f t="shared" si="121"/>
        <v>PO044929</v>
      </c>
      <c r="R845" t="str">
        <f t="shared" si="122"/>
        <v>Mi Fitness Band 2 with HR and Display (Black)</v>
      </c>
      <c r="S845" t="str">
        <f t="shared" si="123"/>
        <v>SA986307</v>
      </c>
      <c r="T845">
        <f t="shared" si="124"/>
        <v>1</v>
      </c>
      <c r="U845">
        <f t="shared" si="125"/>
        <v>105</v>
      </c>
    </row>
    <row r="846" spans="1:21" x14ac:dyDescent="0.25">
      <c r="A846">
        <f t="shared" si="117"/>
        <v>22</v>
      </c>
      <c r="G846" t="s">
        <v>6370</v>
      </c>
      <c r="H846" s="2">
        <v>1</v>
      </c>
      <c r="I846" s="2">
        <v>105</v>
      </c>
      <c r="N846" t="str">
        <f t="shared" si="118"/>
        <v>Global Tech General Trading LLC</v>
      </c>
      <c r="O846" t="str">
        <f t="shared" si="119"/>
        <v>W1315366196</v>
      </c>
      <c r="P846" t="str">
        <f t="shared" si="120"/>
        <v>XI296EL25UDM-598980</v>
      </c>
      <c r="Q846" t="str">
        <f t="shared" si="121"/>
        <v>PO044929</v>
      </c>
      <c r="R846" t="str">
        <f t="shared" si="122"/>
        <v>Mi Fitness Band 2 with HR and Display (Black)</v>
      </c>
      <c r="S846" t="str">
        <f t="shared" si="123"/>
        <v>SA986308</v>
      </c>
      <c r="T846">
        <f t="shared" si="124"/>
        <v>1</v>
      </c>
      <c r="U846">
        <f t="shared" si="125"/>
        <v>105</v>
      </c>
    </row>
    <row r="847" spans="1:21" x14ac:dyDescent="0.25">
      <c r="A847">
        <f t="shared" si="117"/>
        <v>22</v>
      </c>
      <c r="G847" t="s">
        <v>6437</v>
      </c>
      <c r="H847" s="2">
        <v>1</v>
      </c>
      <c r="I847" s="2">
        <v>105</v>
      </c>
      <c r="N847" t="str">
        <f t="shared" si="118"/>
        <v>Global Tech General Trading LLC</v>
      </c>
      <c r="O847" t="str">
        <f t="shared" si="119"/>
        <v>W1315366196</v>
      </c>
      <c r="P847" t="str">
        <f t="shared" si="120"/>
        <v>XI296EL25UDM-598980</v>
      </c>
      <c r="Q847" t="str">
        <f t="shared" si="121"/>
        <v>PO044929</v>
      </c>
      <c r="R847" t="str">
        <f t="shared" si="122"/>
        <v>Mi Fitness Band 2 with HR and Display (Black)</v>
      </c>
      <c r="S847" t="str">
        <f t="shared" si="123"/>
        <v>SA987142</v>
      </c>
      <c r="T847">
        <f t="shared" si="124"/>
        <v>1</v>
      </c>
      <c r="U847">
        <f t="shared" si="125"/>
        <v>105</v>
      </c>
    </row>
    <row r="848" spans="1:21" x14ac:dyDescent="0.25">
      <c r="A848">
        <f t="shared" si="117"/>
        <v>22</v>
      </c>
      <c r="G848" t="s">
        <v>6483</v>
      </c>
      <c r="H848" s="2">
        <v>1</v>
      </c>
      <c r="I848" s="2">
        <v>105</v>
      </c>
      <c r="N848" t="str">
        <f t="shared" si="118"/>
        <v>Global Tech General Trading LLC</v>
      </c>
      <c r="O848" t="str">
        <f t="shared" si="119"/>
        <v>W1315366196</v>
      </c>
      <c r="P848" t="str">
        <f t="shared" si="120"/>
        <v>XI296EL25UDM-598980</v>
      </c>
      <c r="Q848" t="str">
        <f t="shared" si="121"/>
        <v>PO044929</v>
      </c>
      <c r="R848" t="str">
        <f t="shared" si="122"/>
        <v>Mi Fitness Band 2 with HR and Display (Black)</v>
      </c>
      <c r="S848" t="str">
        <f t="shared" si="123"/>
        <v>SA987735</v>
      </c>
      <c r="T848">
        <f t="shared" si="124"/>
        <v>1</v>
      </c>
      <c r="U848">
        <f t="shared" si="125"/>
        <v>105</v>
      </c>
    </row>
    <row r="849" spans="1:21" x14ac:dyDescent="0.25">
      <c r="A849">
        <f t="shared" si="117"/>
        <v>22</v>
      </c>
      <c r="G849" t="s">
        <v>6557</v>
      </c>
      <c r="H849" s="2">
        <v>1</v>
      </c>
      <c r="I849" s="2">
        <v>105</v>
      </c>
      <c r="N849" t="str">
        <f t="shared" si="118"/>
        <v>Global Tech General Trading LLC</v>
      </c>
      <c r="O849" t="str">
        <f t="shared" si="119"/>
        <v>W1315366196</v>
      </c>
      <c r="P849" t="str">
        <f t="shared" si="120"/>
        <v>XI296EL25UDM-598980</v>
      </c>
      <c r="Q849" t="str">
        <f t="shared" si="121"/>
        <v>PO044929</v>
      </c>
      <c r="R849" t="str">
        <f t="shared" si="122"/>
        <v>Mi Fitness Band 2 with HR and Display (Black)</v>
      </c>
      <c r="S849" t="str">
        <f t="shared" si="123"/>
        <v>SA988503</v>
      </c>
      <c r="T849">
        <f t="shared" si="124"/>
        <v>1</v>
      </c>
      <c r="U849">
        <f t="shared" si="125"/>
        <v>105</v>
      </c>
    </row>
    <row r="850" spans="1:21" x14ac:dyDescent="0.25">
      <c r="A850">
        <f t="shared" si="117"/>
        <v>22</v>
      </c>
      <c r="E850" t="s">
        <v>6685</v>
      </c>
      <c r="F850" t="s">
        <v>4136</v>
      </c>
      <c r="G850" t="s">
        <v>6684</v>
      </c>
      <c r="H850" s="2">
        <v>1</v>
      </c>
      <c r="I850" s="2">
        <v>105</v>
      </c>
      <c r="N850" t="str">
        <f t="shared" si="118"/>
        <v>Global Tech General Trading LLC</v>
      </c>
      <c r="O850" t="str">
        <f t="shared" si="119"/>
        <v>W1315366196</v>
      </c>
      <c r="P850" t="str">
        <f t="shared" si="120"/>
        <v>XI296EL25UDM-598980</v>
      </c>
      <c r="Q850" t="str">
        <f t="shared" si="121"/>
        <v>PO044985</v>
      </c>
      <c r="R850" t="str">
        <f t="shared" si="122"/>
        <v>Mi Fitness Band 2 with HR and Display (Black)</v>
      </c>
      <c r="S850" t="str">
        <f t="shared" si="123"/>
        <v>SA989390</v>
      </c>
      <c r="T850">
        <f t="shared" si="124"/>
        <v>1</v>
      </c>
      <c r="U850">
        <f t="shared" si="125"/>
        <v>105</v>
      </c>
    </row>
    <row r="851" spans="1:21" x14ac:dyDescent="0.25">
      <c r="A851">
        <f t="shared" si="117"/>
        <v>22</v>
      </c>
      <c r="C851" t="s">
        <v>4685</v>
      </c>
      <c r="D851" t="s">
        <v>4686</v>
      </c>
      <c r="E851" t="s">
        <v>5379</v>
      </c>
      <c r="F851" t="s">
        <v>4687</v>
      </c>
      <c r="G851" t="s">
        <v>5378</v>
      </c>
      <c r="H851" s="2">
        <v>1</v>
      </c>
      <c r="I851" s="2">
        <v>60</v>
      </c>
      <c r="N851" t="str">
        <f t="shared" si="118"/>
        <v>Global Tech General Trading LLC</v>
      </c>
      <c r="O851" t="str">
        <f t="shared" si="119"/>
        <v>W1315383340</v>
      </c>
      <c r="P851" t="str">
        <f t="shared" si="120"/>
        <v>MO774EL43MLS-629172</v>
      </c>
      <c r="Q851" t="str">
        <f t="shared" si="121"/>
        <v>PO044875</v>
      </c>
      <c r="R851" t="str">
        <f t="shared" si="122"/>
        <v>Pulse 2 On ear Headphones (White)</v>
      </c>
      <c r="S851" t="str">
        <f t="shared" si="123"/>
        <v>SA977694</v>
      </c>
      <c r="T851">
        <f t="shared" si="124"/>
        <v>1</v>
      </c>
      <c r="U851">
        <f t="shared" si="125"/>
        <v>60</v>
      </c>
    </row>
    <row r="852" spans="1:21" x14ac:dyDescent="0.25">
      <c r="A852">
        <f t="shared" si="117"/>
        <v>23</v>
      </c>
      <c r="B852" t="s">
        <v>105</v>
      </c>
      <c r="C852" t="s">
        <v>3697</v>
      </c>
      <c r="D852" t="s">
        <v>3698</v>
      </c>
      <c r="E852" t="s">
        <v>4954</v>
      </c>
      <c r="F852" t="s">
        <v>3699</v>
      </c>
      <c r="G852" t="s">
        <v>6568</v>
      </c>
      <c r="H852" s="2">
        <v>1</v>
      </c>
      <c r="I852" s="2">
        <v>456</v>
      </c>
      <c r="N852" t="str">
        <f t="shared" si="118"/>
        <v>MUSEUM ZONE GENERAL TRADING LLC</v>
      </c>
      <c r="O852" t="str">
        <f t="shared" si="119"/>
        <v>W1315172849</v>
      </c>
      <c r="P852" t="str">
        <f t="shared" si="120"/>
        <v>DI035AC19FOE-354260</v>
      </c>
      <c r="Q852" t="str">
        <f t="shared" si="121"/>
        <v>PO045029</v>
      </c>
      <c r="R852" t="str">
        <f t="shared" si="122"/>
        <v>Diesel Analog Leather Men's Watch DZ1657</v>
      </c>
      <c r="S852" t="str">
        <f t="shared" si="123"/>
        <v>SA988719</v>
      </c>
      <c r="T852">
        <f t="shared" si="124"/>
        <v>1</v>
      </c>
      <c r="U852">
        <f t="shared" si="125"/>
        <v>456</v>
      </c>
    </row>
    <row r="853" spans="1:21" x14ac:dyDescent="0.25">
      <c r="A853">
        <f t="shared" si="117"/>
        <v>23</v>
      </c>
      <c r="C853" t="s">
        <v>4283</v>
      </c>
      <c r="D853" t="s">
        <v>4284</v>
      </c>
      <c r="E853" t="s">
        <v>4954</v>
      </c>
      <c r="F853" t="s">
        <v>4285</v>
      </c>
      <c r="G853" t="s">
        <v>6472</v>
      </c>
      <c r="H853" s="2">
        <v>1</v>
      </c>
      <c r="I853" s="2">
        <v>554</v>
      </c>
      <c r="N853" t="str">
        <f t="shared" si="118"/>
        <v>MUSEUM ZONE GENERAL TRADING LLC</v>
      </c>
      <c r="O853" t="str">
        <f t="shared" si="119"/>
        <v>W1315102665</v>
      </c>
      <c r="P853" t="str">
        <f t="shared" si="120"/>
        <v>GU094EL14CBH-1397</v>
      </c>
      <c r="Q853" t="str">
        <f t="shared" si="121"/>
        <v>PO045029</v>
      </c>
      <c r="R853" t="str">
        <f t="shared" si="122"/>
        <v>Guess Analog Blue Dial Watch for Men (W0247G3)</v>
      </c>
      <c r="S853" t="str">
        <f t="shared" si="123"/>
        <v>SA987672</v>
      </c>
      <c r="T853">
        <f t="shared" si="124"/>
        <v>1</v>
      </c>
      <c r="U853">
        <f t="shared" si="125"/>
        <v>554</v>
      </c>
    </row>
    <row r="854" spans="1:21" x14ac:dyDescent="0.25">
      <c r="A854">
        <f t="shared" si="117"/>
        <v>23</v>
      </c>
      <c r="C854" t="s">
        <v>4619</v>
      </c>
      <c r="D854" t="s">
        <v>4620</v>
      </c>
      <c r="E854" t="s">
        <v>4991</v>
      </c>
      <c r="F854" t="s">
        <v>4621</v>
      </c>
      <c r="G854" t="s">
        <v>4990</v>
      </c>
      <c r="H854" s="2">
        <v>1</v>
      </c>
      <c r="I854" s="2">
        <v>414</v>
      </c>
      <c r="N854" t="str">
        <f t="shared" si="118"/>
        <v>MUSEUM ZONE GENERAL TRADING LLC</v>
      </c>
      <c r="O854" t="str">
        <f t="shared" si="119"/>
        <v>W1315111520</v>
      </c>
      <c r="P854" t="str">
        <f t="shared" si="120"/>
        <v>DI035AC18WPT-29815</v>
      </c>
      <c r="Q854" t="str">
        <f t="shared" si="121"/>
        <v>PO044855</v>
      </c>
      <c r="R854" t="str">
        <f t="shared" si="122"/>
        <v>Diesel Starship Analog Leather Men's Watch DZ1674</v>
      </c>
      <c r="S854" t="str">
        <f t="shared" si="123"/>
        <v>SA972888</v>
      </c>
      <c r="T854">
        <f t="shared" si="124"/>
        <v>1</v>
      </c>
      <c r="U854">
        <f t="shared" si="125"/>
        <v>414</v>
      </c>
    </row>
    <row r="855" spans="1:21" x14ac:dyDescent="0.25">
      <c r="A855">
        <f t="shared" si="117"/>
        <v>23</v>
      </c>
      <c r="C855" t="s">
        <v>4858</v>
      </c>
      <c r="D855" t="s">
        <v>4859</v>
      </c>
      <c r="E855" t="s">
        <v>4861</v>
      </c>
      <c r="F855" t="s">
        <v>4860</v>
      </c>
      <c r="G855" t="s">
        <v>4857</v>
      </c>
      <c r="H855" s="2">
        <v>1</v>
      </c>
      <c r="I855" s="2">
        <v>180</v>
      </c>
      <c r="N855" t="str">
        <f t="shared" si="118"/>
        <v>MUSEUM ZONE GENERAL TRADING LLC</v>
      </c>
      <c r="O855" t="str">
        <f t="shared" si="119"/>
        <v>W1315327084</v>
      </c>
      <c r="P855" t="str">
        <f t="shared" si="120"/>
        <v>CI983AC61BHQ-580225</v>
      </c>
      <c r="Q855" t="str">
        <f t="shared" si="121"/>
        <v>UPO011869</v>
      </c>
      <c r="R855" t="str">
        <f t="shared" si="122"/>
        <v>EQ0591-56A for Women (Analog Watch, Silver)</v>
      </c>
      <c r="S855" t="str">
        <f t="shared" si="123"/>
        <v>AE61427</v>
      </c>
      <c r="T855">
        <f t="shared" si="124"/>
        <v>1</v>
      </c>
      <c r="U855">
        <f t="shared" si="125"/>
        <v>180</v>
      </c>
    </row>
    <row r="856" spans="1:21" x14ac:dyDescent="0.25">
      <c r="A856">
        <f t="shared" si="117"/>
        <v>23</v>
      </c>
      <c r="C856" t="s">
        <v>4951</v>
      </c>
      <c r="D856" t="s">
        <v>4952</v>
      </c>
      <c r="E856" t="s">
        <v>4954</v>
      </c>
      <c r="F856" t="s">
        <v>4953</v>
      </c>
      <c r="G856" t="s">
        <v>4950</v>
      </c>
      <c r="H856" s="2">
        <v>1</v>
      </c>
      <c r="I856" s="2">
        <v>65</v>
      </c>
      <c r="N856" t="str">
        <f t="shared" si="118"/>
        <v>MUSEUM ZONE GENERAL TRADING LLC</v>
      </c>
      <c r="O856" t="str">
        <f t="shared" si="119"/>
        <v>W1315454569</v>
      </c>
      <c r="P856" t="str">
        <f t="shared" si="120"/>
        <v>CA511AC12DIH-718486</v>
      </c>
      <c r="Q856" t="str">
        <f t="shared" si="121"/>
        <v>PO045029</v>
      </c>
      <c r="R856" t="str">
        <f t="shared" si="122"/>
        <v>Casio Analog Black Dial Watch for Men (MTP-V001GL-1BUDF)</v>
      </c>
      <c r="S856" t="str">
        <f t="shared" si="123"/>
        <v>SA970251</v>
      </c>
      <c r="T856">
        <f t="shared" si="124"/>
        <v>1</v>
      </c>
      <c r="U856">
        <f t="shared" si="125"/>
        <v>65</v>
      </c>
    </row>
    <row r="857" spans="1:21" x14ac:dyDescent="0.25">
      <c r="A857">
        <f t="shared" si="117"/>
        <v>23</v>
      </c>
      <c r="C857" t="s">
        <v>4982</v>
      </c>
      <c r="D857" t="s">
        <v>4983</v>
      </c>
      <c r="E857" t="s">
        <v>4985</v>
      </c>
      <c r="F857" t="s">
        <v>4984</v>
      </c>
      <c r="G857" t="s">
        <v>4981</v>
      </c>
      <c r="H857" s="2">
        <v>1</v>
      </c>
      <c r="I857" s="2">
        <v>581</v>
      </c>
      <c r="N857" t="str">
        <f t="shared" si="118"/>
        <v>MUSEUM ZONE GENERAL TRADING LLC</v>
      </c>
      <c r="O857" t="str">
        <f t="shared" si="119"/>
        <v>W1315326404</v>
      </c>
      <c r="P857" t="str">
        <f t="shared" si="120"/>
        <v>GU094AC21WDQ-530304</v>
      </c>
      <c r="Q857" t="str">
        <f t="shared" si="121"/>
        <v>PO044681</v>
      </c>
      <c r="R857" t="str">
        <f t="shared" si="122"/>
        <v>W0864G1 for Men (Analog-Chronograph Watch, Grey)</v>
      </c>
      <c r="S857" t="str">
        <f t="shared" si="123"/>
        <v>SA972708</v>
      </c>
      <c r="T857">
        <f t="shared" si="124"/>
        <v>1</v>
      </c>
      <c r="U857">
        <f t="shared" si="125"/>
        <v>581</v>
      </c>
    </row>
    <row r="858" spans="1:21" x14ac:dyDescent="0.25">
      <c r="A858">
        <f t="shared" si="117"/>
        <v>23</v>
      </c>
      <c r="C858" t="s">
        <v>5291</v>
      </c>
      <c r="D858" t="s">
        <v>5292</v>
      </c>
      <c r="E858" t="s">
        <v>4985</v>
      </c>
      <c r="F858" t="s">
        <v>5293</v>
      </c>
      <c r="G858" t="s">
        <v>5290</v>
      </c>
      <c r="H858" s="2">
        <v>1</v>
      </c>
      <c r="I858" s="2">
        <v>735</v>
      </c>
      <c r="N858" t="str">
        <f t="shared" si="118"/>
        <v>MUSEUM ZONE GENERAL TRADING LLC</v>
      </c>
      <c r="O858" t="str">
        <f t="shared" si="119"/>
        <v>W1315192023</v>
      </c>
      <c r="P858" t="str">
        <f t="shared" si="120"/>
        <v>MI534AC02SWZ-372720</v>
      </c>
      <c r="Q858" t="str">
        <f t="shared" si="121"/>
        <v>PO044681</v>
      </c>
      <c r="R858" t="str">
        <f t="shared" si="122"/>
        <v>Michael Kors Analog MK3405 Women's Watch</v>
      </c>
      <c r="S858" t="str">
        <f t="shared" si="123"/>
        <v>SA976245</v>
      </c>
      <c r="T858">
        <f t="shared" si="124"/>
        <v>1</v>
      </c>
      <c r="U858">
        <f t="shared" si="125"/>
        <v>735</v>
      </c>
    </row>
    <row r="859" spans="1:21" x14ac:dyDescent="0.25">
      <c r="A859">
        <f t="shared" si="117"/>
        <v>23</v>
      </c>
      <c r="C859" t="s">
        <v>5553</v>
      </c>
      <c r="D859" t="s">
        <v>5554</v>
      </c>
      <c r="E859" t="s">
        <v>4991</v>
      </c>
      <c r="F859" t="s">
        <v>5555</v>
      </c>
      <c r="G859" t="s">
        <v>5552</v>
      </c>
      <c r="H859" s="2">
        <v>1</v>
      </c>
      <c r="I859" s="2">
        <v>428</v>
      </c>
      <c r="N859" t="str">
        <f t="shared" si="118"/>
        <v>MUSEUM ZONE GENERAL TRADING LLC</v>
      </c>
      <c r="O859" t="str">
        <f t="shared" si="119"/>
        <v>W1315400576</v>
      </c>
      <c r="P859" t="str">
        <f t="shared" si="120"/>
        <v>CI983AC90ESV-645868</v>
      </c>
      <c r="Q859" t="str">
        <f t="shared" si="121"/>
        <v>PO044855</v>
      </c>
      <c r="R859" t="str">
        <f t="shared" si="122"/>
        <v>EM0252-06A for Women (Analog Watch, Beige)</v>
      </c>
      <c r="S859" t="str">
        <f t="shared" si="123"/>
        <v>SA979622</v>
      </c>
      <c r="T859">
        <f t="shared" si="124"/>
        <v>1</v>
      </c>
      <c r="U859">
        <f t="shared" si="125"/>
        <v>428</v>
      </c>
    </row>
    <row r="860" spans="1:21" x14ac:dyDescent="0.25">
      <c r="A860">
        <f t="shared" si="117"/>
        <v>23</v>
      </c>
      <c r="C860" t="s">
        <v>6005</v>
      </c>
      <c r="D860" t="s">
        <v>6006</v>
      </c>
      <c r="E860" t="s">
        <v>4991</v>
      </c>
      <c r="F860" t="s">
        <v>6007</v>
      </c>
      <c r="G860" t="s">
        <v>6004</v>
      </c>
      <c r="H860" s="2">
        <v>1</v>
      </c>
      <c r="I860" s="2">
        <v>527</v>
      </c>
      <c r="N860" t="str">
        <f t="shared" si="118"/>
        <v>MUSEUM ZONE GENERAL TRADING LLC</v>
      </c>
      <c r="O860" t="str">
        <f t="shared" si="119"/>
        <v>W1315510320</v>
      </c>
      <c r="P860" t="str">
        <f t="shared" si="120"/>
        <v>GU094AC02WDD-736437</v>
      </c>
      <c r="Q860" t="str">
        <f t="shared" si="121"/>
        <v>PO044855</v>
      </c>
      <c r="R860" t="str">
        <f t="shared" si="122"/>
        <v>Analog White Dial Watch for Women (W0826L2)</v>
      </c>
      <c r="S860" t="str">
        <f t="shared" si="123"/>
        <v>SA982703</v>
      </c>
      <c r="T860">
        <f t="shared" si="124"/>
        <v>1</v>
      </c>
      <c r="U860">
        <f t="shared" si="125"/>
        <v>527</v>
      </c>
    </row>
    <row r="861" spans="1:21" x14ac:dyDescent="0.25">
      <c r="A861">
        <f t="shared" si="117"/>
        <v>23</v>
      </c>
      <c r="C861" t="s">
        <v>6084</v>
      </c>
      <c r="D861" t="s">
        <v>6085</v>
      </c>
      <c r="E861" t="s">
        <v>4991</v>
      </c>
      <c r="F861" t="s">
        <v>6086</v>
      </c>
      <c r="G861" t="s">
        <v>6083</v>
      </c>
      <c r="H861" s="2">
        <v>1</v>
      </c>
      <c r="I861" s="2">
        <v>735</v>
      </c>
      <c r="N861" t="str">
        <f t="shared" si="118"/>
        <v>MUSEUM ZONE GENERAL TRADING LLC</v>
      </c>
      <c r="O861" t="str">
        <f t="shared" si="119"/>
        <v>W1315172948</v>
      </c>
      <c r="P861" t="str">
        <f t="shared" si="120"/>
        <v>DI035AC57FQO-354322</v>
      </c>
      <c r="Q861" t="str">
        <f t="shared" si="121"/>
        <v>PO044855</v>
      </c>
      <c r="R861" t="str">
        <f t="shared" si="122"/>
        <v>Diesel Analog Stainless Steel Women's Watch DZ5473</v>
      </c>
      <c r="S861" t="str">
        <f t="shared" si="123"/>
        <v>SA983595</v>
      </c>
      <c r="T861">
        <f t="shared" si="124"/>
        <v>1</v>
      </c>
      <c r="U861">
        <f t="shared" si="125"/>
        <v>735</v>
      </c>
    </row>
    <row r="862" spans="1:21" x14ac:dyDescent="0.25">
      <c r="A862">
        <f t="shared" si="117"/>
        <v>23</v>
      </c>
      <c r="C862" t="s">
        <v>6094</v>
      </c>
      <c r="D862" t="s">
        <v>6095</v>
      </c>
      <c r="E862" t="s">
        <v>6097</v>
      </c>
      <c r="F862" t="s">
        <v>6096</v>
      </c>
      <c r="G862" t="s">
        <v>6093</v>
      </c>
      <c r="H862" s="2">
        <v>1</v>
      </c>
      <c r="I862" s="2">
        <v>598</v>
      </c>
      <c r="N862" t="str">
        <f t="shared" si="118"/>
        <v>MUSEUM ZONE GENERAL TRADING LLC</v>
      </c>
      <c r="O862" t="str">
        <f t="shared" si="119"/>
        <v>W1315255453</v>
      </c>
      <c r="P862" t="str">
        <f t="shared" si="120"/>
        <v>GU094AC70BPD-446468</v>
      </c>
      <c r="Q862" t="str">
        <f t="shared" si="121"/>
        <v>PO044890</v>
      </c>
      <c r="R862" t="str">
        <f t="shared" si="122"/>
        <v>Guess Sunrise Analog-Chronograph Gold Dial Watch for Women (W0330L2)</v>
      </c>
      <c r="S862" t="str">
        <f t="shared" si="123"/>
        <v>SA983761</v>
      </c>
      <c r="T862">
        <f t="shared" si="124"/>
        <v>1</v>
      </c>
      <c r="U862">
        <f t="shared" si="125"/>
        <v>598</v>
      </c>
    </row>
    <row r="863" spans="1:21" x14ac:dyDescent="0.25">
      <c r="A863">
        <f t="shared" si="117"/>
        <v>23</v>
      </c>
      <c r="C863" t="s">
        <v>6121</v>
      </c>
      <c r="D863" t="s">
        <v>6122</v>
      </c>
      <c r="E863" t="s">
        <v>4991</v>
      </c>
      <c r="F863" t="s">
        <v>6123</v>
      </c>
      <c r="G863" t="s">
        <v>6120</v>
      </c>
      <c r="H863" s="2">
        <v>1</v>
      </c>
      <c r="I863" s="2">
        <v>735</v>
      </c>
      <c r="N863" t="str">
        <f t="shared" si="118"/>
        <v>MUSEUM ZONE GENERAL TRADING LLC</v>
      </c>
      <c r="O863" t="str">
        <f t="shared" si="119"/>
        <v>W1315191946</v>
      </c>
      <c r="P863" t="str">
        <f t="shared" si="120"/>
        <v>MI534AC79SUA-372643</v>
      </c>
      <c r="Q863" t="str">
        <f t="shared" si="121"/>
        <v>PO044855</v>
      </c>
      <c r="R863" t="str">
        <f t="shared" si="122"/>
        <v>Michael Kors Analog-Chronograph MK5626 Women's Watch</v>
      </c>
      <c r="S863" t="str">
        <f t="shared" si="123"/>
        <v>SA983992</v>
      </c>
      <c r="T863">
        <f t="shared" si="124"/>
        <v>1</v>
      </c>
      <c r="U863">
        <f t="shared" si="125"/>
        <v>735</v>
      </c>
    </row>
    <row r="864" spans="1:21" x14ac:dyDescent="0.25">
      <c r="A864">
        <f t="shared" si="117"/>
        <v>23</v>
      </c>
      <c r="C864" t="s">
        <v>6125</v>
      </c>
      <c r="D864" t="s">
        <v>6126</v>
      </c>
      <c r="E864" t="s">
        <v>4991</v>
      </c>
      <c r="F864" t="s">
        <v>6127</v>
      </c>
      <c r="G864" t="s">
        <v>6124</v>
      </c>
      <c r="H864" s="2">
        <v>1</v>
      </c>
      <c r="I864" s="2">
        <v>270</v>
      </c>
      <c r="N864" t="str">
        <f t="shared" si="118"/>
        <v>MUSEUM ZONE GENERAL TRADING LLC</v>
      </c>
      <c r="O864" t="str">
        <f t="shared" si="119"/>
        <v>W1315326619</v>
      </c>
      <c r="P864" t="str">
        <f t="shared" si="120"/>
        <v>CI983AC15AXW-579971</v>
      </c>
      <c r="Q864" t="str">
        <f t="shared" si="121"/>
        <v>PO044855</v>
      </c>
      <c r="R864" t="str">
        <f t="shared" si="122"/>
        <v>AG8357-55A for Men (Analog-Chronograph Watch, Silver)</v>
      </c>
      <c r="S864" t="str">
        <f t="shared" si="123"/>
        <v>SA984083</v>
      </c>
      <c r="T864">
        <f t="shared" si="124"/>
        <v>1</v>
      </c>
      <c r="U864">
        <f t="shared" si="125"/>
        <v>270</v>
      </c>
    </row>
    <row r="865" spans="1:21" x14ac:dyDescent="0.25">
      <c r="A865">
        <f t="shared" si="117"/>
        <v>23</v>
      </c>
      <c r="C865" t="s">
        <v>6365</v>
      </c>
      <c r="D865" t="s">
        <v>6366</v>
      </c>
      <c r="E865" t="s">
        <v>4954</v>
      </c>
      <c r="F865" t="s">
        <v>6367</v>
      </c>
      <c r="G865" t="s">
        <v>6364</v>
      </c>
      <c r="H865" s="2">
        <v>1</v>
      </c>
      <c r="I865" s="2">
        <v>190</v>
      </c>
      <c r="N865" t="str">
        <f t="shared" si="118"/>
        <v>MUSEUM ZONE GENERAL TRADING LLC</v>
      </c>
      <c r="O865" t="str">
        <f t="shared" si="119"/>
        <v>W1315326774</v>
      </c>
      <c r="P865" t="str">
        <f t="shared" si="120"/>
        <v>CI983AC61BLM-580325</v>
      </c>
      <c r="Q865" t="str">
        <f t="shared" si="121"/>
        <v>PO045029</v>
      </c>
      <c r="R865" t="str">
        <f t="shared" si="122"/>
        <v>BF2013-05P for Men (Analog Watch, Browns)</v>
      </c>
      <c r="S865" t="str">
        <f t="shared" si="123"/>
        <v>SA986300</v>
      </c>
      <c r="T865">
        <f t="shared" si="124"/>
        <v>1</v>
      </c>
      <c r="U865">
        <f t="shared" si="125"/>
        <v>190</v>
      </c>
    </row>
    <row r="866" spans="1:21" x14ac:dyDescent="0.25">
      <c r="A866">
        <f t="shared" si="117"/>
        <v>23</v>
      </c>
      <c r="C866" t="s">
        <v>6381</v>
      </c>
      <c r="D866" t="s">
        <v>6382</v>
      </c>
      <c r="E866" t="s">
        <v>4954</v>
      </c>
      <c r="F866" t="s">
        <v>6383</v>
      </c>
      <c r="G866" t="s">
        <v>6380</v>
      </c>
      <c r="H866" s="2">
        <v>1</v>
      </c>
      <c r="I866" s="2">
        <v>55</v>
      </c>
      <c r="N866" t="str">
        <f t="shared" si="118"/>
        <v>MUSEUM ZONE GENERAL TRADING LLC</v>
      </c>
      <c r="O866" t="str">
        <f t="shared" si="119"/>
        <v>W1315374179</v>
      </c>
      <c r="P866" t="str">
        <f t="shared" si="120"/>
        <v>CA511AC46DWN-611593</v>
      </c>
      <c r="Q866" t="str">
        <f t="shared" si="121"/>
        <v>PO045029</v>
      </c>
      <c r="R866" t="str">
        <f t="shared" si="122"/>
        <v>MW-240-1BVDF for Men (Analog Watch, Black)</v>
      </c>
      <c r="S866" t="str">
        <f t="shared" si="123"/>
        <v>SA986537</v>
      </c>
      <c r="T866">
        <f t="shared" si="124"/>
        <v>1</v>
      </c>
      <c r="U866">
        <f t="shared" si="125"/>
        <v>55</v>
      </c>
    </row>
    <row r="867" spans="1:21" x14ac:dyDescent="0.25">
      <c r="A867">
        <f t="shared" si="117"/>
        <v>23</v>
      </c>
      <c r="C867" t="s">
        <v>6393</v>
      </c>
      <c r="D867" t="s">
        <v>6394</v>
      </c>
      <c r="E867" t="s">
        <v>4954</v>
      </c>
      <c r="F867" t="s">
        <v>6395</v>
      </c>
      <c r="G867" t="s">
        <v>6392</v>
      </c>
      <c r="H867" s="2">
        <v>1</v>
      </c>
      <c r="I867" s="2">
        <v>609</v>
      </c>
      <c r="N867" t="str">
        <f t="shared" si="118"/>
        <v>MUSEUM ZONE GENERAL TRADING LLC</v>
      </c>
      <c r="O867" t="str">
        <f t="shared" si="119"/>
        <v>W1315326400</v>
      </c>
      <c r="P867" t="str">
        <f t="shared" si="120"/>
        <v>GU094AC25WDM-530300</v>
      </c>
      <c r="Q867" t="str">
        <f t="shared" si="121"/>
        <v>PO045029</v>
      </c>
      <c r="R867" t="str">
        <f t="shared" si="122"/>
        <v>Analog Blue Watch for Women (W0836L1)</v>
      </c>
      <c r="S867" t="str">
        <f t="shared" si="123"/>
        <v>SA986641</v>
      </c>
      <c r="T867">
        <f t="shared" si="124"/>
        <v>1</v>
      </c>
      <c r="U867">
        <f t="shared" si="125"/>
        <v>609</v>
      </c>
    </row>
    <row r="868" spans="1:21" x14ac:dyDescent="0.25">
      <c r="A868">
        <f t="shared" si="117"/>
        <v>23</v>
      </c>
      <c r="C868" t="s">
        <v>6598</v>
      </c>
      <c r="D868" t="s">
        <v>6599</v>
      </c>
      <c r="E868" t="s">
        <v>4954</v>
      </c>
      <c r="F868" t="s">
        <v>6600</v>
      </c>
      <c r="G868" t="s">
        <v>6597</v>
      </c>
      <c r="H868" s="2">
        <v>1</v>
      </c>
      <c r="I868" s="2">
        <v>570</v>
      </c>
      <c r="N868" t="str">
        <f t="shared" si="118"/>
        <v>MUSEUM ZONE GENERAL TRADING LLC</v>
      </c>
      <c r="O868" t="str">
        <f t="shared" si="119"/>
        <v>W1315400626</v>
      </c>
      <c r="P868" t="str">
        <f t="shared" si="120"/>
        <v>CI983AC56EUD-645902</v>
      </c>
      <c r="Q868" t="str">
        <f t="shared" si="121"/>
        <v>PO045029</v>
      </c>
      <c r="R868" t="str">
        <f t="shared" si="122"/>
        <v>AU1077-83H for Men (Analog Watch, Black)</v>
      </c>
      <c r="S868" t="str">
        <f t="shared" si="123"/>
        <v>SA988931</v>
      </c>
      <c r="T868">
        <f t="shared" si="124"/>
        <v>1</v>
      </c>
      <c r="U868">
        <f t="shared" si="125"/>
        <v>570</v>
      </c>
    </row>
    <row r="869" spans="1:21" x14ac:dyDescent="0.25">
      <c r="A869">
        <f t="shared" si="117"/>
        <v>23</v>
      </c>
      <c r="C869" t="s">
        <v>6602</v>
      </c>
      <c r="D869" t="s">
        <v>6603</v>
      </c>
      <c r="E869" t="s">
        <v>4954</v>
      </c>
      <c r="F869" t="s">
        <v>6604</v>
      </c>
      <c r="G869" t="s">
        <v>6601</v>
      </c>
      <c r="H869" s="2">
        <v>1</v>
      </c>
      <c r="I869" s="2">
        <v>180</v>
      </c>
      <c r="N869" t="str">
        <f t="shared" si="118"/>
        <v>MUSEUM ZONE GENERAL TRADING LLC</v>
      </c>
      <c r="O869" t="str">
        <f t="shared" si="119"/>
        <v>W1315400770</v>
      </c>
      <c r="P869" t="str">
        <f t="shared" si="120"/>
        <v>CI983AC16EGH-645222</v>
      </c>
      <c r="Q869" t="str">
        <f t="shared" si="121"/>
        <v>PO045029</v>
      </c>
      <c r="R869" t="str">
        <f t="shared" si="122"/>
        <v>BH1671-04E for Men (Analog Watch, Black)</v>
      </c>
      <c r="S869" t="str">
        <f t="shared" si="123"/>
        <v>SA988932</v>
      </c>
      <c r="T869">
        <f t="shared" si="124"/>
        <v>1</v>
      </c>
      <c r="U869">
        <f t="shared" si="125"/>
        <v>180</v>
      </c>
    </row>
    <row r="870" spans="1:21" x14ac:dyDescent="0.25">
      <c r="A870">
        <f t="shared" si="117"/>
        <v>24</v>
      </c>
      <c r="B870" t="s">
        <v>3221</v>
      </c>
      <c r="C870" t="s">
        <v>3217</v>
      </c>
      <c r="D870" t="s">
        <v>3218</v>
      </c>
      <c r="E870" t="s">
        <v>3220</v>
      </c>
      <c r="F870" t="s">
        <v>3219</v>
      </c>
      <c r="G870" t="s">
        <v>3216</v>
      </c>
      <c r="H870" s="2">
        <v>1</v>
      </c>
      <c r="I870" s="2">
        <v>200</v>
      </c>
      <c r="N870" t="str">
        <f t="shared" si="118"/>
        <v>Universal Holdings, LLC</v>
      </c>
      <c r="O870" t="str">
        <f t="shared" si="119"/>
        <v>W1315263250</v>
      </c>
      <c r="P870" t="str">
        <f t="shared" si="120"/>
        <v>FU844EL95VFS-467621</v>
      </c>
      <c r="Q870" t="str">
        <f t="shared" si="121"/>
        <v>UPO011126</v>
      </c>
      <c r="R870" t="str">
        <f t="shared" si="122"/>
        <v>Instax Mini 8 Instant Camera (Raspberry)</v>
      </c>
      <c r="S870" t="str">
        <f t="shared" si="123"/>
        <v>AE59072</v>
      </c>
      <c r="T870">
        <f t="shared" si="124"/>
        <v>1</v>
      </c>
      <c r="U870">
        <f t="shared" si="125"/>
        <v>200</v>
      </c>
    </row>
    <row r="871" spans="1:21" x14ac:dyDescent="0.25">
      <c r="A871">
        <f t="shared" si="117"/>
        <v>25</v>
      </c>
      <c r="B871" t="s">
        <v>2192</v>
      </c>
      <c r="C871" t="s">
        <v>3223</v>
      </c>
      <c r="D871" t="s">
        <v>3224</v>
      </c>
      <c r="E871" t="s">
        <v>3226</v>
      </c>
      <c r="F871" t="s">
        <v>3225</v>
      </c>
      <c r="G871" t="s">
        <v>3222</v>
      </c>
      <c r="H871" s="2">
        <v>1</v>
      </c>
      <c r="I871" s="2">
        <v>457</v>
      </c>
      <c r="N871" t="str">
        <f t="shared" si="118"/>
        <v>LDHS General Trading (mobiles)</v>
      </c>
      <c r="O871" t="str">
        <f t="shared" si="119"/>
        <v>W1315432998</v>
      </c>
      <c r="P871" t="str">
        <f t="shared" si="120"/>
        <v>AR532AC72KGT-683473</v>
      </c>
      <c r="Q871" t="str">
        <f t="shared" si="121"/>
        <v>PO040845</v>
      </c>
      <c r="R871" t="str">
        <f t="shared" si="122"/>
        <v>AX2221 Digital Watch for Men (Black)</v>
      </c>
      <c r="S871" t="str">
        <f t="shared" si="123"/>
        <v>SA815360</v>
      </c>
      <c r="T871">
        <f t="shared" si="124"/>
        <v>1</v>
      </c>
      <c r="U871">
        <f t="shared" si="125"/>
        <v>457</v>
      </c>
    </row>
    <row r="872" spans="1:21" x14ac:dyDescent="0.25">
      <c r="A872">
        <f t="shared" si="117"/>
        <v>25</v>
      </c>
      <c r="C872" t="s">
        <v>3228</v>
      </c>
      <c r="D872" t="s">
        <v>3229</v>
      </c>
      <c r="E872" t="s">
        <v>3231</v>
      </c>
      <c r="F872" t="s">
        <v>3230</v>
      </c>
      <c r="G872" t="s">
        <v>3227</v>
      </c>
      <c r="H872" s="2">
        <v>1</v>
      </c>
      <c r="I872" s="2">
        <v>270</v>
      </c>
      <c r="N872" t="str">
        <f t="shared" si="118"/>
        <v>LDHS General Trading (mobiles)</v>
      </c>
      <c r="O872" t="str">
        <f t="shared" si="119"/>
        <v>W1315375054</v>
      </c>
      <c r="P872" t="str">
        <f t="shared" si="120"/>
        <v>SK034SH33CZY-607464</v>
      </c>
      <c r="Q872" t="str">
        <f t="shared" si="121"/>
        <v>PO040987</v>
      </c>
      <c r="R872" t="str">
        <f t="shared" si="122"/>
        <v>Sport Men's Energy Afterburn Lace-Up Sneaker, Black</v>
      </c>
      <c r="S872" t="str">
        <f t="shared" si="123"/>
        <v>SA825156</v>
      </c>
      <c r="T872">
        <f t="shared" si="124"/>
        <v>1</v>
      </c>
      <c r="U872">
        <f t="shared" si="125"/>
        <v>270</v>
      </c>
    </row>
    <row r="873" spans="1:21" x14ac:dyDescent="0.25">
      <c r="A873">
        <f t="shared" si="117"/>
        <v>25</v>
      </c>
      <c r="C873" t="s">
        <v>3233</v>
      </c>
      <c r="D873" t="s">
        <v>3234</v>
      </c>
      <c r="E873" t="s">
        <v>3236</v>
      </c>
      <c r="F873" t="s">
        <v>3235</v>
      </c>
      <c r="G873" t="s">
        <v>3232</v>
      </c>
      <c r="H873" s="2">
        <v>1</v>
      </c>
      <c r="I873" s="2">
        <v>517</v>
      </c>
      <c r="N873" t="str">
        <f t="shared" si="118"/>
        <v>LDHS General Trading (mobiles)</v>
      </c>
      <c r="O873" t="str">
        <f t="shared" si="119"/>
        <v>W1315379321</v>
      </c>
      <c r="P873" t="str">
        <f t="shared" si="120"/>
        <v>AD476SH90DFL-610331</v>
      </c>
      <c r="Q873" t="str">
        <f t="shared" si="121"/>
        <v>PO041457</v>
      </c>
      <c r="R873" t="str">
        <f t="shared" si="122"/>
        <v>Performance Men's Pureboost ZG Running Shoes, Green</v>
      </c>
      <c r="S873" t="str">
        <f t="shared" si="123"/>
        <v>SA833326</v>
      </c>
      <c r="T873">
        <f t="shared" si="124"/>
        <v>1</v>
      </c>
      <c r="U873">
        <f t="shared" si="125"/>
        <v>517</v>
      </c>
    </row>
    <row r="874" spans="1:21" x14ac:dyDescent="0.25">
      <c r="A874">
        <f t="shared" si="117"/>
        <v>26</v>
      </c>
      <c r="B874" t="s">
        <v>1273</v>
      </c>
      <c r="C874" t="s">
        <v>3238</v>
      </c>
      <c r="D874" t="s">
        <v>3239</v>
      </c>
      <c r="E874" t="s">
        <v>3241</v>
      </c>
      <c r="F874" t="s">
        <v>3240</v>
      </c>
      <c r="G874" t="s">
        <v>3237</v>
      </c>
      <c r="H874" s="2">
        <v>1</v>
      </c>
      <c r="I874" s="2">
        <v>280</v>
      </c>
      <c r="N874" t="str">
        <f t="shared" si="118"/>
        <v>Optoline LLC</v>
      </c>
      <c r="O874" t="str">
        <f t="shared" si="119"/>
        <v>W1315102389</v>
      </c>
      <c r="P874" t="str">
        <f t="shared" si="120"/>
        <v>RA736AC20BDZ-778</v>
      </c>
      <c r="Q874" t="str">
        <f t="shared" si="121"/>
        <v>PO042785</v>
      </c>
      <c r="R874" t="str">
        <f t="shared" si="122"/>
        <v>Ray Ban RB3025-003 Aviator Light Blue Shaded Unisex Sunglasses - RB3025-003/3F-58</v>
      </c>
      <c r="S874" t="str">
        <f t="shared" si="123"/>
        <v>SA842231</v>
      </c>
      <c r="T874">
        <f t="shared" si="124"/>
        <v>1</v>
      </c>
      <c r="U874">
        <f t="shared" si="125"/>
        <v>280</v>
      </c>
    </row>
    <row r="875" spans="1:21" x14ac:dyDescent="0.25">
      <c r="A875">
        <f t="shared" si="117"/>
        <v>26</v>
      </c>
      <c r="C875" t="s">
        <v>3243</v>
      </c>
      <c r="D875" t="s">
        <v>3244</v>
      </c>
      <c r="E875" t="s">
        <v>3246</v>
      </c>
      <c r="F875" t="s">
        <v>3245</v>
      </c>
      <c r="G875" t="s">
        <v>3242</v>
      </c>
      <c r="H875" s="2">
        <v>1</v>
      </c>
      <c r="I875" s="2">
        <v>180</v>
      </c>
      <c r="N875" t="str">
        <f t="shared" si="118"/>
        <v>Optoline LLC</v>
      </c>
      <c r="O875" t="str">
        <f t="shared" si="119"/>
        <v>W1315370651</v>
      </c>
      <c r="P875" t="str">
        <f t="shared" si="120"/>
        <v>CA983AC82BDX-604146</v>
      </c>
      <c r="Q875" t="str">
        <f t="shared" si="121"/>
        <v>PO041996</v>
      </c>
      <c r="R875" t="str">
        <f t="shared" si="122"/>
        <v>Round Sunglasses for Men (GRANDPRIX-T4M90, Brown)</v>
      </c>
      <c r="S875" t="str">
        <f t="shared" si="123"/>
        <v>SA864764</v>
      </c>
      <c r="T875">
        <f t="shared" si="124"/>
        <v>1</v>
      </c>
      <c r="U875">
        <f t="shared" si="125"/>
        <v>180</v>
      </c>
    </row>
    <row r="876" spans="1:21" x14ac:dyDescent="0.25">
      <c r="A876">
        <f t="shared" si="117"/>
        <v>26</v>
      </c>
      <c r="C876" t="s">
        <v>3248</v>
      </c>
      <c r="D876" t="s">
        <v>3249</v>
      </c>
      <c r="E876" t="s">
        <v>3251</v>
      </c>
      <c r="F876" t="s">
        <v>3250</v>
      </c>
      <c r="G876" t="s">
        <v>3247</v>
      </c>
      <c r="H876" s="2">
        <v>1</v>
      </c>
      <c r="I876" s="2">
        <v>250</v>
      </c>
      <c r="N876" t="str">
        <f t="shared" si="118"/>
        <v>Optoline LLC</v>
      </c>
      <c r="O876" t="str">
        <f t="shared" si="119"/>
        <v>W1315102394</v>
      </c>
      <c r="P876" t="str">
        <f t="shared" si="120"/>
        <v>RA736AC15BEE-783</v>
      </c>
      <c r="Q876" t="str">
        <f t="shared" si="121"/>
        <v>PO042370</v>
      </c>
      <c r="R876" t="str">
        <f t="shared" si="122"/>
        <v>Ray Ban RB3025-112 Aviator Grey Blue Mirror Unisex Sunglasses - RB3025-112/17-58</v>
      </c>
      <c r="S876" t="str">
        <f t="shared" si="123"/>
        <v>SA876267</v>
      </c>
      <c r="T876">
        <f t="shared" si="124"/>
        <v>1</v>
      </c>
      <c r="U876">
        <f t="shared" si="125"/>
        <v>250</v>
      </c>
    </row>
    <row r="877" spans="1:21" x14ac:dyDescent="0.25">
      <c r="A877">
        <f t="shared" si="117"/>
        <v>27</v>
      </c>
      <c r="B877" t="s">
        <v>2287</v>
      </c>
      <c r="C877" t="s">
        <v>3253</v>
      </c>
      <c r="D877" t="s">
        <v>3254</v>
      </c>
      <c r="E877" t="s">
        <v>3256</v>
      </c>
      <c r="F877" t="s">
        <v>3255</v>
      </c>
      <c r="G877" t="s">
        <v>3252</v>
      </c>
      <c r="H877" s="2">
        <v>1</v>
      </c>
      <c r="I877" s="2">
        <v>123</v>
      </c>
      <c r="N877" t="str">
        <f t="shared" si="118"/>
        <v>MARGOUN GENERAL TRADING LLC</v>
      </c>
      <c r="O877" t="str">
        <f t="shared" si="119"/>
        <v>W1315427115</v>
      </c>
      <c r="P877" t="str">
        <f t="shared" si="120"/>
        <v>DA041EL94HGZ-681317</v>
      </c>
      <c r="Q877" t="str">
        <f t="shared" si="121"/>
        <v>PO042310</v>
      </c>
      <c r="R877" t="str">
        <f t="shared" si="122"/>
        <v>Twins HD Stereo Earbuds with Charging box (White)</v>
      </c>
      <c r="S877" t="str">
        <f t="shared" si="123"/>
        <v>SA878886</v>
      </c>
      <c r="T877">
        <f t="shared" si="124"/>
        <v>1</v>
      </c>
      <c r="U877">
        <f t="shared" si="125"/>
        <v>123</v>
      </c>
    </row>
    <row r="878" spans="1:21" x14ac:dyDescent="0.25">
      <c r="A878">
        <f t="shared" si="117"/>
        <v>27</v>
      </c>
      <c r="E878" t="s">
        <v>5268</v>
      </c>
      <c r="F878" t="s">
        <v>3255</v>
      </c>
      <c r="G878" t="s">
        <v>5267</v>
      </c>
      <c r="H878" s="2">
        <v>1</v>
      </c>
      <c r="I878" s="2">
        <v>123</v>
      </c>
      <c r="N878" t="str">
        <f t="shared" si="118"/>
        <v>MARGOUN GENERAL TRADING LLC</v>
      </c>
      <c r="O878" t="str">
        <f t="shared" si="119"/>
        <v>W1315427115</v>
      </c>
      <c r="P878" t="str">
        <f t="shared" si="120"/>
        <v>DA041EL94HGZ-681317</v>
      </c>
      <c r="Q878" t="str">
        <f t="shared" si="121"/>
        <v>PO044922</v>
      </c>
      <c r="R878" t="str">
        <f t="shared" si="122"/>
        <v>Twins HD Stereo Earbuds with Charging box (White)</v>
      </c>
      <c r="S878" t="str">
        <f t="shared" si="123"/>
        <v>SA975948</v>
      </c>
      <c r="T878">
        <f t="shared" si="124"/>
        <v>1</v>
      </c>
      <c r="U878">
        <f t="shared" si="125"/>
        <v>123</v>
      </c>
    </row>
    <row r="879" spans="1:21" x14ac:dyDescent="0.25">
      <c r="A879">
        <f t="shared" si="117"/>
        <v>28</v>
      </c>
      <c r="B879" t="s">
        <v>2031</v>
      </c>
      <c r="C879" t="s">
        <v>4029</v>
      </c>
      <c r="D879" t="s">
        <v>4030</v>
      </c>
      <c r="E879" t="s">
        <v>3868</v>
      </c>
      <c r="F879" t="s">
        <v>4031</v>
      </c>
      <c r="G879" t="s">
        <v>4028</v>
      </c>
      <c r="H879" s="2">
        <v>1</v>
      </c>
      <c r="I879" s="2">
        <v>37</v>
      </c>
      <c r="N879" t="str">
        <f t="shared" si="118"/>
        <v>Derta Trading FZCO</v>
      </c>
      <c r="O879" t="str">
        <f t="shared" si="119"/>
        <v>W1315384637</v>
      </c>
      <c r="P879" t="str">
        <f t="shared" si="120"/>
        <v>GP120EL88YJN-640082</v>
      </c>
      <c r="Q879" t="str">
        <f t="shared" si="121"/>
        <v>PO044364</v>
      </c>
      <c r="R879" t="str">
        <f t="shared" si="122"/>
        <v>15000 mAh Powerbank (GPWG503, Black)</v>
      </c>
      <c r="S879" t="str">
        <f t="shared" si="123"/>
        <v>SA964174</v>
      </c>
      <c r="T879">
        <f t="shared" si="124"/>
        <v>1</v>
      </c>
      <c r="U879">
        <f t="shared" si="125"/>
        <v>37</v>
      </c>
    </row>
    <row r="880" spans="1:21" x14ac:dyDescent="0.25">
      <c r="A880">
        <f t="shared" si="117"/>
        <v>28</v>
      </c>
      <c r="C880" t="s">
        <v>4065</v>
      </c>
      <c r="D880" t="s">
        <v>4066</v>
      </c>
      <c r="E880" t="s">
        <v>6302</v>
      </c>
      <c r="F880" t="s">
        <v>4067</v>
      </c>
      <c r="G880" t="s">
        <v>6301</v>
      </c>
      <c r="H880" s="2">
        <v>1</v>
      </c>
      <c r="I880" s="2">
        <v>55</v>
      </c>
      <c r="N880" t="str">
        <f t="shared" si="118"/>
        <v>Derta Trading FZCO</v>
      </c>
      <c r="O880" t="str">
        <f t="shared" si="119"/>
        <v>W1315402046</v>
      </c>
      <c r="P880" t="str">
        <f t="shared" si="120"/>
        <v>DE399EL47FNS-646416</v>
      </c>
      <c r="Q880" t="str">
        <f t="shared" si="121"/>
        <v>PO044934</v>
      </c>
      <c r="R880" t="str">
        <f t="shared" si="122"/>
        <v>Karaoke 2nd Generation Mic (Pink)</v>
      </c>
      <c r="S880" t="str">
        <f t="shared" si="123"/>
        <v>SA985954</v>
      </c>
      <c r="T880">
        <f t="shared" si="124"/>
        <v>1</v>
      </c>
      <c r="U880">
        <f t="shared" si="125"/>
        <v>55</v>
      </c>
    </row>
    <row r="881" spans="1:21" x14ac:dyDescent="0.25">
      <c r="A881">
        <f t="shared" si="117"/>
        <v>28</v>
      </c>
      <c r="C881" t="s">
        <v>4074</v>
      </c>
      <c r="D881" t="s">
        <v>4075</v>
      </c>
      <c r="E881" t="s">
        <v>5591</v>
      </c>
      <c r="F881" t="s">
        <v>4076</v>
      </c>
      <c r="G881" t="s">
        <v>5590</v>
      </c>
      <c r="H881" s="2">
        <v>1</v>
      </c>
      <c r="I881" s="2">
        <v>34</v>
      </c>
      <c r="N881" t="str">
        <f t="shared" si="118"/>
        <v>Derta Trading FZCO</v>
      </c>
      <c r="O881" t="str">
        <f t="shared" si="119"/>
        <v>W1315328605</v>
      </c>
      <c r="P881" t="str">
        <f t="shared" si="120"/>
        <v>AN087EL57JVY-560259</v>
      </c>
      <c r="Q881" t="str">
        <f t="shared" si="121"/>
        <v>PO044696</v>
      </c>
      <c r="R881" t="str">
        <f t="shared" si="122"/>
        <v>Anker Nylon Braided Lightning Cable 1.8m (Black)</v>
      </c>
      <c r="S881" t="str">
        <f t="shared" si="123"/>
        <v>SA979975</v>
      </c>
      <c r="T881">
        <f t="shared" si="124"/>
        <v>1</v>
      </c>
      <c r="U881">
        <f t="shared" si="125"/>
        <v>34</v>
      </c>
    </row>
    <row r="882" spans="1:21" x14ac:dyDescent="0.25">
      <c r="A882">
        <f t="shared" si="117"/>
        <v>28</v>
      </c>
      <c r="G882" t="s">
        <v>5622</v>
      </c>
      <c r="H882" s="2">
        <v>1</v>
      </c>
      <c r="I882" s="2">
        <v>34</v>
      </c>
      <c r="N882" t="str">
        <f t="shared" si="118"/>
        <v>Derta Trading FZCO</v>
      </c>
      <c r="O882" t="str">
        <f t="shared" si="119"/>
        <v>W1315328605</v>
      </c>
      <c r="P882" t="str">
        <f t="shared" si="120"/>
        <v>AN087EL57JVY-560259</v>
      </c>
      <c r="Q882" t="str">
        <f t="shared" si="121"/>
        <v>PO044696</v>
      </c>
      <c r="R882" t="str">
        <f t="shared" si="122"/>
        <v>Anker Nylon Braided Lightning Cable 1.8m (Black)</v>
      </c>
      <c r="S882" t="str">
        <f t="shared" si="123"/>
        <v>SA980220</v>
      </c>
      <c r="T882">
        <f t="shared" si="124"/>
        <v>1</v>
      </c>
      <c r="U882">
        <f t="shared" si="125"/>
        <v>34</v>
      </c>
    </row>
    <row r="883" spans="1:21" x14ac:dyDescent="0.25">
      <c r="A883">
        <f t="shared" si="117"/>
        <v>28</v>
      </c>
      <c r="G883" t="s">
        <v>5623</v>
      </c>
      <c r="H883" s="2">
        <v>1</v>
      </c>
      <c r="I883" s="2">
        <v>34</v>
      </c>
      <c r="N883" t="str">
        <f t="shared" si="118"/>
        <v>Derta Trading FZCO</v>
      </c>
      <c r="O883" t="str">
        <f t="shared" si="119"/>
        <v>W1315328605</v>
      </c>
      <c r="P883" t="str">
        <f t="shared" si="120"/>
        <v>AN087EL57JVY-560259</v>
      </c>
      <c r="Q883" t="str">
        <f t="shared" si="121"/>
        <v>PO044696</v>
      </c>
      <c r="R883" t="str">
        <f t="shared" si="122"/>
        <v>Anker Nylon Braided Lightning Cable 1.8m (Black)</v>
      </c>
      <c r="S883" t="str">
        <f t="shared" si="123"/>
        <v>SA980221</v>
      </c>
      <c r="T883">
        <f t="shared" si="124"/>
        <v>1</v>
      </c>
      <c r="U883">
        <f t="shared" si="125"/>
        <v>34</v>
      </c>
    </row>
    <row r="884" spans="1:21" x14ac:dyDescent="0.25">
      <c r="A884">
        <f t="shared" si="117"/>
        <v>28</v>
      </c>
      <c r="C884" t="s">
        <v>4298</v>
      </c>
      <c r="D884" t="s">
        <v>4299</v>
      </c>
      <c r="E884" t="s">
        <v>5591</v>
      </c>
      <c r="F884" t="s">
        <v>4300</v>
      </c>
      <c r="G884" t="s">
        <v>5833</v>
      </c>
      <c r="H884" s="2">
        <v>1</v>
      </c>
      <c r="I884" s="2">
        <v>19</v>
      </c>
      <c r="N884" t="str">
        <f t="shared" si="118"/>
        <v>Derta Trading FZCO</v>
      </c>
      <c r="O884" t="str">
        <f t="shared" si="119"/>
        <v>W1315302534</v>
      </c>
      <c r="P884" t="str">
        <f t="shared" si="120"/>
        <v>AN087EL60ZTJ-510208</v>
      </c>
      <c r="Q884" t="str">
        <f t="shared" si="121"/>
        <v>PO044696</v>
      </c>
      <c r="R884" t="str">
        <f t="shared" si="122"/>
        <v>Anker Braided Micro USB Cable 3ft - Silver</v>
      </c>
      <c r="S884" t="str">
        <f t="shared" si="123"/>
        <v>SA981024</v>
      </c>
      <c r="T884">
        <f t="shared" si="124"/>
        <v>1</v>
      </c>
      <c r="U884">
        <f t="shared" si="125"/>
        <v>19</v>
      </c>
    </row>
    <row r="885" spans="1:21" x14ac:dyDescent="0.25">
      <c r="A885">
        <f t="shared" si="117"/>
        <v>28</v>
      </c>
      <c r="C885" t="s">
        <v>4623</v>
      </c>
      <c r="D885" t="s">
        <v>4624</v>
      </c>
      <c r="E885" t="s">
        <v>6302</v>
      </c>
      <c r="F885" t="s">
        <v>4625</v>
      </c>
      <c r="G885" t="s">
        <v>6462</v>
      </c>
      <c r="H885" s="2">
        <v>1</v>
      </c>
      <c r="I885" s="2">
        <v>55</v>
      </c>
      <c r="N885" t="str">
        <f t="shared" si="118"/>
        <v>Derta Trading FZCO</v>
      </c>
      <c r="O885" t="str">
        <f t="shared" si="119"/>
        <v>W1315402045</v>
      </c>
      <c r="P885" t="str">
        <f t="shared" si="120"/>
        <v>DE399EL48FNR-646415</v>
      </c>
      <c r="Q885" t="str">
        <f t="shared" si="121"/>
        <v>PO044934</v>
      </c>
      <c r="R885" t="str">
        <f t="shared" si="122"/>
        <v>Karaoke 2nd Generation Mic (Gold)</v>
      </c>
      <c r="S885" t="str">
        <f t="shared" si="123"/>
        <v>SA987506</v>
      </c>
      <c r="T885">
        <f t="shared" si="124"/>
        <v>1</v>
      </c>
      <c r="U885">
        <f t="shared" si="125"/>
        <v>55</v>
      </c>
    </row>
    <row r="886" spans="1:21" x14ac:dyDescent="0.25">
      <c r="A886">
        <f t="shared" si="117"/>
        <v>28</v>
      </c>
      <c r="G886" t="s">
        <v>6558</v>
      </c>
      <c r="H886" s="2">
        <v>1</v>
      </c>
      <c r="I886" s="2">
        <v>55</v>
      </c>
      <c r="N886" t="str">
        <f t="shared" si="118"/>
        <v>Derta Trading FZCO</v>
      </c>
      <c r="O886" t="str">
        <f t="shared" si="119"/>
        <v>W1315402045</v>
      </c>
      <c r="P886" t="str">
        <f t="shared" si="120"/>
        <v>DE399EL48FNR-646415</v>
      </c>
      <c r="Q886" t="str">
        <f t="shared" si="121"/>
        <v>PO044934</v>
      </c>
      <c r="R886" t="str">
        <f t="shared" si="122"/>
        <v>Karaoke 2nd Generation Mic (Gold)</v>
      </c>
      <c r="S886" t="str">
        <f t="shared" si="123"/>
        <v>SA988653</v>
      </c>
      <c r="T886">
        <f t="shared" si="124"/>
        <v>1</v>
      </c>
      <c r="U886">
        <f t="shared" si="125"/>
        <v>55</v>
      </c>
    </row>
    <row r="887" spans="1:21" x14ac:dyDescent="0.25">
      <c r="A887">
        <f t="shared" si="117"/>
        <v>28</v>
      </c>
      <c r="C887" t="s">
        <v>5515</v>
      </c>
      <c r="D887" t="s">
        <v>5516</v>
      </c>
      <c r="E887" t="s">
        <v>5518</v>
      </c>
      <c r="F887" t="s">
        <v>5517</v>
      </c>
      <c r="G887" t="s">
        <v>5514</v>
      </c>
      <c r="H887" s="2">
        <v>1</v>
      </c>
      <c r="I887" s="2">
        <v>210</v>
      </c>
      <c r="N887" t="str">
        <f t="shared" si="118"/>
        <v>Derta Trading FZCO</v>
      </c>
      <c r="O887" t="str">
        <f t="shared" si="119"/>
        <v>W1315428542</v>
      </c>
      <c r="P887" t="str">
        <f t="shared" si="120"/>
        <v>ON399EL50VWN-712135</v>
      </c>
      <c r="Q887" t="str">
        <f t="shared" si="121"/>
        <v>PO044769</v>
      </c>
      <c r="R887" t="str">
        <f t="shared" si="122"/>
        <v>Z7 (16 GB, 3G, Rose Gold Dual SIM)</v>
      </c>
      <c r="S887" t="str">
        <f t="shared" si="123"/>
        <v>SA979125</v>
      </c>
      <c r="T887">
        <f t="shared" si="124"/>
        <v>1</v>
      </c>
      <c r="U887">
        <f t="shared" si="125"/>
        <v>210</v>
      </c>
    </row>
    <row r="888" spans="1:21" x14ac:dyDescent="0.25">
      <c r="A888">
        <f t="shared" si="117"/>
        <v>29</v>
      </c>
      <c r="B888" t="s">
        <v>212</v>
      </c>
      <c r="C888" t="s">
        <v>4626</v>
      </c>
      <c r="D888" t="s">
        <v>4627</v>
      </c>
      <c r="E888" t="s">
        <v>4816</v>
      </c>
      <c r="F888" t="s">
        <v>4628</v>
      </c>
      <c r="G888" t="s">
        <v>4815</v>
      </c>
      <c r="H888" s="2">
        <v>1</v>
      </c>
      <c r="I888" s="2">
        <v>259</v>
      </c>
      <c r="N888" t="str">
        <f t="shared" si="118"/>
        <v>Axiom telecom</v>
      </c>
      <c r="O888" t="str">
        <f t="shared" si="119"/>
        <v>W1315277120</v>
      </c>
      <c r="P888" t="str">
        <f t="shared" si="120"/>
        <v>LE769EL28YLB-472084</v>
      </c>
      <c r="Q888" t="str">
        <f t="shared" si="121"/>
        <v>UPO011809</v>
      </c>
      <c r="R888" t="str">
        <f t="shared" si="122"/>
        <v>Vibe C A2020 (16 GB, 4G LTE, Black Dual SIM)</v>
      </c>
      <c r="S888" t="str">
        <f t="shared" si="123"/>
        <v>AE61947</v>
      </c>
      <c r="T888">
        <f t="shared" si="124"/>
        <v>1</v>
      </c>
      <c r="U888">
        <f t="shared" si="125"/>
        <v>259</v>
      </c>
    </row>
    <row r="889" spans="1:21" x14ac:dyDescent="0.25">
      <c r="A889">
        <f t="shared" si="117"/>
        <v>29</v>
      </c>
      <c r="E889" t="s">
        <v>4942</v>
      </c>
      <c r="F889" t="s">
        <v>4628</v>
      </c>
      <c r="G889" t="s">
        <v>4941</v>
      </c>
      <c r="H889" s="2">
        <v>1</v>
      </c>
      <c r="I889" s="2">
        <v>259</v>
      </c>
      <c r="N889" t="str">
        <f t="shared" si="118"/>
        <v>Axiom telecom</v>
      </c>
      <c r="O889" t="str">
        <f t="shared" si="119"/>
        <v>W1315277120</v>
      </c>
      <c r="P889" t="str">
        <f t="shared" si="120"/>
        <v>LE769EL28YLB-472084</v>
      </c>
      <c r="Q889" t="str">
        <f t="shared" si="121"/>
        <v>PO044858</v>
      </c>
      <c r="R889" t="str">
        <f t="shared" si="122"/>
        <v>Vibe C A2020 (16 GB, 4G LTE, Black Dual SIM)</v>
      </c>
      <c r="S889" t="str">
        <f t="shared" si="123"/>
        <v>SA969403</v>
      </c>
      <c r="T889">
        <f t="shared" si="124"/>
        <v>1</v>
      </c>
      <c r="U889">
        <f t="shared" si="125"/>
        <v>259</v>
      </c>
    </row>
    <row r="890" spans="1:21" x14ac:dyDescent="0.25">
      <c r="A890">
        <f t="shared" si="117"/>
        <v>29</v>
      </c>
      <c r="G890" t="s">
        <v>6314</v>
      </c>
      <c r="H890" s="2">
        <v>1</v>
      </c>
      <c r="I890" s="2">
        <v>259</v>
      </c>
      <c r="N890" t="str">
        <f t="shared" si="118"/>
        <v>Axiom telecom</v>
      </c>
      <c r="O890" t="str">
        <f t="shared" si="119"/>
        <v>W1315277120</v>
      </c>
      <c r="P890" t="str">
        <f t="shared" si="120"/>
        <v>LE769EL28YLB-472084</v>
      </c>
      <c r="Q890" t="str">
        <f t="shared" si="121"/>
        <v>PO044858</v>
      </c>
      <c r="R890" t="str">
        <f t="shared" si="122"/>
        <v>Vibe C A2020 (16 GB, 4G LTE, Black Dual SIM)</v>
      </c>
      <c r="S890" t="str">
        <f t="shared" si="123"/>
        <v>SA986014</v>
      </c>
      <c r="T890">
        <f t="shared" si="124"/>
        <v>1</v>
      </c>
      <c r="U890">
        <f t="shared" si="125"/>
        <v>259</v>
      </c>
    </row>
    <row r="891" spans="1:21" x14ac:dyDescent="0.25">
      <c r="A891">
        <f t="shared" si="117"/>
        <v>29</v>
      </c>
      <c r="G891" t="s">
        <v>6326</v>
      </c>
      <c r="H891" s="2">
        <v>1</v>
      </c>
      <c r="I891" s="2">
        <v>259</v>
      </c>
      <c r="N891" t="str">
        <f t="shared" si="118"/>
        <v>Axiom telecom</v>
      </c>
      <c r="O891" t="str">
        <f t="shared" si="119"/>
        <v>W1315277120</v>
      </c>
      <c r="P891" t="str">
        <f t="shared" si="120"/>
        <v>LE769EL28YLB-472084</v>
      </c>
      <c r="Q891" t="str">
        <f t="shared" si="121"/>
        <v>PO044858</v>
      </c>
      <c r="R891" t="str">
        <f t="shared" si="122"/>
        <v>Vibe C A2020 (16 GB, 4G LTE, Black Dual SIM)</v>
      </c>
      <c r="S891" t="str">
        <f t="shared" si="123"/>
        <v>SA986112</v>
      </c>
      <c r="T891">
        <f t="shared" si="124"/>
        <v>1</v>
      </c>
      <c r="U891">
        <f t="shared" si="125"/>
        <v>259</v>
      </c>
    </row>
    <row r="892" spans="1:21" x14ac:dyDescent="0.25">
      <c r="A892">
        <f t="shared" si="117"/>
        <v>29</v>
      </c>
      <c r="G892" t="s">
        <v>6327</v>
      </c>
      <c r="H892" s="2">
        <v>1</v>
      </c>
      <c r="I892" s="2">
        <v>259</v>
      </c>
      <c r="N892" t="str">
        <f t="shared" si="118"/>
        <v>Axiom telecom</v>
      </c>
      <c r="O892" t="str">
        <f t="shared" si="119"/>
        <v>W1315277120</v>
      </c>
      <c r="P892" t="str">
        <f t="shared" si="120"/>
        <v>LE769EL28YLB-472084</v>
      </c>
      <c r="Q892" t="str">
        <f t="shared" si="121"/>
        <v>PO044858</v>
      </c>
      <c r="R892" t="str">
        <f t="shared" si="122"/>
        <v>Vibe C A2020 (16 GB, 4G LTE, Black Dual SIM)</v>
      </c>
      <c r="S892" t="str">
        <f t="shared" si="123"/>
        <v>SA986113</v>
      </c>
      <c r="T892">
        <f t="shared" si="124"/>
        <v>1</v>
      </c>
      <c r="U892">
        <f t="shared" si="125"/>
        <v>259</v>
      </c>
    </row>
    <row r="893" spans="1:21" x14ac:dyDescent="0.25">
      <c r="A893">
        <f t="shared" si="117"/>
        <v>29</v>
      </c>
      <c r="E893" t="s">
        <v>6375</v>
      </c>
      <c r="F893" t="s">
        <v>4628</v>
      </c>
      <c r="G893" t="s">
        <v>6374</v>
      </c>
      <c r="H893" s="2">
        <v>1</v>
      </c>
      <c r="I893" s="2">
        <v>259</v>
      </c>
      <c r="N893" t="str">
        <f t="shared" si="118"/>
        <v>Axiom telecom</v>
      </c>
      <c r="O893" t="str">
        <f t="shared" si="119"/>
        <v>W1315277120</v>
      </c>
      <c r="P893" t="str">
        <f t="shared" si="120"/>
        <v>LE769EL28YLB-472084</v>
      </c>
      <c r="Q893" t="str">
        <f t="shared" si="121"/>
        <v>PO044975</v>
      </c>
      <c r="R893" t="str">
        <f t="shared" si="122"/>
        <v>Vibe C A2020 (16 GB, 4G LTE, Black Dual SIM)</v>
      </c>
      <c r="S893" t="str">
        <f t="shared" si="123"/>
        <v>SA986406</v>
      </c>
      <c r="T893">
        <f t="shared" si="124"/>
        <v>1</v>
      </c>
      <c r="U893">
        <f t="shared" si="125"/>
        <v>259</v>
      </c>
    </row>
    <row r="894" spans="1:21" x14ac:dyDescent="0.25">
      <c r="A894">
        <f t="shared" si="117"/>
        <v>29</v>
      </c>
      <c r="G894" t="s">
        <v>6376</v>
      </c>
      <c r="H894" s="2">
        <v>1</v>
      </c>
      <c r="I894" s="2">
        <v>259</v>
      </c>
      <c r="N894" t="str">
        <f t="shared" si="118"/>
        <v>Axiom telecom</v>
      </c>
      <c r="O894" t="str">
        <f t="shared" si="119"/>
        <v>W1315277120</v>
      </c>
      <c r="P894" t="str">
        <f t="shared" si="120"/>
        <v>LE769EL28YLB-472084</v>
      </c>
      <c r="Q894" t="str">
        <f t="shared" si="121"/>
        <v>PO044975</v>
      </c>
      <c r="R894" t="str">
        <f t="shared" si="122"/>
        <v>Vibe C A2020 (16 GB, 4G LTE, Black Dual SIM)</v>
      </c>
      <c r="S894" t="str">
        <f t="shared" si="123"/>
        <v>SA986407</v>
      </c>
      <c r="T894">
        <f t="shared" si="124"/>
        <v>1</v>
      </c>
      <c r="U894">
        <f t="shared" si="125"/>
        <v>259</v>
      </c>
    </row>
    <row r="895" spans="1:21" x14ac:dyDescent="0.25">
      <c r="A895">
        <f t="shared" si="117"/>
        <v>29</v>
      </c>
      <c r="C895" t="s">
        <v>6039</v>
      </c>
      <c r="D895" t="s">
        <v>6040</v>
      </c>
      <c r="E895" t="s">
        <v>6042</v>
      </c>
      <c r="F895" t="s">
        <v>6041</v>
      </c>
      <c r="G895" t="s">
        <v>6038</v>
      </c>
      <c r="H895" s="2">
        <v>1</v>
      </c>
      <c r="I895" s="2">
        <v>256</v>
      </c>
      <c r="N895" t="str">
        <f t="shared" si="118"/>
        <v>Axiom telecom</v>
      </c>
      <c r="O895" t="str">
        <f t="shared" si="119"/>
        <v>W1315396581</v>
      </c>
      <c r="P895" t="str">
        <f t="shared" si="120"/>
        <v>HU814EL50ZEF-640789</v>
      </c>
      <c r="Q895" t="str">
        <f t="shared" si="121"/>
        <v>PO044790</v>
      </c>
      <c r="R895" t="str">
        <f t="shared" si="122"/>
        <v>Y3 II (8 GB, 4G LTE, White Dual SIM)</v>
      </c>
      <c r="S895" t="str">
        <f t="shared" si="123"/>
        <v>SA983076</v>
      </c>
      <c r="T895">
        <f t="shared" si="124"/>
        <v>1</v>
      </c>
      <c r="U895">
        <f t="shared" si="125"/>
        <v>256</v>
      </c>
    </row>
    <row r="896" spans="1:21" x14ac:dyDescent="0.25">
      <c r="A896">
        <f t="shared" si="117"/>
        <v>29</v>
      </c>
      <c r="C896" t="s">
        <v>6227</v>
      </c>
      <c r="D896" t="s">
        <v>6228</v>
      </c>
      <c r="E896" t="s">
        <v>4942</v>
      </c>
      <c r="F896" t="s">
        <v>6229</v>
      </c>
      <c r="G896" t="s">
        <v>6226</v>
      </c>
      <c r="H896" s="2">
        <v>1</v>
      </c>
      <c r="I896" s="2">
        <v>3495</v>
      </c>
      <c r="N896" t="str">
        <f t="shared" si="118"/>
        <v>Axiom telecom</v>
      </c>
      <c r="O896" t="str">
        <f t="shared" si="119"/>
        <v>W1315505851</v>
      </c>
      <c r="P896" t="str">
        <f t="shared" si="120"/>
        <v>AP771EL46WQV-736793</v>
      </c>
      <c r="Q896" t="str">
        <f t="shared" si="121"/>
        <v>PO044858</v>
      </c>
      <c r="R896" t="str">
        <f t="shared" si="122"/>
        <v>iPhone 7 Special Edition by SWITCH (32 GB, Gold Highlights, Without Facetime)</v>
      </c>
      <c r="S896" t="str">
        <f t="shared" si="123"/>
        <v>SA985228</v>
      </c>
      <c r="T896">
        <f t="shared" si="124"/>
        <v>1</v>
      </c>
      <c r="U896">
        <f t="shared" si="125"/>
        <v>3495</v>
      </c>
    </row>
    <row r="897" spans="1:21" x14ac:dyDescent="0.25">
      <c r="A897">
        <f t="shared" si="117"/>
        <v>29</v>
      </c>
      <c r="G897" t="s">
        <v>6276</v>
      </c>
      <c r="H897" s="2">
        <v>1</v>
      </c>
      <c r="I897" s="2">
        <v>3495</v>
      </c>
      <c r="N897" t="str">
        <f t="shared" si="118"/>
        <v>Axiom telecom</v>
      </c>
      <c r="O897" t="str">
        <f t="shared" si="119"/>
        <v>W1315505851</v>
      </c>
      <c r="P897" t="str">
        <f t="shared" si="120"/>
        <v>AP771EL46WQV-736793</v>
      </c>
      <c r="Q897" t="str">
        <f t="shared" si="121"/>
        <v>PO044858</v>
      </c>
      <c r="R897" t="str">
        <f t="shared" si="122"/>
        <v>iPhone 7 Special Edition by SWITCH (32 GB, Gold Highlights, Without Facetime)</v>
      </c>
      <c r="S897" t="str">
        <f t="shared" si="123"/>
        <v>SA985713</v>
      </c>
      <c r="T897">
        <f t="shared" si="124"/>
        <v>1</v>
      </c>
      <c r="U897">
        <f t="shared" si="125"/>
        <v>3495</v>
      </c>
    </row>
    <row r="898" spans="1:21" x14ac:dyDescent="0.25">
      <c r="A898">
        <f t="shared" si="117"/>
        <v>29</v>
      </c>
      <c r="C898" t="s">
        <v>6244</v>
      </c>
      <c r="D898" t="s">
        <v>6245</v>
      </c>
      <c r="E898" t="s">
        <v>4942</v>
      </c>
      <c r="F898" t="s">
        <v>6246</v>
      </c>
      <c r="G898" t="s">
        <v>6243</v>
      </c>
      <c r="H898" s="2">
        <v>1</v>
      </c>
      <c r="I898" s="2">
        <v>61</v>
      </c>
      <c r="N898" t="str">
        <f t="shared" si="118"/>
        <v>Axiom telecom</v>
      </c>
      <c r="O898" t="str">
        <f t="shared" si="119"/>
        <v>W1315146252</v>
      </c>
      <c r="P898" t="str">
        <f t="shared" si="120"/>
        <v>NO765EL88ZJZ-79829</v>
      </c>
      <c r="Q898" t="str">
        <f t="shared" si="121"/>
        <v>PO044858</v>
      </c>
      <c r="R898" t="str">
        <f t="shared" si="122"/>
        <v>Nokia 105 DS RM-1133 (4 MB, 2G, Cyan, Dual SIM)</v>
      </c>
      <c r="S898" t="str">
        <f t="shared" si="123"/>
        <v>SA985471</v>
      </c>
      <c r="T898">
        <f t="shared" si="124"/>
        <v>1</v>
      </c>
      <c r="U898">
        <f t="shared" si="125"/>
        <v>61</v>
      </c>
    </row>
    <row r="899" spans="1:21" x14ac:dyDescent="0.25">
      <c r="A899">
        <f t="shared" si="117"/>
        <v>29</v>
      </c>
      <c r="C899" t="s">
        <v>6360</v>
      </c>
      <c r="D899" t="s">
        <v>6361</v>
      </c>
      <c r="E899" t="s">
        <v>4942</v>
      </c>
      <c r="F899" t="s">
        <v>6362</v>
      </c>
      <c r="G899" t="s">
        <v>6359</v>
      </c>
      <c r="H899" s="2">
        <v>1</v>
      </c>
      <c r="I899" s="2">
        <v>345</v>
      </c>
      <c r="N899" t="str">
        <f t="shared" si="118"/>
        <v>Axiom telecom</v>
      </c>
      <c r="O899" t="str">
        <f t="shared" si="119"/>
        <v>W1315396585</v>
      </c>
      <c r="P899" t="str">
        <f t="shared" si="120"/>
        <v>HU814EL46ZEJ-640793</v>
      </c>
      <c r="Q899" t="str">
        <f t="shared" si="121"/>
        <v>PO044858</v>
      </c>
      <c r="R899" t="str">
        <f t="shared" si="122"/>
        <v>Y5 II (8 GB, 4G LTE, Gold Dual SIM)</v>
      </c>
      <c r="S899" t="str">
        <f t="shared" si="123"/>
        <v>SA986272</v>
      </c>
      <c r="T899">
        <f t="shared" si="124"/>
        <v>1</v>
      </c>
      <c r="U899">
        <f t="shared" si="125"/>
        <v>345</v>
      </c>
    </row>
    <row r="900" spans="1:21" x14ac:dyDescent="0.25">
      <c r="A900">
        <f t="shared" ref="A900:A963" si="126">IF(ISBLANK(B900),A899,A899+1)</f>
        <v>29</v>
      </c>
      <c r="E900" t="s">
        <v>6375</v>
      </c>
      <c r="F900" t="s">
        <v>6362</v>
      </c>
      <c r="G900" t="s">
        <v>6477</v>
      </c>
      <c r="H900" s="2">
        <v>1</v>
      </c>
      <c r="I900" s="2">
        <v>345</v>
      </c>
      <c r="N900" t="str">
        <f t="shared" si="118"/>
        <v>Axiom telecom</v>
      </c>
      <c r="O900" t="str">
        <f t="shared" si="119"/>
        <v>W1315396585</v>
      </c>
      <c r="P900" t="str">
        <f t="shared" si="120"/>
        <v>HU814EL46ZEJ-640793</v>
      </c>
      <c r="Q900" t="str">
        <f t="shared" si="121"/>
        <v>PO044975</v>
      </c>
      <c r="R900" t="str">
        <f t="shared" si="122"/>
        <v>Y5 II (8 GB, 4G LTE, Gold Dual SIM)</v>
      </c>
      <c r="S900" t="str">
        <f t="shared" si="123"/>
        <v>SA987695</v>
      </c>
      <c r="T900">
        <f t="shared" si="124"/>
        <v>1</v>
      </c>
      <c r="U900">
        <f t="shared" si="125"/>
        <v>345</v>
      </c>
    </row>
    <row r="901" spans="1:21" x14ac:dyDescent="0.25">
      <c r="A901">
        <f t="shared" si="126"/>
        <v>29</v>
      </c>
      <c r="C901" t="s">
        <v>6497</v>
      </c>
      <c r="D901" t="s">
        <v>6498</v>
      </c>
      <c r="E901" t="s">
        <v>6375</v>
      </c>
      <c r="F901" t="s">
        <v>6499</v>
      </c>
      <c r="G901" t="s">
        <v>6496</v>
      </c>
      <c r="H901" s="2">
        <v>1</v>
      </c>
      <c r="I901" s="2">
        <v>41</v>
      </c>
      <c r="N901" t="str">
        <f t="shared" si="118"/>
        <v>Axiom telecom</v>
      </c>
      <c r="O901" t="str">
        <f t="shared" si="119"/>
        <v>W1315393165</v>
      </c>
      <c r="P901" t="str">
        <f t="shared" si="120"/>
        <v>AL775EL33XOO-639189</v>
      </c>
      <c r="Q901" t="str">
        <f t="shared" si="121"/>
        <v>PO044975</v>
      </c>
      <c r="R901" t="str">
        <f t="shared" si="122"/>
        <v>1054D (4 MB, 2G, GSM, Grey, Dual SIM)</v>
      </c>
      <c r="S901" t="str">
        <f t="shared" si="123"/>
        <v>SA987836</v>
      </c>
      <c r="T901">
        <f t="shared" si="124"/>
        <v>1</v>
      </c>
      <c r="U901">
        <f t="shared" si="125"/>
        <v>41</v>
      </c>
    </row>
    <row r="902" spans="1:21" x14ac:dyDescent="0.25">
      <c r="A902">
        <f t="shared" si="126"/>
        <v>29</v>
      </c>
      <c r="C902" t="s">
        <v>6589</v>
      </c>
      <c r="D902" t="s">
        <v>6590</v>
      </c>
      <c r="E902" t="s">
        <v>6375</v>
      </c>
      <c r="F902" t="s">
        <v>6591</v>
      </c>
      <c r="G902" t="s">
        <v>6588</v>
      </c>
      <c r="H902" s="2">
        <v>1</v>
      </c>
      <c r="I902" s="2">
        <v>41</v>
      </c>
      <c r="N902" t="str">
        <f t="shared" ref="N902:N965" si="127">IF(ISBLANK($A902),"",IF(ISBLANK(B902),N901,B902))</f>
        <v>Axiom telecom</v>
      </c>
      <c r="O902" t="str">
        <f t="shared" ref="O902:O965" si="128">IF(ISBLANK($A902),"",IF(ISBLANK(C902),O901,C902))</f>
        <v>W1315393166</v>
      </c>
      <c r="P902" t="str">
        <f t="shared" ref="P902:P965" si="129">IF(ISBLANK($A902),"",IF(ISBLANK(D902),P901,D902))</f>
        <v>AL775EL32XOP-639190</v>
      </c>
      <c r="Q902" t="str">
        <f t="shared" ref="Q902:Q965" si="130">IF(ISBLANK($A902),"",IF(ISBLANK(E902),Q901,E902))</f>
        <v>PO044975</v>
      </c>
      <c r="R902" t="str">
        <f t="shared" ref="R902:R965" si="131">IF(ISBLANK($A902),"",IF(ISBLANK(F902),R901,F902))</f>
        <v>1054D (4 MB, 2G, GSM, White, Dual SIM)</v>
      </c>
      <c r="S902" t="str">
        <f t="shared" ref="S902:S965" si="132">IF(ISBLANK($A902),"",G902)</f>
        <v>SA988862</v>
      </c>
      <c r="T902">
        <f t="shared" ref="T902:T965" si="133">IF(ISBLANK($A902),"",H902)</f>
        <v>1</v>
      </c>
      <c r="U902">
        <f t="shared" ref="U902:U965" si="134">IF(ISBLANK($A902),"",I902)</f>
        <v>41</v>
      </c>
    </row>
    <row r="903" spans="1:21" x14ac:dyDescent="0.25">
      <c r="A903">
        <f t="shared" si="126"/>
        <v>29</v>
      </c>
      <c r="C903" t="s">
        <v>6665</v>
      </c>
      <c r="D903" t="s">
        <v>6666</v>
      </c>
      <c r="E903" t="s">
        <v>6375</v>
      </c>
      <c r="F903" t="s">
        <v>6667</v>
      </c>
      <c r="G903" t="s">
        <v>6664</v>
      </c>
      <c r="H903" s="2">
        <v>1</v>
      </c>
      <c r="I903" s="2">
        <v>393</v>
      </c>
      <c r="N903" t="str">
        <f t="shared" si="127"/>
        <v>Axiom telecom</v>
      </c>
      <c r="O903" t="str">
        <f t="shared" si="128"/>
        <v>W1315421625</v>
      </c>
      <c r="P903" t="str">
        <f t="shared" si="129"/>
        <v>LE769EL24NCT-656147</v>
      </c>
      <c r="Q903" t="str">
        <f t="shared" si="130"/>
        <v>PO044975</v>
      </c>
      <c r="R903" t="str">
        <f t="shared" si="131"/>
        <v>A6020 (16 GB, 4G LTE, Silver Dual SIM)</v>
      </c>
      <c r="S903" t="str">
        <f t="shared" si="132"/>
        <v>SA989353</v>
      </c>
      <c r="T903">
        <f t="shared" si="133"/>
        <v>1</v>
      </c>
      <c r="U903">
        <f t="shared" si="134"/>
        <v>393</v>
      </c>
    </row>
    <row r="904" spans="1:21" x14ac:dyDescent="0.25">
      <c r="A904">
        <f t="shared" si="126"/>
        <v>30</v>
      </c>
      <c r="B904" t="s">
        <v>2001</v>
      </c>
      <c r="C904" t="s">
        <v>6632</v>
      </c>
      <c r="D904" t="s">
        <v>6633</v>
      </c>
      <c r="E904" t="s">
        <v>6635</v>
      </c>
      <c r="F904" t="s">
        <v>6634</v>
      </c>
      <c r="G904" t="s">
        <v>6631</v>
      </c>
      <c r="H904" s="2">
        <v>1</v>
      </c>
      <c r="I904" s="2">
        <v>70</v>
      </c>
      <c r="N904" t="str">
        <f t="shared" si="127"/>
        <v>RTEE GENERAL TRADING L.L.C</v>
      </c>
      <c r="O904" t="str">
        <f t="shared" si="128"/>
        <v>W1315293646</v>
      </c>
      <c r="P904" t="str">
        <f t="shared" si="129"/>
        <v>RT312AC75TNG-501042</v>
      </c>
      <c r="Q904" t="str">
        <f t="shared" si="130"/>
        <v>PO045022</v>
      </c>
      <c r="R904" t="str">
        <f t="shared" si="131"/>
        <v>Wallet for Men (RTWBRW 001, Brown)</v>
      </c>
      <c r="S904" t="str">
        <f t="shared" si="132"/>
        <v>SA989229</v>
      </c>
      <c r="T904">
        <f t="shared" si="133"/>
        <v>1</v>
      </c>
      <c r="U904">
        <f t="shared" si="134"/>
        <v>70</v>
      </c>
    </row>
    <row r="905" spans="1:21" x14ac:dyDescent="0.25">
      <c r="A905">
        <f t="shared" si="126"/>
        <v>31</v>
      </c>
      <c r="B905" t="s">
        <v>188</v>
      </c>
      <c r="C905" t="s">
        <v>5748</v>
      </c>
      <c r="D905" t="s">
        <v>5749</v>
      </c>
      <c r="E905" t="s">
        <v>5751</v>
      </c>
      <c r="F905" t="s">
        <v>5750</v>
      </c>
      <c r="G905" t="s">
        <v>5747</v>
      </c>
      <c r="H905" s="2">
        <v>1</v>
      </c>
      <c r="I905" s="2">
        <v>432</v>
      </c>
      <c r="N905" t="str">
        <f t="shared" si="127"/>
        <v>AL ERSHAD COMPUTER TRADING LLC</v>
      </c>
      <c r="O905" t="str">
        <f t="shared" si="128"/>
        <v>W1315464773</v>
      </c>
      <c r="P905" t="str">
        <f t="shared" si="129"/>
        <v>CO745EL31TOQ-733266</v>
      </c>
      <c r="Q905" t="str">
        <f t="shared" si="130"/>
        <v>PO044706</v>
      </c>
      <c r="R905" t="str">
        <f t="shared" si="131"/>
        <v>Carbide Series 500R Mid-Tower Case (CC9011013-WW, White)</v>
      </c>
      <c r="S905" t="str">
        <f t="shared" si="132"/>
        <v>SA980681</v>
      </c>
      <c r="T905">
        <f t="shared" si="133"/>
        <v>1</v>
      </c>
      <c r="U905">
        <f t="shared" si="134"/>
        <v>432</v>
      </c>
    </row>
    <row r="906" spans="1:21" x14ac:dyDescent="0.25">
      <c r="A906">
        <f t="shared" si="126"/>
        <v>32</v>
      </c>
      <c r="B906" t="s">
        <v>43</v>
      </c>
      <c r="C906" t="s">
        <v>3673</v>
      </c>
      <c r="D906" t="s">
        <v>3674</v>
      </c>
      <c r="E906" t="s">
        <v>6023</v>
      </c>
      <c r="F906" t="s">
        <v>3675</v>
      </c>
      <c r="G906" t="s">
        <v>6435</v>
      </c>
      <c r="H906" s="2">
        <v>1</v>
      </c>
      <c r="I906" s="2">
        <v>3255</v>
      </c>
      <c r="N906" t="str">
        <f t="shared" si="127"/>
        <v>REDINGTON MIDDLE EAST LLC</v>
      </c>
      <c r="O906" t="str">
        <f t="shared" si="128"/>
        <v>W1315381545</v>
      </c>
      <c r="P906" t="str">
        <f t="shared" si="129"/>
        <v>LE769EL54LCR-627963</v>
      </c>
      <c r="Q906" t="str">
        <f t="shared" si="130"/>
        <v>PO044901</v>
      </c>
      <c r="R906" t="str">
        <f t="shared" si="131"/>
        <v>ThinkPad T540p 20BE00D-AAD (Intel Core i7, 15.0 inches, 1 TB HDD, Windows 10, Black)</v>
      </c>
      <c r="S906" t="str">
        <f t="shared" si="132"/>
        <v>SA986941</v>
      </c>
      <c r="T906">
        <f t="shared" si="133"/>
        <v>1</v>
      </c>
      <c r="U906">
        <f t="shared" si="134"/>
        <v>3255</v>
      </c>
    </row>
    <row r="907" spans="1:21" x14ac:dyDescent="0.25">
      <c r="A907">
        <f t="shared" si="126"/>
        <v>32</v>
      </c>
      <c r="C907" t="s">
        <v>4805</v>
      </c>
      <c r="D907" t="s">
        <v>4806</v>
      </c>
      <c r="E907" t="s">
        <v>4808</v>
      </c>
      <c r="F907" t="s">
        <v>4807</v>
      </c>
      <c r="G907" t="s">
        <v>4804</v>
      </c>
      <c r="H907" s="2">
        <v>1</v>
      </c>
      <c r="I907" s="2">
        <v>1471</v>
      </c>
      <c r="N907" t="str">
        <f t="shared" si="127"/>
        <v>REDINGTON MIDDLE EAST LLC</v>
      </c>
      <c r="O907" t="str">
        <f t="shared" si="128"/>
        <v>W1315322405</v>
      </c>
      <c r="P907" t="str">
        <f t="shared" si="129"/>
        <v>LE769EL80SBN-526121</v>
      </c>
      <c r="Q907" t="str">
        <f t="shared" si="130"/>
        <v>UPO011865</v>
      </c>
      <c r="R907" t="str">
        <f t="shared" si="131"/>
        <v>Ideapad 310 (Intel Core I3, 15.6 inches, 1 TB HDD, Windows 10, Silver)</v>
      </c>
      <c r="S907" t="str">
        <f t="shared" si="132"/>
        <v>AE61963</v>
      </c>
      <c r="T907">
        <f t="shared" si="133"/>
        <v>1</v>
      </c>
      <c r="U907">
        <f t="shared" si="134"/>
        <v>1471</v>
      </c>
    </row>
    <row r="908" spans="1:21" x14ac:dyDescent="0.25">
      <c r="A908">
        <f t="shared" si="126"/>
        <v>32</v>
      </c>
      <c r="E908" t="s">
        <v>4961</v>
      </c>
      <c r="F908" t="s">
        <v>4807</v>
      </c>
      <c r="G908" t="s">
        <v>4960</v>
      </c>
      <c r="H908" s="2">
        <v>1</v>
      </c>
      <c r="I908" s="2">
        <v>1471</v>
      </c>
      <c r="N908" t="str">
        <f t="shared" si="127"/>
        <v>REDINGTON MIDDLE EAST LLC</v>
      </c>
      <c r="O908" t="str">
        <f t="shared" si="128"/>
        <v>W1315322405</v>
      </c>
      <c r="P908" t="str">
        <f t="shared" si="129"/>
        <v>LE769EL80SBN-526121</v>
      </c>
      <c r="Q908" t="str">
        <f t="shared" si="130"/>
        <v>PO044870</v>
      </c>
      <c r="R908" t="str">
        <f t="shared" si="131"/>
        <v>Ideapad 310 (Intel Core I3, 15.6 inches, 1 TB HDD, Windows 10, Silver)</v>
      </c>
      <c r="S908" t="str">
        <f t="shared" si="132"/>
        <v>SA970928</v>
      </c>
      <c r="T908">
        <f t="shared" si="133"/>
        <v>1</v>
      </c>
      <c r="U908">
        <f t="shared" si="134"/>
        <v>1471</v>
      </c>
    </row>
    <row r="909" spans="1:21" x14ac:dyDescent="0.25">
      <c r="A909">
        <f t="shared" si="126"/>
        <v>32</v>
      </c>
      <c r="G909" t="s">
        <v>5199</v>
      </c>
      <c r="H909" s="2">
        <v>1</v>
      </c>
      <c r="I909" s="2">
        <v>1471</v>
      </c>
      <c r="N909" t="str">
        <f t="shared" si="127"/>
        <v>REDINGTON MIDDLE EAST LLC</v>
      </c>
      <c r="O909" t="str">
        <f t="shared" si="128"/>
        <v>W1315322405</v>
      </c>
      <c r="P909" t="str">
        <f t="shared" si="129"/>
        <v>LE769EL80SBN-526121</v>
      </c>
      <c r="Q909" t="str">
        <f t="shared" si="130"/>
        <v>PO044870</v>
      </c>
      <c r="R909" t="str">
        <f t="shared" si="131"/>
        <v>Ideapad 310 (Intel Core I3, 15.6 inches, 1 TB HDD, Windows 10, Silver)</v>
      </c>
      <c r="S909" t="str">
        <f t="shared" si="132"/>
        <v>SA975036</v>
      </c>
      <c r="T909">
        <f t="shared" si="133"/>
        <v>1</v>
      </c>
      <c r="U909">
        <f t="shared" si="134"/>
        <v>1471</v>
      </c>
    </row>
    <row r="910" spans="1:21" x14ac:dyDescent="0.25">
      <c r="A910">
        <f t="shared" si="126"/>
        <v>32</v>
      </c>
      <c r="C910" t="s">
        <v>6020</v>
      </c>
      <c r="D910" t="s">
        <v>6021</v>
      </c>
      <c r="E910" t="s">
        <v>6023</v>
      </c>
      <c r="F910" t="s">
        <v>6022</v>
      </c>
      <c r="G910" t="s">
        <v>6019</v>
      </c>
      <c r="H910" s="2">
        <v>1</v>
      </c>
      <c r="I910" s="2">
        <v>1033</v>
      </c>
      <c r="N910" t="str">
        <f t="shared" si="127"/>
        <v>REDINGTON MIDDLE EAST LLC</v>
      </c>
      <c r="O910" t="str">
        <f t="shared" si="128"/>
        <v>W1315341009</v>
      </c>
      <c r="P910" t="str">
        <f t="shared" si="129"/>
        <v>DE788EL79QUU-595693</v>
      </c>
      <c r="Q910" t="str">
        <f t="shared" si="130"/>
        <v>PO044901</v>
      </c>
      <c r="R910" t="str">
        <f t="shared" si="131"/>
        <v>Inspiron 3168-INS-0996-GRY (Intel Celeron, 11.6 inches, 32 GB HDD, Windows 10, Grey)</v>
      </c>
      <c r="S910" t="str">
        <f t="shared" si="132"/>
        <v>SA982970</v>
      </c>
      <c r="T910">
        <f t="shared" si="133"/>
        <v>1</v>
      </c>
      <c r="U910">
        <f t="shared" si="134"/>
        <v>1033</v>
      </c>
    </row>
    <row r="911" spans="1:21" x14ac:dyDescent="0.25">
      <c r="A911">
        <f t="shared" si="126"/>
        <v>32</v>
      </c>
      <c r="G911" t="s">
        <v>6080</v>
      </c>
      <c r="H911" s="2">
        <v>1</v>
      </c>
      <c r="I911" s="2">
        <v>1033</v>
      </c>
      <c r="N911" t="str">
        <f t="shared" si="127"/>
        <v>REDINGTON MIDDLE EAST LLC</v>
      </c>
      <c r="O911" t="str">
        <f t="shared" si="128"/>
        <v>W1315341009</v>
      </c>
      <c r="P911" t="str">
        <f t="shared" si="129"/>
        <v>DE788EL79QUU-595693</v>
      </c>
      <c r="Q911" t="str">
        <f t="shared" si="130"/>
        <v>PO044901</v>
      </c>
      <c r="R911" t="str">
        <f t="shared" si="131"/>
        <v>Inspiron 3168-INS-0996-GRY (Intel Celeron, 11.6 inches, 32 GB HDD, Windows 10, Grey)</v>
      </c>
      <c r="S911" t="str">
        <f t="shared" si="132"/>
        <v>SA983588</v>
      </c>
      <c r="T911">
        <f t="shared" si="133"/>
        <v>1</v>
      </c>
      <c r="U911">
        <f t="shared" si="134"/>
        <v>1033</v>
      </c>
    </row>
    <row r="912" spans="1:21" x14ac:dyDescent="0.25">
      <c r="A912">
        <f t="shared" si="126"/>
        <v>32</v>
      </c>
      <c r="C912" t="s">
        <v>6356</v>
      </c>
      <c r="D912" t="s">
        <v>6357</v>
      </c>
      <c r="E912" t="s">
        <v>6023</v>
      </c>
      <c r="F912" t="s">
        <v>6358</v>
      </c>
      <c r="G912" t="s">
        <v>6355</v>
      </c>
      <c r="H912" s="2">
        <v>1</v>
      </c>
      <c r="I912" s="2">
        <v>743</v>
      </c>
      <c r="N912" t="str">
        <f t="shared" si="127"/>
        <v>REDINGTON MIDDLE EAST LLC</v>
      </c>
      <c r="O912" t="str">
        <f t="shared" si="128"/>
        <v>W1315268524</v>
      </c>
      <c r="P912" t="str">
        <f t="shared" si="129"/>
        <v>LE769EL75WPC-469412</v>
      </c>
      <c r="Q912" t="str">
        <f t="shared" si="130"/>
        <v>PO044901</v>
      </c>
      <c r="R912" t="str">
        <f t="shared" si="131"/>
        <v>Ideapad 80R2001JAX-B+A3300 (Intel Atom, 11.6 inches, 32 GB HDD, Windows 10, Blue)</v>
      </c>
      <c r="S912" t="str">
        <f t="shared" si="132"/>
        <v>SA986271</v>
      </c>
      <c r="T912">
        <f t="shared" si="133"/>
        <v>1</v>
      </c>
      <c r="U912">
        <f t="shared" si="134"/>
        <v>743</v>
      </c>
    </row>
    <row r="913" spans="1:21" x14ac:dyDescent="0.25">
      <c r="A913">
        <f t="shared" si="126"/>
        <v>32</v>
      </c>
      <c r="C913" t="s">
        <v>6432</v>
      </c>
      <c r="D913" t="s">
        <v>6433</v>
      </c>
      <c r="E913" t="s">
        <v>6023</v>
      </c>
      <c r="F913" t="s">
        <v>6434</v>
      </c>
      <c r="G913" t="s">
        <v>6431</v>
      </c>
      <c r="H913" s="2">
        <v>1</v>
      </c>
      <c r="I913" s="2">
        <v>2100</v>
      </c>
      <c r="N913" t="str">
        <f t="shared" si="127"/>
        <v>REDINGTON MIDDLE EAST LLC</v>
      </c>
      <c r="O913" t="str">
        <f t="shared" si="128"/>
        <v>W1315370779</v>
      </c>
      <c r="P913" t="str">
        <f t="shared" si="129"/>
        <v>HP795EL08BGT-604277</v>
      </c>
      <c r="Q913" t="str">
        <f t="shared" si="130"/>
        <v>PO044901</v>
      </c>
      <c r="R913" t="str">
        <f t="shared" si="131"/>
        <v>Pavilion x360 13-u100nl (Intel Core i3, 13.3 inches, 500 GB HDD, Windows 10, Gold)</v>
      </c>
      <c r="S913" t="str">
        <f t="shared" si="132"/>
        <v>SA986937</v>
      </c>
      <c r="T913">
        <f t="shared" si="133"/>
        <v>1</v>
      </c>
      <c r="U913">
        <f t="shared" si="134"/>
        <v>2100</v>
      </c>
    </row>
    <row r="914" spans="1:21" x14ac:dyDescent="0.25">
      <c r="A914">
        <f t="shared" si="126"/>
        <v>33</v>
      </c>
      <c r="B914" t="s">
        <v>1502</v>
      </c>
      <c r="C914" t="s">
        <v>3877</v>
      </c>
      <c r="D914" t="s">
        <v>3878</v>
      </c>
      <c r="E914" t="s">
        <v>3880</v>
      </c>
      <c r="F914" t="s">
        <v>3879</v>
      </c>
      <c r="G914" t="s">
        <v>3876</v>
      </c>
      <c r="H914" s="2">
        <v>1</v>
      </c>
      <c r="I914" s="2">
        <v>439</v>
      </c>
      <c r="N914" t="str">
        <f t="shared" si="127"/>
        <v>Baby Kish General Trading LCC</v>
      </c>
      <c r="O914" t="str">
        <f t="shared" si="128"/>
        <v>W1315359721</v>
      </c>
      <c r="P914" t="str">
        <f t="shared" si="129"/>
        <v>FA020AC74UFL-599031</v>
      </c>
      <c r="Q914" t="str">
        <f t="shared" si="130"/>
        <v>PO044557</v>
      </c>
      <c r="R914" t="str">
        <f t="shared" si="131"/>
        <v>Farlin Cot Bedding Set (BF-582, White)</v>
      </c>
      <c r="S914" t="str">
        <f t="shared" si="132"/>
        <v>SA961631</v>
      </c>
      <c r="T914">
        <f t="shared" si="133"/>
        <v>1</v>
      </c>
      <c r="U914">
        <f t="shared" si="134"/>
        <v>439</v>
      </c>
    </row>
    <row r="915" spans="1:21" x14ac:dyDescent="0.25">
      <c r="A915">
        <f t="shared" si="126"/>
        <v>33</v>
      </c>
      <c r="G915" t="s">
        <v>4297</v>
      </c>
      <c r="H915" s="2">
        <v>1</v>
      </c>
      <c r="I915" s="2">
        <v>439</v>
      </c>
      <c r="N915" t="str">
        <f t="shared" si="127"/>
        <v>Baby Kish General Trading LCC</v>
      </c>
      <c r="O915" t="str">
        <f t="shared" si="128"/>
        <v>W1315359721</v>
      </c>
      <c r="P915" t="str">
        <f t="shared" si="129"/>
        <v>FA020AC74UFL-599031</v>
      </c>
      <c r="Q915" t="str">
        <f t="shared" si="130"/>
        <v>PO044557</v>
      </c>
      <c r="R915" t="str">
        <f t="shared" si="131"/>
        <v>Farlin Cot Bedding Set (BF-582, White)</v>
      </c>
      <c r="S915" t="str">
        <f t="shared" si="132"/>
        <v>SA969684</v>
      </c>
      <c r="T915">
        <f t="shared" si="133"/>
        <v>1</v>
      </c>
      <c r="U915">
        <f t="shared" si="134"/>
        <v>439</v>
      </c>
    </row>
    <row r="916" spans="1:21" x14ac:dyDescent="0.25">
      <c r="A916">
        <f t="shared" si="126"/>
        <v>33</v>
      </c>
      <c r="C916" t="s">
        <v>3975</v>
      </c>
      <c r="D916" t="s">
        <v>3976</v>
      </c>
      <c r="E916" t="s">
        <v>3978</v>
      </c>
      <c r="F916" t="s">
        <v>3977</v>
      </c>
      <c r="G916" t="s">
        <v>3974</v>
      </c>
      <c r="H916" s="2">
        <v>1</v>
      </c>
      <c r="I916" s="2">
        <v>1131</v>
      </c>
      <c r="N916" t="str">
        <f t="shared" si="127"/>
        <v>Baby Kish General Trading LCC</v>
      </c>
      <c r="O916" t="str">
        <f t="shared" si="128"/>
        <v>W1315265924</v>
      </c>
      <c r="P916" t="str">
        <f t="shared" si="129"/>
        <v>GR933AC54HRL-453734</v>
      </c>
      <c r="Q916" t="str">
        <f t="shared" si="130"/>
        <v>PO044482</v>
      </c>
      <c r="R916" t="str">
        <f t="shared" si="131"/>
        <v>Graco Travel System Stylus Winslet Grey/Blue - 1928315</v>
      </c>
      <c r="S916" t="str">
        <f t="shared" si="132"/>
        <v>SA963283</v>
      </c>
      <c r="T916">
        <f t="shared" si="133"/>
        <v>1</v>
      </c>
      <c r="U916">
        <f t="shared" si="134"/>
        <v>1131</v>
      </c>
    </row>
    <row r="917" spans="1:21" x14ac:dyDescent="0.25">
      <c r="A917">
        <f t="shared" si="126"/>
        <v>33</v>
      </c>
      <c r="C917" t="s">
        <v>4105</v>
      </c>
      <c r="D917" t="s">
        <v>4106</v>
      </c>
      <c r="E917" t="s">
        <v>3978</v>
      </c>
      <c r="F917" t="s">
        <v>4107</v>
      </c>
      <c r="G917" t="s">
        <v>4104</v>
      </c>
      <c r="H917" s="2">
        <v>1</v>
      </c>
      <c r="I917" s="2">
        <v>5</v>
      </c>
      <c r="N917" t="str">
        <f t="shared" si="127"/>
        <v>Baby Kish General Trading LCC</v>
      </c>
      <c r="O917" t="str">
        <f t="shared" si="128"/>
        <v>W1315240201</v>
      </c>
      <c r="P917" t="str">
        <f t="shared" si="129"/>
        <v>FA020AC57OPE-431760</v>
      </c>
      <c r="Q917" t="str">
        <f t="shared" si="130"/>
        <v>PO044482</v>
      </c>
      <c r="R917" t="str">
        <f t="shared" si="131"/>
        <v>Farlin Wet Wipes For Hand &amp; Mouth - DT-009</v>
      </c>
      <c r="S917" t="str">
        <f t="shared" si="132"/>
        <v>SA965829</v>
      </c>
      <c r="T917">
        <f t="shared" si="133"/>
        <v>1</v>
      </c>
      <c r="U917">
        <f t="shared" si="134"/>
        <v>5</v>
      </c>
    </row>
    <row r="918" spans="1:21" x14ac:dyDescent="0.25">
      <c r="A918">
        <f t="shared" si="126"/>
        <v>33</v>
      </c>
      <c r="G918" t="s">
        <v>4205</v>
      </c>
      <c r="H918" s="2">
        <v>1</v>
      </c>
      <c r="I918" s="2">
        <v>5</v>
      </c>
      <c r="N918" t="str">
        <f t="shared" si="127"/>
        <v>Baby Kish General Trading LCC</v>
      </c>
      <c r="O918" t="str">
        <f t="shared" si="128"/>
        <v>W1315240201</v>
      </c>
      <c r="P918" t="str">
        <f t="shared" si="129"/>
        <v>FA020AC57OPE-431760</v>
      </c>
      <c r="Q918" t="str">
        <f t="shared" si="130"/>
        <v>PO044482</v>
      </c>
      <c r="R918" t="str">
        <f t="shared" si="131"/>
        <v>Farlin Wet Wipes For Hand &amp; Mouth - DT-009</v>
      </c>
      <c r="S918" t="str">
        <f t="shared" si="132"/>
        <v>SA967632</v>
      </c>
      <c r="T918">
        <f t="shared" si="133"/>
        <v>1</v>
      </c>
      <c r="U918">
        <f t="shared" si="134"/>
        <v>5</v>
      </c>
    </row>
    <row r="919" spans="1:21" x14ac:dyDescent="0.25">
      <c r="A919">
        <f t="shared" si="126"/>
        <v>33</v>
      </c>
      <c r="G919" t="s">
        <v>4206</v>
      </c>
      <c r="H919" s="2">
        <v>1</v>
      </c>
      <c r="I919" s="2">
        <v>5</v>
      </c>
      <c r="N919" t="str">
        <f t="shared" si="127"/>
        <v>Baby Kish General Trading LCC</v>
      </c>
      <c r="O919" t="str">
        <f t="shared" si="128"/>
        <v>W1315240201</v>
      </c>
      <c r="P919" t="str">
        <f t="shared" si="129"/>
        <v>FA020AC57OPE-431760</v>
      </c>
      <c r="Q919" t="str">
        <f t="shared" si="130"/>
        <v>PO044482</v>
      </c>
      <c r="R919" t="str">
        <f t="shared" si="131"/>
        <v>Farlin Wet Wipes For Hand &amp; Mouth - DT-009</v>
      </c>
      <c r="S919" t="str">
        <f t="shared" si="132"/>
        <v>SA967633</v>
      </c>
      <c r="T919">
        <f t="shared" si="133"/>
        <v>1</v>
      </c>
      <c r="U919">
        <f t="shared" si="134"/>
        <v>5</v>
      </c>
    </row>
    <row r="920" spans="1:21" x14ac:dyDescent="0.25">
      <c r="A920">
        <f t="shared" si="126"/>
        <v>33</v>
      </c>
      <c r="G920" t="s">
        <v>4207</v>
      </c>
      <c r="H920" s="2">
        <v>1</v>
      </c>
      <c r="I920" s="2">
        <v>5</v>
      </c>
      <c r="N920" t="str">
        <f t="shared" si="127"/>
        <v>Baby Kish General Trading LCC</v>
      </c>
      <c r="O920" t="str">
        <f t="shared" si="128"/>
        <v>W1315240201</v>
      </c>
      <c r="P920" t="str">
        <f t="shared" si="129"/>
        <v>FA020AC57OPE-431760</v>
      </c>
      <c r="Q920" t="str">
        <f t="shared" si="130"/>
        <v>PO044482</v>
      </c>
      <c r="R920" t="str">
        <f t="shared" si="131"/>
        <v>Farlin Wet Wipes For Hand &amp; Mouth - DT-009</v>
      </c>
      <c r="S920" t="str">
        <f t="shared" si="132"/>
        <v>SA967634</v>
      </c>
      <c r="T920">
        <f t="shared" si="133"/>
        <v>1</v>
      </c>
      <c r="U920">
        <f t="shared" si="134"/>
        <v>5</v>
      </c>
    </row>
    <row r="921" spans="1:21" x14ac:dyDescent="0.25">
      <c r="A921">
        <f t="shared" si="126"/>
        <v>33</v>
      </c>
      <c r="G921" t="s">
        <v>4341</v>
      </c>
      <c r="H921" s="2">
        <v>1</v>
      </c>
      <c r="I921" s="2">
        <v>5</v>
      </c>
      <c r="N921" t="str">
        <f t="shared" si="127"/>
        <v>Baby Kish General Trading LCC</v>
      </c>
      <c r="O921" t="str">
        <f t="shared" si="128"/>
        <v>W1315240201</v>
      </c>
      <c r="P921" t="str">
        <f t="shared" si="129"/>
        <v>FA020AC57OPE-431760</v>
      </c>
      <c r="Q921" t="str">
        <f t="shared" si="130"/>
        <v>PO044482</v>
      </c>
      <c r="R921" t="str">
        <f t="shared" si="131"/>
        <v>Farlin Wet Wipes For Hand &amp; Mouth - DT-009</v>
      </c>
      <c r="S921" t="str">
        <f t="shared" si="132"/>
        <v>SA970209</v>
      </c>
      <c r="T921">
        <f t="shared" si="133"/>
        <v>1</v>
      </c>
      <c r="U921">
        <f t="shared" si="134"/>
        <v>5</v>
      </c>
    </row>
    <row r="922" spans="1:21" x14ac:dyDescent="0.25">
      <c r="A922">
        <f t="shared" si="126"/>
        <v>33</v>
      </c>
      <c r="E922" t="s">
        <v>6197</v>
      </c>
      <c r="F922" t="s">
        <v>4107</v>
      </c>
      <c r="G922" t="s">
        <v>6517</v>
      </c>
      <c r="H922" s="2">
        <v>1</v>
      </c>
      <c r="I922" s="2">
        <v>5</v>
      </c>
      <c r="N922" t="str">
        <f t="shared" si="127"/>
        <v>Baby Kish General Trading LCC</v>
      </c>
      <c r="O922" t="str">
        <f t="shared" si="128"/>
        <v>W1315240201</v>
      </c>
      <c r="P922" t="str">
        <f t="shared" si="129"/>
        <v>FA020AC57OPE-431760</v>
      </c>
      <c r="Q922" t="str">
        <f t="shared" si="130"/>
        <v>PO044948</v>
      </c>
      <c r="R922" t="str">
        <f t="shared" si="131"/>
        <v>Farlin Wet Wipes For Hand &amp; Mouth - DT-009</v>
      </c>
      <c r="S922" t="str">
        <f t="shared" si="132"/>
        <v>SA987965</v>
      </c>
      <c r="T922">
        <f t="shared" si="133"/>
        <v>1</v>
      </c>
      <c r="U922">
        <f t="shared" si="134"/>
        <v>5</v>
      </c>
    </row>
    <row r="923" spans="1:21" x14ac:dyDescent="0.25">
      <c r="A923">
        <f t="shared" si="126"/>
        <v>33</v>
      </c>
      <c r="E923" t="s">
        <v>6682</v>
      </c>
      <c r="F923" t="s">
        <v>4107</v>
      </c>
      <c r="G923" t="s">
        <v>6681</v>
      </c>
      <c r="H923" s="2">
        <v>1</v>
      </c>
      <c r="I923" s="2">
        <v>5</v>
      </c>
      <c r="N923" t="str">
        <f t="shared" si="127"/>
        <v>Baby Kish General Trading LCC</v>
      </c>
      <c r="O923" t="str">
        <f t="shared" si="128"/>
        <v>W1315240201</v>
      </c>
      <c r="P923" t="str">
        <f t="shared" si="129"/>
        <v>FA020AC57OPE-431760</v>
      </c>
      <c r="Q923" t="str">
        <f t="shared" si="130"/>
        <v>PO045025</v>
      </c>
      <c r="R923" t="str">
        <f t="shared" si="131"/>
        <v>Farlin Wet Wipes For Hand &amp; Mouth - DT-009</v>
      </c>
      <c r="S923" t="str">
        <f t="shared" si="132"/>
        <v>SA989375</v>
      </c>
      <c r="T923">
        <f t="shared" si="133"/>
        <v>1</v>
      </c>
      <c r="U923">
        <f t="shared" si="134"/>
        <v>5</v>
      </c>
    </row>
    <row r="924" spans="1:21" x14ac:dyDescent="0.25">
      <c r="A924">
        <f t="shared" si="126"/>
        <v>33</v>
      </c>
      <c r="G924" t="s">
        <v>6683</v>
      </c>
      <c r="H924" s="2">
        <v>1</v>
      </c>
      <c r="I924" s="2">
        <v>5</v>
      </c>
      <c r="N924" t="str">
        <f t="shared" si="127"/>
        <v>Baby Kish General Trading LCC</v>
      </c>
      <c r="O924" t="str">
        <f t="shared" si="128"/>
        <v>W1315240201</v>
      </c>
      <c r="P924" t="str">
        <f t="shared" si="129"/>
        <v>FA020AC57OPE-431760</v>
      </c>
      <c r="Q924" t="str">
        <f t="shared" si="130"/>
        <v>PO045025</v>
      </c>
      <c r="R924" t="str">
        <f t="shared" si="131"/>
        <v>Farlin Wet Wipes For Hand &amp; Mouth - DT-009</v>
      </c>
      <c r="S924" t="str">
        <f t="shared" si="132"/>
        <v>SA989376</v>
      </c>
      <c r="T924">
        <f t="shared" si="133"/>
        <v>1</v>
      </c>
      <c r="U924">
        <f t="shared" si="134"/>
        <v>5</v>
      </c>
    </row>
    <row r="925" spans="1:21" x14ac:dyDescent="0.25">
      <c r="A925">
        <f t="shared" si="126"/>
        <v>33</v>
      </c>
      <c r="C925" t="s">
        <v>4153</v>
      </c>
      <c r="D925" t="s">
        <v>4154</v>
      </c>
      <c r="E925" t="s">
        <v>3978</v>
      </c>
      <c r="F925" t="s">
        <v>4155</v>
      </c>
      <c r="G925" t="s">
        <v>4152</v>
      </c>
      <c r="H925" s="2">
        <v>1</v>
      </c>
      <c r="I925" s="2">
        <v>741</v>
      </c>
      <c r="N925" t="str">
        <f t="shared" si="127"/>
        <v>Baby Kish General Trading LCC</v>
      </c>
      <c r="O925" t="str">
        <f t="shared" si="128"/>
        <v>W1315216251</v>
      </c>
      <c r="P925" t="str">
        <f t="shared" si="129"/>
        <v>GR933AC38XXH-407179</v>
      </c>
      <c r="Q925" t="str">
        <f t="shared" si="130"/>
        <v>PO044482</v>
      </c>
      <c r="R925" t="str">
        <f t="shared" si="131"/>
        <v>Graco Stadium Du Sport Luxe 6L92SLXE Stroller - 1855707</v>
      </c>
      <c r="S925" t="str">
        <f t="shared" si="132"/>
        <v>SA966653</v>
      </c>
      <c r="T925">
        <f t="shared" si="133"/>
        <v>1</v>
      </c>
      <c r="U925">
        <f t="shared" si="134"/>
        <v>741</v>
      </c>
    </row>
    <row r="926" spans="1:21" x14ac:dyDescent="0.25">
      <c r="A926">
        <f t="shared" si="126"/>
        <v>33</v>
      </c>
      <c r="G926" t="s">
        <v>4514</v>
      </c>
      <c r="H926" s="2">
        <v>1</v>
      </c>
      <c r="I926" s="2">
        <v>741</v>
      </c>
      <c r="N926" t="str">
        <f t="shared" si="127"/>
        <v>Baby Kish General Trading LCC</v>
      </c>
      <c r="O926" t="str">
        <f t="shared" si="128"/>
        <v>W1315216251</v>
      </c>
      <c r="P926" t="str">
        <f t="shared" si="129"/>
        <v>GR933AC38XXH-407179</v>
      </c>
      <c r="Q926" t="str">
        <f t="shared" si="130"/>
        <v>PO044482</v>
      </c>
      <c r="R926" t="str">
        <f t="shared" si="131"/>
        <v>Graco Stadium Du Sport Luxe 6L92SLXE Stroller - 1855707</v>
      </c>
      <c r="S926" t="str">
        <f t="shared" si="132"/>
        <v>SA972145</v>
      </c>
      <c r="T926">
        <f t="shared" si="133"/>
        <v>1</v>
      </c>
      <c r="U926">
        <f t="shared" si="134"/>
        <v>741</v>
      </c>
    </row>
    <row r="927" spans="1:21" x14ac:dyDescent="0.25">
      <c r="A927">
        <f t="shared" si="126"/>
        <v>33</v>
      </c>
      <c r="E927" t="s">
        <v>4948</v>
      </c>
      <c r="F927" t="s">
        <v>4155</v>
      </c>
      <c r="G927" t="s">
        <v>5156</v>
      </c>
      <c r="H927" s="2">
        <v>1</v>
      </c>
      <c r="I927" s="2">
        <v>741</v>
      </c>
      <c r="N927" t="str">
        <f t="shared" si="127"/>
        <v>Baby Kish General Trading LCC</v>
      </c>
      <c r="O927" t="str">
        <f t="shared" si="128"/>
        <v>W1315216251</v>
      </c>
      <c r="P927" t="str">
        <f t="shared" si="129"/>
        <v>GR933AC38XXH-407179</v>
      </c>
      <c r="Q927" t="str">
        <f t="shared" si="130"/>
        <v>PO044830</v>
      </c>
      <c r="R927" t="str">
        <f t="shared" si="131"/>
        <v>Graco Stadium Du Sport Luxe 6L92SLXE Stroller - 1855707</v>
      </c>
      <c r="S927" t="str">
        <f t="shared" si="132"/>
        <v>SA974801</v>
      </c>
      <c r="T927">
        <f t="shared" si="133"/>
        <v>1</v>
      </c>
      <c r="U927">
        <f t="shared" si="134"/>
        <v>741</v>
      </c>
    </row>
    <row r="928" spans="1:21" x14ac:dyDescent="0.25">
      <c r="A928">
        <f t="shared" si="126"/>
        <v>33</v>
      </c>
      <c r="G928" t="s">
        <v>5530</v>
      </c>
      <c r="H928" s="2">
        <v>1</v>
      </c>
      <c r="I928" s="2">
        <v>741</v>
      </c>
      <c r="N928" t="str">
        <f t="shared" si="127"/>
        <v>Baby Kish General Trading LCC</v>
      </c>
      <c r="O928" t="str">
        <f t="shared" si="128"/>
        <v>W1315216251</v>
      </c>
      <c r="P928" t="str">
        <f t="shared" si="129"/>
        <v>GR933AC38XXH-407179</v>
      </c>
      <c r="Q928" t="str">
        <f t="shared" si="130"/>
        <v>PO044830</v>
      </c>
      <c r="R928" t="str">
        <f t="shared" si="131"/>
        <v>Graco Stadium Du Sport Luxe 6L92SLXE Stroller - 1855707</v>
      </c>
      <c r="S928" t="str">
        <f t="shared" si="132"/>
        <v>SA979288</v>
      </c>
      <c r="T928">
        <f t="shared" si="133"/>
        <v>1</v>
      </c>
      <c r="U928">
        <f t="shared" si="134"/>
        <v>741</v>
      </c>
    </row>
    <row r="929" spans="1:21" x14ac:dyDescent="0.25">
      <c r="A929">
        <f t="shared" si="126"/>
        <v>33</v>
      </c>
      <c r="G929" t="s">
        <v>6230</v>
      </c>
      <c r="H929" s="2">
        <v>1</v>
      </c>
      <c r="I929" s="2">
        <v>741</v>
      </c>
      <c r="N929" t="str">
        <f t="shared" si="127"/>
        <v>Baby Kish General Trading LCC</v>
      </c>
      <c r="O929" t="str">
        <f t="shared" si="128"/>
        <v>W1315216251</v>
      </c>
      <c r="P929" t="str">
        <f t="shared" si="129"/>
        <v>GR933AC38XXH-407179</v>
      </c>
      <c r="Q929" t="str">
        <f t="shared" si="130"/>
        <v>PO044830</v>
      </c>
      <c r="R929" t="str">
        <f t="shared" si="131"/>
        <v>Graco Stadium Du Sport Luxe 6L92SLXE Stroller - 1855707</v>
      </c>
      <c r="S929" t="str">
        <f t="shared" si="132"/>
        <v>SA985264</v>
      </c>
      <c r="T929">
        <f t="shared" si="133"/>
        <v>1</v>
      </c>
      <c r="U929">
        <f t="shared" si="134"/>
        <v>741</v>
      </c>
    </row>
    <row r="930" spans="1:21" x14ac:dyDescent="0.25">
      <c r="A930">
        <f t="shared" si="126"/>
        <v>33</v>
      </c>
      <c r="C930" t="s">
        <v>4157</v>
      </c>
      <c r="D930" t="s">
        <v>4158</v>
      </c>
      <c r="E930" t="s">
        <v>3978</v>
      </c>
      <c r="F930" t="s">
        <v>4159</v>
      </c>
      <c r="G930" t="s">
        <v>4156</v>
      </c>
      <c r="H930" s="2">
        <v>1</v>
      </c>
      <c r="I930" s="2">
        <v>897</v>
      </c>
      <c r="N930" t="str">
        <f t="shared" si="127"/>
        <v>Baby Kish General Trading LCC</v>
      </c>
      <c r="O930" t="str">
        <f t="shared" si="128"/>
        <v>W1315216166</v>
      </c>
      <c r="P930" t="str">
        <f t="shared" si="129"/>
        <v>GR933AC23XXW-407194</v>
      </c>
      <c r="Q930" t="str">
        <f t="shared" si="130"/>
        <v>PO044482</v>
      </c>
      <c r="R930" t="str">
        <f t="shared" si="131"/>
        <v>Graco Evo Khaki Stroller - 1882166</v>
      </c>
      <c r="S930" t="str">
        <f t="shared" si="132"/>
        <v>SA966812</v>
      </c>
      <c r="T930">
        <f t="shared" si="133"/>
        <v>1</v>
      </c>
      <c r="U930">
        <f t="shared" si="134"/>
        <v>897</v>
      </c>
    </row>
    <row r="931" spans="1:21" x14ac:dyDescent="0.25">
      <c r="A931">
        <f t="shared" si="126"/>
        <v>33</v>
      </c>
      <c r="C931" t="s">
        <v>4287</v>
      </c>
      <c r="D931" t="s">
        <v>4288</v>
      </c>
      <c r="E931" t="s">
        <v>3880</v>
      </c>
      <c r="F931" t="s">
        <v>4289</v>
      </c>
      <c r="G931" t="s">
        <v>4286</v>
      </c>
      <c r="H931" s="2">
        <v>1</v>
      </c>
      <c r="I931" s="2">
        <v>897</v>
      </c>
      <c r="N931" t="str">
        <f t="shared" si="127"/>
        <v>Baby Kish General Trading LCC</v>
      </c>
      <c r="O931" t="str">
        <f t="shared" si="128"/>
        <v>W1315216252</v>
      </c>
      <c r="P931" t="str">
        <f t="shared" si="129"/>
        <v>GR933AC37XXI-407180</v>
      </c>
      <c r="Q931" t="str">
        <f t="shared" si="130"/>
        <v>PO044557</v>
      </c>
      <c r="R931" t="str">
        <f t="shared" si="131"/>
        <v>Graco Ready2Grow Metropolita2014 6AC99MTPE Stroller (1914034)</v>
      </c>
      <c r="S931" t="str">
        <f t="shared" si="132"/>
        <v>SA969558</v>
      </c>
      <c r="T931">
        <f t="shared" si="133"/>
        <v>1</v>
      </c>
      <c r="U931">
        <f t="shared" si="134"/>
        <v>897</v>
      </c>
    </row>
    <row r="932" spans="1:21" x14ac:dyDescent="0.25">
      <c r="A932">
        <f t="shared" si="126"/>
        <v>33</v>
      </c>
      <c r="E932" t="s">
        <v>4948</v>
      </c>
      <c r="F932" t="s">
        <v>4289</v>
      </c>
      <c r="G932" t="s">
        <v>5338</v>
      </c>
      <c r="H932" s="2">
        <v>1</v>
      </c>
      <c r="I932" s="2">
        <v>897</v>
      </c>
      <c r="N932" t="str">
        <f t="shared" si="127"/>
        <v>Baby Kish General Trading LCC</v>
      </c>
      <c r="O932" t="str">
        <f t="shared" si="128"/>
        <v>W1315216252</v>
      </c>
      <c r="P932" t="str">
        <f t="shared" si="129"/>
        <v>GR933AC37XXI-407180</v>
      </c>
      <c r="Q932" t="str">
        <f t="shared" si="130"/>
        <v>PO044830</v>
      </c>
      <c r="R932" t="str">
        <f t="shared" si="131"/>
        <v>Graco Ready2Grow Metropolita2014 6AC99MTPE Stroller (1914034)</v>
      </c>
      <c r="S932" t="str">
        <f t="shared" si="132"/>
        <v>SA976741</v>
      </c>
      <c r="T932">
        <f t="shared" si="133"/>
        <v>1</v>
      </c>
      <c r="U932">
        <f t="shared" si="134"/>
        <v>897</v>
      </c>
    </row>
    <row r="933" spans="1:21" x14ac:dyDescent="0.25">
      <c r="A933">
        <f t="shared" si="126"/>
        <v>33</v>
      </c>
      <c r="E933" t="s">
        <v>6082</v>
      </c>
      <c r="F933" t="s">
        <v>4289</v>
      </c>
      <c r="G933" t="s">
        <v>6081</v>
      </c>
      <c r="H933" s="2">
        <v>1</v>
      </c>
      <c r="I933" s="2">
        <v>897</v>
      </c>
      <c r="N933" t="str">
        <f t="shared" si="127"/>
        <v>Baby Kish General Trading LCC</v>
      </c>
      <c r="O933" t="str">
        <f t="shared" si="128"/>
        <v>W1315216252</v>
      </c>
      <c r="P933" t="str">
        <f t="shared" si="129"/>
        <v>GR933AC37XXI-407180</v>
      </c>
      <c r="Q933" t="str">
        <f t="shared" si="130"/>
        <v>PO044885</v>
      </c>
      <c r="R933" t="str">
        <f t="shared" si="131"/>
        <v>Graco Ready2Grow Metropolita2014 6AC99MTPE Stroller (1914034)</v>
      </c>
      <c r="S933" t="str">
        <f t="shared" si="132"/>
        <v>SA983593</v>
      </c>
      <c r="T933">
        <f t="shared" si="133"/>
        <v>1</v>
      </c>
      <c r="U933">
        <f t="shared" si="134"/>
        <v>897</v>
      </c>
    </row>
    <row r="934" spans="1:21" x14ac:dyDescent="0.25">
      <c r="A934">
        <f t="shared" si="126"/>
        <v>33</v>
      </c>
      <c r="C934" t="s">
        <v>4294</v>
      </c>
      <c r="D934" t="s">
        <v>4295</v>
      </c>
      <c r="E934" t="s">
        <v>3880</v>
      </c>
      <c r="F934" t="s">
        <v>4296</v>
      </c>
      <c r="G934" t="s">
        <v>4293</v>
      </c>
      <c r="H934" s="2">
        <v>1</v>
      </c>
      <c r="I934" s="2">
        <v>17</v>
      </c>
      <c r="N934" t="str">
        <f t="shared" si="127"/>
        <v>Baby Kish General Trading LCC</v>
      </c>
      <c r="O934" t="str">
        <f t="shared" si="128"/>
        <v>W1315311339</v>
      </c>
      <c r="P934" t="str">
        <f t="shared" si="129"/>
        <v>FA020AC90JPX-519280</v>
      </c>
      <c r="Q934" t="str">
        <f t="shared" si="130"/>
        <v>PO044557</v>
      </c>
      <c r="R934" t="str">
        <f t="shared" si="131"/>
        <v>Farlin Baby Bottle Multicolor - PER-858 (T3)</v>
      </c>
      <c r="S934" t="str">
        <f t="shared" si="132"/>
        <v>SA969683</v>
      </c>
      <c r="T934">
        <f t="shared" si="133"/>
        <v>1</v>
      </c>
      <c r="U934">
        <f t="shared" si="134"/>
        <v>17</v>
      </c>
    </row>
    <row r="935" spans="1:21" x14ac:dyDescent="0.25">
      <c r="A935">
        <f t="shared" si="126"/>
        <v>33</v>
      </c>
      <c r="G935" t="s">
        <v>4575</v>
      </c>
      <c r="H935" s="2">
        <v>1</v>
      </c>
      <c r="I935" s="2">
        <v>17</v>
      </c>
      <c r="N935" t="str">
        <f t="shared" si="127"/>
        <v>Baby Kish General Trading LCC</v>
      </c>
      <c r="O935" t="str">
        <f t="shared" si="128"/>
        <v>W1315311339</v>
      </c>
      <c r="P935" t="str">
        <f t="shared" si="129"/>
        <v>FA020AC90JPX-519280</v>
      </c>
      <c r="Q935" t="str">
        <f t="shared" si="130"/>
        <v>PO044557</v>
      </c>
      <c r="R935" t="str">
        <f t="shared" si="131"/>
        <v>Farlin Baby Bottle Multicolor - PER-858 (T3)</v>
      </c>
      <c r="S935" t="str">
        <f t="shared" si="132"/>
        <v>SA973539</v>
      </c>
      <c r="T935">
        <f t="shared" si="133"/>
        <v>1</v>
      </c>
      <c r="U935">
        <f t="shared" si="134"/>
        <v>17</v>
      </c>
    </row>
    <row r="936" spans="1:21" x14ac:dyDescent="0.25">
      <c r="A936">
        <f t="shared" si="126"/>
        <v>33</v>
      </c>
      <c r="C936" t="s">
        <v>4317</v>
      </c>
      <c r="D936" t="s">
        <v>4318</v>
      </c>
      <c r="E936" t="s">
        <v>3880</v>
      </c>
      <c r="F936" t="s">
        <v>4319</v>
      </c>
      <c r="G936" t="s">
        <v>4316</v>
      </c>
      <c r="H936" s="2">
        <v>1</v>
      </c>
      <c r="I936" s="2">
        <v>22</v>
      </c>
      <c r="N936" t="str">
        <f t="shared" si="127"/>
        <v>Baby Kish General Trading LCC</v>
      </c>
      <c r="O936" t="str">
        <f t="shared" si="128"/>
        <v>W1315249268</v>
      </c>
      <c r="P936" t="str">
        <f t="shared" si="129"/>
        <v>FA020AC21AMG-445508</v>
      </c>
      <c r="Q936" t="str">
        <f t="shared" si="130"/>
        <v>PO044557</v>
      </c>
      <c r="R936" t="str">
        <f t="shared" si="131"/>
        <v>Farlin Tableware Set - PER-246</v>
      </c>
      <c r="S936" t="str">
        <f t="shared" si="132"/>
        <v>SA970129</v>
      </c>
      <c r="T936">
        <f t="shared" si="133"/>
        <v>1</v>
      </c>
      <c r="U936">
        <f t="shared" si="134"/>
        <v>22</v>
      </c>
    </row>
    <row r="937" spans="1:21" x14ac:dyDescent="0.25">
      <c r="A937">
        <f t="shared" si="126"/>
        <v>33</v>
      </c>
      <c r="G937" t="s">
        <v>4339</v>
      </c>
      <c r="H937" s="2">
        <v>1</v>
      </c>
      <c r="I937" s="2">
        <v>22</v>
      </c>
      <c r="N937" t="str">
        <f t="shared" si="127"/>
        <v>Baby Kish General Trading LCC</v>
      </c>
      <c r="O937" t="str">
        <f t="shared" si="128"/>
        <v>W1315249268</v>
      </c>
      <c r="P937" t="str">
        <f t="shared" si="129"/>
        <v>FA020AC21AMG-445508</v>
      </c>
      <c r="Q937" t="str">
        <f t="shared" si="130"/>
        <v>PO044557</v>
      </c>
      <c r="R937" t="str">
        <f t="shared" si="131"/>
        <v>Farlin Tableware Set - PER-246</v>
      </c>
      <c r="S937" t="str">
        <f t="shared" si="132"/>
        <v>SA970207</v>
      </c>
      <c r="T937">
        <f t="shared" si="133"/>
        <v>1</v>
      </c>
      <c r="U937">
        <f t="shared" si="134"/>
        <v>22</v>
      </c>
    </row>
    <row r="938" spans="1:21" x14ac:dyDescent="0.25">
      <c r="A938">
        <f t="shared" si="126"/>
        <v>33</v>
      </c>
      <c r="G938" t="s">
        <v>4340</v>
      </c>
      <c r="H938" s="2">
        <v>1</v>
      </c>
      <c r="I938" s="2">
        <v>22</v>
      </c>
      <c r="N938" t="str">
        <f t="shared" si="127"/>
        <v>Baby Kish General Trading LCC</v>
      </c>
      <c r="O938" t="str">
        <f t="shared" si="128"/>
        <v>W1315249268</v>
      </c>
      <c r="P938" t="str">
        <f t="shared" si="129"/>
        <v>FA020AC21AMG-445508</v>
      </c>
      <c r="Q938" t="str">
        <f t="shared" si="130"/>
        <v>PO044557</v>
      </c>
      <c r="R938" t="str">
        <f t="shared" si="131"/>
        <v>Farlin Tableware Set - PER-246</v>
      </c>
      <c r="S938" t="str">
        <f t="shared" si="132"/>
        <v>SA970208</v>
      </c>
      <c r="T938">
        <f t="shared" si="133"/>
        <v>1</v>
      </c>
      <c r="U938">
        <f t="shared" si="134"/>
        <v>22</v>
      </c>
    </row>
    <row r="939" spans="1:21" x14ac:dyDescent="0.25">
      <c r="A939">
        <f t="shared" si="126"/>
        <v>33</v>
      </c>
      <c r="E939" t="s">
        <v>4948</v>
      </c>
      <c r="F939" t="s">
        <v>4319</v>
      </c>
      <c r="G939" t="s">
        <v>5104</v>
      </c>
      <c r="H939" s="2">
        <v>1</v>
      </c>
      <c r="I939" s="2">
        <v>22</v>
      </c>
      <c r="N939" t="str">
        <f t="shared" si="127"/>
        <v>Baby Kish General Trading LCC</v>
      </c>
      <c r="O939" t="str">
        <f t="shared" si="128"/>
        <v>W1315249268</v>
      </c>
      <c r="P939" t="str">
        <f t="shared" si="129"/>
        <v>FA020AC21AMG-445508</v>
      </c>
      <c r="Q939" t="str">
        <f t="shared" si="130"/>
        <v>PO044830</v>
      </c>
      <c r="R939" t="str">
        <f t="shared" si="131"/>
        <v>Farlin Tableware Set - PER-246</v>
      </c>
      <c r="S939" t="str">
        <f t="shared" si="132"/>
        <v>SA974038</v>
      </c>
      <c r="T939">
        <f t="shared" si="133"/>
        <v>1</v>
      </c>
      <c r="U939">
        <f t="shared" si="134"/>
        <v>22</v>
      </c>
    </row>
    <row r="940" spans="1:21" x14ac:dyDescent="0.25">
      <c r="A940">
        <f t="shared" si="126"/>
        <v>33</v>
      </c>
      <c r="G940" t="s">
        <v>5519</v>
      </c>
      <c r="H940" s="2">
        <v>1</v>
      </c>
      <c r="I940" s="2">
        <v>22</v>
      </c>
      <c r="N940" t="str">
        <f t="shared" si="127"/>
        <v>Baby Kish General Trading LCC</v>
      </c>
      <c r="O940" t="str">
        <f t="shared" si="128"/>
        <v>W1315249268</v>
      </c>
      <c r="P940" t="str">
        <f t="shared" si="129"/>
        <v>FA020AC21AMG-445508</v>
      </c>
      <c r="Q940" t="str">
        <f t="shared" si="130"/>
        <v>PO044830</v>
      </c>
      <c r="R940" t="str">
        <f t="shared" si="131"/>
        <v>Farlin Tableware Set - PER-246</v>
      </c>
      <c r="S940" t="str">
        <f t="shared" si="132"/>
        <v>SA979153</v>
      </c>
      <c r="T940">
        <f t="shared" si="133"/>
        <v>1</v>
      </c>
      <c r="U940">
        <f t="shared" si="134"/>
        <v>22</v>
      </c>
    </row>
    <row r="941" spans="1:21" x14ac:dyDescent="0.25">
      <c r="A941">
        <f t="shared" si="126"/>
        <v>33</v>
      </c>
      <c r="E941" t="s">
        <v>6197</v>
      </c>
      <c r="F941" t="s">
        <v>4319</v>
      </c>
      <c r="G941" t="s">
        <v>6559</v>
      </c>
      <c r="H941" s="2">
        <v>1</v>
      </c>
      <c r="I941" s="2">
        <v>22</v>
      </c>
      <c r="N941" t="str">
        <f t="shared" si="127"/>
        <v>Baby Kish General Trading LCC</v>
      </c>
      <c r="O941" t="str">
        <f t="shared" si="128"/>
        <v>W1315249268</v>
      </c>
      <c r="P941" t="str">
        <f t="shared" si="129"/>
        <v>FA020AC21AMG-445508</v>
      </c>
      <c r="Q941" t="str">
        <f t="shared" si="130"/>
        <v>PO044948</v>
      </c>
      <c r="R941" t="str">
        <f t="shared" si="131"/>
        <v>Farlin Tableware Set - PER-246</v>
      </c>
      <c r="S941" t="str">
        <f t="shared" si="132"/>
        <v>SA988675</v>
      </c>
      <c r="T941">
        <f t="shared" si="133"/>
        <v>1</v>
      </c>
      <c r="U941">
        <f t="shared" si="134"/>
        <v>22</v>
      </c>
    </row>
    <row r="942" spans="1:21" x14ac:dyDescent="0.25">
      <c r="A942">
        <f t="shared" si="126"/>
        <v>33</v>
      </c>
      <c r="C942" t="s">
        <v>4367</v>
      </c>
      <c r="D942" t="s">
        <v>4368</v>
      </c>
      <c r="E942" t="s">
        <v>3880</v>
      </c>
      <c r="F942" t="s">
        <v>4369</v>
      </c>
      <c r="G942" t="s">
        <v>4366</v>
      </c>
      <c r="H942" s="2">
        <v>1</v>
      </c>
      <c r="I942" s="2">
        <v>935</v>
      </c>
      <c r="N942" t="str">
        <f t="shared" si="127"/>
        <v>Baby Kish General Trading LCC</v>
      </c>
      <c r="O942" t="str">
        <f t="shared" si="128"/>
        <v>W1315216211</v>
      </c>
      <c r="P942" t="str">
        <f t="shared" si="129"/>
        <v>GR933AC78XVT-407139</v>
      </c>
      <c r="Q942" t="str">
        <f t="shared" si="130"/>
        <v>PO044557</v>
      </c>
      <c r="R942" t="str">
        <f t="shared" si="131"/>
        <v>Graco STh Sys Gldr Finland Swing - 1896394</v>
      </c>
      <c r="S942" t="str">
        <f t="shared" si="132"/>
        <v>SA970587</v>
      </c>
      <c r="T942">
        <f t="shared" si="133"/>
        <v>1</v>
      </c>
      <c r="U942">
        <f t="shared" si="134"/>
        <v>935</v>
      </c>
    </row>
    <row r="943" spans="1:21" x14ac:dyDescent="0.25">
      <c r="A943">
        <f t="shared" si="126"/>
        <v>33</v>
      </c>
      <c r="C943" t="s">
        <v>4396</v>
      </c>
      <c r="D943" t="s">
        <v>4397</v>
      </c>
      <c r="E943" t="s">
        <v>3880</v>
      </c>
      <c r="F943" t="s">
        <v>4398</v>
      </c>
      <c r="G943" t="s">
        <v>4395</v>
      </c>
      <c r="H943" s="2">
        <v>1</v>
      </c>
      <c r="I943" s="2">
        <v>1365</v>
      </c>
      <c r="N943" t="str">
        <f t="shared" si="127"/>
        <v>Baby Kish General Trading LCC</v>
      </c>
      <c r="O943" t="str">
        <f t="shared" si="128"/>
        <v>W1315337244</v>
      </c>
      <c r="P943" t="str">
        <f t="shared" si="129"/>
        <v>GR933AC24OML-571156</v>
      </c>
      <c r="Q943" t="str">
        <f t="shared" si="130"/>
        <v>PO044557</v>
      </c>
      <c r="R943" t="str">
        <f t="shared" si="131"/>
        <v>SporTS Evo XT Storm Stroller Black</v>
      </c>
      <c r="S943" t="str">
        <f t="shared" si="132"/>
        <v>SA970755</v>
      </c>
      <c r="T943">
        <f t="shared" si="133"/>
        <v>1</v>
      </c>
      <c r="U943">
        <f t="shared" si="134"/>
        <v>1365</v>
      </c>
    </row>
    <row r="944" spans="1:21" x14ac:dyDescent="0.25">
      <c r="A944">
        <f t="shared" si="126"/>
        <v>33</v>
      </c>
      <c r="C944" t="s">
        <v>4413</v>
      </c>
      <c r="D944" t="s">
        <v>4414</v>
      </c>
      <c r="E944" t="s">
        <v>4948</v>
      </c>
      <c r="F944" t="s">
        <v>4415</v>
      </c>
      <c r="G944" t="s">
        <v>5103</v>
      </c>
      <c r="H944" s="2">
        <v>1</v>
      </c>
      <c r="I944" s="2">
        <v>17</v>
      </c>
      <c r="N944" t="str">
        <f t="shared" si="127"/>
        <v>Baby Kish General Trading LCC</v>
      </c>
      <c r="O944" t="str">
        <f t="shared" si="128"/>
        <v>W1315240176</v>
      </c>
      <c r="P944" t="str">
        <f t="shared" si="129"/>
        <v>FA020AC08ONF-431709</v>
      </c>
      <c r="Q944" t="str">
        <f t="shared" si="130"/>
        <v>PO044830</v>
      </c>
      <c r="R944" t="str">
        <f t="shared" si="131"/>
        <v>Farlin 3 Stage Baby Oral Hygiene Set - BDT-005-E</v>
      </c>
      <c r="S944" t="str">
        <f t="shared" si="132"/>
        <v>SA974037</v>
      </c>
      <c r="T944">
        <f t="shared" si="133"/>
        <v>1</v>
      </c>
      <c r="U944">
        <f t="shared" si="134"/>
        <v>17</v>
      </c>
    </row>
    <row r="945" spans="1:21" x14ac:dyDescent="0.25">
      <c r="A945">
        <f t="shared" si="126"/>
        <v>33</v>
      </c>
      <c r="G945" t="s">
        <v>5642</v>
      </c>
      <c r="H945" s="2">
        <v>1</v>
      </c>
      <c r="I945" s="2">
        <v>17</v>
      </c>
      <c r="N945" t="str">
        <f t="shared" si="127"/>
        <v>Baby Kish General Trading LCC</v>
      </c>
      <c r="O945" t="str">
        <f t="shared" si="128"/>
        <v>W1315240176</v>
      </c>
      <c r="P945" t="str">
        <f t="shared" si="129"/>
        <v>FA020AC08ONF-431709</v>
      </c>
      <c r="Q945" t="str">
        <f t="shared" si="130"/>
        <v>PO044830</v>
      </c>
      <c r="R945" t="str">
        <f t="shared" si="131"/>
        <v>Farlin 3 Stage Baby Oral Hygiene Set - BDT-005-E</v>
      </c>
      <c r="S945" t="str">
        <f t="shared" si="132"/>
        <v>SA980315</v>
      </c>
      <c r="T945">
        <f t="shared" si="133"/>
        <v>1</v>
      </c>
      <c r="U945">
        <f t="shared" si="134"/>
        <v>17</v>
      </c>
    </row>
    <row r="946" spans="1:21" x14ac:dyDescent="0.25">
      <c r="A946">
        <f t="shared" si="126"/>
        <v>33</v>
      </c>
      <c r="G946" t="s">
        <v>5866</v>
      </c>
      <c r="H946" s="2">
        <v>1</v>
      </c>
      <c r="I946" s="2">
        <v>17</v>
      </c>
      <c r="N946" t="str">
        <f t="shared" si="127"/>
        <v>Baby Kish General Trading LCC</v>
      </c>
      <c r="O946" t="str">
        <f t="shared" si="128"/>
        <v>W1315240176</v>
      </c>
      <c r="P946" t="str">
        <f t="shared" si="129"/>
        <v>FA020AC08ONF-431709</v>
      </c>
      <c r="Q946" t="str">
        <f t="shared" si="130"/>
        <v>PO044830</v>
      </c>
      <c r="R946" t="str">
        <f t="shared" si="131"/>
        <v>Farlin 3 Stage Baby Oral Hygiene Set - BDT-005-E</v>
      </c>
      <c r="S946" t="str">
        <f t="shared" si="132"/>
        <v>SA981362</v>
      </c>
      <c r="T946">
        <f t="shared" si="133"/>
        <v>1</v>
      </c>
      <c r="U946">
        <f t="shared" si="134"/>
        <v>17</v>
      </c>
    </row>
    <row r="947" spans="1:21" x14ac:dyDescent="0.25">
      <c r="A947">
        <f t="shared" si="126"/>
        <v>33</v>
      </c>
      <c r="E947" t="s">
        <v>6197</v>
      </c>
      <c r="F947" t="s">
        <v>4415</v>
      </c>
      <c r="G947" t="s">
        <v>6444</v>
      </c>
      <c r="H947" s="2">
        <v>1</v>
      </c>
      <c r="I947" s="2">
        <v>17</v>
      </c>
      <c r="N947" t="str">
        <f t="shared" si="127"/>
        <v>Baby Kish General Trading LCC</v>
      </c>
      <c r="O947" t="str">
        <f t="shared" si="128"/>
        <v>W1315240176</v>
      </c>
      <c r="P947" t="str">
        <f t="shared" si="129"/>
        <v>FA020AC08ONF-431709</v>
      </c>
      <c r="Q947" t="str">
        <f t="shared" si="130"/>
        <v>PO044948</v>
      </c>
      <c r="R947" t="str">
        <f t="shared" si="131"/>
        <v>Farlin 3 Stage Baby Oral Hygiene Set - BDT-005-E</v>
      </c>
      <c r="S947" t="str">
        <f t="shared" si="132"/>
        <v>SA987172</v>
      </c>
      <c r="T947">
        <f t="shared" si="133"/>
        <v>1</v>
      </c>
      <c r="U947">
        <f t="shared" si="134"/>
        <v>17</v>
      </c>
    </row>
    <row r="948" spans="1:21" x14ac:dyDescent="0.25">
      <c r="A948">
        <f t="shared" si="126"/>
        <v>33</v>
      </c>
      <c r="C948" t="s">
        <v>4417</v>
      </c>
      <c r="D948" t="s">
        <v>4418</v>
      </c>
      <c r="E948" t="s">
        <v>3880</v>
      </c>
      <c r="F948" t="s">
        <v>4419</v>
      </c>
      <c r="G948" t="s">
        <v>4416</v>
      </c>
      <c r="H948" s="2">
        <v>1</v>
      </c>
      <c r="I948" s="2">
        <v>14</v>
      </c>
      <c r="N948" t="str">
        <f t="shared" si="127"/>
        <v>Baby Kish General Trading LCC</v>
      </c>
      <c r="O948" t="str">
        <f t="shared" si="128"/>
        <v>W1315240215</v>
      </c>
      <c r="P948" t="str">
        <f t="shared" si="129"/>
        <v>FA020AC93ONU-431724</v>
      </c>
      <c r="Q948" t="str">
        <f t="shared" si="130"/>
        <v>PO044557</v>
      </c>
      <c r="R948" t="str">
        <f t="shared" si="131"/>
        <v>Farlin Chu Chu Pacifier 0+ - BAC-004-S</v>
      </c>
      <c r="S948" t="str">
        <f t="shared" si="132"/>
        <v>SA971227</v>
      </c>
      <c r="T948">
        <f t="shared" si="133"/>
        <v>1</v>
      </c>
      <c r="U948">
        <f t="shared" si="134"/>
        <v>14</v>
      </c>
    </row>
    <row r="949" spans="1:21" x14ac:dyDescent="0.25">
      <c r="A949">
        <f t="shared" si="126"/>
        <v>33</v>
      </c>
      <c r="E949" t="s">
        <v>4948</v>
      </c>
      <c r="F949" t="s">
        <v>4419</v>
      </c>
      <c r="G949" t="s">
        <v>5933</v>
      </c>
      <c r="H949" s="2">
        <v>1</v>
      </c>
      <c r="I949" s="2">
        <v>14</v>
      </c>
      <c r="N949" t="str">
        <f t="shared" si="127"/>
        <v>Baby Kish General Trading LCC</v>
      </c>
      <c r="O949" t="str">
        <f t="shared" si="128"/>
        <v>W1315240215</v>
      </c>
      <c r="P949" t="str">
        <f t="shared" si="129"/>
        <v>FA020AC93ONU-431724</v>
      </c>
      <c r="Q949" t="str">
        <f t="shared" si="130"/>
        <v>PO044830</v>
      </c>
      <c r="R949" t="str">
        <f t="shared" si="131"/>
        <v>Farlin Chu Chu Pacifier 0+ - BAC-004-S</v>
      </c>
      <c r="S949" t="str">
        <f t="shared" si="132"/>
        <v>SA981986</v>
      </c>
      <c r="T949">
        <f t="shared" si="133"/>
        <v>1</v>
      </c>
      <c r="U949">
        <f t="shared" si="134"/>
        <v>14</v>
      </c>
    </row>
    <row r="950" spans="1:21" x14ac:dyDescent="0.25">
      <c r="A950">
        <f t="shared" si="126"/>
        <v>33</v>
      </c>
      <c r="G950" t="s">
        <v>5934</v>
      </c>
      <c r="H950" s="2">
        <v>1</v>
      </c>
      <c r="I950" s="2">
        <v>14</v>
      </c>
      <c r="N950" t="str">
        <f t="shared" si="127"/>
        <v>Baby Kish General Trading LCC</v>
      </c>
      <c r="O950" t="str">
        <f t="shared" si="128"/>
        <v>W1315240215</v>
      </c>
      <c r="P950" t="str">
        <f t="shared" si="129"/>
        <v>FA020AC93ONU-431724</v>
      </c>
      <c r="Q950" t="str">
        <f t="shared" si="130"/>
        <v>PO044830</v>
      </c>
      <c r="R950" t="str">
        <f t="shared" si="131"/>
        <v>Farlin Chu Chu Pacifier 0+ - BAC-004-S</v>
      </c>
      <c r="S950" t="str">
        <f t="shared" si="132"/>
        <v>SA981987</v>
      </c>
      <c r="T950">
        <f t="shared" si="133"/>
        <v>1</v>
      </c>
      <c r="U950">
        <f t="shared" si="134"/>
        <v>14</v>
      </c>
    </row>
    <row r="951" spans="1:21" x14ac:dyDescent="0.25">
      <c r="A951">
        <f t="shared" si="126"/>
        <v>33</v>
      </c>
      <c r="C951" t="s">
        <v>4421</v>
      </c>
      <c r="D951" t="s">
        <v>4422</v>
      </c>
      <c r="E951" t="s">
        <v>3880</v>
      </c>
      <c r="F951" t="s">
        <v>4423</v>
      </c>
      <c r="G951" t="s">
        <v>4420</v>
      </c>
      <c r="H951" s="2">
        <v>1</v>
      </c>
      <c r="I951" s="2">
        <v>22</v>
      </c>
      <c r="N951" t="str">
        <f t="shared" si="127"/>
        <v>Baby Kish General Trading LCC</v>
      </c>
      <c r="O951" t="str">
        <f t="shared" si="128"/>
        <v>W1315322140</v>
      </c>
      <c r="P951" t="str">
        <f t="shared" si="129"/>
        <v>FA020AC09HVY-558861</v>
      </c>
      <c r="Q951" t="str">
        <f t="shared" si="130"/>
        <v>PO044557</v>
      </c>
      <c r="R951" t="str">
        <f t="shared" si="131"/>
        <v>Farlin Baby Feeding Bottle Wash (BF-200)</v>
      </c>
      <c r="S951" t="str">
        <f t="shared" si="132"/>
        <v>SA971228</v>
      </c>
      <c r="T951">
        <f t="shared" si="133"/>
        <v>1</v>
      </c>
      <c r="U951">
        <f t="shared" si="134"/>
        <v>22</v>
      </c>
    </row>
    <row r="952" spans="1:21" x14ac:dyDescent="0.25">
      <c r="A952">
        <f t="shared" si="126"/>
        <v>33</v>
      </c>
      <c r="G952" t="s">
        <v>4439</v>
      </c>
      <c r="H952" s="2">
        <v>1</v>
      </c>
      <c r="I952" s="2">
        <v>22</v>
      </c>
      <c r="N952" t="str">
        <f t="shared" si="127"/>
        <v>Baby Kish General Trading LCC</v>
      </c>
      <c r="O952" t="str">
        <f t="shared" si="128"/>
        <v>W1315322140</v>
      </c>
      <c r="P952" t="str">
        <f t="shared" si="129"/>
        <v>FA020AC09HVY-558861</v>
      </c>
      <c r="Q952" t="str">
        <f t="shared" si="130"/>
        <v>PO044557</v>
      </c>
      <c r="R952" t="str">
        <f t="shared" si="131"/>
        <v>Farlin Baby Feeding Bottle Wash (BF-200)</v>
      </c>
      <c r="S952" t="str">
        <f t="shared" si="132"/>
        <v>SA971542</v>
      </c>
      <c r="T952">
        <f t="shared" si="133"/>
        <v>1</v>
      </c>
      <c r="U952">
        <f t="shared" si="134"/>
        <v>22</v>
      </c>
    </row>
    <row r="953" spans="1:21" x14ac:dyDescent="0.25">
      <c r="A953">
        <f t="shared" si="126"/>
        <v>33</v>
      </c>
      <c r="G953" t="s">
        <v>4600</v>
      </c>
      <c r="H953" s="2">
        <v>1</v>
      </c>
      <c r="I953" s="2">
        <v>22</v>
      </c>
      <c r="N953" t="str">
        <f t="shared" si="127"/>
        <v>Baby Kish General Trading LCC</v>
      </c>
      <c r="O953" t="str">
        <f t="shared" si="128"/>
        <v>W1315322140</v>
      </c>
      <c r="P953" t="str">
        <f t="shared" si="129"/>
        <v>FA020AC09HVY-558861</v>
      </c>
      <c r="Q953" t="str">
        <f t="shared" si="130"/>
        <v>PO044557</v>
      </c>
      <c r="R953" t="str">
        <f t="shared" si="131"/>
        <v>Farlin Baby Feeding Bottle Wash (BF-200)</v>
      </c>
      <c r="S953" t="str">
        <f t="shared" si="132"/>
        <v>SA973548</v>
      </c>
      <c r="T953">
        <f t="shared" si="133"/>
        <v>1</v>
      </c>
      <c r="U953">
        <f t="shared" si="134"/>
        <v>22</v>
      </c>
    </row>
    <row r="954" spans="1:21" x14ac:dyDescent="0.25">
      <c r="A954">
        <f t="shared" si="126"/>
        <v>33</v>
      </c>
      <c r="E954" t="s">
        <v>4948</v>
      </c>
      <c r="F954" t="s">
        <v>4423</v>
      </c>
      <c r="G954" t="s">
        <v>5932</v>
      </c>
      <c r="H954" s="2">
        <v>1</v>
      </c>
      <c r="I954" s="2">
        <v>22</v>
      </c>
      <c r="N954" t="str">
        <f t="shared" si="127"/>
        <v>Baby Kish General Trading LCC</v>
      </c>
      <c r="O954" t="str">
        <f t="shared" si="128"/>
        <v>W1315322140</v>
      </c>
      <c r="P954" t="str">
        <f t="shared" si="129"/>
        <v>FA020AC09HVY-558861</v>
      </c>
      <c r="Q954" t="str">
        <f t="shared" si="130"/>
        <v>PO044830</v>
      </c>
      <c r="R954" t="str">
        <f t="shared" si="131"/>
        <v>Farlin Baby Feeding Bottle Wash (BF-200)</v>
      </c>
      <c r="S954" t="str">
        <f t="shared" si="132"/>
        <v>SA981979</v>
      </c>
      <c r="T954">
        <f t="shared" si="133"/>
        <v>1</v>
      </c>
      <c r="U954">
        <f t="shared" si="134"/>
        <v>22</v>
      </c>
    </row>
    <row r="955" spans="1:21" x14ac:dyDescent="0.25">
      <c r="A955">
        <f t="shared" si="126"/>
        <v>33</v>
      </c>
      <c r="E955" t="s">
        <v>6682</v>
      </c>
      <c r="F955" t="s">
        <v>4423</v>
      </c>
      <c r="G955" t="s">
        <v>6691</v>
      </c>
      <c r="H955" s="2">
        <v>1</v>
      </c>
      <c r="I955" s="2">
        <v>22</v>
      </c>
      <c r="N955" t="str">
        <f t="shared" si="127"/>
        <v>Baby Kish General Trading LCC</v>
      </c>
      <c r="O955" t="str">
        <f t="shared" si="128"/>
        <v>W1315322140</v>
      </c>
      <c r="P955" t="str">
        <f t="shared" si="129"/>
        <v>FA020AC09HVY-558861</v>
      </c>
      <c r="Q955" t="str">
        <f t="shared" si="130"/>
        <v>PO045025</v>
      </c>
      <c r="R955" t="str">
        <f t="shared" si="131"/>
        <v>Farlin Baby Feeding Bottle Wash (BF-200)</v>
      </c>
      <c r="S955" t="str">
        <f t="shared" si="132"/>
        <v>SA989446</v>
      </c>
      <c r="T955">
        <f t="shared" si="133"/>
        <v>1</v>
      </c>
      <c r="U955">
        <f t="shared" si="134"/>
        <v>22</v>
      </c>
    </row>
    <row r="956" spans="1:21" x14ac:dyDescent="0.25">
      <c r="A956">
        <f t="shared" si="126"/>
        <v>33</v>
      </c>
      <c r="C956" t="s">
        <v>4429</v>
      </c>
      <c r="D956" t="s">
        <v>4430</v>
      </c>
      <c r="E956" t="s">
        <v>3880</v>
      </c>
      <c r="F956" t="s">
        <v>4431</v>
      </c>
      <c r="G956" t="s">
        <v>4428</v>
      </c>
      <c r="H956" s="2">
        <v>1</v>
      </c>
      <c r="I956" s="2">
        <v>1053</v>
      </c>
      <c r="N956" t="str">
        <f t="shared" si="127"/>
        <v>Baby Kish General Trading LCC</v>
      </c>
      <c r="O956" t="str">
        <f t="shared" si="128"/>
        <v>W1315216174</v>
      </c>
      <c r="P956" t="str">
        <f t="shared" si="129"/>
        <v>GR933AC15XYE-407202</v>
      </c>
      <c r="Q956" t="str">
        <f t="shared" si="130"/>
        <v>PO044557</v>
      </c>
      <c r="R956" t="str">
        <f t="shared" si="131"/>
        <v>Graco Sky Stroller Black Night Stroller - 1879074</v>
      </c>
      <c r="S956" t="str">
        <f t="shared" si="132"/>
        <v>SA971485</v>
      </c>
      <c r="T956">
        <f t="shared" si="133"/>
        <v>1</v>
      </c>
      <c r="U956">
        <f t="shared" si="134"/>
        <v>1053</v>
      </c>
    </row>
    <row r="957" spans="1:21" x14ac:dyDescent="0.25">
      <c r="A957">
        <f t="shared" si="126"/>
        <v>33</v>
      </c>
      <c r="C957" t="s">
        <v>4446</v>
      </c>
      <c r="D957" t="s">
        <v>4447</v>
      </c>
      <c r="E957" t="s">
        <v>3880</v>
      </c>
      <c r="F957" t="s">
        <v>4448</v>
      </c>
      <c r="G957" t="s">
        <v>4445</v>
      </c>
      <c r="H957" s="2">
        <v>1</v>
      </c>
      <c r="I957" s="2">
        <v>1287</v>
      </c>
      <c r="N957" t="str">
        <f t="shared" si="127"/>
        <v>Baby Kish General Trading LCC</v>
      </c>
      <c r="O957" t="str">
        <f t="shared" si="128"/>
        <v>W1315311420</v>
      </c>
      <c r="P957" t="str">
        <f t="shared" si="129"/>
        <v>GR933AC70SWB-574502</v>
      </c>
      <c r="Q957" t="str">
        <f t="shared" si="130"/>
        <v>PO044557</v>
      </c>
      <c r="R957" t="str">
        <f t="shared" si="131"/>
        <v>Graco Evo Sand Stroller (Beige)</v>
      </c>
      <c r="S957" t="str">
        <f t="shared" si="132"/>
        <v>SA971736</v>
      </c>
      <c r="T957">
        <f t="shared" si="133"/>
        <v>1</v>
      </c>
      <c r="U957">
        <f t="shared" si="134"/>
        <v>1287</v>
      </c>
    </row>
    <row r="958" spans="1:21" x14ac:dyDescent="0.25">
      <c r="A958">
        <f t="shared" si="126"/>
        <v>33</v>
      </c>
      <c r="C958" t="s">
        <v>4470</v>
      </c>
      <c r="D958" t="s">
        <v>4471</v>
      </c>
      <c r="E958" t="s">
        <v>3880</v>
      </c>
      <c r="F958" t="s">
        <v>4472</v>
      </c>
      <c r="G958" t="s">
        <v>4469</v>
      </c>
      <c r="H958" s="2">
        <v>1</v>
      </c>
      <c r="I958" s="2">
        <v>1053</v>
      </c>
      <c r="N958" t="str">
        <f t="shared" si="127"/>
        <v>Baby Kish General Trading LCC</v>
      </c>
      <c r="O958" t="str">
        <f t="shared" si="128"/>
        <v>W1315216178</v>
      </c>
      <c r="P958" t="str">
        <f t="shared" si="129"/>
        <v>GR933AC11XYI-407206</v>
      </c>
      <c r="Q958" t="str">
        <f t="shared" si="130"/>
        <v>PO044557</v>
      </c>
      <c r="R958" t="str">
        <f t="shared" si="131"/>
        <v>Graco Sky Purple Shadow Stroller - 1879048</v>
      </c>
      <c r="S958" t="str">
        <f t="shared" si="132"/>
        <v>SA971847</v>
      </c>
      <c r="T958">
        <f t="shared" si="133"/>
        <v>1</v>
      </c>
      <c r="U958">
        <f t="shared" si="134"/>
        <v>1053</v>
      </c>
    </row>
    <row r="959" spans="1:21" x14ac:dyDescent="0.25">
      <c r="A959">
        <f t="shared" si="126"/>
        <v>33</v>
      </c>
      <c r="C959" t="s">
        <v>4577</v>
      </c>
      <c r="D959" t="s">
        <v>4578</v>
      </c>
      <c r="E959" t="s">
        <v>3880</v>
      </c>
      <c r="F959" t="s">
        <v>4579</v>
      </c>
      <c r="G959" t="s">
        <v>4576</v>
      </c>
      <c r="H959" s="2">
        <v>1</v>
      </c>
      <c r="I959" s="2">
        <v>11</v>
      </c>
      <c r="N959" t="str">
        <f t="shared" si="127"/>
        <v>Baby Kish General Trading LCC</v>
      </c>
      <c r="O959" t="str">
        <f t="shared" si="128"/>
        <v>W1315240231</v>
      </c>
      <c r="P959" t="str">
        <f t="shared" si="129"/>
        <v>FA020AC77OOK-431740</v>
      </c>
      <c r="Q959" t="str">
        <f t="shared" si="130"/>
        <v>PO044557</v>
      </c>
      <c r="R959" t="str">
        <f t="shared" si="131"/>
        <v>Farlin Baby Eva Bib - BF-378-1</v>
      </c>
      <c r="S959" t="str">
        <f t="shared" si="132"/>
        <v>SA973540</v>
      </c>
      <c r="T959">
        <f t="shared" si="133"/>
        <v>1</v>
      </c>
      <c r="U959">
        <f t="shared" si="134"/>
        <v>11</v>
      </c>
    </row>
    <row r="960" spans="1:21" x14ac:dyDescent="0.25">
      <c r="A960">
        <f t="shared" si="126"/>
        <v>33</v>
      </c>
      <c r="E960" t="s">
        <v>4948</v>
      </c>
      <c r="F960" t="s">
        <v>4579</v>
      </c>
      <c r="G960" t="s">
        <v>5101</v>
      </c>
      <c r="H960" s="2">
        <v>1</v>
      </c>
      <c r="I960" s="2">
        <v>11</v>
      </c>
      <c r="N960" t="str">
        <f t="shared" si="127"/>
        <v>Baby Kish General Trading LCC</v>
      </c>
      <c r="O960" t="str">
        <f t="shared" si="128"/>
        <v>W1315240231</v>
      </c>
      <c r="P960" t="str">
        <f t="shared" si="129"/>
        <v>FA020AC77OOK-431740</v>
      </c>
      <c r="Q960" t="str">
        <f t="shared" si="130"/>
        <v>PO044830</v>
      </c>
      <c r="R960" t="str">
        <f t="shared" si="131"/>
        <v>Farlin Baby Eva Bib - BF-378-1</v>
      </c>
      <c r="S960" t="str">
        <f t="shared" si="132"/>
        <v>SA974034</v>
      </c>
      <c r="T960">
        <f t="shared" si="133"/>
        <v>1</v>
      </c>
      <c r="U960">
        <f t="shared" si="134"/>
        <v>11</v>
      </c>
    </row>
    <row r="961" spans="1:21" x14ac:dyDescent="0.25">
      <c r="A961">
        <f t="shared" si="126"/>
        <v>33</v>
      </c>
      <c r="G961" t="s">
        <v>5864</v>
      </c>
      <c r="H961" s="2">
        <v>1</v>
      </c>
      <c r="I961" s="2">
        <v>11</v>
      </c>
      <c r="N961" t="str">
        <f t="shared" si="127"/>
        <v>Baby Kish General Trading LCC</v>
      </c>
      <c r="O961" t="str">
        <f t="shared" si="128"/>
        <v>W1315240231</v>
      </c>
      <c r="P961" t="str">
        <f t="shared" si="129"/>
        <v>FA020AC77OOK-431740</v>
      </c>
      <c r="Q961" t="str">
        <f t="shared" si="130"/>
        <v>PO044830</v>
      </c>
      <c r="R961" t="str">
        <f t="shared" si="131"/>
        <v>Farlin Baby Eva Bib - BF-378-1</v>
      </c>
      <c r="S961" t="str">
        <f t="shared" si="132"/>
        <v>SA981317</v>
      </c>
      <c r="T961">
        <f t="shared" si="133"/>
        <v>1</v>
      </c>
      <c r="U961">
        <f t="shared" si="134"/>
        <v>11</v>
      </c>
    </row>
    <row r="962" spans="1:21" x14ac:dyDescent="0.25">
      <c r="A962">
        <f t="shared" si="126"/>
        <v>33</v>
      </c>
      <c r="G962" t="s">
        <v>5935</v>
      </c>
      <c r="H962" s="2">
        <v>1</v>
      </c>
      <c r="I962" s="2">
        <v>11</v>
      </c>
      <c r="N962" t="str">
        <f t="shared" si="127"/>
        <v>Baby Kish General Trading LCC</v>
      </c>
      <c r="O962" t="str">
        <f t="shared" si="128"/>
        <v>W1315240231</v>
      </c>
      <c r="P962" t="str">
        <f t="shared" si="129"/>
        <v>FA020AC77OOK-431740</v>
      </c>
      <c r="Q962" t="str">
        <f t="shared" si="130"/>
        <v>PO044830</v>
      </c>
      <c r="R962" t="str">
        <f t="shared" si="131"/>
        <v>Farlin Baby Eva Bib - BF-378-1</v>
      </c>
      <c r="S962" t="str">
        <f t="shared" si="132"/>
        <v>SA981988</v>
      </c>
      <c r="T962">
        <f t="shared" si="133"/>
        <v>1</v>
      </c>
      <c r="U962">
        <f t="shared" si="134"/>
        <v>11</v>
      </c>
    </row>
    <row r="963" spans="1:21" x14ac:dyDescent="0.25">
      <c r="A963">
        <f t="shared" si="126"/>
        <v>33</v>
      </c>
      <c r="G963" t="s">
        <v>5951</v>
      </c>
      <c r="H963" s="2">
        <v>1</v>
      </c>
      <c r="I963" s="2">
        <v>11</v>
      </c>
      <c r="N963" t="str">
        <f t="shared" si="127"/>
        <v>Baby Kish General Trading LCC</v>
      </c>
      <c r="O963" t="str">
        <f t="shared" si="128"/>
        <v>W1315240231</v>
      </c>
      <c r="P963" t="str">
        <f t="shared" si="129"/>
        <v>FA020AC77OOK-431740</v>
      </c>
      <c r="Q963" t="str">
        <f t="shared" si="130"/>
        <v>PO044830</v>
      </c>
      <c r="R963" t="str">
        <f t="shared" si="131"/>
        <v>Farlin Baby Eva Bib - BF-378-1</v>
      </c>
      <c r="S963" t="str">
        <f t="shared" si="132"/>
        <v>SA982152</v>
      </c>
      <c r="T963">
        <f t="shared" si="133"/>
        <v>1</v>
      </c>
      <c r="U963">
        <f t="shared" si="134"/>
        <v>11</v>
      </c>
    </row>
    <row r="964" spans="1:21" x14ac:dyDescent="0.25">
      <c r="A964">
        <f t="shared" ref="A964:A1027" si="135">IF(ISBLANK(B964),A963,A963+1)</f>
        <v>33</v>
      </c>
      <c r="C964" t="s">
        <v>4581</v>
      </c>
      <c r="D964" t="s">
        <v>4582</v>
      </c>
      <c r="E964" t="s">
        <v>3880</v>
      </c>
      <c r="F964" t="s">
        <v>4583</v>
      </c>
      <c r="G964" t="s">
        <v>4580</v>
      </c>
      <c r="H964" s="2">
        <v>1</v>
      </c>
      <c r="I964" s="2">
        <v>14</v>
      </c>
      <c r="N964" t="str">
        <f t="shared" si="127"/>
        <v>Baby Kish General Trading LCC</v>
      </c>
      <c r="O964" t="str">
        <f t="shared" si="128"/>
        <v>W1315240207</v>
      </c>
      <c r="P964" t="str">
        <f t="shared" si="129"/>
        <v>FA020AC01ONM-431716</v>
      </c>
      <c r="Q964" t="str">
        <f t="shared" si="130"/>
        <v>PO044557</v>
      </c>
      <c r="R964" t="str">
        <f t="shared" si="131"/>
        <v>Farlin Free Powder Puff - BF-170B</v>
      </c>
      <c r="S964" t="str">
        <f t="shared" si="132"/>
        <v>SA973541</v>
      </c>
      <c r="T964">
        <f t="shared" si="133"/>
        <v>1</v>
      </c>
      <c r="U964">
        <f t="shared" si="134"/>
        <v>14</v>
      </c>
    </row>
    <row r="965" spans="1:21" x14ac:dyDescent="0.25">
      <c r="A965">
        <f t="shared" si="135"/>
        <v>33</v>
      </c>
      <c r="C965" t="s">
        <v>4585</v>
      </c>
      <c r="D965" t="s">
        <v>4586</v>
      </c>
      <c r="E965" t="s">
        <v>3880</v>
      </c>
      <c r="F965" t="s">
        <v>4587</v>
      </c>
      <c r="G965" t="s">
        <v>4584</v>
      </c>
      <c r="H965" s="2">
        <v>1</v>
      </c>
      <c r="I965" s="2">
        <v>10</v>
      </c>
      <c r="N965" t="str">
        <f t="shared" si="127"/>
        <v>Baby Kish General Trading LCC</v>
      </c>
      <c r="O965" t="str">
        <f t="shared" si="128"/>
        <v>W1315286301</v>
      </c>
      <c r="P965" t="str">
        <f t="shared" si="129"/>
        <v>FA020AC35OKE-495931</v>
      </c>
      <c r="Q965" t="str">
        <f t="shared" si="130"/>
        <v>PO044557</v>
      </c>
      <c r="R965" t="str">
        <f t="shared" si="131"/>
        <v>Farlin Baby Transparent Soap Gold - BF-174</v>
      </c>
      <c r="S965" t="str">
        <f t="shared" si="132"/>
        <v>SA973542</v>
      </c>
      <c r="T965">
        <f t="shared" si="133"/>
        <v>1</v>
      </c>
      <c r="U965">
        <f t="shared" si="134"/>
        <v>10</v>
      </c>
    </row>
    <row r="966" spans="1:21" x14ac:dyDescent="0.25">
      <c r="A966">
        <f t="shared" si="135"/>
        <v>33</v>
      </c>
      <c r="C966" t="s">
        <v>4589</v>
      </c>
      <c r="D966" t="s">
        <v>4590</v>
      </c>
      <c r="E966" t="s">
        <v>3880</v>
      </c>
      <c r="F966" t="s">
        <v>4591</v>
      </c>
      <c r="G966" t="s">
        <v>4588</v>
      </c>
      <c r="H966" s="2">
        <v>1</v>
      </c>
      <c r="I966" s="2">
        <v>12</v>
      </c>
      <c r="N966" t="str">
        <f t="shared" ref="N966:N1029" si="136">IF(ISBLANK($A966),"",IF(ISBLANK(B966),N965,B966))</f>
        <v>Baby Kish General Trading LCC</v>
      </c>
      <c r="O966" t="str">
        <f t="shared" ref="O966:O1029" si="137">IF(ISBLANK($A966),"",IF(ISBLANK(C966),O965,C966))</f>
        <v>W1315240218</v>
      </c>
      <c r="P966" t="str">
        <f t="shared" ref="P966:P1029" si="138">IF(ISBLANK($A966),"",IF(ISBLANK(D966),P965,D966))</f>
        <v>FA020AC90ONX-431727</v>
      </c>
      <c r="Q966" t="str">
        <f t="shared" ref="Q966:Q1029" si="139">IF(ISBLANK($A966),"",IF(ISBLANK(E966),Q965,E966))</f>
        <v>PO044557</v>
      </c>
      <c r="R966" t="str">
        <f t="shared" ref="R966:R1029" si="140">IF(ISBLANK($A966),"",IF(ISBLANK(F966),R965,F966))</f>
        <v>Farlin Saffety Scissors With Filer - BF-160A-1</v>
      </c>
      <c r="S966" t="str">
        <f t="shared" ref="S966:S1029" si="141">IF(ISBLANK($A966),"",G966)</f>
        <v>SA973543</v>
      </c>
      <c r="T966">
        <f t="shared" ref="T966:T1029" si="142">IF(ISBLANK($A966),"",H966)</f>
        <v>1</v>
      </c>
      <c r="U966">
        <f t="shared" ref="U966:U1029" si="143">IF(ISBLANK($A966),"",I966)</f>
        <v>12</v>
      </c>
    </row>
    <row r="967" spans="1:21" x14ac:dyDescent="0.25">
      <c r="A967">
        <f t="shared" si="135"/>
        <v>33</v>
      </c>
      <c r="C967" t="s">
        <v>4593</v>
      </c>
      <c r="D967" t="s">
        <v>4594</v>
      </c>
      <c r="E967" t="s">
        <v>3880</v>
      </c>
      <c r="F967" t="s">
        <v>4595</v>
      </c>
      <c r="G967" t="s">
        <v>4592</v>
      </c>
      <c r="H967" s="2">
        <v>1</v>
      </c>
      <c r="I967" s="2">
        <v>12</v>
      </c>
      <c r="N967" t="str">
        <f t="shared" si="136"/>
        <v>Baby Kish General Trading LCC</v>
      </c>
      <c r="O967" t="str">
        <f t="shared" si="137"/>
        <v>W1315240183</v>
      </c>
      <c r="P967" t="str">
        <f t="shared" si="138"/>
        <v>FA020AC75OOM-431742</v>
      </c>
      <c r="Q967" t="str">
        <f t="shared" si="139"/>
        <v>PO044557</v>
      </c>
      <c r="R967" t="str">
        <f t="shared" si="140"/>
        <v>Farlin Pulpy Food Spoon - BF-237</v>
      </c>
      <c r="S967" t="str">
        <f t="shared" si="141"/>
        <v>SA973546</v>
      </c>
      <c r="T967">
        <f t="shared" si="142"/>
        <v>1</v>
      </c>
      <c r="U967">
        <f t="shared" si="143"/>
        <v>12</v>
      </c>
    </row>
    <row r="968" spans="1:21" x14ac:dyDescent="0.25">
      <c r="A968">
        <f t="shared" si="135"/>
        <v>33</v>
      </c>
      <c r="E968" t="s">
        <v>4948</v>
      </c>
      <c r="F968" t="s">
        <v>4595</v>
      </c>
      <c r="G968" t="s">
        <v>5102</v>
      </c>
      <c r="H968" s="2">
        <v>1</v>
      </c>
      <c r="I968" s="2">
        <v>12</v>
      </c>
      <c r="N968" t="str">
        <f t="shared" si="136"/>
        <v>Baby Kish General Trading LCC</v>
      </c>
      <c r="O968" t="str">
        <f t="shared" si="137"/>
        <v>W1315240183</v>
      </c>
      <c r="P968" t="str">
        <f t="shared" si="138"/>
        <v>FA020AC75OOM-431742</v>
      </c>
      <c r="Q968" t="str">
        <f t="shared" si="139"/>
        <v>PO044830</v>
      </c>
      <c r="R968" t="str">
        <f t="shared" si="140"/>
        <v>Farlin Pulpy Food Spoon - BF-237</v>
      </c>
      <c r="S968" t="str">
        <f t="shared" si="141"/>
        <v>SA974036</v>
      </c>
      <c r="T968">
        <f t="shared" si="142"/>
        <v>1</v>
      </c>
      <c r="U968">
        <f t="shared" si="143"/>
        <v>12</v>
      </c>
    </row>
    <row r="969" spans="1:21" x14ac:dyDescent="0.25">
      <c r="A969">
        <f t="shared" si="135"/>
        <v>33</v>
      </c>
      <c r="C969" t="s">
        <v>4597</v>
      </c>
      <c r="D969" t="s">
        <v>4598</v>
      </c>
      <c r="E969" t="s">
        <v>3880</v>
      </c>
      <c r="F969" t="s">
        <v>4599</v>
      </c>
      <c r="G969" t="s">
        <v>4596</v>
      </c>
      <c r="H969" s="2">
        <v>1</v>
      </c>
      <c r="I969" s="2">
        <v>8</v>
      </c>
      <c r="N969" t="str">
        <f t="shared" si="136"/>
        <v>Baby Kish General Trading LCC</v>
      </c>
      <c r="O969" t="str">
        <f t="shared" si="137"/>
        <v>W1315311363</v>
      </c>
      <c r="P969" t="str">
        <f t="shared" si="138"/>
        <v>FA020AC63JQY-519307</v>
      </c>
      <c r="Q969" t="str">
        <f t="shared" si="139"/>
        <v>PO044557</v>
      </c>
      <c r="R969" t="str">
        <f t="shared" si="140"/>
        <v>Farlin Cooling Gum Soother Green - BF-14501</v>
      </c>
      <c r="S969" t="str">
        <f t="shared" si="141"/>
        <v>SA973547</v>
      </c>
      <c r="T969">
        <f t="shared" si="142"/>
        <v>1</v>
      </c>
      <c r="U969">
        <f t="shared" si="143"/>
        <v>8</v>
      </c>
    </row>
    <row r="970" spans="1:21" x14ac:dyDescent="0.25">
      <c r="A970">
        <f t="shared" si="135"/>
        <v>33</v>
      </c>
      <c r="E970" t="s">
        <v>4948</v>
      </c>
      <c r="F970" t="s">
        <v>4599</v>
      </c>
      <c r="G970" t="s">
        <v>5262</v>
      </c>
      <c r="H970" s="2">
        <v>1</v>
      </c>
      <c r="I970" s="2">
        <v>8</v>
      </c>
      <c r="N970" t="str">
        <f t="shared" si="136"/>
        <v>Baby Kish General Trading LCC</v>
      </c>
      <c r="O970" t="str">
        <f t="shared" si="137"/>
        <v>W1315311363</v>
      </c>
      <c r="P970" t="str">
        <f t="shared" si="138"/>
        <v>FA020AC63JQY-519307</v>
      </c>
      <c r="Q970" t="str">
        <f t="shared" si="139"/>
        <v>PO044830</v>
      </c>
      <c r="R970" t="str">
        <f t="shared" si="140"/>
        <v>Farlin Cooling Gum Soother Green - BF-14501</v>
      </c>
      <c r="S970" t="str">
        <f t="shared" si="141"/>
        <v>SA975842</v>
      </c>
      <c r="T970">
        <f t="shared" si="142"/>
        <v>1</v>
      </c>
      <c r="U970">
        <f t="shared" si="143"/>
        <v>8</v>
      </c>
    </row>
    <row r="971" spans="1:21" x14ac:dyDescent="0.25">
      <c r="A971">
        <f t="shared" si="135"/>
        <v>33</v>
      </c>
      <c r="E971" t="s">
        <v>6197</v>
      </c>
      <c r="F971" t="s">
        <v>4599</v>
      </c>
      <c r="G971" t="s">
        <v>6471</v>
      </c>
      <c r="H971" s="2">
        <v>1</v>
      </c>
      <c r="I971" s="2">
        <v>8</v>
      </c>
      <c r="N971" t="str">
        <f t="shared" si="136"/>
        <v>Baby Kish General Trading LCC</v>
      </c>
      <c r="O971" t="str">
        <f t="shared" si="137"/>
        <v>W1315311363</v>
      </c>
      <c r="P971" t="str">
        <f t="shared" si="138"/>
        <v>FA020AC63JQY-519307</v>
      </c>
      <c r="Q971" t="str">
        <f t="shared" si="139"/>
        <v>PO044948</v>
      </c>
      <c r="R971" t="str">
        <f t="shared" si="140"/>
        <v>Farlin Cooling Gum Soother Green - BF-14501</v>
      </c>
      <c r="S971" t="str">
        <f t="shared" si="141"/>
        <v>SA987648</v>
      </c>
      <c r="T971">
        <f t="shared" si="142"/>
        <v>1</v>
      </c>
      <c r="U971">
        <f t="shared" si="143"/>
        <v>8</v>
      </c>
    </row>
    <row r="972" spans="1:21" x14ac:dyDescent="0.25">
      <c r="A972">
        <f t="shared" si="135"/>
        <v>33</v>
      </c>
      <c r="C972" t="s">
        <v>4602</v>
      </c>
      <c r="D972" t="s">
        <v>4603</v>
      </c>
      <c r="E972" t="s">
        <v>3880</v>
      </c>
      <c r="F972" t="s">
        <v>4604</v>
      </c>
      <c r="G972" t="s">
        <v>4601</v>
      </c>
      <c r="H972" s="2">
        <v>1</v>
      </c>
      <c r="I972" s="2">
        <v>24</v>
      </c>
      <c r="N972" t="str">
        <f t="shared" si="136"/>
        <v>Baby Kish General Trading LCC</v>
      </c>
      <c r="O972" t="str">
        <f t="shared" si="137"/>
        <v>W1315249267</v>
      </c>
      <c r="P972" t="str">
        <f t="shared" si="138"/>
        <v>FA020AC22AMF-445507</v>
      </c>
      <c r="Q972" t="str">
        <f t="shared" si="139"/>
        <v>PO044557</v>
      </c>
      <c r="R972" t="str">
        <f t="shared" si="140"/>
        <v>Farlin Flexible Digital Thermometer - BF-169A</v>
      </c>
      <c r="S972" t="str">
        <f t="shared" si="141"/>
        <v>SA973549</v>
      </c>
      <c r="T972">
        <f t="shared" si="142"/>
        <v>1</v>
      </c>
      <c r="U972">
        <f t="shared" si="143"/>
        <v>24</v>
      </c>
    </row>
    <row r="973" spans="1:21" x14ac:dyDescent="0.25">
      <c r="A973">
        <f t="shared" si="135"/>
        <v>33</v>
      </c>
      <c r="E973" t="s">
        <v>4948</v>
      </c>
      <c r="F973" t="s">
        <v>4604</v>
      </c>
      <c r="G973" t="s">
        <v>5350</v>
      </c>
      <c r="H973" s="2">
        <v>1</v>
      </c>
      <c r="I973" s="2">
        <v>24</v>
      </c>
      <c r="N973" t="str">
        <f t="shared" si="136"/>
        <v>Baby Kish General Trading LCC</v>
      </c>
      <c r="O973" t="str">
        <f t="shared" si="137"/>
        <v>W1315249267</v>
      </c>
      <c r="P973" t="str">
        <f t="shared" si="138"/>
        <v>FA020AC22AMF-445507</v>
      </c>
      <c r="Q973" t="str">
        <f t="shared" si="139"/>
        <v>PO044830</v>
      </c>
      <c r="R973" t="str">
        <f t="shared" si="140"/>
        <v>Farlin Flexible Digital Thermometer - BF-169A</v>
      </c>
      <c r="S973" t="str">
        <f t="shared" si="141"/>
        <v>SA977121</v>
      </c>
      <c r="T973">
        <f t="shared" si="142"/>
        <v>1</v>
      </c>
      <c r="U973">
        <f t="shared" si="143"/>
        <v>24</v>
      </c>
    </row>
    <row r="974" spans="1:21" x14ac:dyDescent="0.25">
      <c r="A974">
        <f t="shared" si="135"/>
        <v>33</v>
      </c>
      <c r="E974" t="s">
        <v>6197</v>
      </c>
      <c r="F974" t="s">
        <v>4604</v>
      </c>
      <c r="G974" t="s">
        <v>6524</v>
      </c>
      <c r="H974" s="2">
        <v>1</v>
      </c>
      <c r="I974" s="2">
        <v>24</v>
      </c>
      <c r="N974" t="str">
        <f t="shared" si="136"/>
        <v>Baby Kish General Trading LCC</v>
      </c>
      <c r="O974" t="str">
        <f t="shared" si="137"/>
        <v>W1315249267</v>
      </c>
      <c r="P974" t="str">
        <f t="shared" si="138"/>
        <v>FA020AC22AMF-445507</v>
      </c>
      <c r="Q974" t="str">
        <f t="shared" si="139"/>
        <v>PO044948</v>
      </c>
      <c r="R974" t="str">
        <f t="shared" si="140"/>
        <v>Farlin Flexible Digital Thermometer - BF-169A</v>
      </c>
      <c r="S974" t="str">
        <f t="shared" si="141"/>
        <v>SA988136</v>
      </c>
      <c r="T974">
        <f t="shared" si="142"/>
        <v>1</v>
      </c>
      <c r="U974">
        <f t="shared" si="143"/>
        <v>24</v>
      </c>
    </row>
    <row r="975" spans="1:21" x14ac:dyDescent="0.25">
      <c r="A975">
        <f t="shared" si="135"/>
        <v>33</v>
      </c>
      <c r="C975" t="s">
        <v>4607</v>
      </c>
      <c r="D975" t="s">
        <v>4608</v>
      </c>
      <c r="E975" t="s">
        <v>3880</v>
      </c>
      <c r="F975" t="s">
        <v>4609</v>
      </c>
      <c r="G975" t="s">
        <v>4606</v>
      </c>
      <c r="H975" s="2">
        <v>1</v>
      </c>
      <c r="I975" s="2">
        <v>21</v>
      </c>
      <c r="N975" t="str">
        <f t="shared" si="136"/>
        <v>Baby Kish General Trading LCC</v>
      </c>
      <c r="O975" t="str">
        <f t="shared" si="137"/>
        <v>W1315240202</v>
      </c>
      <c r="P975" t="str">
        <f t="shared" si="138"/>
        <v>FA020AC56OPF-431761</v>
      </c>
      <c r="Q975" t="str">
        <f t="shared" si="139"/>
        <v>PO044557</v>
      </c>
      <c r="R975" t="str">
        <f t="shared" si="140"/>
        <v>Farlin Baby Clothing Detergent 1000ml. - BF-300</v>
      </c>
      <c r="S975" t="str">
        <f t="shared" si="141"/>
        <v>SA973555</v>
      </c>
      <c r="T975">
        <f t="shared" si="142"/>
        <v>1</v>
      </c>
      <c r="U975">
        <f t="shared" si="143"/>
        <v>21</v>
      </c>
    </row>
    <row r="976" spans="1:21" x14ac:dyDescent="0.25">
      <c r="A976">
        <f t="shared" si="135"/>
        <v>33</v>
      </c>
      <c r="E976" t="s">
        <v>4948</v>
      </c>
      <c r="F976" t="s">
        <v>4609</v>
      </c>
      <c r="G976" t="s">
        <v>5950</v>
      </c>
      <c r="H976" s="2">
        <v>1</v>
      </c>
      <c r="I976" s="2">
        <v>21</v>
      </c>
      <c r="N976" t="str">
        <f t="shared" si="136"/>
        <v>Baby Kish General Trading LCC</v>
      </c>
      <c r="O976" t="str">
        <f t="shared" si="137"/>
        <v>W1315240202</v>
      </c>
      <c r="P976" t="str">
        <f t="shared" si="138"/>
        <v>FA020AC56OPF-431761</v>
      </c>
      <c r="Q976" t="str">
        <f t="shared" si="139"/>
        <v>PO044830</v>
      </c>
      <c r="R976" t="str">
        <f t="shared" si="140"/>
        <v>Farlin Baby Clothing Detergent 1000ml. - BF-300</v>
      </c>
      <c r="S976" t="str">
        <f t="shared" si="141"/>
        <v>SA982151</v>
      </c>
      <c r="T976">
        <f t="shared" si="142"/>
        <v>1</v>
      </c>
      <c r="U976">
        <f t="shared" si="143"/>
        <v>21</v>
      </c>
    </row>
    <row r="977" spans="1:21" x14ac:dyDescent="0.25">
      <c r="A977">
        <f t="shared" si="135"/>
        <v>33</v>
      </c>
      <c r="E977" t="s">
        <v>6197</v>
      </c>
      <c r="F977" t="s">
        <v>4609</v>
      </c>
      <c r="G977" t="s">
        <v>6196</v>
      </c>
      <c r="H977" s="2">
        <v>1</v>
      </c>
      <c r="I977" s="2">
        <v>21</v>
      </c>
      <c r="N977" t="str">
        <f t="shared" si="136"/>
        <v>Baby Kish General Trading LCC</v>
      </c>
      <c r="O977" t="str">
        <f t="shared" si="137"/>
        <v>W1315240202</v>
      </c>
      <c r="P977" t="str">
        <f t="shared" si="138"/>
        <v>FA020AC56OPF-431761</v>
      </c>
      <c r="Q977" t="str">
        <f t="shared" si="139"/>
        <v>PO044948</v>
      </c>
      <c r="R977" t="str">
        <f t="shared" si="140"/>
        <v>Farlin Baby Clothing Detergent 1000ml. - BF-300</v>
      </c>
      <c r="S977" t="str">
        <f t="shared" si="141"/>
        <v>SA985066</v>
      </c>
      <c r="T977">
        <f t="shared" si="142"/>
        <v>1</v>
      </c>
      <c r="U977">
        <f t="shared" si="143"/>
        <v>21</v>
      </c>
    </row>
    <row r="978" spans="1:21" x14ac:dyDescent="0.25">
      <c r="A978">
        <f t="shared" si="135"/>
        <v>33</v>
      </c>
      <c r="G978" t="s">
        <v>6316</v>
      </c>
      <c r="H978" s="2">
        <v>1</v>
      </c>
      <c r="I978" s="2">
        <v>21</v>
      </c>
      <c r="N978" t="str">
        <f t="shared" si="136"/>
        <v>Baby Kish General Trading LCC</v>
      </c>
      <c r="O978" t="str">
        <f t="shared" si="137"/>
        <v>W1315240202</v>
      </c>
      <c r="P978" t="str">
        <f t="shared" si="138"/>
        <v>FA020AC56OPF-431761</v>
      </c>
      <c r="Q978" t="str">
        <f t="shared" si="139"/>
        <v>PO044948</v>
      </c>
      <c r="R978" t="str">
        <f t="shared" si="140"/>
        <v>Farlin Baby Clothing Detergent 1000ml. - BF-300</v>
      </c>
      <c r="S978" t="str">
        <f t="shared" si="141"/>
        <v>SA986029</v>
      </c>
      <c r="T978">
        <f t="shared" si="142"/>
        <v>1</v>
      </c>
      <c r="U978">
        <f t="shared" si="143"/>
        <v>21</v>
      </c>
    </row>
    <row r="979" spans="1:21" x14ac:dyDescent="0.25">
      <c r="A979">
        <f t="shared" si="135"/>
        <v>33</v>
      </c>
      <c r="G979" t="s">
        <v>6317</v>
      </c>
      <c r="H979" s="2">
        <v>1</v>
      </c>
      <c r="I979" s="2">
        <v>21</v>
      </c>
      <c r="N979" t="str">
        <f t="shared" si="136"/>
        <v>Baby Kish General Trading LCC</v>
      </c>
      <c r="O979" t="str">
        <f t="shared" si="137"/>
        <v>W1315240202</v>
      </c>
      <c r="P979" t="str">
        <f t="shared" si="138"/>
        <v>FA020AC56OPF-431761</v>
      </c>
      <c r="Q979" t="str">
        <f t="shared" si="139"/>
        <v>PO044948</v>
      </c>
      <c r="R979" t="str">
        <f t="shared" si="140"/>
        <v>Farlin Baby Clothing Detergent 1000ml. - BF-300</v>
      </c>
      <c r="S979" t="str">
        <f t="shared" si="141"/>
        <v>SA986030</v>
      </c>
      <c r="T979">
        <f t="shared" si="142"/>
        <v>1</v>
      </c>
      <c r="U979">
        <f t="shared" si="143"/>
        <v>21</v>
      </c>
    </row>
    <row r="980" spans="1:21" x14ac:dyDescent="0.25">
      <c r="A980">
        <f t="shared" si="135"/>
        <v>33</v>
      </c>
      <c r="G980" t="s">
        <v>6512</v>
      </c>
      <c r="H980" s="2">
        <v>1</v>
      </c>
      <c r="I980" s="2">
        <v>21</v>
      </c>
      <c r="N980" t="str">
        <f t="shared" si="136"/>
        <v>Baby Kish General Trading LCC</v>
      </c>
      <c r="O980" t="str">
        <f t="shared" si="137"/>
        <v>W1315240202</v>
      </c>
      <c r="P980" t="str">
        <f t="shared" si="138"/>
        <v>FA020AC56OPF-431761</v>
      </c>
      <c r="Q980" t="str">
        <f t="shared" si="139"/>
        <v>PO044948</v>
      </c>
      <c r="R980" t="str">
        <f t="shared" si="140"/>
        <v>Farlin Baby Clothing Detergent 1000ml. - BF-300</v>
      </c>
      <c r="S980" t="str">
        <f t="shared" si="141"/>
        <v>SA987963</v>
      </c>
      <c r="T980">
        <f t="shared" si="142"/>
        <v>1</v>
      </c>
      <c r="U980">
        <f t="shared" si="143"/>
        <v>21</v>
      </c>
    </row>
    <row r="981" spans="1:21" x14ac:dyDescent="0.25">
      <c r="A981">
        <f t="shared" si="135"/>
        <v>33</v>
      </c>
      <c r="E981" t="s">
        <v>6682</v>
      </c>
      <c r="F981" t="s">
        <v>4609</v>
      </c>
      <c r="G981" t="s">
        <v>6697</v>
      </c>
      <c r="H981" s="2">
        <v>1</v>
      </c>
      <c r="I981" s="2">
        <v>21</v>
      </c>
      <c r="N981" t="str">
        <f t="shared" si="136"/>
        <v>Baby Kish General Trading LCC</v>
      </c>
      <c r="O981" t="str">
        <f t="shared" si="137"/>
        <v>W1315240202</v>
      </c>
      <c r="P981" t="str">
        <f t="shared" si="138"/>
        <v>FA020AC56OPF-431761</v>
      </c>
      <c r="Q981" t="str">
        <f t="shared" si="139"/>
        <v>PO045025</v>
      </c>
      <c r="R981" t="str">
        <f t="shared" si="140"/>
        <v>Farlin Baby Clothing Detergent 1000ml. - BF-300</v>
      </c>
      <c r="S981" t="str">
        <f t="shared" si="141"/>
        <v>SA989452</v>
      </c>
      <c r="T981">
        <f t="shared" si="142"/>
        <v>1</v>
      </c>
      <c r="U981">
        <f t="shared" si="143"/>
        <v>21</v>
      </c>
    </row>
    <row r="982" spans="1:21" x14ac:dyDescent="0.25">
      <c r="A982">
        <f t="shared" si="135"/>
        <v>33</v>
      </c>
      <c r="C982" t="s">
        <v>4611</v>
      </c>
      <c r="D982" t="s">
        <v>4612</v>
      </c>
      <c r="E982" t="s">
        <v>3880</v>
      </c>
      <c r="F982" t="s">
        <v>4613</v>
      </c>
      <c r="G982" t="s">
        <v>4610</v>
      </c>
      <c r="H982" s="2">
        <v>1</v>
      </c>
      <c r="I982" s="2">
        <v>11</v>
      </c>
      <c r="N982" t="str">
        <f t="shared" si="136"/>
        <v>Baby Kish General Trading LCC</v>
      </c>
      <c r="O982" t="str">
        <f t="shared" si="137"/>
        <v>W1315240159</v>
      </c>
      <c r="P982" t="str">
        <f t="shared" si="138"/>
        <v>FA020AC28OML-431689</v>
      </c>
      <c r="Q982" t="str">
        <f t="shared" si="139"/>
        <v>PO044557</v>
      </c>
      <c r="R982" t="str">
        <f t="shared" si="140"/>
        <v>Farlin Squeeze Toy (Beige) - TOY-46</v>
      </c>
      <c r="S982" t="str">
        <f t="shared" si="141"/>
        <v>SA973556</v>
      </c>
      <c r="T982">
        <f t="shared" si="142"/>
        <v>1</v>
      </c>
      <c r="U982">
        <f t="shared" si="143"/>
        <v>11</v>
      </c>
    </row>
    <row r="983" spans="1:21" x14ac:dyDescent="0.25">
      <c r="A983">
        <f t="shared" si="135"/>
        <v>33</v>
      </c>
      <c r="E983" t="s">
        <v>4948</v>
      </c>
      <c r="F983" t="s">
        <v>4613</v>
      </c>
      <c r="G983" t="s">
        <v>5923</v>
      </c>
      <c r="H983" s="2">
        <v>1</v>
      </c>
      <c r="I983" s="2">
        <v>11</v>
      </c>
      <c r="N983" t="str">
        <f t="shared" si="136"/>
        <v>Baby Kish General Trading LCC</v>
      </c>
      <c r="O983" t="str">
        <f t="shared" si="137"/>
        <v>W1315240159</v>
      </c>
      <c r="P983" t="str">
        <f t="shared" si="138"/>
        <v>FA020AC28OML-431689</v>
      </c>
      <c r="Q983" t="str">
        <f t="shared" si="139"/>
        <v>PO044830</v>
      </c>
      <c r="R983" t="str">
        <f t="shared" si="140"/>
        <v>Farlin Squeeze Toy (Beige) - TOY-46</v>
      </c>
      <c r="S983" t="str">
        <f t="shared" si="141"/>
        <v>SA981888</v>
      </c>
      <c r="T983">
        <f t="shared" si="142"/>
        <v>1</v>
      </c>
      <c r="U983">
        <f t="shared" si="143"/>
        <v>11</v>
      </c>
    </row>
    <row r="984" spans="1:21" x14ac:dyDescent="0.25">
      <c r="A984">
        <f t="shared" si="135"/>
        <v>33</v>
      </c>
      <c r="C984" t="s">
        <v>4615</v>
      </c>
      <c r="D984" t="s">
        <v>4616</v>
      </c>
      <c r="E984" t="s">
        <v>3880</v>
      </c>
      <c r="F984" t="s">
        <v>4617</v>
      </c>
      <c r="G984" t="s">
        <v>4614</v>
      </c>
      <c r="H984" s="2">
        <v>1</v>
      </c>
      <c r="I984" s="2">
        <v>22</v>
      </c>
      <c r="N984" t="str">
        <f t="shared" si="136"/>
        <v>Baby Kish General Trading LCC</v>
      </c>
      <c r="O984" t="str">
        <f t="shared" si="137"/>
        <v>W1315240227</v>
      </c>
      <c r="P984" t="str">
        <f t="shared" si="138"/>
        <v>FA020AC81OOG-431736</v>
      </c>
      <c r="Q984" t="str">
        <f t="shared" si="139"/>
        <v>PO044557</v>
      </c>
      <c r="R984" t="str">
        <f t="shared" si="140"/>
        <v>Farlin Non-Spill Magic Cup Spot - AET-CP011-B</v>
      </c>
      <c r="S984" t="str">
        <f t="shared" si="141"/>
        <v>SA973557</v>
      </c>
      <c r="T984">
        <f t="shared" si="142"/>
        <v>1</v>
      </c>
      <c r="U984">
        <f t="shared" si="143"/>
        <v>22</v>
      </c>
    </row>
    <row r="985" spans="1:21" x14ac:dyDescent="0.25">
      <c r="A985">
        <f t="shared" si="135"/>
        <v>33</v>
      </c>
      <c r="E985" t="s">
        <v>4948</v>
      </c>
      <c r="F985" t="s">
        <v>4617</v>
      </c>
      <c r="G985" t="s">
        <v>5520</v>
      </c>
      <c r="H985" s="2">
        <v>1</v>
      </c>
      <c r="I985" s="2">
        <v>22</v>
      </c>
      <c r="N985" t="str">
        <f t="shared" si="136"/>
        <v>Baby Kish General Trading LCC</v>
      </c>
      <c r="O985" t="str">
        <f t="shared" si="137"/>
        <v>W1315240227</v>
      </c>
      <c r="P985" t="str">
        <f t="shared" si="138"/>
        <v>FA020AC81OOG-431736</v>
      </c>
      <c r="Q985" t="str">
        <f t="shared" si="139"/>
        <v>PO044830</v>
      </c>
      <c r="R985" t="str">
        <f t="shared" si="140"/>
        <v>Farlin Non-Spill Magic Cup Spot - AET-CP011-B</v>
      </c>
      <c r="S985" t="str">
        <f t="shared" si="141"/>
        <v>SA979154</v>
      </c>
      <c r="T985">
        <f t="shared" si="142"/>
        <v>1</v>
      </c>
      <c r="U985">
        <f t="shared" si="143"/>
        <v>22</v>
      </c>
    </row>
    <row r="986" spans="1:21" x14ac:dyDescent="0.25">
      <c r="A986">
        <f t="shared" si="135"/>
        <v>33</v>
      </c>
      <c r="G986" t="s">
        <v>5867</v>
      </c>
      <c r="H986" s="2">
        <v>1</v>
      </c>
      <c r="I986" s="2">
        <v>22</v>
      </c>
      <c r="N986" t="str">
        <f t="shared" si="136"/>
        <v>Baby Kish General Trading LCC</v>
      </c>
      <c r="O986" t="str">
        <f t="shared" si="137"/>
        <v>W1315240227</v>
      </c>
      <c r="P986" t="str">
        <f t="shared" si="138"/>
        <v>FA020AC81OOG-431736</v>
      </c>
      <c r="Q986" t="str">
        <f t="shared" si="139"/>
        <v>PO044830</v>
      </c>
      <c r="R986" t="str">
        <f t="shared" si="140"/>
        <v>Farlin Non-Spill Magic Cup Spot - AET-CP011-B</v>
      </c>
      <c r="S986" t="str">
        <f t="shared" si="141"/>
        <v>SA981363</v>
      </c>
      <c r="T986">
        <f t="shared" si="142"/>
        <v>1</v>
      </c>
      <c r="U986">
        <f t="shared" si="143"/>
        <v>22</v>
      </c>
    </row>
    <row r="987" spans="1:21" x14ac:dyDescent="0.25">
      <c r="A987">
        <f t="shared" si="135"/>
        <v>33</v>
      </c>
      <c r="E987" t="s">
        <v>6197</v>
      </c>
      <c r="F987" t="s">
        <v>4617</v>
      </c>
      <c r="G987" t="s">
        <v>6445</v>
      </c>
      <c r="H987" s="2">
        <v>1</v>
      </c>
      <c r="I987" s="2">
        <v>22</v>
      </c>
      <c r="N987" t="str">
        <f t="shared" si="136"/>
        <v>Baby Kish General Trading LCC</v>
      </c>
      <c r="O987" t="str">
        <f t="shared" si="137"/>
        <v>W1315240227</v>
      </c>
      <c r="P987" t="str">
        <f t="shared" si="138"/>
        <v>FA020AC81OOG-431736</v>
      </c>
      <c r="Q987" t="str">
        <f t="shared" si="139"/>
        <v>PO044948</v>
      </c>
      <c r="R987" t="str">
        <f t="shared" si="140"/>
        <v>Farlin Non-Spill Magic Cup Spot - AET-CP011-B</v>
      </c>
      <c r="S987" t="str">
        <f t="shared" si="141"/>
        <v>SA987174</v>
      </c>
      <c r="T987">
        <f t="shared" si="142"/>
        <v>1</v>
      </c>
      <c r="U987">
        <f t="shared" si="143"/>
        <v>22</v>
      </c>
    </row>
    <row r="988" spans="1:21" x14ac:dyDescent="0.25">
      <c r="A988">
        <f t="shared" si="135"/>
        <v>33</v>
      </c>
      <c r="C988" t="s">
        <v>4945</v>
      </c>
      <c r="D988" t="s">
        <v>4946</v>
      </c>
      <c r="E988" t="s">
        <v>4948</v>
      </c>
      <c r="F988" t="s">
        <v>4947</v>
      </c>
      <c r="G988" t="s">
        <v>4944</v>
      </c>
      <c r="H988" s="2">
        <v>1</v>
      </c>
      <c r="I988" s="2">
        <v>9</v>
      </c>
      <c r="N988" t="str">
        <f t="shared" si="136"/>
        <v>Baby Kish General Trading LCC</v>
      </c>
      <c r="O988" t="str">
        <f t="shared" si="137"/>
        <v>W1315311368</v>
      </c>
      <c r="P988" t="str">
        <f t="shared" si="138"/>
        <v>FA020AC58JRD-519312</v>
      </c>
      <c r="Q988" t="str">
        <f t="shared" si="139"/>
        <v>PO044830</v>
      </c>
      <c r="R988" t="str">
        <f t="shared" si="140"/>
        <v>Farlin Safty Cotton Buds White - TOP-113-3</v>
      </c>
      <c r="S988" t="str">
        <f t="shared" si="141"/>
        <v>SA969779</v>
      </c>
      <c r="T988">
        <f t="shared" si="142"/>
        <v>1</v>
      </c>
      <c r="U988">
        <f t="shared" si="143"/>
        <v>9</v>
      </c>
    </row>
    <row r="989" spans="1:21" x14ac:dyDescent="0.25">
      <c r="A989">
        <f t="shared" si="135"/>
        <v>33</v>
      </c>
      <c r="C989" t="s">
        <v>5003</v>
      </c>
      <c r="D989" t="s">
        <v>5004</v>
      </c>
      <c r="E989" t="s">
        <v>4948</v>
      </c>
      <c r="F989" t="s">
        <v>5005</v>
      </c>
      <c r="G989" t="s">
        <v>5002</v>
      </c>
      <c r="H989" s="2">
        <v>1</v>
      </c>
      <c r="I989" s="2">
        <v>4</v>
      </c>
      <c r="N989" t="str">
        <f t="shared" si="136"/>
        <v>Baby Kish General Trading LCC</v>
      </c>
      <c r="O989" t="str">
        <f t="shared" si="137"/>
        <v>W1315359662</v>
      </c>
      <c r="P989" t="str">
        <f t="shared" si="138"/>
        <v>FA020AC23UDO-598982</v>
      </c>
      <c r="Q989" t="str">
        <f t="shared" si="139"/>
        <v>PO044830</v>
      </c>
      <c r="R989" t="str">
        <f t="shared" si="140"/>
        <v>Farlin Cap and Screw (CAP-1, Blue)</v>
      </c>
      <c r="S989" t="str">
        <f t="shared" si="141"/>
        <v>SA973544</v>
      </c>
      <c r="T989">
        <f t="shared" si="142"/>
        <v>1</v>
      </c>
      <c r="U989">
        <f t="shared" si="143"/>
        <v>4</v>
      </c>
    </row>
    <row r="990" spans="1:21" x14ac:dyDescent="0.25">
      <c r="A990">
        <f t="shared" si="135"/>
        <v>33</v>
      </c>
      <c r="C990" t="s">
        <v>5007</v>
      </c>
      <c r="D990" t="s">
        <v>5008</v>
      </c>
      <c r="E990" t="s">
        <v>4948</v>
      </c>
      <c r="F990" t="s">
        <v>5009</v>
      </c>
      <c r="G990" t="s">
        <v>5006</v>
      </c>
      <c r="H990" s="2">
        <v>1</v>
      </c>
      <c r="I990" s="2">
        <v>15</v>
      </c>
      <c r="N990" t="str">
        <f t="shared" si="136"/>
        <v>Baby Kish General Trading LCC</v>
      </c>
      <c r="O990" t="str">
        <f t="shared" si="137"/>
        <v>W1315311374</v>
      </c>
      <c r="P990" t="str">
        <f t="shared" si="138"/>
        <v>FA020AC52JRJ-519318</v>
      </c>
      <c r="Q990" t="str">
        <f t="shared" si="139"/>
        <v>PO044830</v>
      </c>
      <c r="R990" t="str">
        <f t="shared" si="140"/>
        <v>Farlin Baby Diaper Pants XL White - BF-310 XL</v>
      </c>
      <c r="S990" t="str">
        <f t="shared" si="141"/>
        <v>SA973545</v>
      </c>
      <c r="T990">
        <f t="shared" si="142"/>
        <v>1</v>
      </c>
      <c r="U990">
        <f t="shared" si="143"/>
        <v>15</v>
      </c>
    </row>
    <row r="991" spans="1:21" x14ac:dyDescent="0.25">
      <c r="A991">
        <f t="shared" si="135"/>
        <v>33</v>
      </c>
      <c r="E991" t="s">
        <v>6197</v>
      </c>
      <c r="F991" t="s">
        <v>5009</v>
      </c>
      <c r="G991" t="s">
        <v>6446</v>
      </c>
      <c r="H991" s="2">
        <v>1</v>
      </c>
      <c r="I991" s="2">
        <v>15</v>
      </c>
      <c r="N991" t="str">
        <f t="shared" si="136"/>
        <v>Baby Kish General Trading LCC</v>
      </c>
      <c r="O991" t="str">
        <f t="shared" si="137"/>
        <v>W1315311374</v>
      </c>
      <c r="P991" t="str">
        <f t="shared" si="138"/>
        <v>FA020AC52JRJ-519318</v>
      </c>
      <c r="Q991" t="str">
        <f t="shared" si="139"/>
        <v>PO044948</v>
      </c>
      <c r="R991" t="str">
        <f t="shared" si="140"/>
        <v>Farlin Baby Diaper Pants XL White - BF-310 XL</v>
      </c>
      <c r="S991" t="str">
        <f t="shared" si="141"/>
        <v>SA987175</v>
      </c>
      <c r="T991">
        <f t="shared" si="142"/>
        <v>1</v>
      </c>
      <c r="U991">
        <f t="shared" si="143"/>
        <v>15</v>
      </c>
    </row>
    <row r="992" spans="1:21" x14ac:dyDescent="0.25">
      <c r="A992">
        <f t="shared" si="135"/>
        <v>33</v>
      </c>
      <c r="G992" t="s">
        <v>6447</v>
      </c>
      <c r="H992" s="2">
        <v>1</v>
      </c>
      <c r="I992" s="2">
        <v>15</v>
      </c>
      <c r="N992" t="str">
        <f t="shared" si="136"/>
        <v>Baby Kish General Trading LCC</v>
      </c>
      <c r="O992" t="str">
        <f t="shared" si="137"/>
        <v>W1315311374</v>
      </c>
      <c r="P992" t="str">
        <f t="shared" si="138"/>
        <v>FA020AC52JRJ-519318</v>
      </c>
      <c r="Q992" t="str">
        <f t="shared" si="139"/>
        <v>PO044948</v>
      </c>
      <c r="R992" t="str">
        <f t="shared" si="140"/>
        <v>Farlin Baby Diaper Pants XL White - BF-310 XL</v>
      </c>
      <c r="S992" t="str">
        <f t="shared" si="141"/>
        <v>SA987176</v>
      </c>
      <c r="T992">
        <f t="shared" si="142"/>
        <v>1</v>
      </c>
      <c r="U992">
        <f t="shared" si="143"/>
        <v>15</v>
      </c>
    </row>
    <row r="993" spans="1:21" x14ac:dyDescent="0.25">
      <c r="A993">
        <f t="shared" si="135"/>
        <v>33</v>
      </c>
      <c r="G993" t="s">
        <v>6448</v>
      </c>
      <c r="H993" s="2">
        <v>1</v>
      </c>
      <c r="I993" s="2">
        <v>15</v>
      </c>
      <c r="N993" t="str">
        <f t="shared" si="136"/>
        <v>Baby Kish General Trading LCC</v>
      </c>
      <c r="O993" t="str">
        <f t="shared" si="137"/>
        <v>W1315311374</v>
      </c>
      <c r="P993" t="str">
        <f t="shared" si="138"/>
        <v>FA020AC52JRJ-519318</v>
      </c>
      <c r="Q993" t="str">
        <f t="shared" si="139"/>
        <v>PO044948</v>
      </c>
      <c r="R993" t="str">
        <f t="shared" si="140"/>
        <v>Farlin Baby Diaper Pants XL White - BF-310 XL</v>
      </c>
      <c r="S993" t="str">
        <f t="shared" si="141"/>
        <v>SA987177</v>
      </c>
      <c r="T993">
        <f t="shared" si="142"/>
        <v>1</v>
      </c>
      <c r="U993">
        <f t="shared" si="143"/>
        <v>15</v>
      </c>
    </row>
    <row r="994" spans="1:21" x14ac:dyDescent="0.25">
      <c r="A994">
        <f t="shared" si="135"/>
        <v>33</v>
      </c>
      <c r="C994" t="s">
        <v>5098</v>
      </c>
      <c r="D994" t="s">
        <v>5099</v>
      </c>
      <c r="E994" t="s">
        <v>4948</v>
      </c>
      <c r="F994" t="s">
        <v>5100</v>
      </c>
      <c r="G994" t="s">
        <v>5097</v>
      </c>
      <c r="H994" s="2">
        <v>1</v>
      </c>
      <c r="I994" s="2">
        <v>10</v>
      </c>
      <c r="N994" t="str">
        <f t="shared" si="136"/>
        <v>Baby Kish General Trading LCC</v>
      </c>
      <c r="O994" t="str">
        <f t="shared" si="137"/>
        <v>W1315311340</v>
      </c>
      <c r="P994" t="str">
        <f t="shared" si="138"/>
        <v>FA020AC89JPY-519281</v>
      </c>
      <c r="Q994" t="str">
        <f t="shared" si="139"/>
        <v>PO044830</v>
      </c>
      <c r="R994" t="str">
        <f t="shared" si="140"/>
        <v>Farlin Feeding Bottle 600CC Clear - NF-205(T3)</v>
      </c>
      <c r="S994" t="str">
        <f t="shared" si="141"/>
        <v>SA974033</v>
      </c>
      <c r="T994">
        <f t="shared" si="142"/>
        <v>1</v>
      </c>
      <c r="U994">
        <f t="shared" si="143"/>
        <v>10</v>
      </c>
    </row>
    <row r="995" spans="1:21" x14ac:dyDescent="0.25">
      <c r="A995">
        <f t="shared" si="135"/>
        <v>33</v>
      </c>
      <c r="G995" t="s">
        <v>5372</v>
      </c>
      <c r="H995" s="2">
        <v>1</v>
      </c>
      <c r="I995" s="2">
        <v>10</v>
      </c>
      <c r="N995" t="str">
        <f t="shared" si="136"/>
        <v>Baby Kish General Trading LCC</v>
      </c>
      <c r="O995" t="str">
        <f t="shared" si="137"/>
        <v>W1315311340</v>
      </c>
      <c r="P995" t="str">
        <f t="shared" si="138"/>
        <v>FA020AC89JPY-519281</v>
      </c>
      <c r="Q995" t="str">
        <f t="shared" si="139"/>
        <v>PO044830</v>
      </c>
      <c r="R995" t="str">
        <f t="shared" si="140"/>
        <v>Farlin Feeding Bottle 600CC Clear - NF-205(T3)</v>
      </c>
      <c r="S995" t="str">
        <f t="shared" si="141"/>
        <v>SA977557</v>
      </c>
      <c r="T995">
        <f t="shared" si="142"/>
        <v>1</v>
      </c>
      <c r="U995">
        <f t="shared" si="143"/>
        <v>10</v>
      </c>
    </row>
    <row r="996" spans="1:21" x14ac:dyDescent="0.25">
      <c r="A996">
        <f t="shared" si="135"/>
        <v>33</v>
      </c>
      <c r="C996" t="s">
        <v>5259</v>
      </c>
      <c r="D996" t="s">
        <v>5260</v>
      </c>
      <c r="E996" t="s">
        <v>4948</v>
      </c>
      <c r="F996" t="s">
        <v>5261</v>
      </c>
      <c r="G996" t="s">
        <v>5258</v>
      </c>
      <c r="H996" s="2">
        <v>1</v>
      </c>
      <c r="I996" s="2">
        <v>1443</v>
      </c>
      <c r="N996" t="str">
        <f t="shared" si="136"/>
        <v>Baby Kish General Trading LCC</v>
      </c>
      <c r="O996" t="str">
        <f t="shared" si="137"/>
        <v>W1315216259</v>
      </c>
      <c r="P996" t="str">
        <f t="shared" si="138"/>
        <v>GR933AC99XUY-407118</v>
      </c>
      <c r="Q996" t="str">
        <f t="shared" si="139"/>
        <v>PO044830</v>
      </c>
      <c r="R996" t="str">
        <f t="shared" si="140"/>
        <v>Graco TS FaSTaction Fold - Dolce Stroller - 1895891</v>
      </c>
      <c r="S996" t="str">
        <f t="shared" si="141"/>
        <v>SA975761</v>
      </c>
      <c r="T996">
        <f t="shared" si="142"/>
        <v>1</v>
      </c>
      <c r="U996">
        <f t="shared" si="143"/>
        <v>1443</v>
      </c>
    </row>
    <row r="997" spans="1:21" x14ac:dyDescent="0.25">
      <c r="A997">
        <f t="shared" si="135"/>
        <v>33</v>
      </c>
      <c r="C997" t="s">
        <v>5335</v>
      </c>
      <c r="D997" t="s">
        <v>5336</v>
      </c>
      <c r="E997" t="s">
        <v>4948</v>
      </c>
      <c r="F997" t="s">
        <v>5337</v>
      </c>
      <c r="G997" t="s">
        <v>5334</v>
      </c>
      <c r="H997" s="2">
        <v>1</v>
      </c>
      <c r="I997" s="2">
        <v>7</v>
      </c>
      <c r="N997" t="str">
        <f t="shared" si="136"/>
        <v>Baby Kish General Trading LCC</v>
      </c>
      <c r="O997" t="str">
        <f t="shared" si="137"/>
        <v>W1315311360</v>
      </c>
      <c r="P997" t="str">
        <f t="shared" si="138"/>
        <v>FA020AC66JQV-519304</v>
      </c>
      <c r="Q997" t="str">
        <f t="shared" si="139"/>
        <v>PO044830</v>
      </c>
      <c r="R997" t="str">
        <f t="shared" si="140"/>
        <v>Farlin Glow In Dark Pacifier Clear - BF-002S</v>
      </c>
      <c r="S997" t="str">
        <f t="shared" si="141"/>
        <v>SA976740</v>
      </c>
      <c r="T997">
        <f t="shared" si="142"/>
        <v>1</v>
      </c>
      <c r="U997">
        <f t="shared" si="143"/>
        <v>7</v>
      </c>
    </row>
    <row r="998" spans="1:21" x14ac:dyDescent="0.25">
      <c r="A998">
        <f t="shared" si="135"/>
        <v>33</v>
      </c>
      <c r="G998" t="s">
        <v>5632</v>
      </c>
      <c r="H998" s="2">
        <v>1</v>
      </c>
      <c r="I998" s="2">
        <v>7</v>
      </c>
      <c r="N998" t="str">
        <f t="shared" si="136"/>
        <v>Baby Kish General Trading LCC</v>
      </c>
      <c r="O998" t="str">
        <f t="shared" si="137"/>
        <v>W1315311360</v>
      </c>
      <c r="P998" t="str">
        <f t="shared" si="138"/>
        <v>FA020AC66JQV-519304</v>
      </c>
      <c r="Q998" t="str">
        <f t="shared" si="139"/>
        <v>PO044830</v>
      </c>
      <c r="R998" t="str">
        <f t="shared" si="140"/>
        <v>Farlin Glow In Dark Pacifier Clear - BF-002S</v>
      </c>
      <c r="S998" t="str">
        <f t="shared" si="141"/>
        <v>SA980274</v>
      </c>
      <c r="T998">
        <f t="shared" si="142"/>
        <v>1</v>
      </c>
      <c r="U998">
        <f t="shared" si="143"/>
        <v>7</v>
      </c>
    </row>
    <row r="999" spans="1:21" x14ac:dyDescent="0.25">
      <c r="A999">
        <f t="shared" si="135"/>
        <v>33</v>
      </c>
      <c r="G999" t="s">
        <v>5644</v>
      </c>
      <c r="H999" s="2">
        <v>1</v>
      </c>
      <c r="I999" s="2">
        <v>7</v>
      </c>
      <c r="N999" t="str">
        <f t="shared" si="136"/>
        <v>Baby Kish General Trading LCC</v>
      </c>
      <c r="O999" t="str">
        <f t="shared" si="137"/>
        <v>W1315311360</v>
      </c>
      <c r="P999" t="str">
        <f t="shared" si="138"/>
        <v>FA020AC66JQV-519304</v>
      </c>
      <c r="Q999" t="str">
        <f t="shared" si="139"/>
        <v>PO044830</v>
      </c>
      <c r="R999" t="str">
        <f t="shared" si="140"/>
        <v>Farlin Glow In Dark Pacifier Clear - BF-002S</v>
      </c>
      <c r="S999" t="str">
        <f t="shared" si="141"/>
        <v>SA980318</v>
      </c>
      <c r="T999">
        <f t="shared" si="142"/>
        <v>1</v>
      </c>
      <c r="U999">
        <f t="shared" si="143"/>
        <v>7</v>
      </c>
    </row>
    <row r="1000" spans="1:21" x14ac:dyDescent="0.25">
      <c r="A1000">
        <f t="shared" si="135"/>
        <v>33</v>
      </c>
      <c r="C1000" t="s">
        <v>5394</v>
      </c>
      <c r="D1000" t="s">
        <v>5395</v>
      </c>
      <c r="E1000" t="s">
        <v>4948</v>
      </c>
      <c r="F1000" t="s">
        <v>5396</v>
      </c>
      <c r="G1000" t="s">
        <v>5393</v>
      </c>
      <c r="H1000" s="2">
        <v>1</v>
      </c>
      <c r="I1000" s="2">
        <v>9</v>
      </c>
      <c r="N1000" t="str">
        <f t="shared" si="136"/>
        <v>Baby Kish General Trading LCC</v>
      </c>
      <c r="O1000" t="str">
        <f t="shared" si="137"/>
        <v>W1315240200</v>
      </c>
      <c r="P1000" t="str">
        <f t="shared" si="138"/>
        <v>FA020AC58OPD-431759</v>
      </c>
      <c r="Q1000" t="str">
        <f t="shared" si="139"/>
        <v>PO044830</v>
      </c>
      <c r="R1000" t="str">
        <f t="shared" si="140"/>
        <v>Farlin Easy Feeder - BF-193A</v>
      </c>
      <c r="S1000" t="str">
        <f t="shared" si="141"/>
        <v>SA977843</v>
      </c>
      <c r="T1000">
        <f t="shared" si="142"/>
        <v>1</v>
      </c>
      <c r="U1000">
        <f t="shared" si="143"/>
        <v>9</v>
      </c>
    </row>
    <row r="1001" spans="1:21" x14ac:dyDescent="0.25">
      <c r="A1001">
        <f t="shared" si="135"/>
        <v>33</v>
      </c>
      <c r="G1001" t="s">
        <v>5948</v>
      </c>
      <c r="H1001" s="2">
        <v>1</v>
      </c>
      <c r="I1001" s="2">
        <v>9</v>
      </c>
      <c r="N1001" t="str">
        <f t="shared" si="136"/>
        <v>Baby Kish General Trading LCC</v>
      </c>
      <c r="O1001" t="str">
        <f t="shared" si="137"/>
        <v>W1315240200</v>
      </c>
      <c r="P1001" t="str">
        <f t="shared" si="138"/>
        <v>FA020AC58OPD-431759</v>
      </c>
      <c r="Q1001" t="str">
        <f t="shared" si="139"/>
        <v>PO044830</v>
      </c>
      <c r="R1001" t="str">
        <f t="shared" si="140"/>
        <v>Farlin Easy Feeder - BF-193A</v>
      </c>
      <c r="S1001" t="str">
        <f t="shared" si="141"/>
        <v>SA982146</v>
      </c>
      <c r="T1001">
        <f t="shared" si="142"/>
        <v>1</v>
      </c>
      <c r="U1001">
        <f t="shared" si="143"/>
        <v>9</v>
      </c>
    </row>
    <row r="1002" spans="1:21" x14ac:dyDescent="0.25">
      <c r="A1002">
        <f t="shared" si="135"/>
        <v>33</v>
      </c>
      <c r="G1002" t="s">
        <v>5949</v>
      </c>
      <c r="H1002" s="2">
        <v>1</v>
      </c>
      <c r="I1002" s="2">
        <v>9</v>
      </c>
      <c r="N1002" t="str">
        <f t="shared" si="136"/>
        <v>Baby Kish General Trading LCC</v>
      </c>
      <c r="O1002" t="str">
        <f t="shared" si="137"/>
        <v>W1315240200</v>
      </c>
      <c r="P1002" t="str">
        <f t="shared" si="138"/>
        <v>FA020AC58OPD-431759</v>
      </c>
      <c r="Q1002" t="str">
        <f t="shared" si="139"/>
        <v>PO044830</v>
      </c>
      <c r="R1002" t="str">
        <f t="shared" si="140"/>
        <v>Farlin Easy Feeder - BF-193A</v>
      </c>
      <c r="S1002" t="str">
        <f t="shared" si="141"/>
        <v>SA982147</v>
      </c>
      <c r="T1002">
        <f t="shared" si="142"/>
        <v>1</v>
      </c>
      <c r="U1002">
        <f t="shared" si="143"/>
        <v>9</v>
      </c>
    </row>
    <row r="1003" spans="1:21" x14ac:dyDescent="0.25">
      <c r="A1003">
        <f t="shared" si="135"/>
        <v>33</v>
      </c>
      <c r="C1003" t="s">
        <v>5398</v>
      </c>
      <c r="D1003" t="s">
        <v>5399</v>
      </c>
      <c r="E1003" t="s">
        <v>4948</v>
      </c>
      <c r="F1003" t="s">
        <v>5400</v>
      </c>
      <c r="G1003" t="s">
        <v>5397</v>
      </c>
      <c r="H1003" s="2">
        <v>1</v>
      </c>
      <c r="I1003" s="2">
        <v>14</v>
      </c>
      <c r="N1003" t="str">
        <f t="shared" si="136"/>
        <v>Baby Kish General Trading LCC</v>
      </c>
      <c r="O1003" t="str">
        <f t="shared" si="137"/>
        <v>W1315240203</v>
      </c>
      <c r="P1003" t="str">
        <f t="shared" si="138"/>
        <v>FA020AC55OPG-431762</v>
      </c>
      <c r="Q1003" t="str">
        <f t="shared" si="139"/>
        <v>PO044830</v>
      </c>
      <c r="R1003" t="str">
        <f t="shared" si="140"/>
        <v>Farlin Wet Wipes For Hand &amp; Mouth - DT-001</v>
      </c>
      <c r="S1003" t="str">
        <f t="shared" si="141"/>
        <v>SA977848</v>
      </c>
      <c r="T1003">
        <f t="shared" si="142"/>
        <v>1</v>
      </c>
      <c r="U1003">
        <f t="shared" si="143"/>
        <v>14</v>
      </c>
    </row>
    <row r="1004" spans="1:21" x14ac:dyDescent="0.25">
      <c r="A1004">
        <f t="shared" si="135"/>
        <v>33</v>
      </c>
      <c r="G1004" t="s">
        <v>5401</v>
      </c>
      <c r="H1004" s="2">
        <v>1</v>
      </c>
      <c r="I1004" s="2">
        <v>14</v>
      </c>
      <c r="N1004" t="str">
        <f t="shared" si="136"/>
        <v>Baby Kish General Trading LCC</v>
      </c>
      <c r="O1004" t="str">
        <f t="shared" si="137"/>
        <v>W1315240203</v>
      </c>
      <c r="P1004" t="str">
        <f t="shared" si="138"/>
        <v>FA020AC55OPG-431762</v>
      </c>
      <c r="Q1004" t="str">
        <f t="shared" si="139"/>
        <v>PO044830</v>
      </c>
      <c r="R1004" t="str">
        <f t="shared" si="140"/>
        <v>Farlin Wet Wipes For Hand &amp; Mouth - DT-001</v>
      </c>
      <c r="S1004" t="str">
        <f t="shared" si="141"/>
        <v>SA977849</v>
      </c>
      <c r="T1004">
        <f t="shared" si="142"/>
        <v>1</v>
      </c>
      <c r="U1004">
        <f t="shared" si="143"/>
        <v>14</v>
      </c>
    </row>
    <row r="1005" spans="1:21" x14ac:dyDescent="0.25">
      <c r="A1005">
        <f t="shared" si="135"/>
        <v>33</v>
      </c>
      <c r="C1005" t="s">
        <v>5522</v>
      </c>
      <c r="D1005" t="s">
        <v>5523</v>
      </c>
      <c r="E1005" t="s">
        <v>4948</v>
      </c>
      <c r="F1005" t="s">
        <v>5524</v>
      </c>
      <c r="G1005" t="s">
        <v>5521</v>
      </c>
      <c r="H1005" s="2">
        <v>1</v>
      </c>
      <c r="I1005" s="2">
        <v>10</v>
      </c>
      <c r="N1005" t="str">
        <f t="shared" si="136"/>
        <v>Baby Kish General Trading LCC</v>
      </c>
      <c r="O1005" t="str">
        <f t="shared" si="137"/>
        <v>W1315359678</v>
      </c>
      <c r="P1005" t="str">
        <f t="shared" si="138"/>
        <v>FA020AC07UEE-598998</v>
      </c>
      <c r="Q1005" t="str">
        <f t="shared" si="139"/>
        <v>PO044830</v>
      </c>
      <c r="R1005" t="str">
        <f t="shared" si="140"/>
        <v>Farlin Anatomical Orthodontic Pacifier (TOP-109, Transparent)</v>
      </c>
      <c r="S1005" t="str">
        <f t="shared" si="141"/>
        <v>SA979159</v>
      </c>
      <c r="T1005">
        <f t="shared" si="142"/>
        <v>1</v>
      </c>
      <c r="U1005">
        <f t="shared" si="143"/>
        <v>10</v>
      </c>
    </row>
    <row r="1006" spans="1:21" x14ac:dyDescent="0.25">
      <c r="A1006">
        <f t="shared" si="135"/>
        <v>33</v>
      </c>
      <c r="G1006" t="s">
        <v>5643</v>
      </c>
      <c r="H1006" s="2">
        <v>1</v>
      </c>
      <c r="I1006" s="2">
        <v>10</v>
      </c>
      <c r="N1006" t="str">
        <f t="shared" si="136"/>
        <v>Baby Kish General Trading LCC</v>
      </c>
      <c r="O1006" t="str">
        <f t="shared" si="137"/>
        <v>W1315359678</v>
      </c>
      <c r="P1006" t="str">
        <f t="shared" si="138"/>
        <v>FA020AC07UEE-598998</v>
      </c>
      <c r="Q1006" t="str">
        <f t="shared" si="139"/>
        <v>PO044830</v>
      </c>
      <c r="R1006" t="str">
        <f t="shared" si="140"/>
        <v>Farlin Anatomical Orthodontic Pacifier (TOP-109, Transparent)</v>
      </c>
      <c r="S1006" t="str">
        <f t="shared" si="141"/>
        <v>SA980317</v>
      </c>
      <c r="T1006">
        <f t="shared" si="142"/>
        <v>1</v>
      </c>
      <c r="U1006">
        <f t="shared" si="143"/>
        <v>10</v>
      </c>
    </row>
    <row r="1007" spans="1:21" x14ac:dyDescent="0.25">
      <c r="A1007">
        <f t="shared" si="135"/>
        <v>33</v>
      </c>
      <c r="C1007" t="s">
        <v>5849</v>
      </c>
      <c r="D1007" t="s">
        <v>5850</v>
      </c>
      <c r="E1007" t="s">
        <v>4948</v>
      </c>
      <c r="F1007" t="s">
        <v>5851</v>
      </c>
      <c r="G1007" t="s">
        <v>5848</v>
      </c>
      <c r="H1007" s="2">
        <v>1</v>
      </c>
      <c r="I1007" s="2">
        <v>897</v>
      </c>
      <c r="N1007" t="str">
        <f t="shared" si="136"/>
        <v>Baby Kish General Trading LCC</v>
      </c>
      <c r="O1007" t="str">
        <f t="shared" si="137"/>
        <v>W1315216253</v>
      </c>
      <c r="P1007" t="str">
        <f t="shared" si="138"/>
        <v>GR933AC36XXJ-407181</v>
      </c>
      <c r="Q1007" t="str">
        <f t="shared" si="139"/>
        <v>PO044830</v>
      </c>
      <c r="R1007" t="str">
        <f t="shared" si="140"/>
        <v>Graco Ready2Grow Chilli Sport 6AC98CPTE Stroller (1913563)</v>
      </c>
      <c r="S1007" t="str">
        <f t="shared" si="141"/>
        <v>SA981181</v>
      </c>
      <c r="T1007">
        <f t="shared" si="142"/>
        <v>1</v>
      </c>
      <c r="U1007">
        <f t="shared" si="143"/>
        <v>897</v>
      </c>
    </row>
    <row r="1008" spans="1:21" x14ac:dyDescent="0.25">
      <c r="A1008">
        <f t="shared" si="135"/>
        <v>33</v>
      </c>
      <c r="C1008" t="s">
        <v>5925</v>
      </c>
      <c r="D1008" t="s">
        <v>5926</v>
      </c>
      <c r="E1008" t="s">
        <v>4948</v>
      </c>
      <c r="F1008" t="s">
        <v>5927</v>
      </c>
      <c r="G1008" t="s">
        <v>5924</v>
      </c>
      <c r="H1008" s="2">
        <v>1</v>
      </c>
      <c r="I1008" s="2">
        <v>8</v>
      </c>
      <c r="N1008" t="str">
        <f t="shared" si="136"/>
        <v>Baby Kish General Trading LCC</v>
      </c>
      <c r="O1008" t="str">
        <f t="shared" si="137"/>
        <v>W1315240162</v>
      </c>
      <c r="P1008" t="str">
        <f t="shared" si="138"/>
        <v>FA020AC25OMO-431692</v>
      </c>
      <c r="Q1008" t="str">
        <f t="shared" si="139"/>
        <v>PO044830</v>
      </c>
      <c r="R1008" t="str">
        <f t="shared" si="140"/>
        <v>Farlin Squeeze Toy (Green) - TOY-1</v>
      </c>
      <c r="S1008" t="str">
        <f t="shared" si="141"/>
        <v>SA981889</v>
      </c>
      <c r="T1008">
        <f t="shared" si="142"/>
        <v>1</v>
      </c>
      <c r="U1008">
        <f t="shared" si="143"/>
        <v>8</v>
      </c>
    </row>
    <row r="1009" spans="1:21" x14ac:dyDescent="0.25">
      <c r="A1009">
        <f t="shared" si="135"/>
        <v>33</v>
      </c>
      <c r="E1009" t="s">
        <v>6682</v>
      </c>
      <c r="F1009" t="s">
        <v>5927</v>
      </c>
      <c r="G1009" t="s">
        <v>6692</v>
      </c>
      <c r="H1009" s="2">
        <v>1</v>
      </c>
      <c r="I1009" s="2">
        <v>8</v>
      </c>
      <c r="N1009" t="str">
        <f t="shared" si="136"/>
        <v>Baby Kish General Trading LCC</v>
      </c>
      <c r="O1009" t="str">
        <f t="shared" si="137"/>
        <v>W1315240162</v>
      </c>
      <c r="P1009" t="str">
        <f t="shared" si="138"/>
        <v>FA020AC25OMO-431692</v>
      </c>
      <c r="Q1009" t="str">
        <f t="shared" si="139"/>
        <v>PO045025</v>
      </c>
      <c r="R1009" t="str">
        <f t="shared" si="140"/>
        <v>Farlin Squeeze Toy (Green) - TOY-1</v>
      </c>
      <c r="S1009" t="str">
        <f t="shared" si="141"/>
        <v>SA989448</v>
      </c>
      <c r="T1009">
        <f t="shared" si="142"/>
        <v>1</v>
      </c>
      <c r="U1009">
        <f t="shared" si="143"/>
        <v>8</v>
      </c>
    </row>
    <row r="1010" spans="1:21" x14ac:dyDescent="0.25">
      <c r="A1010">
        <f t="shared" si="135"/>
        <v>33</v>
      </c>
      <c r="C1010" t="s">
        <v>5929</v>
      </c>
      <c r="D1010" t="s">
        <v>5930</v>
      </c>
      <c r="E1010" t="s">
        <v>4948</v>
      </c>
      <c r="F1010" t="s">
        <v>5931</v>
      </c>
      <c r="G1010" t="s">
        <v>5928</v>
      </c>
      <c r="H1010" s="2">
        <v>1</v>
      </c>
      <c r="I1010" s="2">
        <v>8</v>
      </c>
      <c r="N1010" t="str">
        <f t="shared" si="136"/>
        <v>Baby Kish General Trading LCC</v>
      </c>
      <c r="O1010" t="str">
        <f t="shared" si="137"/>
        <v>W1315240160</v>
      </c>
      <c r="P1010" t="str">
        <f t="shared" si="138"/>
        <v>FA020AC27OMM-431690</v>
      </c>
      <c r="Q1010" t="str">
        <f t="shared" si="139"/>
        <v>PO044830</v>
      </c>
      <c r="R1010" t="str">
        <f t="shared" si="140"/>
        <v>Farlin Squeeze Toy (Orange) - TOY-45</v>
      </c>
      <c r="S1010" t="str">
        <f t="shared" si="141"/>
        <v>SA981890</v>
      </c>
      <c r="T1010">
        <f t="shared" si="142"/>
        <v>1</v>
      </c>
      <c r="U1010">
        <f t="shared" si="143"/>
        <v>8</v>
      </c>
    </row>
    <row r="1011" spans="1:21" x14ac:dyDescent="0.25">
      <c r="A1011">
        <f t="shared" si="135"/>
        <v>33</v>
      </c>
      <c r="E1011" t="s">
        <v>6682</v>
      </c>
      <c r="F1011" t="s">
        <v>5931</v>
      </c>
      <c r="G1011" t="s">
        <v>6690</v>
      </c>
      <c r="H1011" s="2">
        <v>1</v>
      </c>
      <c r="I1011" s="2">
        <v>8</v>
      </c>
      <c r="N1011" t="str">
        <f t="shared" si="136"/>
        <v>Baby Kish General Trading LCC</v>
      </c>
      <c r="O1011" t="str">
        <f t="shared" si="137"/>
        <v>W1315240160</v>
      </c>
      <c r="P1011" t="str">
        <f t="shared" si="138"/>
        <v>FA020AC27OMM-431690</v>
      </c>
      <c r="Q1011" t="str">
        <f t="shared" si="139"/>
        <v>PO045025</v>
      </c>
      <c r="R1011" t="str">
        <f t="shared" si="140"/>
        <v>Farlin Squeeze Toy (Orange) - TOY-45</v>
      </c>
      <c r="S1011" t="str">
        <f t="shared" si="141"/>
        <v>SA989444</v>
      </c>
      <c r="T1011">
        <f t="shared" si="142"/>
        <v>1</v>
      </c>
      <c r="U1011">
        <f t="shared" si="143"/>
        <v>8</v>
      </c>
    </row>
    <row r="1012" spans="1:21" x14ac:dyDescent="0.25">
      <c r="A1012">
        <f t="shared" si="135"/>
        <v>33</v>
      </c>
      <c r="C1012" t="s">
        <v>6088</v>
      </c>
      <c r="D1012" t="s">
        <v>6089</v>
      </c>
      <c r="E1012" t="s">
        <v>6082</v>
      </c>
      <c r="F1012" t="s">
        <v>6090</v>
      </c>
      <c r="G1012" t="s">
        <v>6087</v>
      </c>
      <c r="H1012" s="2">
        <v>1</v>
      </c>
      <c r="I1012" s="2">
        <v>26</v>
      </c>
      <c r="N1012" t="str">
        <f t="shared" si="136"/>
        <v>Baby Kish General Trading LCC</v>
      </c>
      <c r="O1012" t="str">
        <f t="shared" si="137"/>
        <v>W1315311346</v>
      </c>
      <c r="P1012" t="str">
        <f t="shared" si="138"/>
        <v>FA020AC83JQE-519287</v>
      </c>
      <c r="Q1012" t="str">
        <f t="shared" si="139"/>
        <v>PO044885</v>
      </c>
      <c r="R1012" t="str">
        <f t="shared" si="140"/>
        <v>Farlin Sterilization Tongs Pink - BF-233</v>
      </c>
      <c r="S1012" t="str">
        <f t="shared" si="141"/>
        <v>SA983638</v>
      </c>
      <c r="T1012">
        <f t="shared" si="142"/>
        <v>1</v>
      </c>
      <c r="U1012">
        <f t="shared" si="143"/>
        <v>26</v>
      </c>
    </row>
    <row r="1013" spans="1:21" x14ac:dyDescent="0.25">
      <c r="A1013">
        <f t="shared" si="135"/>
        <v>33</v>
      </c>
      <c r="C1013" t="s">
        <v>6117</v>
      </c>
      <c r="D1013" t="s">
        <v>6118</v>
      </c>
      <c r="E1013" t="s">
        <v>4948</v>
      </c>
      <c r="F1013" t="s">
        <v>6119</v>
      </c>
      <c r="G1013" t="s">
        <v>6116</v>
      </c>
      <c r="H1013" s="2">
        <v>1</v>
      </c>
      <c r="I1013" s="2">
        <v>975</v>
      </c>
      <c r="N1013" t="str">
        <f t="shared" si="136"/>
        <v>Baby Kish General Trading LCC</v>
      </c>
      <c r="O1013" t="str">
        <f t="shared" si="137"/>
        <v>W1315216212</v>
      </c>
      <c r="P1013" t="str">
        <f t="shared" si="138"/>
        <v>GR933AC77XVU-407140</v>
      </c>
      <c r="Q1013" t="str">
        <f t="shared" si="139"/>
        <v>PO044830</v>
      </c>
      <c r="R1013" t="str">
        <f t="shared" si="140"/>
        <v>Graco PNP Cuddlecove Lx Brompton Cot - 1842962</v>
      </c>
      <c r="S1013" t="str">
        <f t="shared" si="141"/>
        <v>SA983983</v>
      </c>
      <c r="T1013">
        <f t="shared" si="142"/>
        <v>1</v>
      </c>
      <c r="U1013">
        <f t="shared" si="143"/>
        <v>975</v>
      </c>
    </row>
    <row r="1014" spans="1:21" x14ac:dyDescent="0.25">
      <c r="A1014">
        <f t="shared" si="135"/>
        <v>33</v>
      </c>
      <c r="C1014" t="s">
        <v>6240</v>
      </c>
      <c r="D1014" t="s">
        <v>6241</v>
      </c>
      <c r="E1014" t="s">
        <v>6082</v>
      </c>
      <c r="F1014" t="s">
        <v>6242</v>
      </c>
      <c r="G1014" t="s">
        <v>6239</v>
      </c>
      <c r="H1014" s="2">
        <v>1</v>
      </c>
      <c r="I1014" s="2">
        <v>13</v>
      </c>
      <c r="N1014" t="str">
        <f t="shared" si="136"/>
        <v>Baby Kish General Trading LCC</v>
      </c>
      <c r="O1014" t="str">
        <f t="shared" si="137"/>
        <v>W1315240204</v>
      </c>
      <c r="P1014" t="str">
        <f t="shared" si="138"/>
        <v>FA020AC54OPH-431763</v>
      </c>
      <c r="Q1014" t="str">
        <f t="shared" si="139"/>
        <v>PO044885</v>
      </c>
      <c r="R1014" t="str">
        <f t="shared" si="140"/>
        <v>Farlin Bottle &amp; Nipple Brushes Set - BF-257</v>
      </c>
      <c r="S1014" t="str">
        <f t="shared" si="141"/>
        <v>SA985426</v>
      </c>
      <c r="T1014">
        <f t="shared" si="142"/>
        <v>1</v>
      </c>
      <c r="U1014">
        <f t="shared" si="143"/>
        <v>13</v>
      </c>
    </row>
    <row r="1015" spans="1:21" x14ac:dyDescent="0.25">
      <c r="A1015">
        <f t="shared" si="135"/>
        <v>33</v>
      </c>
      <c r="G1015" t="s">
        <v>6282</v>
      </c>
      <c r="H1015" s="2">
        <v>1</v>
      </c>
      <c r="I1015" s="2">
        <v>13</v>
      </c>
      <c r="N1015" t="str">
        <f t="shared" si="136"/>
        <v>Baby Kish General Trading LCC</v>
      </c>
      <c r="O1015" t="str">
        <f t="shared" si="137"/>
        <v>W1315240204</v>
      </c>
      <c r="P1015" t="str">
        <f t="shared" si="138"/>
        <v>FA020AC54OPH-431763</v>
      </c>
      <c r="Q1015" t="str">
        <f t="shared" si="139"/>
        <v>PO044885</v>
      </c>
      <c r="R1015" t="str">
        <f t="shared" si="140"/>
        <v>Farlin Bottle &amp; Nipple Brushes Set - BF-257</v>
      </c>
      <c r="S1015" t="str">
        <f t="shared" si="141"/>
        <v>SA985731</v>
      </c>
      <c r="T1015">
        <f t="shared" si="142"/>
        <v>1</v>
      </c>
      <c r="U1015">
        <f t="shared" si="143"/>
        <v>13</v>
      </c>
    </row>
    <row r="1016" spans="1:21" x14ac:dyDescent="0.25">
      <c r="A1016">
        <f t="shared" si="135"/>
        <v>33</v>
      </c>
      <c r="C1016" t="s">
        <v>6407</v>
      </c>
      <c r="D1016" t="s">
        <v>6408</v>
      </c>
      <c r="E1016" t="s">
        <v>6197</v>
      </c>
      <c r="F1016" t="s">
        <v>6409</v>
      </c>
      <c r="G1016" t="s">
        <v>6406</v>
      </c>
      <c r="H1016" s="2">
        <v>1</v>
      </c>
      <c r="I1016" s="2">
        <v>14</v>
      </c>
      <c r="N1016" t="str">
        <f t="shared" si="136"/>
        <v>Baby Kish General Trading LCC</v>
      </c>
      <c r="O1016" t="str">
        <f t="shared" si="137"/>
        <v>W1315359689</v>
      </c>
      <c r="P1016" t="str">
        <f t="shared" si="138"/>
        <v>FA020AC01UEK-599004</v>
      </c>
      <c r="Q1016" t="str">
        <f t="shared" si="139"/>
        <v>PO044948</v>
      </c>
      <c r="R1016" t="str">
        <f t="shared" si="140"/>
        <v>Farlin Floss Toothpick 100 Pcs (BF-116-3, White)</v>
      </c>
      <c r="S1016" t="str">
        <f t="shared" si="141"/>
        <v>SA986812</v>
      </c>
      <c r="T1016">
        <f t="shared" si="142"/>
        <v>1</v>
      </c>
      <c r="U1016">
        <f t="shared" si="143"/>
        <v>14</v>
      </c>
    </row>
    <row r="1017" spans="1:21" x14ac:dyDescent="0.25">
      <c r="A1017">
        <f t="shared" si="135"/>
        <v>33</v>
      </c>
      <c r="G1017" t="s">
        <v>6523</v>
      </c>
      <c r="H1017" s="2">
        <v>1</v>
      </c>
      <c r="I1017" s="2">
        <v>14</v>
      </c>
      <c r="N1017" t="str">
        <f t="shared" si="136"/>
        <v>Baby Kish General Trading LCC</v>
      </c>
      <c r="O1017" t="str">
        <f t="shared" si="137"/>
        <v>W1315359689</v>
      </c>
      <c r="P1017" t="str">
        <f t="shared" si="138"/>
        <v>FA020AC01UEK-599004</v>
      </c>
      <c r="Q1017" t="str">
        <f t="shared" si="139"/>
        <v>PO044948</v>
      </c>
      <c r="R1017" t="str">
        <f t="shared" si="140"/>
        <v>Farlin Floss Toothpick 100 Pcs (BF-116-3, White)</v>
      </c>
      <c r="S1017" t="str">
        <f t="shared" si="141"/>
        <v>SA988092</v>
      </c>
      <c r="T1017">
        <f t="shared" si="142"/>
        <v>1</v>
      </c>
      <c r="U1017">
        <f t="shared" si="143"/>
        <v>14</v>
      </c>
    </row>
    <row r="1018" spans="1:21" x14ac:dyDescent="0.25">
      <c r="A1018">
        <f t="shared" si="135"/>
        <v>33</v>
      </c>
      <c r="C1018" t="s">
        <v>6411</v>
      </c>
      <c r="D1018" t="s">
        <v>6412</v>
      </c>
      <c r="E1018" t="s">
        <v>6197</v>
      </c>
      <c r="F1018" t="s">
        <v>6413</v>
      </c>
      <c r="G1018" t="s">
        <v>6410</v>
      </c>
      <c r="H1018" s="2">
        <v>1</v>
      </c>
      <c r="I1018" s="2">
        <v>1287</v>
      </c>
      <c r="N1018" t="str">
        <f t="shared" si="136"/>
        <v>Baby Kish General Trading LCC</v>
      </c>
      <c r="O1018" t="str">
        <f t="shared" si="137"/>
        <v>W1315311426</v>
      </c>
      <c r="P1018" t="str">
        <f t="shared" si="138"/>
        <v>GR933AC63SWI-574509</v>
      </c>
      <c r="Q1018" t="str">
        <f t="shared" si="139"/>
        <v>PO044948</v>
      </c>
      <c r="R1018" t="str">
        <f t="shared" si="140"/>
        <v>Graco Travel System Evo Stroller (Black)</v>
      </c>
      <c r="S1018" t="str">
        <f t="shared" si="141"/>
        <v>SA986813</v>
      </c>
      <c r="T1018">
        <f t="shared" si="142"/>
        <v>1</v>
      </c>
      <c r="U1018">
        <f t="shared" si="143"/>
        <v>1287</v>
      </c>
    </row>
    <row r="1019" spans="1:21" x14ac:dyDescent="0.25">
      <c r="A1019">
        <f t="shared" si="135"/>
        <v>33</v>
      </c>
      <c r="G1019" t="s">
        <v>6504</v>
      </c>
      <c r="H1019" s="2">
        <v>1</v>
      </c>
      <c r="I1019" s="2">
        <v>1287</v>
      </c>
      <c r="N1019" t="str">
        <f t="shared" si="136"/>
        <v>Baby Kish General Trading LCC</v>
      </c>
      <c r="O1019" t="str">
        <f t="shared" si="137"/>
        <v>W1315311426</v>
      </c>
      <c r="P1019" t="str">
        <f t="shared" si="138"/>
        <v>GR933AC63SWI-574509</v>
      </c>
      <c r="Q1019" t="str">
        <f t="shared" si="139"/>
        <v>PO044948</v>
      </c>
      <c r="R1019" t="str">
        <f t="shared" si="140"/>
        <v>Graco Travel System Evo Stroller (Black)</v>
      </c>
      <c r="S1019" t="str">
        <f t="shared" si="141"/>
        <v>SA987908</v>
      </c>
      <c r="T1019">
        <f t="shared" si="142"/>
        <v>1</v>
      </c>
      <c r="U1019">
        <f t="shared" si="143"/>
        <v>1287</v>
      </c>
    </row>
    <row r="1020" spans="1:21" x14ac:dyDescent="0.25">
      <c r="A1020">
        <f t="shared" si="135"/>
        <v>33</v>
      </c>
      <c r="C1020" t="s">
        <v>6514</v>
      </c>
      <c r="D1020" t="s">
        <v>6515</v>
      </c>
      <c r="E1020" t="s">
        <v>6197</v>
      </c>
      <c r="F1020" t="s">
        <v>6516</v>
      </c>
      <c r="G1020" t="s">
        <v>6513</v>
      </c>
      <c r="H1020" s="2">
        <v>1</v>
      </c>
      <c r="I1020" s="2">
        <v>11</v>
      </c>
      <c r="N1020" t="str">
        <f t="shared" si="136"/>
        <v>Baby Kish General Trading LCC</v>
      </c>
      <c r="O1020" t="str">
        <f t="shared" si="137"/>
        <v>W1315311341</v>
      </c>
      <c r="P1020" t="str">
        <f t="shared" si="138"/>
        <v>FA020AC88JPZ-519282</v>
      </c>
      <c r="Q1020" t="str">
        <f t="shared" si="139"/>
        <v>PO044948</v>
      </c>
      <c r="R1020" t="str">
        <f t="shared" si="140"/>
        <v>Farlin Feeding Bottle 250CC Clear - NF-767 (H1)</v>
      </c>
      <c r="S1020" t="str">
        <f t="shared" si="141"/>
        <v>SA987964</v>
      </c>
      <c r="T1020">
        <f t="shared" si="142"/>
        <v>1</v>
      </c>
      <c r="U1020">
        <f t="shared" si="143"/>
        <v>11</v>
      </c>
    </row>
    <row r="1021" spans="1:21" x14ac:dyDescent="0.25">
      <c r="A1021">
        <f t="shared" si="135"/>
        <v>33</v>
      </c>
      <c r="C1021" t="s">
        <v>6694</v>
      </c>
      <c r="D1021" t="s">
        <v>6695</v>
      </c>
      <c r="E1021" t="s">
        <v>6682</v>
      </c>
      <c r="F1021" t="s">
        <v>6696</v>
      </c>
      <c r="G1021" t="s">
        <v>6693</v>
      </c>
      <c r="H1021" s="2">
        <v>1</v>
      </c>
      <c r="I1021" s="2">
        <v>11</v>
      </c>
      <c r="N1021" t="str">
        <f t="shared" si="136"/>
        <v>Baby Kish General Trading LCC</v>
      </c>
      <c r="O1021" t="str">
        <f t="shared" si="137"/>
        <v>W1315240214</v>
      </c>
      <c r="P1021" t="str">
        <f t="shared" si="138"/>
        <v>FA020AC94ONT-431723</v>
      </c>
      <c r="Q1021" t="str">
        <f t="shared" si="139"/>
        <v>PO045025</v>
      </c>
      <c r="R1021" t="str">
        <f t="shared" si="140"/>
        <v>Farlin Fish Shaped Nail Cutter - BF-160D</v>
      </c>
      <c r="S1021" t="str">
        <f t="shared" si="141"/>
        <v>SA989451</v>
      </c>
      <c r="T1021">
        <f t="shared" si="142"/>
        <v>1</v>
      </c>
      <c r="U1021">
        <f t="shared" si="143"/>
        <v>11</v>
      </c>
    </row>
    <row r="1022" spans="1:21" x14ac:dyDescent="0.25">
      <c r="A1022">
        <f t="shared" si="135"/>
        <v>34</v>
      </c>
      <c r="B1022" t="s">
        <v>2733</v>
      </c>
      <c r="C1022" t="s">
        <v>4835</v>
      </c>
      <c r="D1022" t="s">
        <v>4836</v>
      </c>
      <c r="E1022" t="s">
        <v>4838</v>
      </c>
      <c r="F1022" t="s">
        <v>4837</v>
      </c>
      <c r="G1022" t="s">
        <v>4834</v>
      </c>
      <c r="H1022" s="2">
        <v>1</v>
      </c>
      <c r="I1022" s="2">
        <v>25</v>
      </c>
      <c r="N1022" t="str">
        <f t="shared" si="136"/>
        <v>King of Computers LLC</v>
      </c>
      <c r="O1022" t="str">
        <f t="shared" si="137"/>
        <v>W1315492242</v>
      </c>
      <c r="P1022" t="str">
        <f t="shared" si="138"/>
        <v>TO790EL01NVU-725736</v>
      </c>
      <c r="Q1022" t="str">
        <f t="shared" si="139"/>
        <v>UPO011836</v>
      </c>
      <c r="R1022" t="str">
        <f t="shared" si="140"/>
        <v>TouchMate Magnetic Universal Mobile Car Holder (TM-CH100M, Black)</v>
      </c>
      <c r="S1022" t="str">
        <f t="shared" si="141"/>
        <v>AE61890</v>
      </c>
      <c r="T1022">
        <f t="shared" si="142"/>
        <v>1</v>
      </c>
      <c r="U1022">
        <f t="shared" si="143"/>
        <v>25</v>
      </c>
    </row>
    <row r="1023" spans="1:21" x14ac:dyDescent="0.25">
      <c r="A1023">
        <f t="shared" si="135"/>
        <v>35</v>
      </c>
      <c r="B1023" t="s">
        <v>70</v>
      </c>
      <c r="C1023" t="s">
        <v>4737</v>
      </c>
      <c r="D1023" t="s">
        <v>4738</v>
      </c>
      <c r="E1023" t="s">
        <v>4740</v>
      </c>
      <c r="F1023" t="s">
        <v>4739</v>
      </c>
      <c r="G1023" t="s">
        <v>4736</v>
      </c>
      <c r="H1023" s="2">
        <v>1</v>
      </c>
      <c r="I1023" s="2">
        <v>1320</v>
      </c>
      <c r="N1023" t="str">
        <f t="shared" si="136"/>
        <v>SEB Electronics</v>
      </c>
      <c r="O1023" t="str">
        <f t="shared" si="137"/>
        <v>W1315201513</v>
      </c>
      <c r="P1023" t="str">
        <f t="shared" si="138"/>
        <v>SO768EL95KYM-388955</v>
      </c>
      <c r="Q1023" t="str">
        <f t="shared" si="139"/>
        <v>UPO011863</v>
      </c>
      <c r="R1023" t="str">
        <f t="shared" si="140"/>
        <v>Sony PlayStation 4 (500GB, Black, Extra Wireless Controllers, PS4 Camera ,GTA V)</v>
      </c>
      <c r="S1023" t="str">
        <f t="shared" si="141"/>
        <v>AE62104</v>
      </c>
      <c r="T1023">
        <f t="shared" si="142"/>
        <v>1</v>
      </c>
      <c r="U1023">
        <f t="shared" si="143"/>
        <v>1320</v>
      </c>
    </row>
    <row r="1024" spans="1:21" x14ac:dyDescent="0.25">
      <c r="A1024">
        <f t="shared" si="135"/>
        <v>35</v>
      </c>
      <c r="C1024" t="s">
        <v>4885</v>
      </c>
      <c r="D1024" t="s">
        <v>4886</v>
      </c>
      <c r="E1024" t="s">
        <v>4888</v>
      </c>
      <c r="F1024" t="s">
        <v>4887</v>
      </c>
      <c r="G1024" t="s">
        <v>4884</v>
      </c>
      <c r="H1024" s="2">
        <v>1</v>
      </c>
      <c r="I1024" s="2">
        <v>2715</v>
      </c>
      <c r="N1024" t="str">
        <f t="shared" si="136"/>
        <v>SEB Electronics</v>
      </c>
      <c r="O1024" t="str">
        <f t="shared" si="137"/>
        <v>W1315338075</v>
      </c>
      <c r="P1024" t="str">
        <f t="shared" si="138"/>
        <v>AP771EL05NIK-568482</v>
      </c>
      <c r="Q1024" t="str">
        <f t="shared" si="139"/>
        <v>PO045011</v>
      </c>
      <c r="R1024" t="str">
        <f t="shared" si="140"/>
        <v>iPhone 6s Plus with FaceTime (64 GB, 4G LTE, Gold)</v>
      </c>
      <c r="S1024" t="str">
        <f t="shared" si="141"/>
        <v>SA961220</v>
      </c>
      <c r="T1024">
        <f t="shared" si="142"/>
        <v>1</v>
      </c>
      <c r="U1024">
        <f t="shared" si="143"/>
        <v>2715</v>
      </c>
    </row>
    <row r="1025" spans="1:21" x14ac:dyDescent="0.25">
      <c r="A1025">
        <f t="shared" si="135"/>
        <v>35</v>
      </c>
      <c r="G1025" t="s">
        <v>4920</v>
      </c>
      <c r="H1025" s="2">
        <v>1</v>
      </c>
      <c r="I1025" s="2">
        <v>2715</v>
      </c>
      <c r="N1025" t="str">
        <f t="shared" si="136"/>
        <v>SEB Electronics</v>
      </c>
      <c r="O1025" t="str">
        <f t="shared" si="137"/>
        <v>W1315338075</v>
      </c>
      <c r="P1025" t="str">
        <f t="shared" si="138"/>
        <v>AP771EL05NIK-568482</v>
      </c>
      <c r="Q1025" t="str">
        <f t="shared" si="139"/>
        <v>PO045011</v>
      </c>
      <c r="R1025" t="str">
        <f t="shared" si="140"/>
        <v>iPhone 6s Plus with FaceTime (64 GB, 4G LTE, Gold)</v>
      </c>
      <c r="S1025" t="str">
        <f t="shared" si="141"/>
        <v>SA963676</v>
      </c>
      <c r="T1025">
        <f t="shared" si="142"/>
        <v>1</v>
      </c>
      <c r="U1025">
        <f t="shared" si="143"/>
        <v>2715</v>
      </c>
    </row>
    <row r="1026" spans="1:21" x14ac:dyDescent="0.25">
      <c r="A1026">
        <f t="shared" si="135"/>
        <v>35</v>
      </c>
      <c r="G1026" t="s">
        <v>4921</v>
      </c>
      <c r="H1026" s="2">
        <v>1</v>
      </c>
      <c r="I1026" s="2">
        <v>2715</v>
      </c>
      <c r="N1026" t="str">
        <f t="shared" si="136"/>
        <v>SEB Electronics</v>
      </c>
      <c r="O1026" t="str">
        <f t="shared" si="137"/>
        <v>W1315338075</v>
      </c>
      <c r="P1026" t="str">
        <f t="shared" si="138"/>
        <v>AP771EL05NIK-568482</v>
      </c>
      <c r="Q1026" t="str">
        <f t="shared" si="139"/>
        <v>PO045011</v>
      </c>
      <c r="R1026" t="str">
        <f t="shared" si="140"/>
        <v>iPhone 6s Plus with FaceTime (64 GB, 4G LTE, Gold)</v>
      </c>
      <c r="S1026" t="str">
        <f t="shared" si="141"/>
        <v>SA963694</v>
      </c>
      <c r="T1026">
        <f t="shared" si="142"/>
        <v>1</v>
      </c>
      <c r="U1026">
        <f t="shared" si="143"/>
        <v>2715</v>
      </c>
    </row>
    <row r="1027" spans="1:21" x14ac:dyDescent="0.25">
      <c r="A1027">
        <f t="shared" si="135"/>
        <v>35</v>
      </c>
      <c r="G1027" t="s">
        <v>4927</v>
      </c>
      <c r="H1027" s="2">
        <v>1</v>
      </c>
      <c r="I1027" s="2">
        <v>2715</v>
      </c>
      <c r="N1027" t="str">
        <f t="shared" si="136"/>
        <v>SEB Electronics</v>
      </c>
      <c r="O1027" t="str">
        <f t="shared" si="137"/>
        <v>W1315338075</v>
      </c>
      <c r="P1027" t="str">
        <f t="shared" si="138"/>
        <v>AP771EL05NIK-568482</v>
      </c>
      <c r="Q1027" t="str">
        <f t="shared" si="139"/>
        <v>PO045011</v>
      </c>
      <c r="R1027" t="str">
        <f t="shared" si="140"/>
        <v>iPhone 6s Plus with FaceTime (64 GB, 4G LTE, Gold)</v>
      </c>
      <c r="S1027" t="str">
        <f t="shared" si="141"/>
        <v>SA965599</v>
      </c>
      <c r="T1027">
        <f t="shared" si="142"/>
        <v>1</v>
      </c>
      <c r="U1027">
        <f t="shared" si="143"/>
        <v>2715</v>
      </c>
    </row>
    <row r="1028" spans="1:21" x14ac:dyDescent="0.25">
      <c r="A1028">
        <f t="shared" ref="A1028:A1091" si="144">IF(ISBLANK(B1028),A1027,A1027+1)</f>
        <v>35</v>
      </c>
      <c r="C1028" t="s">
        <v>4916</v>
      </c>
      <c r="D1028" t="s">
        <v>4917</v>
      </c>
      <c r="E1028" t="s">
        <v>4919</v>
      </c>
      <c r="F1028" t="s">
        <v>4918</v>
      </c>
      <c r="G1028" t="s">
        <v>4915</v>
      </c>
      <c r="H1028" s="2">
        <v>1</v>
      </c>
      <c r="I1028" s="2">
        <v>1900</v>
      </c>
      <c r="N1028" t="str">
        <f t="shared" si="136"/>
        <v>SEB Electronics</v>
      </c>
      <c r="O1028" t="str">
        <f t="shared" si="137"/>
        <v>W1315338065</v>
      </c>
      <c r="P1028" t="str">
        <f t="shared" si="138"/>
        <v>AP771EL15NIA-568472</v>
      </c>
      <c r="Q1028" t="str">
        <f t="shared" si="139"/>
        <v>PO045014</v>
      </c>
      <c r="R1028" t="str">
        <f t="shared" si="140"/>
        <v>iPhone 6 Plus (64 GB, 4G LTE, Silver)</v>
      </c>
      <c r="S1028" t="str">
        <f t="shared" si="141"/>
        <v>SA963065</v>
      </c>
      <c r="T1028">
        <f t="shared" si="142"/>
        <v>1</v>
      </c>
      <c r="U1028">
        <f t="shared" si="143"/>
        <v>1900</v>
      </c>
    </row>
    <row r="1029" spans="1:21" x14ac:dyDescent="0.25">
      <c r="A1029">
        <f t="shared" si="144"/>
        <v>35</v>
      </c>
      <c r="G1029" t="s">
        <v>4940</v>
      </c>
      <c r="H1029" s="2">
        <v>1</v>
      </c>
      <c r="I1029" s="2">
        <v>1900</v>
      </c>
      <c r="N1029" t="str">
        <f t="shared" si="136"/>
        <v>SEB Electronics</v>
      </c>
      <c r="O1029" t="str">
        <f t="shared" si="137"/>
        <v>W1315338065</v>
      </c>
      <c r="P1029" t="str">
        <f t="shared" si="138"/>
        <v>AP771EL15NIA-568472</v>
      </c>
      <c r="Q1029" t="str">
        <f t="shared" si="139"/>
        <v>PO045014</v>
      </c>
      <c r="R1029" t="str">
        <f t="shared" si="140"/>
        <v>iPhone 6 Plus (64 GB, 4G LTE, Silver)</v>
      </c>
      <c r="S1029" t="str">
        <f t="shared" si="141"/>
        <v>SA969205</v>
      </c>
      <c r="T1029">
        <f t="shared" si="142"/>
        <v>1</v>
      </c>
      <c r="U1029">
        <f t="shared" si="143"/>
        <v>1900</v>
      </c>
    </row>
    <row r="1030" spans="1:21" x14ac:dyDescent="0.25">
      <c r="A1030">
        <f t="shared" si="144"/>
        <v>35</v>
      </c>
      <c r="G1030" t="s">
        <v>4980</v>
      </c>
      <c r="H1030" s="2">
        <v>1</v>
      </c>
      <c r="I1030" s="2">
        <v>1900</v>
      </c>
      <c r="N1030" t="str">
        <f t="shared" ref="N1030:N1093" si="145">IF(ISBLANK($A1030),"",IF(ISBLANK(B1030),N1029,B1030))</f>
        <v>SEB Electronics</v>
      </c>
      <c r="O1030" t="str">
        <f t="shared" ref="O1030:O1093" si="146">IF(ISBLANK($A1030),"",IF(ISBLANK(C1030),O1029,C1030))</f>
        <v>W1315338065</v>
      </c>
      <c r="P1030" t="str">
        <f t="shared" ref="P1030:P1093" si="147">IF(ISBLANK($A1030),"",IF(ISBLANK(D1030),P1029,D1030))</f>
        <v>AP771EL15NIA-568472</v>
      </c>
      <c r="Q1030" t="str">
        <f t="shared" ref="Q1030:Q1093" si="148">IF(ISBLANK($A1030),"",IF(ISBLANK(E1030),Q1029,E1030))</f>
        <v>PO045014</v>
      </c>
      <c r="R1030" t="str">
        <f t="shared" ref="R1030:R1093" si="149">IF(ISBLANK($A1030),"",IF(ISBLANK(F1030),R1029,F1030))</f>
        <v>iPhone 6 Plus (64 GB, 4G LTE, Silver)</v>
      </c>
      <c r="S1030" t="str">
        <f t="shared" ref="S1030:S1093" si="150">IF(ISBLANK($A1030),"",G1030)</f>
        <v>SA972428</v>
      </c>
      <c r="T1030">
        <f t="shared" ref="T1030:T1093" si="151">IF(ISBLANK($A1030),"",H1030)</f>
        <v>1</v>
      </c>
      <c r="U1030">
        <f t="shared" ref="U1030:U1093" si="152">IF(ISBLANK($A1030),"",I1030)</f>
        <v>1900</v>
      </c>
    </row>
    <row r="1031" spans="1:21" x14ac:dyDescent="0.25">
      <c r="A1031">
        <f t="shared" si="144"/>
        <v>35</v>
      </c>
      <c r="C1031" t="s">
        <v>5213</v>
      </c>
      <c r="D1031" t="s">
        <v>5214</v>
      </c>
      <c r="E1031" t="s">
        <v>5216</v>
      </c>
      <c r="F1031" t="s">
        <v>5215</v>
      </c>
      <c r="G1031" t="s">
        <v>5212</v>
      </c>
      <c r="H1031" s="2">
        <v>1</v>
      </c>
      <c r="I1031" s="2">
        <v>900</v>
      </c>
      <c r="N1031" t="str">
        <f t="shared" si="145"/>
        <v>SEB Electronics</v>
      </c>
      <c r="O1031" t="str">
        <f t="shared" si="146"/>
        <v>W1315367310</v>
      </c>
      <c r="P1031" t="str">
        <f t="shared" si="147"/>
        <v>MI794EL99CTO-606394</v>
      </c>
      <c r="Q1031" t="str">
        <f t="shared" si="148"/>
        <v>PO044969</v>
      </c>
      <c r="R1031" t="str">
        <f t="shared" si="149"/>
        <v>Xbox One + Battlefield 1 (500 GB, Black)</v>
      </c>
      <c r="S1031" t="str">
        <f t="shared" si="150"/>
        <v>SA975202</v>
      </c>
      <c r="T1031">
        <f t="shared" si="151"/>
        <v>1</v>
      </c>
      <c r="U1031">
        <f t="shared" si="152"/>
        <v>900</v>
      </c>
    </row>
    <row r="1032" spans="1:21" x14ac:dyDescent="0.25">
      <c r="A1032">
        <f t="shared" si="144"/>
        <v>36</v>
      </c>
      <c r="B1032" t="s">
        <v>52</v>
      </c>
      <c r="C1032" t="s">
        <v>5205</v>
      </c>
      <c r="D1032" t="s">
        <v>5206</v>
      </c>
      <c r="E1032" t="s">
        <v>5208</v>
      </c>
      <c r="F1032" t="s">
        <v>5207</v>
      </c>
      <c r="G1032" t="s">
        <v>5204</v>
      </c>
      <c r="H1032" s="2">
        <v>1</v>
      </c>
      <c r="I1032" s="2">
        <v>3350</v>
      </c>
      <c r="N1032" t="str">
        <f t="shared" si="145"/>
        <v>UNICOM INT GEN TRADING LLC</v>
      </c>
      <c r="O1032" t="str">
        <f t="shared" si="146"/>
        <v>W1315302817</v>
      </c>
      <c r="P1032" t="str">
        <f t="shared" si="147"/>
        <v>CA842EL78BUN-512098</v>
      </c>
      <c r="Q1032" t="str">
        <f t="shared" si="148"/>
        <v>PO044725</v>
      </c>
      <c r="R1032" t="str">
        <f t="shared" si="149"/>
        <v>EOS 80D DSLR Kit with 18-55 mm Lens (24.2 MP, Black)</v>
      </c>
      <c r="S1032" t="str">
        <f t="shared" si="150"/>
        <v>SA975108</v>
      </c>
      <c r="T1032">
        <f t="shared" si="151"/>
        <v>1</v>
      </c>
      <c r="U1032">
        <f t="shared" si="152"/>
        <v>3350</v>
      </c>
    </row>
    <row r="1033" spans="1:21" x14ac:dyDescent="0.25">
      <c r="A1033">
        <f t="shared" si="144"/>
        <v>36</v>
      </c>
      <c r="C1033" t="s">
        <v>6011</v>
      </c>
      <c r="D1033" t="s">
        <v>6012</v>
      </c>
      <c r="E1033" t="s">
        <v>6014</v>
      </c>
      <c r="F1033" t="s">
        <v>6013</v>
      </c>
      <c r="G1033" t="s">
        <v>6010</v>
      </c>
      <c r="H1033" s="2">
        <v>1</v>
      </c>
      <c r="I1033" s="2">
        <v>320</v>
      </c>
      <c r="N1033" t="str">
        <f t="shared" si="145"/>
        <v>UNICOM INT GEN TRADING LLC</v>
      </c>
      <c r="O1033" t="str">
        <f t="shared" si="146"/>
        <v>W1315100724</v>
      </c>
      <c r="P1033" t="str">
        <f t="shared" si="147"/>
        <v>CA842EL79LSQ-22454</v>
      </c>
      <c r="Q1033" t="str">
        <f t="shared" si="148"/>
        <v>PO044802</v>
      </c>
      <c r="R1033" t="str">
        <f t="shared" si="149"/>
        <v>Canon EF 50MM f/1.8 II</v>
      </c>
      <c r="S1033" t="str">
        <f t="shared" si="150"/>
        <v>SA982878</v>
      </c>
      <c r="T1033">
        <f t="shared" si="151"/>
        <v>1</v>
      </c>
      <c r="U1033">
        <f t="shared" si="152"/>
        <v>320</v>
      </c>
    </row>
    <row r="1034" spans="1:21" x14ac:dyDescent="0.25">
      <c r="A1034">
        <f t="shared" si="144"/>
        <v>37</v>
      </c>
      <c r="B1034" t="s">
        <v>2735</v>
      </c>
      <c r="C1034" t="s">
        <v>3780</v>
      </c>
      <c r="D1034" t="s">
        <v>3781</v>
      </c>
      <c r="E1034" t="s">
        <v>3783</v>
      </c>
      <c r="F1034" t="s">
        <v>3782</v>
      </c>
      <c r="G1034" t="s">
        <v>3779</v>
      </c>
      <c r="H1034" s="2">
        <v>1</v>
      </c>
      <c r="I1034" s="2">
        <v>6</v>
      </c>
      <c r="N1034" t="str">
        <f t="shared" si="145"/>
        <v>Al Shula General Trading Co . L.L.C</v>
      </c>
      <c r="O1034" t="str">
        <f t="shared" si="146"/>
        <v>W1315473522</v>
      </c>
      <c r="P1034" t="str">
        <f t="shared" si="147"/>
        <v>MA802AC37RBA-731548</v>
      </c>
      <c r="Q1034" t="str">
        <f t="shared" si="148"/>
        <v>PO044550</v>
      </c>
      <c r="R1034" t="str">
        <f t="shared" si="149"/>
        <v>Collectable Car Collection (C0859, multicolor)</v>
      </c>
      <c r="S1034" t="str">
        <f t="shared" si="150"/>
        <v>SA958517</v>
      </c>
      <c r="T1034">
        <f t="shared" si="151"/>
        <v>1</v>
      </c>
      <c r="U1034">
        <f t="shared" si="152"/>
        <v>6</v>
      </c>
    </row>
    <row r="1035" spans="1:21" x14ac:dyDescent="0.25">
      <c r="A1035">
        <f t="shared" si="144"/>
        <v>37</v>
      </c>
      <c r="G1035" t="s">
        <v>3784</v>
      </c>
      <c r="H1035" s="2">
        <v>1</v>
      </c>
      <c r="I1035" s="2">
        <v>6</v>
      </c>
      <c r="N1035" t="str">
        <f t="shared" si="145"/>
        <v>Al Shula General Trading Co . L.L.C</v>
      </c>
      <c r="O1035" t="str">
        <f t="shared" si="146"/>
        <v>W1315473522</v>
      </c>
      <c r="P1035" t="str">
        <f t="shared" si="147"/>
        <v>MA802AC37RBA-731548</v>
      </c>
      <c r="Q1035" t="str">
        <f t="shared" si="148"/>
        <v>PO044550</v>
      </c>
      <c r="R1035" t="str">
        <f t="shared" si="149"/>
        <v>Collectable Car Collection (C0859, multicolor)</v>
      </c>
      <c r="S1035" t="str">
        <f t="shared" si="150"/>
        <v>SA958518</v>
      </c>
      <c r="T1035">
        <f t="shared" si="151"/>
        <v>1</v>
      </c>
      <c r="U1035">
        <f t="shared" si="152"/>
        <v>6</v>
      </c>
    </row>
    <row r="1036" spans="1:21" x14ac:dyDescent="0.25">
      <c r="A1036">
        <f t="shared" si="144"/>
        <v>37</v>
      </c>
      <c r="G1036" t="s">
        <v>3785</v>
      </c>
      <c r="H1036" s="2">
        <v>1</v>
      </c>
      <c r="I1036" s="2">
        <v>6</v>
      </c>
      <c r="N1036" t="str">
        <f t="shared" si="145"/>
        <v>Al Shula General Trading Co . L.L.C</v>
      </c>
      <c r="O1036" t="str">
        <f t="shared" si="146"/>
        <v>W1315473522</v>
      </c>
      <c r="P1036" t="str">
        <f t="shared" si="147"/>
        <v>MA802AC37RBA-731548</v>
      </c>
      <c r="Q1036" t="str">
        <f t="shared" si="148"/>
        <v>PO044550</v>
      </c>
      <c r="R1036" t="str">
        <f t="shared" si="149"/>
        <v>Collectable Car Collection (C0859, multicolor)</v>
      </c>
      <c r="S1036" t="str">
        <f t="shared" si="150"/>
        <v>SA958519</v>
      </c>
      <c r="T1036">
        <f t="shared" si="151"/>
        <v>1</v>
      </c>
      <c r="U1036">
        <f t="shared" si="152"/>
        <v>6</v>
      </c>
    </row>
    <row r="1037" spans="1:21" x14ac:dyDescent="0.25">
      <c r="A1037">
        <f t="shared" si="144"/>
        <v>37</v>
      </c>
      <c r="G1037" t="s">
        <v>3824</v>
      </c>
      <c r="H1037" s="2">
        <v>1</v>
      </c>
      <c r="I1037" s="2">
        <v>6</v>
      </c>
      <c r="N1037" t="str">
        <f t="shared" si="145"/>
        <v>Al Shula General Trading Co . L.L.C</v>
      </c>
      <c r="O1037" t="str">
        <f t="shared" si="146"/>
        <v>W1315473522</v>
      </c>
      <c r="P1037" t="str">
        <f t="shared" si="147"/>
        <v>MA802AC37RBA-731548</v>
      </c>
      <c r="Q1037" t="str">
        <f t="shared" si="148"/>
        <v>PO044550</v>
      </c>
      <c r="R1037" t="str">
        <f t="shared" si="149"/>
        <v>Collectable Car Collection (C0859, multicolor)</v>
      </c>
      <c r="S1037" t="str">
        <f t="shared" si="150"/>
        <v>SA959990</v>
      </c>
      <c r="T1037">
        <f t="shared" si="151"/>
        <v>1</v>
      </c>
      <c r="U1037">
        <f t="shared" si="152"/>
        <v>6</v>
      </c>
    </row>
    <row r="1038" spans="1:21" x14ac:dyDescent="0.25">
      <c r="A1038">
        <f t="shared" si="144"/>
        <v>37</v>
      </c>
      <c r="G1038" t="s">
        <v>4172</v>
      </c>
      <c r="H1038" s="2">
        <v>1</v>
      </c>
      <c r="I1038" s="2">
        <v>6</v>
      </c>
      <c r="N1038" t="str">
        <f t="shared" si="145"/>
        <v>Al Shula General Trading Co . L.L.C</v>
      </c>
      <c r="O1038" t="str">
        <f t="shared" si="146"/>
        <v>W1315473522</v>
      </c>
      <c r="P1038" t="str">
        <f t="shared" si="147"/>
        <v>MA802AC37RBA-731548</v>
      </c>
      <c r="Q1038" t="str">
        <f t="shared" si="148"/>
        <v>PO044550</v>
      </c>
      <c r="R1038" t="str">
        <f t="shared" si="149"/>
        <v>Collectable Car Collection (C0859, multicolor)</v>
      </c>
      <c r="S1038" t="str">
        <f t="shared" si="150"/>
        <v>SA967036</v>
      </c>
      <c r="T1038">
        <f t="shared" si="151"/>
        <v>1</v>
      </c>
      <c r="U1038">
        <f t="shared" si="152"/>
        <v>6</v>
      </c>
    </row>
    <row r="1039" spans="1:21" x14ac:dyDescent="0.25">
      <c r="A1039">
        <f t="shared" si="144"/>
        <v>37</v>
      </c>
      <c r="C1039" t="s">
        <v>3814</v>
      </c>
      <c r="D1039" t="s">
        <v>3815</v>
      </c>
      <c r="E1039" t="s">
        <v>3783</v>
      </c>
      <c r="F1039" t="s">
        <v>3816</v>
      </c>
      <c r="G1039" t="s">
        <v>3813</v>
      </c>
      <c r="H1039" s="2">
        <v>1</v>
      </c>
      <c r="I1039" s="2">
        <v>8</v>
      </c>
      <c r="N1039" t="str">
        <f t="shared" si="145"/>
        <v>Al Shula General Trading Co . L.L.C</v>
      </c>
      <c r="O1039" t="str">
        <f t="shared" si="146"/>
        <v>W1315473450</v>
      </c>
      <c r="P1039" t="str">
        <f t="shared" si="147"/>
        <v>HO801AC14QYB-731471</v>
      </c>
      <c r="Q1039" t="str">
        <f t="shared" si="148"/>
        <v>PO044550</v>
      </c>
      <c r="R1039" t="str">
        <f t="shared" si="149"/>
        <v>Basic Car Clipstrip (N2799, white)</v>
      </c>
      <c r="S1039" t="str">
        <f t="shared" si="150"/>
        <v>SA959987</v>
      </c>
      <c r="T1039">
        <f t="shared" si="151"/>
        <v>1</v>
      </c>
      <c r="U1039">
        <f t="shared" si="152"/>
        <v>8</v>
      </c>
    </row>
    <row r="1040" spans="1:21" x14ac:dyDescent="0.25">
      <c r="A1040">
        <f t="shared" si="144"/>
        <v>37</v>
      </c>
      <c r="G1040" t="s">
        <v>4103</v>
      </c>
      <c r="H1040" s="2">
        <v>1</v>
      </c>
      <c r="I1040" s="2">
        <v>8</v>
      </c>
      <c r="N1040" t="str">
        <f t="shared" si="145"/>
        <v>Al Shula General Trading Co . L.L.C</v>
      </c>
      <c r="O1040" t="str">
        <f t="shared" si="146"/>
        <v>W1315473450</v>
      </c>
      <c r="P1040" t="str">
        <f t="shared" si="147"/>
        <v>HO801AC14QYB-731471</v>
      </c>
      <c r="Q1040" t="str">
        <f t="shared" si="148"/>
        <v>PO044550</v>
      </c>
      <c r="R1040" t="str">
        <f t="shared" si="149"/>
        <v>Basic Car Clipstrip (N2799, white)</v>
      </c>
      <c r="S1040" t="str">
        <f t="shared" si="150"/>
        <v>SA965563</v>
      </c>
      <c r="T1040">
        <f t="shared" si="151"/>
        <v>1</v>
      </c>
      <c r="U1040">
        <f t="shared" si="152"/>
        <v>8</v>
      </c>
    </row>
    <row r="1041" spans="1:21" x14ac:dyDescent="0.25">
      <c r="A1041">
        <f t="shared" si="144"/>
        <v>37</v>
      </c>
      <c r="G1041" t="s">
        <v>4242</v>
      </c>
      <c r="H1041" s="2">
        <v>1</v>
      </c>
      <c r="I1041" s="2">
        <v>8</v>
      </c>
      <c r="N1041" t="str">
        <f t="shared" si="145"/>
        <v>Al Shula General Trading Co . L.L.C</v>
      </c>
      <c r="O1041" t="str">
        <f t="shared" si="146"/>
        <v>W1315473450</v>
      </c>
      <c r="P1041" t="str">
        <f t="shared" si="147"/>
        <v>HO801AC14QYB-731471</v>
      </c>
      <c r="Q1041" t="str">
        <f t="shared" si="148"/>
        <v>PO044550</v>
      </c>
      <c r="R1041" t="str">
        <f t="shared" si="149"/>
        <v>Basic Car Clipstrip (N2799, white)</v>
      </c>
      <c r="S1041" t="str">
        <f t="shared" si="150"/>
        <v>SA968531</v>
      </c>
      <c r="T1041">
        <f t="shared" si="151"/>
        <v>1</v>
      </c>
      <c r="U1041">
        <f t="shared" si="152"/>
        <v>8</v>
      </c>
    </row>
    <row r="1042" spans="1:21" x14ac:dyDescent="0.25">
      <c r="A1042">
        <f t="shared" si="144"/>
        <v>37</v>
      </c>
      <c r="G1042" t="s">
        <v>4365</v>
      </c>
      <c r="H1042" s="2">
        <v>1</v>
      </c>
      <c r="I1042" s="2">
        <v>8</v>
      </c>
      <c r="N1042" t="str">
        <f t="shared" si="145"/>
        <v>Al Shula General Trading Co . L.L.C</v>
      </c>
      <c r="O1042" t="str">
        <f t="shared" si="146"/>
        <v>W1315473450</v>
      </c>
      <c r="P1042" t="str">
        <f t="shared" si="147"/>
        <v>HO801AC14QYB-731471</v>
      </c>
      <c r="Q1042" t="str">
        <f t="shared" si="148"/>
        <v>PO044550</v>
      </c>
      <c r="R1042" t="str">
        <f t="shared" si="149"/>
        <v>Basic Car Clipstrip (N2799, white)</v>
      </c>
      <c r="S1042" t="str">
        <f t="shared" si="150"/>
        <v>SA970523</v>
      </c>
      <c r="T1042">
        <f t="shared" si="151"/>
        <v>1</v>
      </c>
      <c r="U1042">
        <f t="shared" si="152"/>
        <v>8</v>
      </c>
    </row>
    <row r="1043" spans="1:21" x14ac:dyDescent="0.25">
      <c r="A1043">
        <f t="shared" si="144"/>
        <v>37</v>
      </c>
      <c r="G1043" t="s">
        <v>4440</v>
      </c>
      <c r="H1043" s="2">
        <v>1</v>
      </c>
      <c r="I1043" s="2">
        <v>8</v>
      </c>
      <c r="N1043" t="str">
        <f t="shared" si="145"/>
        <v>Al Shula General Trading Co . L.L.C</v>
      </c>
      <c r="O1043" t="str">
        <f t="shared" si="146"/>
        <v>W1315473450</v>
      </c>
      <c r="P1043" t="str">
        <f t="shared" si="147"/>
        <v>HO801AC14QYB-731471</v>
      </c>
      <c r="Q1043" t="str">
        <f t="shared" si="148"/>
        <v>PO044550</v>
      </c>
      <c r="R1043" t="str">
        <f t="shared" si="149"/>
        <v>Basic Car Clipstrip (N2799, white)</v>
      </c>
      <c r="S1043" t="str">
        <f t="shared" si="150"/>
        <v>SA971691</v>
      </c>
      <c r="T1043">
        <f t="shared" si="151"/>
        <v>1</v>
      </c>
      <c r="U1043">
        <f t="shared" si="152"/>
        <v>8</v>
      </c>
    </row>
    <row r="1044" spans="1:21" x14ac:dyDescent="0.25">
      <c r="A1044">
        <f t="shared" si="144"/>
        <v>37</v>
      </c>
      <c r="C1044" t="s">
        <v>3817</v>
      </c>
      <c r="D1044" t="s">
        <v>3818</v>
      </c>
      <c r="E1044" t="s">
        <v>5088</v>
      </c>
      <c r="F1044" t="s">
        <v>3819</v>
      </c>
      <c r="G1044" t="s">
        <v>5410</v>
      </c>
      <c r="H1044" s="2">
        <v>1</v>
      </c>
      <c r="I1044" s="2">
        <v>8</v>
      </c>
      <c r="N1044" t="str">
        <f t="shared" si="145"/>
        <v>Al Shula General Trading Co . L.L.C</v>
      </c>
      <c r="O1044" t="str">
        <f t="shared" si="146"/>
        <v>W1315473451</v>
      </c>
      <c r="P1044" t="str">
        <f t="shared" si="147"/>
        <v>HO801AC13QYC-731472</v>
      </c>
      <c r="Q1044" t="str">
        <f t="shared" si="148"/>
        <v>PO044727</v>
      </c>
      <c r="R1044" t="str">
        <f t="shared" si="149"/>
        <v>Bullet Proof Golden Promo Car (DPN12, Gold)</v>
      </c>
      <c r="S1044" t="str">
        <f t="shared" si="150"/>
        <v>SA977971</v>
      </c>
      <c r="T1044">
        <f t="shared" si="151"/>
        <v>1</v>
      </c>
      <c r="U1044">
        <f t="shared" si="152"/>
        <v>8</v>
      </c>
    </row>
    <row r="1045" spans="1:21" x14ac:dyDescent="0.25">
      <c r="A1045">
        <f t="shared" si="144"/>
        <v>37</v>
      </c>
      <c r="E1045" t="s">
        <v>5582</v>
      </c>
      <c r="F1045" t="s">
        <v>3819</v>
      </c>
      <c r="G1045" t="s">
        <v>5918</v>
      </c>
      <c r="H1045" s="2">
        <v>1</v>
      </c>
      <c r="I1045" s="2">
        <v>8</v>
      </c>
      <c r="N1045" t="str">
        <f t="shared" si="145"/>
        <v>Al Shula General Trading Co . L.L.C</v>
      </c>
      <c r="O1045" t="str">
        <f t="shared" si="146"/>
        <v>W1315473451</v>
      </c>
      <c r="P1045" t="str">
        <f t="shared" si="147"/>
        <v>HO801AC13QYC-731472</v>
      </c>
      <c r="Q1045" t="str">
        <f t="shared" si="148"/>
        <v>PO044942</v>
      </c>
      <c r="R1045" t="str">
        <f t="shared" si="149"/>
        <v>Bullet Proof Golden Promo Car (DPN12, Gold)</v>
      </c>
      <c r="S1045" t="str">
        <f t="shared" si="150"/>
        <v>SA981885</v>
      </c>
      <c r="T1045">
        <f t="shared" si="151"/>
        <v>1</v>
      </c>
      <c r="U1045">
        <f t="shared" si="152"/>
        <v>8</v>
      </c>
    </row>
    <row r="1046" spans="1:21" x14ac:dyDescent="0.25">
      <c r="A1046">
        <f t="shared" si="144"/>
        <v>37</v>
      </c>
      <c r="C1046" t="s">
        <v>3821</v>
      </c>
      <c r="D1046" t="s">
        <v>3822</v>
      </c>
      <c r="E1046" t="s">
        <v>3783</v>
      </c>
      <c r="F1046" t="s">
        <v>3823</v>
      </c>
      <c r="G1046" t="s">
        <v>3820</v>
      </c>
      <c r="H1046" s="2">
        <v>1</v>
      </c>
      <c r="I1046" s="2">
        <v>8</v>
      </c>
      <c r="N1046" t="str">
        <f t="shared" si="145"/>
        <v>Al Shula General Trading Co . L.L.C</v>
      </c>
      <c r="O1046" t="str">
        <f t="shared" si="146"/>
        <v>W1315473471</v>
      </c>
      <c r="P1046" t="str">
        <f t="shared" si="147"/>
        <v>HO801AC93QYW-731492</v>
      </c>
      <c r="Q1046" t="str">
        <f t="shared" si="148"/>
        <v>PO044550</v>
      </c>
      <c r="R1046" t="str">
        <f t="shared" si="149"/>
        <v>Basic Cars Assortment Pack (5785, multicolor)</v>
      </c>
      <c r="S1046" t="str">
        <f t="shared" si="150"/>
        <v>SA959989</v>
      </c>
      <c r="T1046">
        <f t="shared" si="151"/>
        <v>1</v>
      </c>
      <c r="U1046">
        <f t="shared" si="152"/>
        <v>8</v>
      </c>
    </row>
    <row r="1047" spans="1:21" x14ac:dyDescent="0.25">
      <c r="A1047">
        <f t="shared" si="144"/>
        <v>37</v>
      </c>
      <c r="G1047" t="s">
        <v>4605</v>
      </c>
      <c r="H1047" s="2">
        <v>1</v>
      </c>
      <c r="I1047" s="2">
        <v>8</v>
      </c>
      <c r="N1047" t="str">
        <f t="shared" si="145"/>
        <v>Al Shula General Trading Co . L.L.C</v>
      </c>
      <c r="O1047" t="str">
        <f t="shared" si="146"/>
        <v>W1315473471</v>
      </c>
      <c r="P1047" t="str">
        <f t="shared" si="147"/>
        <v>HO801AC93QYW-731492</v>
      </c>
      <c r="Q1047" t="str">
        <f t="shared" si="148"/>
        <v>PO044550</v>
      </c>
      <c r="R1047" t="str">
        <f t="shared" si="149"/>
        <v>Basic Cars Assortment Pack (5785, multicolor)</v>
      </c>
      <c r="S1047" t="str">
        <f t="shared" si="150"/>
        <v>SA973550</v>
      </c>
      <c r="T1047">
        <f t="shared" si="151"/>
        <v>1</v>
      </c>
      <c r="U1047">
        <f t="shared" si="152"/>
        <v>8</v>
      </c>
    </row>
    <row r="1048" spans="1:21" x14ac:dyDescent="0.25">
      <c r="A1048">
        <f t="shared" si="144"/>
        <v>37</v>
      </c>
      <c r="E1048" t="s">
        <v>5088</v>
      </c>
      <c r="F1048" t="s">
        <v>3823</v>
      </c>
      <c r="G1048" t="s">
        <v>5198</v>
      </c>
      <c r="H1048" s="2">
        <v>1</v>
      </c>
      <c r="I1048" s="2">
        <v>8</v>
      </c>
      <c r="N1048" t="str">
        <f t="shared" si="145"/>
        <v>Al Shula General Trading Co . L.L.C</v>
      </c>
      <c r="O1048" t="str">
        <f t="shared" si="146"/>
        <v>W1315473471</v>
      </c>
      <c r="P1048" t="str">
        <f t="shared" si="147"/>
        <v>HO801AC93QYW-731492</v>
      </c>
      <c r="Q1048" t="str">
        <f t="shared" si="148"/>
        <v>PO044727</v>
      </c>
      <c r="R1048" t="str">
        <f t="shared" si="149"/>
        <v>Basic Cars Assortment Pack (5785, multicolor)</v>
      </c>
      <c r="S1048" t="str">
        <f t="shared" si="150"/>
        <v>SA975029</v>
      </c>
      <c r="T1048">
        <f t="shared" si="151"/>
        <v>1</v>
      </c>
      <c r="U1048">
        <f t="shared" si="152"/>
        <v>8</v>
      </c>
    </row>
    <row r="1049" spans="1:21" x14ac:dyDescent="0.25">
      <c r="A1049">
        <f t="shared" si="144"/>
        <v>37</v>
      </c>
      <c r="G1049" t="s">
        <v>5257</v>
      </c>
      <c r="H1049" s="2">
        <v>1</v>
      </c>
      <c r="I1049" s="2">
        <v>8</v>
      </c>
      <c r="N1049" t="str">
        <f t="shared" si="145"/>
        <v>Al Shula General Trading Co . L.L.C</v>
      </c>
      <c r="O1049" t="str">
        <f t="shared" si="146"/>
        <v>W1315473471</v>
      </c>
      <c r="P1049" t="str">
        <f t="shared" si="147"/>
        <v>HO801AC93QYW-731492</v>
      </c>
      <c r="Q1049" t="str">
        <f t="shared" si="148"/>
        <v>PO044727</v>
      </c>
      <c r="R1049" t="str">
        <f t="shared" si="149"/>
        <v>Basic Cars Assortment Pack (5785, multicolor)</v>
      </c>
      <c r="S1049" t="str">
        <f t="shared" si="150"/>
        <v>SA975718</v>
      </c>
      <c r="T1049">
        <f t="shared" si="151"/>
        <v>1</v>
      </c>
      <c r="U1049">
        <f t="shared" si="152"/>
        <v>8</v>
      </c>
    </row>
    <row r="1050" spans="1:21" x14ac:dyDescent="0.25">
      <c r="A1050">
        <f t="shared" si="144"/>
        <v>37</v>
      </c>
      <c r="G1050" t="s">
        <v>5415</v>
      </c>
      <c r="H1050" s="2">
        <v>1</v>
      </c>
      <c r="I1050" s="2">
        <v>8</v>
      </c>
      <c r="N1050" t="str">
        <f t="shared" si="145"/>
        <v>Al Shula General Trading Co . L.L.C</v>
      </c>
      <c r="O1050" t="str">
        <f t="shared" si="146"/>
        <v>W1315473471</v>
      </c>
      <c r="P1050" t="str">
        <f t="shared" si="147"/>
        <v>HO801AC93QYW-731492</v>
      </c>
      <c r="Q1050" t="str">
        <f t="shared" si="148"/>
        <v>PO044727</v>
      </c>
      <c r="R1050" t="str">
        <f t="shared" si="149"/>
        <v>Basic Cars Assortment Pack (5785, multicolor)</v>
      </c>
      <c r="S1050" t="str">
        <f t="shared" si="150"/>
        <v>SA977979</v>
      </c>
      <c r="T1050">
        <f t="shared" si="151"/>
        <v>1</v>
      </c>
      <c r="U1050">
        <f t="shared" si="152"/>
        <v>8</v>
      </c>
    </row>
    <row r="1051" spans="1:21" x14ac:dyDescent="0.25">
      <c r="A1051">
        <f t="shared" si="144"/>
        <v>37</v>
      </c>
      <c r="C1051" t="s">
        <v>3826</v>
      </c>
      <c r="D1051" t="s">
        <v>3827</v>
      </c>
      <c r="E1051" t="s">
        <v>3783</v>
      </c>
      <c r="F1051" t="s">
        <v>3828</v>
      </c>
      <c r="G1051" t="s">
        <v>3825</v>
      </c>
      <c r="H1051" s="2">
        <v>1</v>
      </c>
      <c r="I1051" s="2">
        <v>11</v>
      </c>
      <c r="N1051" t="str">
        <f t="shared" si="145"/>
        <v>Al Shula General Trading Co . L.L.C</v>
      </c>
      <c r="O1051" t="str">
        <f t="shared" si="146"/>
        <v>W1315473508</v>
      </c>
      <c r="P1051" t="str">
        <f t="shared" si="147"/>
        <v>HO801AC51RAM-731534</v>
      </c>
      <c r="Q1051" t="str">
        <f t="shared" si="148"/>
        <v>PO044550</v>
      </c>
      <c r="R1051" t="str">
        <f t="shared" si="149"/>
        <v>Hot Wheels Dc Batman Vs Superman Deco Car Asst (DJL47, Multicolor)</v>
      </c>
      <c r="S1051" t="str">
        <f t="shared" si="150"/>
        <v>SA959991</v>
      </c>
      <c r="T1051">
        <f t="shared" si="151"/>
        <v>1</v>
      </c>
      <c r="U1051">
        <f t="shared" si="152"/>
        <v>11</v>
      </c>
    </row>
    <row r="1052" spans="1:21" x14ac:dyDescent="0.25">
      <c r="A1052">
        <f t="shared" si="144"/>
        <v>37</v>
      </c>
      <c r="E1052" t="s">
        <v>5088</v>
      </c>
      <c r="F1052" t="s">
        <v>3828</v>
      </c>
      <c r="G1052" t="s">
        <v>5424</v>
      </c>
      <c r="H1052" s="2">
        <v>1</v>
      </c>
      <c r="I1052" s="2">
        <v>11</v>
      </c>
      <c r="N1052" t="str">
        <f t="shared" si="145"/>
        <v>Al Shula General Trading Co . L.L.C</v>
      </c>
      <c r="O1052" t="str">
        <f t="shared" si="146"/>
        <v>W1315473508</v>
      </c>
      <c r="P1052" t="str">
        <f t="shared" si="147"/>
        <v>HO801AC51RAM-731534</v>
      </c>
      <c r="Q1052" t="str">
        <f t="shared" si="148"/>
        <v>PO044727</v>
      </c>
      <c r="R1052" t="str">
        <f t="shared" si="149"/>
        <v>Hot Wheels Dc Batman Vs Superman Deco Car Asst (DJL47, Multicolor)</v>
      </c>
      <c r="S1052" t="str">
        <f t="shared" si="150"/>
        <v>SA977984</v>
      </c>
      <c r="T1052">
        <f t="shared" si="151"/>
        <v>1</v>
      </c>
      <c r="U1052">
        <f t="shared" si="152"/>
        <v>11</v>
      </c>
    </row>
    <row r="1053" spans="1:21" x14ac:dyDescent="0.25">
      <c r="A1053">
        <f t="shared" si="144"/>
        <v>37</v>
      </c>
      <c r="G1053" t="s">
        <v>5527</v>
      </c>
      <c r="H1053" s="2">
        <v>1</v>
      </c>
      <c r="I1053" s="2">
        <v>11</v>
      </c>
      <c r="N1053" t="str">
        <f t="shared" si="145"/>
        <v>Al Shula General Trading Co . L.L.C</v>
      </c>
      <c r="O1053" t="str">
        <f t="shared" si="146"/>
        <v>W1315473508</v>
      </c>
      <c r="P1053" t="str">
        <f t="shared" si="147"/>
        <v>HO801AC51RAM-731534</v>
      </c>
      <c r="Q1053" t="str">
        <f t="shared" si="148"/>
        <v>PO044727</v>
      </c>
      <c r="R1053" t="str">
        <f t="shared" si="149"/>
        <v>Hot Wheels Dc Batman Vs Superman Deco Car Asst (DJL47, Multicolor)</v>
      </c>
      <c r="S1053" t="str">
        <f t="shared" si="150"/>
        <v>SA979237</v>
      </c>
      <c r="T1053">
        <f t="shared" si="151"/>
        <v>1</v>
      </c>
      <c r="U1053">
        <f t="shared" si="152"/>
        <v>11</v>
      </c>
    </row>
    <row r="1054" spans="1:21" x14ac:dyDescent="0.25">
      <c r="A1054">
        <f t="shared" si="144"/>
        <v>37</v>
      </c>
      <c r="G1054" t="s">
        <v>5528</v>
      </c>
      <c r="H1054" s="2">
        <v>1</v>
      </c>
      <c r="I1054" s="2">
        <v>11</v>
      </c>
      <c r="N1054" t="str">
        <f t="shared" si="145"/>
        <v>Al Shula General Trading Co . L.L.C</v>
      </c>
      <c r="O1054" t="str">
        <f t="shared" si="146"/>
        <v>W1315473508</v>
      </c>
      <c r="P1054" t="str">
        <f t="shared" si="147"/>
        <v>HO801AC51RAM-731534</v>
      </c>
      <c r="Q1054" t="str">
        <f t="shared" si="148"/>
        <v>PO044727</v>
      </c>
      <c r="R1054" t="str">
        <f t="shared" si="149"/>
        <v>Hot Wheels Dc Batman Vs Superman Deco Car Asst (DJL47, Multicolor)</v>
      </c>
      <c r="S1054" t="str">
        <f t="shared" si="150"/>
        <v>SA979238</v>
      </c>
      <c r="T1054">
        <f t="shared" si="151"/>
        <v>1</v>
      </c>
      <c r="U1054">
        <f t="shared" si="152"/>
        <v>11</v>
      </c>
    </row>
    <row r="1055" spans="1:21" x14ac:dyDescent="0.25">
      <c r="A1055">
        <f t="shared" si="144"/>
        <v>37</v>
      </c>
      <c r="G1055" t="s">
        <v>5588</v>
      </c>
      <c r="H1055" s="2">
        <v>1</v>
      </c>
      <c r="I1055" s="2">
        <v>11</v>
      </c>
      <c r="N1055" t="str">
        <f t="shared" si="145"/>
        <v>Al Shula General Trading Co . L.L.C</v>
      </c>
      <c r="O1055" t="str">
        <f t="shared" si="146"/>
        <v>W1315473508</v>
      </c>
      <c r="P1055" t="str">
        <f t="shared" si="147"/>
        <v>HO801AC51RAM-731534</v>
      </c>
      <c r="Q1055" t="str">
        <f t="shared" si="148"/>
        <v>PO044727</v>
      </c>
      <c r="R1055" t="str">
        <f t="shared" si="149"/>
        <v>Hot Wheels Dc Batman Vs Superman Deco Car Asst (DJL47, Multicolor)</v>
      </c>
      <c r="S1055" t="str">
        <f t="shared" si="150"/>
        <v>SA979901</v>
      </c>
      <c r="T1055">
        <f t="shared" si="151"/>
        <v>1</v>
      </c>
      <c r="U1055">
        <f t="shared" si="152"/>
        <v>11</v>
      </c>
    </row>
    <row r="1056" spans="1:21" x14ac:dyDescent="0.25">
      <c r="A1056">
        <f t="shared" si="144"/>
        <v>37</v>
      </c>
      <c r="C1056" t="s">
        <v>3984</v>
      </c>
      <c r="D1056" t="s">
        <v>3985</v>
      </c>
      <c r="E1056" t="s">
        <v>3783</v>
      </c>
      <c r="F1056" t="s">
        <v>3986</v>
      </c>
      <c r="G1056" t="s">
        <v>3983</v>
      </c>
      <c r="H1056" s="2">
        <v>1</v>
      </c>
      <c r="I1056" s="2">
        <v>13</v>
      </c>
      <c r="N1056" t="str">
        <f t="shared" si="145"/>
        <v>Al Shula General Trading Co . L.L.C</v>
      </c>
      <c r="O1056" t="str">
        <f t="shared" si="146"/>
        <v>W1315473382</v>
      </c>
      <c r="P1056" t="str">
        <f t="shared" si="147"/>
        <v>BA225AC02QUR-731383</v>
      </c>
      <c r="Q1056" t="str">
        <f t="shared" si="148"/>
        <v>PO044550</v>
      </c>
      <c r="R1056" t="str">
        <f t="shared" si="149"/>
        <v>Mini Story Starter Assortment (CFB50, multicolor)</v>
      </c>
      <c r="S1056" t="str">
        <f t="shared" si="150"/>
        <v>SA963579</v>
      </c>
      <c r="T1056">
        <f t="shared" si="151"/>
        <v>1</v>
      </c>
      <c r="U1056">
        <f t="shared" si="152"/>
        <v>13</v>
      </c>
    </row>
    <row r="1057" spans="1:21" x14ac:dyDescent="0.25">
      <c r="A1057">
        <f t="shared" si="144"/>
        <v>37</v>
      </c>
      <c r="G1057" t="s">
        <v>4173</v>
      </c>
      <c r="H1057" s="2">
        <v>1</v>
      </c>
      <c r="I1057" s="2">
        <v>13</v>
      </c>
      <c r="N1057" t="str">
        <f t="shared" si="145"/>
        <v>Al Shula General Trading Co . L.L.C</v>
      </c>
      <c r="O1057" t="str">
        <f t="shared" si="146"/>
        <v>W1315473382</v>
      </c>
      <c r="P1057" t="str">
        <f t="shared" si="147"/>
        <v>BA225AC02QUR-731383</v>
      </c>
      <c r="Q1057" t="str">
        <f t="shared" si="148"/>
        <v>PO044550</v>
      </c>
      <c r="R1057" t="str">
        <f t="shared" si="149"/>
        <v>Mini Story Starter Assortment (CFB50, multicolor)</v>
      </c>
      <c r="S1057" t="str">
        <f t="shared" si="150"/>
        <v>SA967037</v>
      </c>
      <c r="T1057">
        <f t="shared" si="151"/>
        <v>1</v>
      </c>
      <c r="U1057">
        <f t="shared" si="152"/>
        <v>13</v>
      </c>
    </row>
    <row r="1058" spans="1:21" x14ac:dyDescent="0.25">
      <c r="A1058">
        <f t="shared" si="144"/>
        <v>37</v>
      </c>
      <c r="G1058" t="s">
        <v>4453</v>
      </c>
      <c r="H1058" s="2">
        <v>1</v>
      </c>
      <c r="I1058" s="2">
        <v>13</v>
      </c>
      <c r="N1058" t="str">
        <f t="shared" si="145"/>
        <v>Al Shula General Trading Co . L.L.C</v>
      </c>
      <c r="O1058" t="str">
        <f t="shared" si="146"/>
        <v>W1315473382</v>
      </c>
      <c r="P1058" t="str">
        <f t="shared" si="147"/>
        <v>BA225AC02QUR-731383</v>
      </c>
      <c r="Q1058" t="str">
        <f t="shared" si="148"/>
        <v>PO044550</v>
      </c>
      <c r="R1058" t="str">
        <f t="shared" si="149"/>
        <v>Mini Story Starter Assortment (CFB50, multicolor)</v>
      </c>
      <c r="S1058" t="str">
        <f t="shared" si="150"/>
        <v>SA971774</v>
      </c>
      <c r="T1058">
        <f t="shared" si="151"/>
        <v>1</v>
      </c>
      <c r="U1058">
        <f t="shared" si="152"/>
        <v>13</v>
      </c>
    </row>
    <row r="1059" spans="1:21" x14ac:dyDescent="0.25">
      <c r="A1059">
        <f t="shared" si="144"/>
        <v>37</v>
      </c>
      <c r="C1059" t="s">
        <v>3988</v>
      </c>
      <c r="D1059" t="s">
        <v>3989</v>
      </c>
      <c r="E1059" t="s">
        <v>3783</v>
      </c>
      <c r="F1059" t="s">
        <v>3990</v>
      </c>
      <c r="G1059" t="s">
        <v>3987</v>
      </c>
      <c r="H1059" s="2">
        <v>1</v>
      </c>
      <c r="I1059" s="2">
        <v>125</v>
      </c>
      <c r="N1059" t="str">
        <f t="shared" si="145"/>
        <v>Al Shula General Trading Co . L.L.C</v>
      </c>
      <c r="O1059" t="str">
        <f t="shared" si="146"/>
        <v>W1315473365</v>
      </c>
      <c r="P1059" t="str">
        <f t="shared" si="147"/>
        <v>BA225AC19QUA-731366</v>
      </c>
      <c r="Q1059" t="str">
        <f t="shared" si="148"/>
        <v>PO044550</v>
      </c>
      <c r="R1059" t="str">
        <f t="shared" si="149"/>
        <v>Room Doll Assortment (CFB63, multicolor)</v>
      </c>
      <c r="S1059" t="str">
        <f t="shared" si="150"/>
        <v>SA963580</v>
      </c>
      <c r="T1059">
        <f t="shared" si="151"/>
        <v>1</v>
      </c>
      <c r="U1059">
        <f t="shared" si="152"/>
        <v>125</v>
      </c>
    </row>
    <row r="1060" spans="1:21" x14ac:dyDescent="0.25">
      <c r="A1060">
        <f t="shared" si="144"/>
        <v>37</v>
      </c>
      <c r="C1060" t="s">
        <v>4244</v>
      </c>
      <c r="D1060" t="s">
        <v>4245</v>
      </c>
      <c r="E1060" t="s">
        <v>3783</v>
      </c>
      <c r="F1060" t="s">
        <v>4246</v>
      </c>
      <c r="G1060" t="s">
        <v>4243</v>
      </c>
      <c r="H1060" s="2">
        <v>1</v>
      </c>
      <c r="I1060" s="2">
        <v>34</v>
      </c>
      <c r="N1060" t="str">
        <f t="shared" si="145"/>
        <v>Al Shula General Trading Co . L.L.C</v>
      </c>
      <c r="O1060" t="str">
        <f t="shared" si="146"/>
        <v>W1315473491</v>
      </c>
      <c r="P1060" t="str">
        <f t="shared" si="147"/>
        <v>HO801AC68QZV-731517</v>
      </c>
      <c r="Q1060" t="str">
        <f t="shared" si="148"/>
        <v>PO044550</v>
      </c>
      <c r="R1060" t="str">
        <f t="shared" si="149"/>
        <v>Star Wars Starship Assortment (CGW52, grey)</v>
      </c>
      <c r="S1060" t="str">
        <f t="shared" si="150"/>
        <v>SA968538</v>
      </c>
      <c r="T1060">
        <f t="shared" si="151"/>
        <v>1</v>
      </c>
      <c r="U1060">
        <f t="shared" si="152"/>
        <v>34</v>
      </c>
    </row>
    <row r="1061" spans="1:21" x14ac:dyDescent="0.25">
      <c r="A1061">
        <f t="shared" si="144"/>
        <v>37</v>
      </c>
      <c r="C1061" t="s">
        <v>4266</v>
      </c>
      <c r="D1061" t="s">
        <v>4267</v>
      </c>
      <c r="E1061" t="s">
        <v>3783</v>
      </c>
      <c r="F1061" t="s">
        <v>4268</v>
      </c>
      <c r="G1061" t="s">
        <v>4265</v>
      </c>
      <c r="H1061" s="2">
        <v>1</v>
      </c>
      <c r="I1061" s="2">
        <v>34</v>
      </c>
      <c r="N1061" t="str">
        <f t="shared" si="145"/>
        <v>Al Shula General Trading Co . L.L.C</v>
      </c>
      <c r="O1061" t="str">
        <f t="shared" si="146"/>
        <v>W1315473424</v>
      </c>
      <c r="P1061" t="str">
        <f t="shared" si="147"/>
        <v>BA225AC40QXB-731445</v>
      </c>
      <c r="Q1061" t="str">
        <f t="shared" si="148"/>
        <v>PO044550</v>
      </c>
      <c r="R1061" t="str">
        <f t="shared" si="149"/>
        <v>Barbie Long Hair Chelsea Asst (DKB54, Multicolor)</v>
      </c>
      <c r="S1061" t="str">
        <f t="shared" si="150"/>
        <v>SA969265</v>
      </c>
      <c r="T1061">
        <f t="shared" si="151"/>
        <v>1</v>
      </c>
      <c r="U1061">
        <f t="shared" si="152"/>
        <v>34</v>
      </c>
    </row>
    <row r="1062" spans="1:21" x14ac:dyDescent="0.25">
      <c r="A1062">
        <f t="shared" si="144"/>
        <v>37</v>
      </c>
      <c r="G1062" t="s">
        <v>4269</v>
      </c>
      <c r="H1062" s="2">
        <v>1</v>
      </c>
      <c r="I1062" s="2">
        <v>34</v>
      </c>
      <c r="N1062" t="str">
        <f t="shared" si="145"/>
        <v>Al Shula General Trading Co . L.L.C</v>
      </c>
      <c r="O1062" t="str">
        <f t="shared" si="146"/>
        <v>W1315473424</v>
      </c>
      <c r="P1062" t="str">
        <f t="shared" si="147"/>
        <v>BA225AC40QXB-731445</v>
      </c>
      <c r="Q1062" t="str">
        <f t="shared" si="148"/>
        <v>PO044550</v>
      </c>
      <c r="R1062" t="str">
        <f t="shared" si="149"/>
        <v>Barbie Long Hair Chelsea Asst (DKB54, Multicolor)</v>
      </c>
      <c r="S1062" t="str">
        <f t="shared" si="150"/>
        <v>SA969266</v>
      </c>
      <c r="T1062">
        <f t="shared" si="151"/>
        <v>1</v>
      </c>
      <c r="U1062">
        <f t="shared" si="152"/>
        <v>34</v>
      </c>
    </row>
    <row r="1063" spans="1:21" x14ac:dyDescent="0.25">
      <c r="A1063">
        <f t="shared" si="144"/>
        <v>37</v>
      </c>
      <c r="G1063" t="s">
        <v>4512</v>
      </c>
      <c r="H1063" s="2">
        <v>1</v>
      </c>
      <c r="I1063" s="2">
        <v>34</v>
      </c>
      <c r="N1063" t="str">
        <f t="shared" si="145"/>
        <v>Al Shula General Trading Co . L.L.C</v>
      </c>
      <c r="O1063" t="str">
        <f t="shared" si="146"/>
        <v>W1315473424</v>
      </c>
      <c r="P1063" t="str">
        <f t="shared" si="147"/>
        <v>BA225AC40QXB-731445</v>
      </c>
      <c r="Q1063" t="str">
        <f t="shared" si="148"/>
        <v>PO044550</v>
      </c>
      <c r="R1063" t="str">
        <f t="shared" si="149"/>
        <v>Barbie Long Hair Chelsea Asst (DKB54, Multicolor)</v>
      </c>
      <c r="S1063" t="str">
        <f t="shared" si="150"/>
        <v>SA972122</v>
      </c>
      <c r="T1063">
        <f t="shared" si="151"/>
        <v>1</v>
      </c>
      <c r="U1063">
        <f t="shared" si="152"/>
        <v>34</v>
      </c>
    </row>
    <row r="1064" spans="1:21" x14ac:dyDescent="0.25">
      <c r="A1064">
        <f t="shared" si="144"/>
        <v>37</v>
      </c>
      <c r="G1064" t="s">
        <v>4513</v>
      </c>
      <c r="H1064" s="2">
        <v>1</v>
      </c>
      <c r="I1064" s="2">
        <v>34</v>
      </c>
      <c r="N1064" t="str">
        <f t="shared" si="145"/>
        <v>Al Shula General Trading Co . L.L.C</v>
      </c>
      <c r="O1064" t="str">
        <f t="shared" si="146"/>
        <v>W1315473424</v>
      </c>
      <c r="P1064" t="str">
        <f t="shared" si="147"/>
        <v>BA225AC40QXB-731445</v>
      </c>
      <c r="Q1064" t="str">
        <f t="shared" si="148"/>
        <v>PO044550</v>
      </c>
      <c r="R1064" t="str">
        <f t="shared" si="149"/>
        <v>Barbie Long Hair Chelsea Asst (DKB54, Multicolor)</v>
      </c>
      <c r="S1064" t="str">
        <f t="shared" si="150"/>
        <v>SA972123</v>
      </c>
      <c r="T1064">
        <f t="shared" si="151"/>
        <v>1</v>
      </c>
      <c r="U1064">
        <f t="shared" si="152"/>
        <v>34</v>
      </c>
    </row>
    <row r="1065" spans="1:21" x14ac:dyDescent="0.25">
      <c r="A1065">
        <f t="shared" si="144"/>
        <v>37</v>
      </c>
      <c r="C1065" t="s">
        <v>4455</v>
      </c>
      <c r="D1065" t="s">
        <v>4456</v>
      </c>
      <c r="E1065" t="s">
        <v>3783</v>
      </c>
      <c r="F1065" t="s">
        <v>4457</v>
      </c>
      <c r="G1065" t="s">
        <v>4454</v>
      </c>
      <c r="H1065" s="2">
        <v>1</v>
      </c>
      <c r="I1065" s="2">
        <v>62</v>
      </c>
      <c r="N1065" t="str">
        <f t="shared" si="145"/>
        <v>Al Shula General Trading Co . L.L.C</v>
      </c>
      <c r="O1065" t="str">
        <f t="shared" si="146"/>
        <v>W1315473362</v>
      </c>
      <c r="P1065" t="str">
        <f t="shared" si="147"/>
        <v>BA225AC22QTX-731363</v>
      </c>
      <c r="Q1065" t="str">
        <f t="shared" si="148"/>
        <v>PO044550</v>
      </c>
      <c r="R1065" t="str">
        <f t="shared" si="149"/>
        <v>Long Hair Princess Assortment (DKB56, multicolor)</v>
      </c>
      <c r="S1065" t="str">
        <f t="shared" si="150"/>
        <v>SA971775</v>
      </c>
      <c r="T1065">
        <f t="shared" si="151"/>
        <v>1</v>
      </c>
      <c r="U1065">
        <f t="shared" si="152"/>
        <v>62</v>
      </c>
    </row>
    <row r="1066" spans="1:21" x14ac:dyDescent="0.25">
      <c r="A1066">
        <f t="shared" si="144"/>
        <v>37</v>
      </c>
      <c r="C1066" t="s">
        <v>4459</v>
      </c>
      <c r="D1066" t="s">
        <v>4460</v>
      </c>
      <c r="E1066" t="s">
        <v>3783</v>
      </c>
      <c r="F1066" t="s">
        <v>4461</v>
      </c>
      <c r="G1066" t="s">
        <v>4458</v>
      </c>
      <c r="H1066" s="2">
        <v>1</v>
      </c>
      <c r="I1066" s="2">
        <v>27</v>
      </c>
      <c r="N1066" t="str">
        <f t="shared" si="145"/>
        <v>Al Shula General Trading Co . L.L.C</v>
      </c>
      <c r="O1066" t="str">
        <f t="shared" si="146"/>
        <v>W1315473408</v>
      </c>
      <c r="P1066" t="str">
        <f t="shared" si="147"/>
        <v>BA225AC67QWA-731418</v>
      </c>
      <c r="Q1066" t="str">
        <f t="shared" si="148"/>
        <v>PO044550</v>
      </c>
      <c r="R1066" t="str">
        <f t="shared" si="149"/>
        <v>Pack of 3 Brand Chic Dolls (T7439, multicolor)</v>
      </c>
      <c r="S1066" t="str">
        <f t="shared" si="150"/>
        <v>SA971776</v>
      </c>
      <c r="T1066">
        <f t="shared" si="151"/>
        <v>1</v>
      </c>
      <c r="U1066">
        <f t="shared" si="152"/>
        <v>27</v>
      </c>
    </row>
    <row r="1067" spans="1:21" x14ac:dyDescent="0.25">
      <c r="A1067">
        <f t="shared" si="144"/>
        <v>37</v>
      </c>
      <c r="E1067" t="s">
        <v>5088</v>
      </c>
      <c r="F1067" t="s">
        <v>4461</v>
      </c>
      <c r="G1067" t="s">
        <v>5154</v>
      </c>
      <c r="H1067" s="2">
        <v>1</v>
      </c>
      <c r="I1067" s="2">
        <v>27</v>
      </c>
      <c r="N1067" t="str">
        <f t="shared" si="145"/>
        <v>Al Shula General Trading Co . L.L.C</v>
      </c>
      <c r="O1067" t="str">
        <f t="shared" si="146"/>
        <v>W1315473408</v>
      </c>
      <c r="P1067" t="str">
        <f t="shared" si="147"/>
        <v>BA225AC67QWA-731418</v>
      </c>
      <c r="Q1067" t="str">
        <f t="shared" si="148"/>
        <v>PO044727</v>
      </c>
      <c r="R1067" t="str">
        <f t="shared" si="149"/>
        <v>Pack of 3 Brand Chic Dolls (T7439, multicolor)</v>
      </c>
      <c r="S1067" t="str">
        <f t="shared" si="150"/>
        <v>SA974715</v>
      </c>
      <c r="T1067">
        <f t="shared" si="151"/>
        <v>1</v>
      </c>
      <c r="U1067">
        <f t="shared" si="152"/>
        <v>27</v>
      </c>
    </row>
    <row r="1068" spans="1:21" x14ac:dyDescent="0.25">
      <c r="A1068">
        <f t="shared" si="144"/>
        <v>37</v>
      </c>
      <c r="E1068" t="s">
        <v>5582</v>
      </c>
      <c r="F1068" t="s">
        <v>4461</v>
      </c>
      <c r="G1068" t="s">
        <v>5581</v>
      </c>
      <c r="H1068" s="2">
        <v>1</v>
      </c>
      <c r="I1068" s="2">
        <v>27</v>
      </c>
      <c r="N1068" t="str">
        <f t="shared" si="145"/>
        <v>Al Shula General Trading Co . L.L.C</v>
      </c>
      <c r="O1068" t="str">
        <f t="shared" si="146"/>
        <v>W1315473408</v>
      </c>
      <c r="P1068" t="str">
        <f t="shared" si="147"/>
        <v>BA225AC67QWA-731418</v>
      </c>
      <c r="Q1068" t="str">
        <f t="shared" si="148"/>
        <v>PO044942</v>
      </c>
      <c r="R1068" t="str">
        <f t="shared" si="149"/>
        <v>Pack of 3 Brand Chic Dolls (T7439, multicolor)</v>
      </c>
      <c r="S1068" t="str">
        <f t="shared" si="150"/>
        <v>SA979892</v>
      </c>
      <c r="T1068">
        <f t="shared" si="151"/>
        <v>1</v>
      </c>
      <c r="U1068">
        <f t="shared" si="152"/>
        <v>27</v>
      </c>
    </row>
    <row r="1069" spans="1:21" x14ac:dyDescent="0.25">
      <c r="A1069">
        <f t="shared" si="144"/>
        <v>37</v>
      </c>
      <c r="C1069" t="s">
        <v>4463</v>
      </c>
      <c r="D1069" t="s">
        <v>4464</v>
      </c>
      <c r="E1069" t="s">
        <v>3783</v>
      </c>
      <c r="F1069" t="s">
        <v>4465</v>
      </c>
      <c r="G1069" t="s">
        <v>4462</v>
      </c>
      <c r="H1069" s="2">
        <v>1</v>
      </c>
      <c r="I1069" s="2">
        <v>55</v>
      </c>
      <c r="N1069" t="str">
        <f t="shared" si="145"/>
        <v>Al Shula General Trading Co . L.L.C</v>
      </c>
      <c r="O1069" t="str">
        <f t="shared" si="146"/>
        <v>W1315473417</v>
      </c>
      <c r="P1069" t="str">
        <f t="shared" si="147"/>
        <v>BA225AC47QWU-731438</v>
      </c>
      <c r="Q1069" t="str">
        <f t="shared" si="148"/>
        <v>PO044550</v>
      </c>
      <c r="R1069" t="str">
        <f t="shared" si="149"/>
        <v>Barbie Fairy Asst (DHM50, Multicolor)</v>
      </c>
      <c r="S1069" t="str">
        <f t="shared" si="150"/>
        <v>SA971777</v>
      </c>
      <c r="T1069">
        <f t="shared" si="151"/>
        <v>1</v>
      </c>
      <c r="U1069">
        <f t="shared" si="152"/>
        <v>55</v>
      </c>
    </row>
    <row r="1070" spans="1:21" x14ac:dyDescent="0.25">
      <c r="A1070">
        <f t="shared" si="144"/>
        <v>37</v>
      </c>
      <c r="C1070" t="s">
        <v>4504</v>
      </c>
      <c r="D1070" t="s">
        <v>4505</v>
      </c>
      <c r="E1070" t="s">
        <v>3783</v>
      </c>
      <c r="F1070" t="s">
        <v>4506</v>
      </c>
      <c r="G1070" t="s">
        <v>4503</v>
      </c>
      <c r="H1070" s="2">
        <v>1</v>
      </c>
      <c r="I1070" s="2">
        <v>111</v>
      </c>
      <c r="N1070" t="str">
        <f t="shared" si="145"/>
        <v>Al Shula General Trading Co . L.L.C</v>
      </c>
      <c r="O1070" t="str">
        <f t="shared" si="146"/>
        <v>W1315473356</v>
      </c>
      <c r="P1070" t="str">
        <f t="shared" si="147"/>
        <v>BA225AC28QTR-731357</v>
      </c>
      <c r="Q1070" t="str">
        <f t="shared" si="148"/>
        <v>PO044550</v>
      </c>
      <c r="R1070" t="str">
        <f t="shared" si="149"/>
        <v>Barbie Glam Bicycle and Doll (DJR54, Multicolor)</v>
      </c>
      <c r="S1070" t="str">
        <f t="shared" si="150"/>
        <v>SA972119</v>
      </c>
      <c r="T1070">
        <f t="shared" si="151"/>
        <v>1</v>
      </c>
      <c r="U1070">
        <f t="shared" si="152"/>
        <v>111</v>
      </c>
    </row>
    <row r="1071" spans="1:21" x14ac:dyDescent="0.25">
      <c r="A1071">
        <f t="shared" si="144"/>
        <v>37</v>
      </c>
      <c r="C1071" t="s">
        <v>4508</v>
      </c>
      <c r="D1071" t="s">
        <v>4509</v>
      </c>
      <c r="E1071" t="s">
        <v>3783</v>
      </c>
      <c r="F1071" t="s">
        <v>4510</v>
      </c>
      <c r="G1071" t="s">
        <v>4507</v>
      </c>
      <c r="H1071" s="2">
        <v>1</v>
      </c>
      <c r="I1071" s="2">
        <v>34</v>
      </c>
      <c r="N1071" t="str">
        <f t="shared" si="145"/>
        <v>Al Shula General Trading Co . L.L.C</v>
      </c>
      <c r="O1071" t="str">
        <f t="shared" si="146"/>
        <v>W1315473412</v>
      </c>
      <c r="P1071" t="str">
        <f t="shared" si="147"/>
        <v>BA225AC63QWE-731422</v>
      </c>
      <c r="Q1071" t="str">
        <f t="shared" si="148"/>
        <v>PO044550</v>
      </c>
      <c r="R1071" t="str">
        <f t="shared" si="149"/>
        <v>Barbie Chelsea Doll Asst (CMY16, Multicolor)</v>
      </c>
      <c r="S1071" t="str">
        <f t="shared" si="150"/>
        <v>SA972120</v>
      </c>
      <c r="T1071">
        <f t="shared" si="151"/>
        <v>1</v>
      </c>
      <c r="U1071">
        <f t="shared" si="152"/>
        <v>34</v>
      </c>
    </row>
    <row r="1072" spans="1:21" x14ac:dyDescent="0.25">
      <c r="A1072">
        <f t="shared" si="144"/>
        <v>37</v>
      </c>
      <c r="G1072" t="s">
        <v>4511</v>
      </c>
      <c r="H1072" s="2">
        <v>1</v>
      </c>
      <c r="I1072" s="2">
        <v>34</v>
      </c>
      <c r="N1072" t="str">
        <f t="shared" si="145"/>
        <v>Al Shula General Trading Co . L.L.C</v>
      </c>
      <c r="O1072" t="str">
        <f t="shared" si="146"/>
        <v>W1315473412</v>
      </c>
      <c r="P1072" t="str">
        <f t="shared" si="147"/>
        <v>BA225AC63QWE-731422</v>
      </c>
      <c r="Q1072" t="str">
        <f t="shared" si="148"/>
        <v>PO044550</v>
      </c>
      <c r="R1072" t="str">
        <f t="shared" si="149"/>
        <v>Barbie Chelsea Doll Asst (CMY16, Multicolor)</v>
      </c>
      <c r="S1072" t="str">
        <f t="shared" si="150"/>
        <v>SA972121</v>
      </c>
      <c r="T1072">
        <f t="shared" si="151"/>
        <v>1</v>
      </c>
      <c r="U1072">
        <f t="shared" si="152"/>
        <v>34</v>
      </c>
    </row>
    <row r="1073" spans="1:21" x14ac:dyDescent="0.25">
      <c r="A1073">
        <f t="shared" si="144"/>
        <v>37</v>
      </c>
      <c r="C1073" t="s">
        <v>5085</v>
      </c>
      <c r="D1073" t="s">
        <v>5086</v>
      </c>
      <c r="E1073" t="s">
        <v>5088</v>
      </c>
      <c r="F1073" t="s">
        <v>5087</v>
      </c>
      <c r="G1073" t="s">
        <v>5084</v>
      </c>
      <c r="H1073" s="2">
        <v>1</v>
      </c>
      <c r="I1073" s="2">
        <v>104</v>
      </c>
      <c r="N1073" t="str">
        <f t="shared" si="145"/>
        <v>Al Shula General Trading Co . L.L.C</v>
      </c>
      <c r="O1073" t="str">
        <f t="shared" si="146"/>
        <v>W1315473505</v>
      </c>
      <c r="P1073" t="str">
        <f t="shared" si="147"/>
        <v>HO801AC54RAJ-731531</v>
      </c>
      <c r="Q1073" t="str">
        <f t="shared" si="148"/>
        <v>PO044727</v>
      </c>
      <c r="R1073" t="str">
        <f t="shared" si="149"/>
        <v>Mega Hauler Truck (CKC09, multicolor)</v>
      </c>
      <c r="S1073" t="str">
        <f t="shared" si="150"/>
        <v>SA973938</v>
      </c>
      <c r="T1073">
        <f t="shared" si="151"/>
        <v>1</v>
      </c>
      <c r="U1073">
        <f t="shared" si="152"/>
        <v>104</v>
      </c>
    </row>
    <row r="1074" spans="1:21" x14ac:dyDescent="0.25">
      <c r="A1074">
        <f t="shared" si="144"/>
        <v>37</v>
      </c>
      <c r="G1074" t="s">
        <v>5089</v>
      </c>
      <c r="H1074" s="2">
        <v>1</v>
      </c>
      <c r="I1074" s="2">
        <v>104</v>
      </c>
      <c r="N1074" t="str">
        <f t="shared" si="145"/>
        <v>Al Shula General Trading Co . L.L.C</v>
      </c>
      <c r="O1074" t="str">
        <f t="shared" si="146"/>
        <v>W1315473505</v>
      </c>
      <c r="P1074" t="str">
        <f t="shared" si="147"/>
        <v>HO801AC54RAJ-731531</v>
      </c>
      <c r="Q1074" t="str">
        <f t="shared" si="148"/>
        <v>PO044727</v>
      </c>
      <c r="R1074" t="str">
        <f t="shared" si="149"/>
        <v>Mega Hauler Truck (CKC09, multicolor)</v>
      </c>
      <c r="S1074" t="str">
        <f t="shared" si="150"/>
        <v>SA973939</v>
      </c>
      <c r="T1074">
        <f t="shared" si="151"/>
        <v>1</v>
      </c>
      <c r="U1074">
        <f t="shared" si="152"/>
        <v>104</v>
      </c>
    </row>
    <row r="1075" spans="1:21" x14ac:dyDescent="0.25">
      <c r="A1075">
        <f t="shared" si="144"/>
        <v>37</v>
      </c>
      <c r="E1075" t="s">
        <v>5582</v>
      </c>
      <c r="F1075" t="s">
        <v>5087</v>
      </c>
      <c r="G1075" t="s">
        <v>5936</v>
      </c>
      <c r="H1075" s="2">
        <v>1</v>
      </c>
      <c r="I1075" s="2">
        <v>104</v>
      </c>
      <c r="N1075" t="str">
        <f t="shared" si="145"/>
        <v>Al Shula General Trading Co . L.L.C</v>
      </c>
      <c r="O1075" t="str">
        <f t="shared" si="146"/>
        <v>W1315473505</v>
      </c>
      <c r="P1075" t="str">
        <f t="shared" si="147"/>
        <v>HO801AC54RAJ-731531</v>
      </c>
      <c r="Q1075" t="str">
        <f t="shared" si="148"/>
        <v>PO044942</v>
      </c>
      <c r="R1075" t="str">
        <f t="shared" si="149"/>
        <v>Mega Hauler Truck (CKC09, multicolor)</v>
      </c>
      <c r="S1075" t="str">
        <f t="shared" si="150"/>
        <v>SA981990</v>
      </c>
      <c r="T1075">
        <f t="shared" si="151"/>
        <v>1</v>
      </c>
      <c r="U1075">
        <f t="shared" si="152"/>
        <v>104</v>
      </c>
    </row>
    <row r="1076" spans="1:21" x14ac:dyDescent="0.25">
      <c r="A1076">
        <f t="shared" si="144"/>
        <v>37</v>
      </c>
      <c r="C1076" t="s">
        <v>5299</v>
      </c>
      <c r="D1076" t="s">
        <v>5300</v>
      </c>
      <c r="E1076" t="s">
        <v>5088</v>
      </c>
      <c r="F1076" t="s">
        <v>5301</v>
      </c>
      <c r="G1076" t="s">
        <v>5298</v>
      </c>
      <c r="H1076" s="2">
        <v>1</v>
      </c>
      <c r="I1076" s="2">
        <v>69</v>
      </c>
      <c r="N1076" t="str">
        <f t="shared" si="145"/>
        <v>Al Shula General Trading Co . L.L.C</v>
      </c>
      <c r="O1076" t="str">
        <f t="shared" si="146"/>
        <v>W1315473369</v>
      </c>
      <c r="P1076" t="str">
        <f t="shared" si="147"/>
        <v>BA225AC15QUE-731370</v>
      </c>
      <c r="Q1076" t="str">
        <f t="shared" si="148"/>
        <v>PO044727</v>
      </c>
      <c r="R1076" t="str">
        <f t="shared" si="149"/>
        <v>Barbie Spy Squad - Ken Doll (DHF19, Multicolor)</v>
      </c>
      <c r="S1076" t="str">
        <f t="shared" si="150"/>
        <v>SA976288</v>
      </c>
      <c r="T1076">
        <f t="shared" si="151"/>
        <v>1</v>
      </c>
      <c r="U1076">
        <f t="shared" si="152"/>
        <v>69</v>
      </c>
    </row>
    <row r="1077" spans="1:21" x14ac:dyDescent="0.25">
      <c r="A1077">
        <f t="shared" si="144"/>
        <v>37</v>
      </c>
      <c r="C1077" t="s">
        <v>5303</v>
      </c>
      <c r="D1077" t="s">
        <v>5304</v>
      </c>
      <c r="E1077" t="s">
        <v>5088</v>
      </c>
      <c r="F1077" t="s">
        <v>5305</v>
      </c>
      <c r="G1077" t="s">
        <v>5302</v>
      </c>
      <c r="H1077" s="2">
        <v>1</v>
      </c>
      <c r="I1077" s="2">
        <v>69</v>
      </c>
      <c r="N1077" t="str">
        <f t="shared" si="145"/>
        <v>Al Shula General Trading Co . L.L.C</v>
      </c>
      <c r="O1077" t="str">
        <f t="shared" si="146"/>
        <v>W1315473717</v>
      </c>
      <c r="P1077" t="str">
        <f t="shared" si="147"/>
        <v>FI983AC13RJQ-731772</v>
      </c>
      <c r="Q1077" t="str">
        <f t="shared" si="148"/>
        <v>PO044727</v>
      </c>
      <c r="R1077" t="str">
        <f t="shared" si="149"/>
        <v>Bm DC - 12" Figure Heroes Asst (CDM61 Multicolor)</v>
      </c>
      <c r="S1077" t="str">
        <f t="shared" si="150"/>
        <v>SA976290</v>
      </c>
      <c r="T1077">
        <f t="shared" si="151"/>
        <v>1</v>
      </c>
      <c r="U1077">
        <f t="shared" si="152"/>
        <v>69</v>
      </c>
    </row>
    <row r="1078" spans="1:21" x14ac:dyDescent="0.25">
      <c r="A1078">
        <f t="shared" si="144"/>
        <v>37</v>
      </c>
      <c r="C1078" t="s">
        <v>5307</v>
      </c>
      <c r="D1078" t="s">
        <v>5308</v>
      </c>
      <c r="E1078" t="s">
        <v>5088</v>
      </c>
      <c r="F1078" t="s">
        <v>5309</v>
      </c>
      <c r="G1078" t="s">
        <v>5306</v>
      </c>
      <c r="H1078" s="2">
        <v>1</v>
      </c>
      <c r="I1078" s="2">
        <v>62</v>
      </c>
      <c r="N1078" t="str">
        <f t="shared" si="145"/>
        <v>Al Shula General Trading Co . L.L.C</v>
      </c>
      <c r="O1078" t="str">
        <f t="shared" si="146"/>
        <v>W1315473737</v>
      </c>
      <c r="P1078" t="str">
        <f t="shared" si="147"/>
        <v>FI983AC93RKK-731792</v>
      </c>
      <c r="Q1078" t="str">
        <f t="shared" si="148"/>
        <v>PO044727</v>
      </c>
      <c r="R1078" t="str">
        <f t="shared" si="149"/>
        <v>Football Line-Elite 12 Ronaldo (DYK83 Multicolor)</v>
      </c>
      <c r="S1078" t="str">
        <f t="shared" si="150"/>
        <v>SA976294</v>
      </c>
      <c r="T1078">
        <f t="shared" si="151"/>
        <v>1</v>
      </c>
      <c r="U1078">
        <f t="shared" si="152"/>
        <v>62</v>
      </c>
    </row>
    <row r="1079" spans="1:21" x14ac:dyDescent="0.25">
      <c r="A1079">
        <f t="shared" si="144"/>
        <v>37</v>
      </c>
      <c r="C1079" t="s">
        <v>5311</v>
      </c>
      <c r="D1079" t="s">
        <v>5312</v>
      </c>
      <c r="E1079" t="s">
        <v>5088</v>
      </c>
      <c r="F1079" t="s">
        <v>5313</v>
      </c>
      <c r="G1079" t="s">
        <v>5310</v>
      </c>
      <c r="H1079" s="2">
        <v>1</v>
      </c>
      <c r="I1079" s="2">
        <v>55</v>
      </c>
      <c r="N1079" t="str">
        <f t="shared" si="145"/>
        <v>Al Shula General Trading Co . L.L.C</v>
      </c>
      <c r="O1079" t="str">
        <f t="shared" si="146"/>
        <v>W1315473715</v>
      </c>
      <c r="P1079" t="str">
        <f t="shared" si="147"/>
        <v>FI983AC15RJO-731770</v>
      </c>
      <c r="Q1079" t="str">
        <f t="shared" si="148"/>
        <v>PO044727</v>
      </c>
      <c r="R1079" t="str">
        <f t="shared" si="149"/>
        <v>Bm 6" Basic Figure Assortment (DJG28 Multicolor)</v>
      </c>
      <c r="S1079" t="str">
        <f t="shared" si="150"/>
        <v>SA976295</v>
      </c>
      <c r="T1079">
        <f t="shared" si="151"/>
        <v>1</v>
      </c>
      <c r="U1079">
        <f t="shared" si="152"/>
        <v>55</v>
      </c>
    </row>
    <row r="1080" spans="1:21" x14ac:dyDescent="0.25">
      <c r="A1080">
        <f t="shared" si="144"/>
        <v>37</v>
      </c>
      <c r="C1080" t="s">
        <v>5407</v>
      </c>
      <c r="D1080" t="s">
        <v>5408</v>
      </c>
      <c r="E1080" t="s">
        <v>5088</v>
      </c>
      <c r="F1080" t="s">
        <v>5409</v>
      </c>
      <c r="G1080" t="s">
        <v>5406</v>
      </c>
      <c r="H1080" s="2">
        <v>1</v>
      </c>
      <c r="I1080" s="2">
        <v>384</v>
      </c>
      <c r="N1080" t="str">
        <f t="shared" si="145"/>
        <v>Al Shula General Trading Co . L.L.C</v>
      </c>
      <c r="O1080" t="str">
        <f t="shared" si="146"/>
        <v>W1315473340</v>
      </c>
      <c r="P1080" t="str">
        <f t="shared" si="147"/>
        <v>FI983AC53QSS-731332</v>
      </c>
      <c r="Q1080" t="str">
        <f t="shared" si="148"/>
        <v>PO044727</v>
      </c>
      <c r="R1080" t="str">
        <f t="shared" si="149"/>
        <v>BG - Deluxe Bouncer Rainforest Friends (BCG48 Multicolor)</v>
      </c>
      <c r="S1080" t="str">
        <f t="shared" si="150"/>
        <v>SA977954</v>
      </c>
      <c r="T1080">
        <f t="shared" si="151"/>
        <v>1</v>
      </c>
      <c r="U1080">
        <f t="shared" si="152"/>
        <v>384</v>
      </c>
    </row>
    <row r="1081" spans="1:21" x14ac:dyDescent="0.25">
      <c r="A1081">
        <f t="shared" si="144"/>
        <v>37</v>
      </c>
      <c r="C1081" t="s">
        <v>5412</v>
      </c>
      <c r="D1081" t="s">
        <v>5413</v>
      </c>
      <c r="E1081" t="s">
        <v>5088</v>
      </c>
      <c r="F1081" t="s">
        <v>5414</v>
      </c>
      <c r="G1081" t="s">
        <v>5411</v>
      </c>
      <c r="H1081" s="2">
        <v>1</v>
      </c>
      <c r="I1081" s="2">
        <v>27</v>
      </c>
      <c r="N1081" t="str">
        <f t="shared" si="145"/>
        <v>Al Shula General Trading Co . L.L.C</v>
      </c>
      <c r="O1081" t="str">
        <f t="shared" si="146"/>
        <v>W1315473484</v>
      </c>
      <c r="P1081" t="str">
        <f t="shared" si="147"/>
        <v>HO801AC80QZJ-731505</v>
      </c>
      <c r="Q1081" t="str">
        <f t="shared" si="148"/>
        <v>PO044727</v>
      </c>
      <c r="R1081" t="str">
        <f t="shared" si="149"/>
        <v>Marvel's Heroes Car Assortment (BDM71, multicolor)</v>
      </c>
      <c r="S1081" t="str">
        <f t="shared" si="150"/>
        <v>SA977978</v>
      </c>
      <c r="T1081">
        <f t="shared" si="151"/>
        <v>1</v>
      </c>
      <c r="U1081">
        <f t="shared" si="152"/>
        <v>27</v>
      </c>
    </row>
    <row r="1082" spans="1:21" x14ac:dyDescent="0.25">
      <c r="A1082">
        <f t="shared" si="144"/>
        <v>37</v>
      </c>
      <c r="G1082" t="s">
        <v>5583</v>
      </c>
      <c r="H1082" s="2">
        <v>1</v>
      </c>
      <c r="I1082" s="2">
        <v>27</v>
      </c>
      <c r="N1082" t="str">
        <f t="shared" si="145"/>
        <v>Al Shula General Trading Co . L.L.C</v>
      </c>
      <c r="O1082" t="str">
        <f t="shared" si="146"/>
        <v>W1315473484</v>
      </c>
      <c r="P1082" t="str">
        <f t="shared" si="147"/>
        <v>HO801AC80QZJ-731505</v>
      </c>
      <c r="Q1082" t="str">
        <f t="shared" si="148"/>
        <v>PO044727</v>
      </c>
      <c r="R1082" t="str">
        <f t="shared" si="149"/>
        <v>Marvel's Heroes Car Assortment (BDM71, multicolor)</v>
      </c>
      <c r="S1082" t="str">
        <f t="shared" si="150"/>
        <v>SA979899</v>
      </c>
      <c r="T1082">
        <f t="shared" si="151"/>
        <v>1</v>
      </c>
      <c r="U1082">
        <f t="shared" si="152"/>
        <v>27</v>
      </c>
    </row>
    <row r="1083" spans="1:21" x14ac:dyDescent="0.25">
      <c r="A1083">
        <f t="shared" si="144"/>
        <v>37</v>
      </c>
      <c r="C1083" t="s">
        <v>5417</v>
      </c>
      <c r="D1083" t="s">
        <v>5418</v>
      </c>
      <c r="E1083" t="s">
        <v>5088</v>
      </c>
      <c r="F1083" t="s">
        <v>5419</v>
      </c>
      <c r="G1083" t="s">
        <v>5416</v>
      </c>
      <c r="H1083" s="2">
        <v>1</v>
      </c>
      <c r="I1083" s="2">
        <v>20</v>
      </c>
      <c r="N1083" t="str">
        <f t="shared" si="145"/>
        <v>Al Shula General Trading Co . L.L.C</v>
      </c>
      <c r="O1083" t="str">
        <f t="shared" si="146"/>
        <v>W1315473523</v>
      </c>
      <c r="P1083" t="str">
        <f t="shared" si="147"/>
        <v>MA802AC36RBB-731549</v>
      </c>
      <c r="Q1083" t="str">
        <f t="shared" si="148"/>
        <v>PO044727</v>
      </c>
      <c r="R1083" t="str">
        <f t="shared" si="149"/>
        <v>3-Pack Assortment (C3713, multicolor)</v>
      </c>
      <c r="S1083" t="str">
        <f t="shared" si="150"/>
        <v>SA977980</v>
      </c>
      <c r="T1083">
        <f t="shared" si="151"/>
        <v>1</v>
      </c>
      <c r="U1083">
        <f t="shared" si="152"/>
        <v>20</v>
      </c>
    </row>
    <row r="1084" spans="1:21" x14ac:dyDescent="0.25">
      <c r="A1084">
        <f t="shared" si="144"/>
        <v>37</v>
      </c>
      <c r="C1084" t="s">
        <v>5421</v>
      </c>
      <c r="D1084" t="s">
        <v>5422</v>
      </c>
      <c r="E1084" t="s">
        <v>5088</v>
      </c>
      <c r="F1084" t="s">
        <v>5423</v>
      </c>
      <c r="G1084" t="s">
        <v>5420</v>
      </c>
      <c r="H1084" s="2">
        <v>1</v>
      </c>
      <c r="I1084" s="2">
        <v>34</v>
      </c>
      <c r="N1084" t="str">
        <f t="shared" si="145"/>
        <v>Al Shula General Trading Co . L.L.C</v>
      </c>
      <c r="O1084" t="str">
        <f t="shared" si="146"/>
        <v>W1315473464</v>
      </c>
      <c r="P1084" t="str">
        <f t="shared" si="147"/>
        <v>HO801AC00QYP-731485</v>
      </c>
      <c r="Q1084" t="str">
        <f t="shared" si="148"/>
        <v>PO044727</v>
      </c>
      <c r="R1084" t="str">
        <f t="shared" si="149"/>
        <v>Basic Car Pack of 5 (DJG23, multicolor)</v>
      </c>
      <c r="S1084" t="str">
        <f t="shared" si="150"/>
        <v>SA977983</v>
      </c>
      <c r="T1084">
        <f t="shared" si="151"/>
        <v>1</v>
      </c>
      <c r="U1084">
        <f t="shared" si="152"/>
        <v>34</v>
      </c>
    </row>
    <row r="1085" spans="1:21" x14ac:dyDescent="0.25">
      <c r="A1085">
        <f t="shared" si="144"/>
        <v>37</v>
      </c>
      <c r="C1085" t="s">
        <v>5585</v>
      </c>
      <c r="D1085" t="s">
        <v>5586</v>
      </c>
      <c r="E1085" t="s">
        <v>5088</v>
      </c>
      <c r="F1085" t="s">
        <v>5587</v>
      </c>
      <c r="G1085" t="s">
        <v>5584</v>
      </c>
      <c r="H1085" s="2">
        <v>1</v>
      </c>
      <c r="I1085" s="2">
        <v>11</v>
      </c>
      <c r="N1085" t="str">
        <f t="shared" si="145"/>
        <v>Al Shula General Trading Co . L.L.C</v>
      </c>
      <c r="O1085" t="str">
        <f t="shared" si="146"/>
        <v>W1315473470</v>
      </c>
      <c r="P1085" t="str">
        <f t="shared" si="147"/>
        <v>HO801AC94QYV-731491</v>
      </c>
      <c r="Q1085" t="str">
        <f t="shared" si="148"/>
        <v>PO044727</v>
      </c>
      <c r="R1085" t="str">
        <f t="shared" si="149"/>
        <v>Hot Wheels Themed Car Soccer Asst (DJL38, Multicolor)</v>
      </c>
      <c r="S1085" t="str">
        <f t="shared" si="150"/>
        <v>SA979900</v>
      </c>
      <c r="T1085">
        <f t="shared" si="151"/>
        <v>1</v>
      </c>
      <c r="U1085">
        <f t="shared" si="152"/>
        <v>11</v>
      </c>
    </row>
    <row r="1086" spans="1:21" x14ac:dyDescent="0.25">
      <c r="A1086">
        <f t="shared" si="144"/>
        <v>37</v>
      </c>
      <c r="C1086" t="s">
        <v>5629</v>
      </c>
      <c r="D1086" t="s">
        <v>5630</v>
      </c>
      <c r="E1086" t="s">
        <v>5088</v>
      </c>
      <c r="F1086" t="s">
        <v>5631</v>
      </c>
      <c r="G1086" t="s">
        <v>5628</v>
      </c>
      <c r="H1086" s="2">
        <v>1</v>
      </c>
      <c r="I1086" s="2">
        <v>69</v>
      </c>
      <c r="N1086" t="str">
        <f t="shared" si="145"/>
        <v>Al Shula General Trading Co . L.L.C</v>
      </c>
      <c r="O1086" t="str">
        <f t="shared" si="146"/>
        <v>W1315473479</v>
      </c>
      <c r="P1086" t="str">
        <f t="shared" si="147"/>
        <v>HO801AC85QZE-731500</v>
      </c>
      <c r="Q1086" t="str">
        <f t="shared" si="148"/>
        <v>PO044727</v>
      </c>
      <c r="R1086" t="str">
        <f t="shared" si="149"/>
        <v>Crashing Big Rigs Set (Y1868, multicolor)</v>
      </c>
      <c r="S1086" t="str">
        <f t="shared" si="150"/>
        <v>SA980269</v>
      </c>
      <c r="T1086">
        <f t="shared" si="151"/>
        <v>1</v>
      </c>
      <c r="U1086">
        <f t="shared" si="152"/>
        <v>69</v>
      </c>
    </row>
    <row r="1087" spans="1:21" x14ac:dyDescent="0.25">
      <c r="A1087">
        <f t="shared" si="144"/>
        <v>37</v>
      </c>
      <c r="C1087" t="s">
        <v>5646</v>
      </c>
      <c r="D1087" t="s">
        <v>5647</v>
      </c>
      <c r="E1087" t="s">
        <v>5088</v>
      </c>
      <c r="F1087" t="s">
        <v>5648</v>
      </c>
      <c r="G1087" t="s">
        <v>5645</v>
      </c>
      <c r="H1087" s="2">
        <v>1</v>
      </c>
      <c r="I1087" s="2">
        <v>11</v>
      </c>
      <c r="N1087" t="str">
        <f t="shared" si="145"/>
        <v>Al Shula General Trading Co . L.L.C</v>
      </c>
      <c r="O1087" t="str">
        <f t="shared" si="146"/>
        <v>W1315473653</v>
      </c>
      <c r="P1087" t="str">
        <f t="shared" si="147"/>
        <v>FI983AC75RHG-731710</v>
      </c>
      <c r="Q1087" t="str">
        <f t="shared" si="148"/>
        <v>PO044727</v>
      </c>
      <c r="R1087" t="str">
        <f t="shared" si="149"/>
        <v>Thomas &amp; Friends - Cargo Car Assortment (BHR85 Multicolor)</v>
      </c>
      <c r="S1087" t="str">
        <f t="shared" si="150"/>
        <v>SA980340</v>
      </c>
      <c r="T1087">
        <f t="shared" si="151"/>
        <v>1</v>
      </c>
      <c r="U1087">
        <f t="shared" si="152"/>
        <v>11</v>
      </c>
    </row>
    <row r="1088" spans="1:21" x14ac:dyDescent="0.25">
      <c r="A1088">
        <f t="shared" si="144"/>
        <v>37</v>
      </c>
      <c r="G1088" t="s">
        <v>5649</v>
      </c>
      <c r="H1088" s="2">
        <v>1</v>
      </c>
      <c r="I1088" s="2">
        <v>11</v>
      </c>
      <c r="N1088" t="str">
        <f t="shared" si="145"/>
        <v>Al Shula General Trading Co . L.L.C</v>
      </c>
      <c r="O1088" t="str">
        <f t="shared" si="146"/>
        <v>W1315473653</v>
      </c>
      <c r="P1088" t="str">
        <f t="shared" si="147"/>
        <v>FI983AC75RHG-731710</v>
      </c>
      <c r="Q1088" t="str">
        <f t="shared" si="148"/>
        <v>PO044727</v>
      </c>
      <c r="R1088" t="str">
        <f t="shared" si="149"/>
        <v>Thomas &amp; Friends - Cargo Car Assortment (BHR85 Multicolor)</v>
      </c>
      <c r="S1088" t="str">
        <f t="shared" si="150"/>
        <v>SA980341</v>
      </c>
      <c r="T1088">
        <f t="shared" si="151"/>
        <v>1</v>
      </c>
      <c r="U1088">
        <f t="shared" si="152"/>
        <v>11</v>
      </c>
    </row>
    <row r="1089" spans="1:21" x14ac:dyDescent="0.25">
      <c r="A1089">
        <f t="shared" si="144"/>
        <v>37</v>
      </c>
      <c r="C1089" t="s">
        <v>5656</v>
      </c>
      <c r="D1089" t="s">
        <v>5657</v>
      </c>
      <c r="E1089" t="s">
        <v>5088</v>
      </c>
      <c r="F1089" t="s">
        <v>5658</v>
      </c>
      <c r="G1089" t="s">
        <v>5655</v>
      </c>
      <c r="H1089" s="2">
        <v>1</v>
      </c>
      <c r="I1089" s="2">
        <v>328</v>
      </c>
      <c r="N1089" t="str">
        <f t="shared" si="145"/>
        <v>Al Shula General Trading Co . L.L.C</v>
      </c>
      <c r="O1089" t="str">
        <f t="shared" si="146"/>
        <v>W1315473377</v>
      </c>
      <c r="P1089" t="str">
        <f t="shared" si="147"/>
        <v>BA225AC07QUM-731378</v>
      </c>
      <c r="Q1089" t="str">
        <f t="shared" si="148"/>
        <v>PO044727</v>
      </c>
      <c r="R1089" t="str">
        <f t="shared" si="149"/>
        <v>Volkswagen Beetle and Doll Playset (BJP37, pink)</v>
      </c>
      <c r="S1089" t="str">
        <f t="shared" si="150"/>
        <v>SA980356</v>
      </c>
      <c r="T1089">
        <f t="shared" si="151"/>
        <v>1</v>
      </c>
      <c r="U1089">
        <f t="shared" si="152"/>
        <v>328</v>
      </c>
    </row>
    <row r="1090" spans="1:21" x14ac:dyDescent="0.25">
      <c r="A1090">
        <f t="shared" si="144"/>
        <v>37</v>
      </c>
      <c r="C1090" t="s">
        <v>5669</v>
      </c>
      <c r="D1090" t="s">
        <v>5670</v>
      </c>
      <c r="E1090" t="s">
        <v>5088</v>
      </c>
      <c r="F1090" t="s">
        <v>5671</v>
      </c>
      <c r="G1090" t="s">
        <v>5668</v>
      </c>
      <c r="H1090" s="2">
        <v>1</v>
      </c>
      <c r="I1090" s="2">
        <v>55</v>
      </c>
      <c r="N1090" t="str">
        <f t="shared" si="145"/>
        <v>Al Shula General Trading Co . L.L.C</v>
      </c>
      <c r="O1090" t="str">
        <f t="shared" si="146"/>
        <v>W1315473647</v>
      </c>
      <c r="P1090" t="str">
        <f t="shared" si="147"/>
        <v>FI983AC81RHA-731704</v>
      </c>
      <c r="Q1090" t="str">
        <f t="shared" si="148"/>
        <v>PO044727</v>
      </c>
      <c r="R1090" t="str">
        <f t="shared" si="149"/>
        <v>Thomas and Friends Collectible Railway Ecl - Starter Set Assortment (BLN89, Multicolor)</v>
      </c>
      <c r="S1090" t="str">
        <f t="shared" si="150"/>
        <v>SA980428</v>
      </c>
      <c r="T1090">
        <f t="shared" si="151"/>
        <v>1</v>
      </c>
      <c r="U1090">
        <f t="shared" si="152"/>
        <v>55</v>
      </c>
    </row>
    <row r="1091" spans="1:21" x14ac:dyDescent="0.25">
      <c r="A1091">
        <f t="shared" si="144"/>
        <v>37</v>
      </c>
      <c r="C1091" t="s">
        <v>5757</v>
      </c>
      <c r="D1091" t="s">
        <v>5758</v>
      </c>
      <c r="E1091" t="s">
        <v>5088</v>
      </c>
      <c r="F1091" t="s">
        <v>5759</v>
      </c>
      <c r="G1091" t="s">
        <v>5756</v>
      </c>
      <c r="H1091" s="2">
        <v>1</v>
      </c>
      <c r="I1091" s="2">
        <v>90</v>
      </c>
      <c r="N1091" t="str">
        <f t="shared" si="145"/>
        <v>Al Shula General Trading Co . L.L.C</v>
      </c>
      <c r="O1091" t="str">
        <f t="shared" si="146"/>
        <v>W1315473613</v>
      </c>
      <c r="P1091" t="str">
        <f t="shared" si="147"/>
        <v>FI983AC23RFK-731662</v>
      </c>
      <c r="Q1091" t="str">
        <f t="shared" si="148"/>
        <v>PO044727</v>
      </c>
      <c r="R1091" t="str">
        <f t="shared" si="149"/>
        <v>Laugh and Learn - Smart Stages Grey Tablet (CDG33, Multicolor)</v>
      </c>
      <c r="S1091" t="str">
        <f t="shared" si="150"/>
        <v>SA980693</v>
      </c>
      <c r="T1091">
        <f t="shared" si="151"/>
        <v>1</v>
      </c>
      <c r="U1091">
        <f t="shared" si="152"/>
        <v>90</v>
      </c>
    </row>
    <row r="1092" spans="1:21" x14ac:dyDescent="0.25">
      <c r="A1092">
        <f t="shared" ref="A1092:A1126" si="153">IF(ISBLANK(B1092),A1091,A1091+1)</f>
        <v>37</v>
      </c>
      <c r="C1092" t="s">
        <v>5920</v>
      </c>
      <c r="D1092" t="s">
        <v>5921</v>
      </c>
      <c r="E1092" t="s">
        <v>5582</v>
      </c>
      <c r="F1092" t="s">
        <v>5922</v>
      </c>
      <c r="G1092" t="s">
        <v>5919</v>
      </c>
      <c r="H1092" s="2">
        <v>1</v>
      </c>
      <c r="I1092" s="2">
        <v>21</v>
      </c>
      <c r="N1092" t="str">
        <f t="shared" si="145"/>
        <v>Al Shula General Trading Co . L.L.C</v>
      </c>
      <c r="O1092" t="str">
        <f t="shared" si="146"/>
        <v>W1315473472</v>
      </c>
      <c r="P1092" t="str">
        <f t="shared" si="147"/>
        <v>HO801AC92QYX-731493</v>
      </c>
      <c r="Q1092" t="str">
        <f t="shared" si="148"/>
        <v>PO044942</v>
      </c>
      <c r="R1092" t="str">
        <f t="shared" si="149"/>
        <v>Basic Car Assortment Pack of 3 (K5904, multicolor)</v>
      </c>
      <c r="S1092" t="str">
        <f t="shared" si="150"/>
        <v>SA981887</v>
      </c>
      <c r="T1092">
        <f t="shared" si="151"/>
        <v>1</v>
      </c>
      <c r="U1092">
        <f t="shared" si="152"/>
        <v>21</v>
      </c>
    </row>
    <row r="1093" spans="1:21" x14ac:dyDescent="0.25">
      <c r="A1093">
        <f t="shared" si="153"/>
        <v>37</v>
      </c>
      <c r="C1093" t="s">
        <v>5985</v>
      </c>
      <c r="D1093" t="s">
        <v>5986</v>
      </c>
      <c r="E1093" t="s">
        <v>5582</v>
      </c>
      <c r="F1093" t="s">
        <v>5987</v>
      </c>
      <c r="G1093" t="s">
        <v>5984</v>
      </c>
      <c r="H1093" s="2">
        <v>1</v>
      </c>
      <c r="I1093" s="2">
        <v>132</v>
      </c>
      <c r="N1093" t="str">
        <f t="shared" si="145"/>
        <v>Al Shula General Trading Co . L.L.C</v>
      </c>
      <c r="O1093" t="str">
        <f t="shared" si="146"/>
        <v>W1315473611</v>
      </c>
      <c r="P1093" t="str">
        <f t="shared" si="147"/>
        <v>FI983AC25RFI-731660</v>
      </c>
      <c r="Q1093" t="str">
        <f t="shared" si="148"/>
        <v>PO044942</v>
      </c>
      <c r="R1093" t="str">
        <f t="shared" si="149"/>
        <v>Laugh and Learn - Grey Smart Stages Laptop (CHP03, Multicolor)</v>
      </c>
      <c r="S1093" t="str">
        <f t="shared" si="150"/>
        <v>SA982578</v>
      </c>
      <c r="T1093">
        <f t="shared" si="151"/>
        <v>1</v>
      </c>
      <c r="U1093">
        <f t="shared" si="152"/>
        <v>132</v>
      </c>
    </row>
    <row r="1094" spans="1:21" x14ac:dyDescent="0.25">
      <c r="A1094">
        <f t="shared" si="153"/>
        <v>37</v>
      </c>
      <c r="C1094" t="s">
        <v>6180</v>
      </c>
      <c r="D1094" t="s">
        <v>6181</v>
      </c>
      <c r="E1094" t="s">
        <v>5582</v>
      </c>
      <c r="F1094" t="s">
        <v>6182</v>
      </c>
      <c r="G1094" t="s">
        <v>6179</v>
      </c>
      <c r="H1094" s="2">
        <v>1</v>
      </c>
      <c r="I1094" s="2">
        <v>118</v>
      </c>
      <c r="N1094" t="str">
        <f t="shared" ref="N1094:N1126" si="154">IF(ISBLANK($A1094),"",IF(ISBLANK(B1094),N1093,B1094))</f>
        <v>Al Shula General Trading Co . L.L.C</v>
      </c>
      <c r="O1094" t="str">
        <f t="shared" ref="O1094:O1126" si="155">IF(ISBLANK($A1094),"",IF(ISBLANK(C1094),O1093,C1094))</f>
        <v>W1315473478</v>
      </c>
      <c r="P1094" t="str">
        <f t="shared" ref="P1094:P1126" si="156">IF(ISBLANK($A1094),"",IF(ISBLANK(D1094),P1093,D1094))</f>
        <v>HO801AC86QZD-731499</v>
      </c>
      <c r="Q1094" t="str">
        <f t="shared" ref="Q1094:Q1126" si="157">IF(ISBLANK($A1094),"",IF(ISBLANK(E1094),Q1093,E1094))</f>
        <v>PO044942</v>
      </c>
      <c r="R1094" t="str">
        <f t="shared" ref="R1094:R1126" si="158">IF(ISBLANK($A1094),"",IF(ISBLANK(F1094),R1093,F1094))</f>
        <v>Hot Wheels Playsets/City Theme - Color Shifters Sharkport Show (BGK04, Multicolor)</v>
      </c>
      <c r="S1094" t="str">
        <f t="shared" ref="S1094:S1126" si="159">IF(ISBLANK($A1094),"",G1094)</f>
        <v>SA984714</v>
      </c>
      <c r="T1094">
        <f t="shared" ref="T1094:T1126" si="160">IF(ISBLANK($A1094),"",H1094)</f>
        <v>1</v>
      </c>
      <c r="U1094">
        <f t="shared" ref="U1094:U1126" si="161">IF(ISBLANK($A1094),"",I1094)</f>
        <v>118</v>
      </c>
    </row>
    <row r="1095" spans="1:21" x14ac:dyDescent="0.25">
      <c r="A1095">
        <f t="shared" si="153"/>
        <v>37</v>
      </c>
      <c r="C1095" t="s">
        <v>6184</v>
      </c>
      <c r="D1095" t="s">
        <v>6185</v>
      </c>
      <c r="E1095" t="s">
        <v>5582</v>
      </c>
      <c r="F1095" t="s">
        <v>6186</v>
      </c>
      <c r="G1095" t="s">
        <v>6183</v>
      </c>
      <c r="H1095" s="2">
        <v>1</v>
      </c>
      <c r="I1095" s="2">
        <v>167</v>
      </c>
      <c r="N1095" t="str">
        <f t="shared" si="154"/>
        <v>Al Shula General Trading Co . L.L.C</v>
      </c>
      <c r="O1095" t="str">
        <f t="shared" si="155"/>
        <v>W1315473302</v>
      </c>
      <c r="P1095" t="str">
        <f t="shared" si="156"/>
        <v>FI983AC63QSI-731322</v>
      </c>
      <c r="Q1095" t="str">
        <f t="shared" si="157"/>
        <v>PO044942</v>
      </c>
      <c r="R1095" t="str">
        <f t="shared" si="158"/>
        <v>Brilliant Basics Stroll-Along Walker (M9523 Multicolor)</v>
      </c>
      <c r="S1095" t="str">
        <f t="shared" si="159"/>
        <v>SA984717</v>
      </c>
      <c r="T1095">
        <f t="shared" si="160"/>
        <v>1</v>
      </c>
      <c r="U1095">
        <f t="shared" si="161"/>
        <v>167</v>
      </c>
    </row>
    <row r="1096" spans="1:21" x14ac:dyDescent="0.25">
      <c r="A1096">
        <f t="shared" si="153"/>
        <v>38</v>
      </c>
      <c r="B1096" t="s">
        <v>2769</v>
      </c>
      <c r="C1096" t="s">
        <v>3930</v>
      </c>
      <c r="D1096" t="s">
        <v>3931</v>
      </c>
      <c r="E1096" t="s">
        <v>5255</v>
      </c>
      <c r="F1096" t="s">
        <v>3932</v>
      </c>
      <c r="G1096" t="s">
        <v>5256</v>
      </c>
      <c r="H1096" s="2">
        <v>1</v>
      </c>
      <c r="I1096" s="2">
        <v>30</v>
      </c>
      <c r="N1096" t="str">
        <f t="shared" si="154"/>
        <v>Goodhope General Trading</v>
      </c>
      <c r="O1096" t="str">
        <f t="shared" si="155"/>
        <v>W1315492436</v>
      </c>
      <c r="P1096" t="str">
        <f t="shared" si="156"/>
        <v>MI811EL18SGN-732367</v>
      </c>
      <c r="Q1096" t="str">
        <f t="shared" si="157"/>
        <v>PO044738</v>
      </c>
      <c r="R1096" t="str">
        <f t="shared" si="158"/>
        <v>Wireless Portable Speaker (X6, Blue/Black)</v>
      </c>
      <c r="S1096" t="str">
        <f t="shared" si="159"/>
        <v>SA975658</v>
      </c>
      <c r="T1096">
        <f t="shared" si="160"/>
        <v>1</v>
      </c>
      <c r="U1096">
        <f t="shared" si="161"/>
        <v>30</v>
      </c>
    </row>
    <row r="1097" spans="1:21" x14ac:dyDescent="0.25">
      <c r="A1097">
        <f t="shared" si="153"/>
        <v>38</v>
      </c>
      <c r="C1097" t="s">
        <v>5252</v>
      </c>
      <c r="D1097" t="s">
        <v>5253</v>
      </c>
      <c r="E1097" t="s">
        <v>5255</v>
      </c>
      <c r="F1097" t="s">
        <v>5254</v>
      </c>
      <c r="G1097" t="s">
        <v>5251</v>
      </c>
      <c r="H1097" s="2">
        <v>1</v>
      </c>
      <c r="I1097" s="2">
        <v>68</v>
      </c>
      <c r="N1097" t="str">
        <f t="shared" si="154"/>
        <v>Goodhope General Trading</v>
      </c>
      <c r="O1097" t="str">
        <f t="shared" si="155"/>
        <v>W1315492456</v>
      </c>
      <c r="P1097" t="str">
        <f t="shared" si="156"/>
        <v>MI811EL99SHG-732386</v>
      </c>
      <c r="Q1097" t="str">
        <f t="shared" si="157"/>
        <v>PO044738</v>
      </c>
      <c r="R1097" t="str">
        <f t="shared" si="158"/>
        <v>Wireless Portable Speaker (LC-168, Black)</v>
      </c>
      <c r="S1097" t="str">
        <f t="shared" si="159"/>
        <v>SA975608</v>
      </c>
      <c r="T1097">
        <f t="shared" si="160"/>
        <v>1</v>
      </c>
      <c r="U1097">
        <f t="shared" si="161"/>
        <v>68</v>
      </c>
    </row>
    <row r="1098" spans="1:21" x14ac:dyDescent="0.25">
      <c r="A1098">
        <f t="shared" si="153"/>
        <v>39</v>
      </c>
      <c r="B1098" t="s">
        <v>2605</v>
      </c>
      <c r="C1098" t="s">
        <v>3862</v>
      </c>
      <c r="D1098" t="s">
        <v>3863</v>
      </c>
      <c r="E1098" t="s">
        <v>6554</v>
      </c>
      <c r="F1098" t="s">
        <v>3864</v>
      </c>
      <c r="G1098" t="s">
        <v>6553</v>
      </c>
      <c r="H1098" s="2">
        <v>1</v>
      </c>
      <c r="I1098" s="2">
        <v>590</v>
      </c>
      <c r="N1098" t="str">
        <f t="shared" si="154"/>
        <v>A&amp;A INTERNATIONAL TRDADING LLC</v>
      </c>
      <c r="O1098" t="str">
        <f t="shared" si="155"/>
        <v>W1315111905</v>
      </c>
      <c r="P1098" t="str">
        <f t="shared" si="156"/>
        <v>NI841EL66ZIZ-31667</v>
      </c>
      <c r="Q1098" t="str">
        <f t="shared" si="157"/>
        <v>PO044980</v>
      </c>
      <c r="R1098" t="str">
        <f t="shared" si="158"/>
        <v>Nikon Nikkor AF-S 50mm f/1.8G, (Compatible with Nikon DSLR Cameras)</v>
      </c>
      <c r="S1098" t="str">
        <f t="shared" si="159"/>
        <v>SA988428</v>
      </c>
      <c r="T1098">
        <f t="shared" si="160"/>
        <v>1</v>
      </c>
      <c r="U1098">
        <f t="shared" si="161"/>
        <v>590</v>
      </c>
    </row>
    <row r="1099" spans="1:21" x14ac:dyDescent="0.25">
      <c r="A1099">
        <f t="shared" si="153"/>
        <v>39</v>
      </c>
      <c r="C1099" t="s">
        <v>4254</v>
      </c>
      <c r="D1099" t="s">
        <v>4255</v>
      </c>
      <c r="E1099" t="s">
        <v>6329</v>
      </c>
      <c r="F1099" t="s">
        <v>4256</v>
      </c>
      <c r="G1099" t="s">
        <v>6328</v>
      </c>
      <c r="H1099" s="2">
        <v>1</v>
      </c>
      <c r="I1099" s="2">
        <v>1900</v>
      </c>
      <c r="N1099" t="str">
        <f t="shared" si="154"/>
        <v>A&amp;A INTERNATIONAL TRDADING LLC</v>
      </c>
      <c r="O1099" t="str">
        <f t="shared" si="155"/>
        <v>W1315111908</v>
      </c>
      <c r="P1099" t="str">
        <f t="shared" si="156"/>
        <v>NI841EL69HIO-37064</v>
      </c>
      <c r="Q1099" t="str">
        <f t="shared" si="157"/>
        <v>PO044919</v>
      </c>
      <c r="R1099" t="str">
        <f t="shared" si="158"/>
        <v>Nikon D5500 with 18-55 mm Lens DSLR- Black</v>
      </c>
      <c r="S1099" t="str">
        <f t="shared" si="159"/>
        <v>SA986121</v>
      </c>
      <c r="T1099">
        <f t="shared" si="160"/>
        <v>1</v>
      </c>
      <c r="U1099">
        <f t="shared" si="161"/>
        <v>1900</v>
      </c>
    </row>
    <row r="1100" spans="1:21" x14ac:dyDescent="0.25">
      <c r="A1100">
        <f t="shared" si="153"/>
        <v>40</v>
      </c>
      <c r="B1100" t="s">
        <v>377</v>
      </c>
      <c r="C1100" t="s">
        <v>5964</v>
      </c>
      <c r="D1100" t="s">
        <v>5965</v>
      </c>
      <c r="E1100" t="s">
        <v>5966</v>
      </c>
      <c r="F1100" t="s">
        <v>4043</v>
      </c>
      <c r="G1100" t="s">
        <v>5963</v>
      </c>
      <c r="H1100" s="2">
        <v>1</v>
      </c>
      <c r="I1100" s="2">
        <v>99</v>
      </c>
      <c r="N1100" t="str">
        <f t="shared" si="154"/>
        <v>Vestis International FZC</v>
      </c>
      <c r="O1100" t="str">
        <f t="shared" si="155"/>
        <v>W1315301911</v>
      </c>
      <c r="P1100" t="str">
        <f t="shared" si="156"/>
        <v>KA662AT58GOJ-516314</v>
      </c>
      <c r="Q1100" t="str">
        <f t="shared" si="157"/>
        <v>PO044836</v>
      </c>
      <c r="R1100" t="str">
        <f t="shared" si="158"/>
        <v>Classic Fit Mist Blue Polo T-Shirt</v>
      </c>
      <c r="S1100" t="str">
        <f t="shared" si="159"/>
        <v>SA982366</v>
      </c>
      <c r="T1100">
        <f t="shared" si="160"/>
        <v>1</v>
      </c>
      <c r="U1100">
        <f t="shared" si="161"/>
        <v>99</v>
      </c>
    </row>
    <row r="1101" spans="1:21" x14ac:dyDescent="0.25">
      <c r="A1101">
        <f t="shared" si="153"/>
        <v>40</v>
      </c>
      <c r="C1101" t="s">
        <v>6385</v>
      </c>
      <c r="D1101" t="s">
        <v>6386</v>
      </c>
      <c r="E1101" t="s">
        <v>6388</v>
      </c>
      <c r="F1101" t="s">
        <v>6387</v>
      </c>
      <c r="G1101" t="s">
        <v>6384</v>
      </c>
      <c r="H1101" s="2">
        <v>1</v>
      </c>
      <c r="I1101" s="2">
        <v>99</v>
      </c>
      <c r="N1101" t="str">
        <f t="shared" si="154"/>
        <v>Vestis International FZC</v>
      </c>
      <c r="O1101" t="str">
        <f t="shared" si="155"/>
        <v>W1315131889</v>
      </c>
      <c r="P1101" t="str">
        <f t="shared" si="156"/>
        <v>KA662AT17IAW-63230</v>
      </c>
      <c r="Q1101" t="str">
        <f t="shared" si="157"/>
        <v>PO044952</v>
      </c>
      <c r="R1101" t="str">
        <f t="shared" si="158"/>
        <v>Kal Jacobs Blue Cotton and Elastane Classic Polo T Shirt</v>
      </c>
      <c r="S1101" t="str">
        <f t="shared" si="159"/>
        <v>SA986540</v>
      </c>
      <c r="T1101">
        <f t="shared" si="160"/>
        <v>1</v>
      </c>
      <c r="U1101">
        <f t="shared" si="161"/>
        <v>99</v>
      </c>
    </row>
    <row r="1102" spans="1:21" x14ac:dyDescent="0.25">
      <c r="A1102">
        <f t="shared" si="153"/>
        <v>40</v>
      </c>
      <c r="C1102" t="s">
        <v>6543</v>
      </c>
      <c r="D1102" t="s">
        <v>6544</v>
      </c>
      <c r="E1102" t="s">
        <v>6388</v>
      </c>
      <c r="F1102" t="s">
        <v>6545</v>
      </c>
      <c r="G1102" t="s">
        <v>6542</v>
      </c>
      <c r="H1102" s="2">
        <v>1</v>
      </c>
      <c r="I1102" s="2">
        <v>100</v>
      </c>
      <c r="N1102" t="str">
        <f t="shared" si="154"/>
        <v>Vestis International FZC</v>
      </c>
      <c r="O1102" t="str">
        <f t="shared" si="155"/>
        <v>W1315301719</v>
      </c>
      <c r="P1102" t="str">
        <f t="shared" si="156"/>
        <v>KA662AT81GNM-516122</v>
      </c>
      <c r="Q1102" t="str">
        <f t="shared" si="157"/>
        <v>PO044952</v>
      </c>
      <c r="R1102" t="str">
        <f t="shared" si="158"/>
        <v>Regular Fit White Pinpoint Oxford Cotton Shirt</v>
      </c>
      <c r="S1102" t="str">
        <f t="shared" si="159"/>
        <v>SA988327</v>
      </c>
      <c r="T1102">
        <f t="shared" si="160"/>
        <v>1</v>
      </c>
      <c r="U1102">
        <f t="shared" si="161"/>
        <v>100</v>
      </c>
    </row>
    <row r="1103" spans="1:21" x14ac:dyDescent="0.25">
      <c r="A1103">
        <f t="shared" si="153"/>
        <v>41</v>
      </c>
      <c r="B1103" t="s">
        <v>1685</v>
      </c>
      <c r="C1103" t="s">
        <v>6266</v>
      </c>
      <c r="D1103" t="s">
        <v>6267</v>
      </c>
      <c r="E1103" t="s">
        <v>6269</v>
      </c>
      <c r="F1103" t="s">
        <v>6268</v>
      </c>
      <c r="G1103" t="s">
        <v>6265</v>
      </c>
      <c r="H1103" s="2">
        <v>1</v>
      </c>
      <c r="I1103" s="2">
        <v>500</v>
      </c>
      <c r="N1103" t="str">
        <f t="shared" si="154"/>
        <v>Gulf Sources FZCO</v>
      </c>
      <c r="O1103" t="str">
        <f t="shared" si="155"/>
        <v>W1315434403</v>
      </c>
      <c r="P1103" t="str">
        <f t="shared" si="156"/>
        <v>UL555EL20OET-688101</v>
      </c>
      <c r="Q1103" t="str">
        <f t="shared" si="157"/>
        <v>PO044924</v>
      </c>
      <c r="R1103" t="str">
        <f t="shared" si="158"/>
        <v>BOOM 2 Bluetooth Waterproof Speakers (Bubbly)</v>
      </c>
      <c r="S1103" t="str">
        <f t="shared" si="159"/>
        <v>SA985612</v>
      </c>
      <c r="T1103">
        <f t="shared" si="160"/>
        <v>1</v>
      </c>
      <c r="U1103">
        <f t="shared" si="161"/>
        <v>500</v>
      </c>
    </row>
    <row r="1104" spans="1:21" x14ac:dyDescent="0.25">
      <c r="A1104">
        <f t="shared" si="153"/>
        <v>42</v>
      </c>
      <c r="B1104" t="s">
        <v>387</v>
      </c>
      <c r="C1104" t="s">
        <v>4040</v>
      </c>
      <c r="D1104" t="s">
        <v>4041</v>
      </c>
      <c r="E1104" t="s">
        <v>4426</v>
      </c>
      <c r="F1104" t="s">
        <v>4042</v>
      </c>
      <c r="G1104" t="s">
        <v>4425</v>
      </c>
      <c r="H1104" s="2">
        <v>1</v>
      </c>
      <c r="I1104" s="2">
        <v>120</v>
      </c>
      <c r="N1104" t="str">
        <f t="shared" si="154"/>
        <v>Al Wifaq Genral Trading LLC</v>
      </c>
      <c r="O1104" t="str">
        <f t="shared" si="155"/>
        <v>W1315130258</v>
      </c>
      <c r="P1104" t="str">
        <f t="shared" si="156"/>
        <v>CA511AC76YIP-56225</v>
      </c>
      <c r="Q1104" t="str">
        <f t="shared" si="157"/>
        <v>PO044635</v>
      </c>
      <c r="R1104" t="str">
        <f t="shared" si="158"/>
        <v>Casio Youth Series (Digital, AW-82D-7AVDF, Men)</v>
      </c>
      <c r="S1104" t="str">
        <f t="shared" si="159"/>
        <v>SA971345</v>
      </c>
      <c r="T1104">
        <f t="shared" si="160"/>
        <v>1</v>
      </c>
      <c r="U1104">
        <f t="shared" si="161"/>
        <v>120</v>
      </c>
    </row>
    <row r="1105" spans="1:21" x14ac:dyDescent="0.25">
      <c r="A1105">
        <f t="shared" si="153"/>
        <v>42</v>
      </c>
      <c r="E1105" t="s">
        <v>4926</v>
      </c>
      <c r="F1105" t="s">
        <v>4042</v>
      </c>
      <c r="G1105" t="s">
        <v>4039</v>
      </c>
      <c r="H1105" s="2">
        <v>1</v>
      </c>
      <c r="I1105" s="2">
        <v>120</v>
      </c>
      <c r="N1105" t="str">
        <f t="shared" si="154"/>
        <v>Al Wifaq Genral Trading LLC</v>
      </c>
      <c r="O1105" t="str">
        <f t="shared" si="155"/>
        <v>W1315130258</v>
      </c>
      <c r="P1105" t="str">
        <f t="shared" si="156"/>
        <v>CA511AC76YIP-56225</v>
      </c>
      <c r="Q1105" t="str">
        <f t="shared" si="157"/>
        <v>PO044959</v>
      </c>
      <c r="R1105" t="str">
        <f t="shared" si="158"/>
        <v>Casio Youth Series (Digital, AW-82D-7AVDF, Men)</v>
      </c>
      <c r="S1105" t="str">
        <f t="shared" si="159"/>
        <v>SA964468</v>
      </c>
      <c r="T1105">
        <f t="shared" si="160"/>
        <v>1</v>
      </c>
      <c r="U1105">
        <f t="shared" si="161"/>
        <v>120</v>
      </c>
    </row>
    <row r="1106" spans="1:21" x14ac:dyDescent="0.25">
      <c r="A1106">
        <f t="shared" si="153"/>
        <v>42</v>
      </c>
      <c r="C1106" t="s">
        <v>4433</v>
      </c>
      <c r="D1106" t="s">
        <v>4434</v>
      </c>
      <c r="E1106" t="s">
        <v>4426</v>
      </c>
      <c r="F1106" t="s">
        <v>4967</v>
      </c>
      <c r="G1106" t="s">
        <v>4432</v>
      </c>
      <c r="H1106" s="2">
        <v>1</v>
      </c>
      <c r="I1106" s="2">
        <v>195</v>
      </c>
      <c r="N1106" t="str">
        <f t="shared" si="154"/>
        <v>Al Wifaq Genral Trading LLC</v>
      </c>
      <c r="O1106" t="str">
        <f t="shared" si="155"/>
        <v>W1315249198</v>
      </c>
      <c r="P1106" t="str">
        <f t="shared" si="156"/>
        <v>CA511AC30YAJ-508580</v>
      </c>
      <c r="Q1106" t="str">
        <f t="shared" si="157"/>
        <v>PO044635</v>
      </c>
      <c r="R1106" t="str">
        <f t="shared" si="158"/>
        <v>Edifice EF-129D-7AVUDF for Men (Analog-Chronograph Watch Silver)</v>
      </c>
      <c r="S1106" t="str">
        <f t="shared" si="159"/>
        <v>SA971499</v>
      </c>
      <c r="T1106">
        <f t="shared" si="160"/>
        <v>1</v>
      </c>
      <c r="U1106">
        <f t="shared" si="161"/>
        <v>195</v>
      </c>
    </row>
    <row r="1107" spans="1:21" x14ac:dyDescent="0.25">
      <c r="A1107">
        <f t="shared" si="153"/>
        <v>42</v>
      </c>
      <c r="E1107" t="s">
        <v>4926</v>
      </c>
      <c r="F1107" t="s">
        <v>4967</v>
      </c>
      <c r="G1107" t="s">
        <v>6363</v>
      </c>
      <c r="H1107" s="2">
        <v>1</v>
      </c>
      <c r="I1107" s="2">
        <v>195</v>
      </c>
      <c r="N1107" t="str">
        <f t="shared" si="154"/>
        <v>Al Wifaq Genral Trading LLC</v>
      </c>
      <c r="O1107" t="str">
        <f t="shared" si="155"/>
        <v>W1315249198</v>
      </c>
      <c r="P1107" t="str">
        <f t="shared" si="156"/>
        <v>CA511AC30YAJ-508580</v>
      </c>
      <c r="Q1107" t="str">
        <f t="shared" si="157"/>
        <v>PO044959</v>
      </c>
      <c r="R1107" t="str">
        <f t="shared" si="158"/>
        <v>Edifice EF-129D-7AVUDF for Men (Analog-Chronograph Watch Silver)</v>
      </c>
      <c r="S1107" t="str">
        <f t="shared" si="159"/>
        <v>SA986298</v>
      </c>
      <c r="T1107">
        <f t="shared" si="160"/>
        <v>1</v>
      </c>
      <c r="U1107">
        <f t="shared" si="161"/>
        <v>195</v>
      </c>
    </row>
    <row r="1108" spans="1:21" x14ac:dyDescent="0.25">
      <c r="A1108">
        <f t="shared" si="153"/>
        <v>42</v>
      </c>
      <c r="C1108" t="s">
        <v>4516</v>
      </c>
      <c r="D1108" t="s">
        <v>4517</v>
      </c>
      <c r="E1108" t="s">
        <v>4426</v>
      </c>
      <c r="F1108" t="s">
        <v>4518</v>
      </c>
      <c r="G1108" t="s">
        <v>4515</v>
      </c>
      <c r="H1108" s="2">
        <v>1</v>
      </c>
      <c r="I1108" s="2">
        <v>88</v>
      </c>
      <c r="N1108" t="str">
        <f t="shared" si="154"/>
        <v>Al Wifaq Genral Trading LLC</v>
      </c>
      <c r="O1108" t="str">
        <f t="shared" si="155"/>
        <v>W1315130280</v>
      </c>
      <c r="P1108" t="str">
        <f t="shared" si="156"/>
        <v>CA511AC56YJJ-56245</v>
      </c>
      <c r="Q1108" t="str">
        <f t="shared" si="157"/>
        <v>PO044635</v>
      </c>
      <c r="R1108" t="str">
        <f t="shared" si="158"/>
        <v>Casio Digital Clock DQ-750F-7DF</v>
      </c>
      <c r="S1108" t="str">
        <f t="shared" si="159"/>
        <v>SA972146</v>
      </c>
      <c r="T1108">
        <f t="shared" si="160"/>
        <v>1</v>
      </c>
      <c r="U1108">
        <f t="shared" si="161"/>
        <v>88</v>
      </c>
    </row>
    <row r="1109" spans="1:21" x14ac:dyDescent="0.25">
      <c r="A1109">
        <f t="shared" si="153"/>
        <v>42</v>
      </c>
      <c r="C1109" t="s">
        <v>4669</v>
      </c>
      <c r="D1109" t="s">
        <v>4670</v>
      </c>
      <c r="E1109" t="s">
        <v>4426</v>
      </c>
      <c r="F1109" t="s">
        <v>4671</v>
      </c>
      <c r="G1109" t="s">
        <v>4668</v>
      </c>
      <c r="H1109" s="2">
        <v>1</v>
      </c>
      <c r="I1109" s="2">
        <v>87</v>
      </c>
      <c r="N1109" t="str">
        <f t="shared" si="154"/>
        <v>Al Wifaq Genral Trading LLC</v>
      </c>
      <c r="O1109" t="str">
        <f t="shared" si="155"/>
        <v>W1315130343</v>
      </c>
      <c r="P1109" t="str">
        <f t="shared" si="156"/>
        <v>CA511AC17YKW-56284</v>
      </c>
      <c r="Q1109" t="str">
        <f t="shared" si="157"/>
        <v>PO044635</v>
      </c>
      <c r="R1109" t="str">
        <f t="shared" si="158"/>
        <v>Casio Quartz Classic Analog Stainless Steel Women's Watch LTP-1191A-2CDF</v>
      </c>
      <c r="S1109" t="str">
        <f t="shared" si="159"/>
        <v>SA976243</v>
      </c>
      <c r="T1109">
        <f t="shared" si="160"/>
        <v>1</v>
      </c>
      <c r="U1109">
        <f t="shared" si="161"/>
        <v>87</v>
      </c>
    </row>
    <row r="1110" spans="1:21" x14ac:dyDescent="0.25">
      <c r="A1110">
        <f t="shared" si="153"/>
        <v>42</v>
      </c>
      <c r="C1110" t="s">
        <v>5235</v>
      </c>
      <c r="D1110" t="s">
        <v>5236</v>
      </c>
      <c r="E1110" t="s">
        <v>4926</v>
      </c>
      <c r="F1110" t="s">
        <v>5237</v>
      </c>
      <c r="G1110" t="s">
        <v>6429</v>
      </c>
      <c r="H1110" s="2">
        <v>1</v>
      </c>
      <c r="I1110" s="2">
        <v>195</v>
      </c>
      <c r="N1110" t="str">
        <f t="shared" si="154"/>
        <v>Al Wifaq Genral Trading LLC</v>
      </c>
      <c r="O1110" t="str">
        <f t="shared" si="155"/>
        <v>W1315249197</v>
      </c>
      <c r="P1110" t="str">
        <f t="shared" si="156"/>
        <v>CA511AC31YAI-508579</v>
      </c>
      <c r="Q1110" t="str">
        <f t="shared" si="157"/>
        <v>PO044959</v>
      </c>
      <c r="R1110" t="str">
        <f t="shared" si="158"/>
        <v>Edifice EF-129D-1AVUDF for Men (Analog-Chronograph Watch Black)</v>
      </c>
      <c r="S1110" t="str">
        <f t="shared" si="159"/>
        <v>SA986894</v>
      </c>
      <c r="T1110">
        <f t="shared" si="160"/>
        <v>1</v>
      </c>
      <c r="U1110">
        <f t="shared" si="161"/>
        <v>195</v>
      </c>
    </row>
    <row r="1111" spans="1:21" x14ac:dyDescent="0.25">
      <c r="A1111">
        <f t="shared" si="153"/>
        <v>42</v>
      </c>
      <c r="C1111" t="s">
        <v>5673</v>
      </c>
      <c r="D1111" t="s">
        <v>5674</v>
      </c>
      <c r="E1111" t="s">
        <v>4926</v>
      </c>
      <c r="F1111" t="s">
        <v>5675</v>
      </c>
      <c r="G1111" t="s">
        <v>5672</v>
      </c>
      <c r="H1111" s="2">
        <v>1</v>
      </c>
      <c r="I1111" s="2">
        <v>39</v>
      </c>
      <c r="N1111" t="str">
        <f t="shared" si="154"/>
        <v>Al Wifaq Genral Trading LLC</v>
      </c>
      <c r="O1111" t="str">
        <f t="shared" si="155"/>
        <v>W1315130308</v>
      </c>
      <c r="P1111" t="str">
        <f t="shared" si="156"/>
        <v>CA511AC46ZSJ-57155</v>
      </c>
      <c r="Q1111" t="str">
        <f t="shared" si="157"/>
        <v>PO044959</v>
      </c>
      <c r="R1111" t="str">
        <f t="shared" si="158"/>
        <v>Casio Casual Analog Rubber Women's Watch LQ-139EMV-7ALDF</v>
      </c>
      <c r="S1111" t="str">
        <f t="shared" si="159"/>
        <v>SA980445</v>
      </c>
      <c r="T1111">
        <f t="shared" si="160"/>
        <v>1</v>
      </c>
      <c r="U1111">
        <f t="shared" si="161"/>
        <v>39</v>
      </c>
    </row>
    <row r="1112" spans="1:21" x14ac:dyDescent="0.25">
      <c r="A1112">
        <f t="shared" si="153"/>
        <v>42</v>
      </c>
      <c r="C1112" t="s">
        <v>5677</v>
      </c>
      <c r="D1112" t="s">
        <v>5678</v>
      </c>
      <c r="E1112" t="s">
        <v>4926</v>
      </c>
      <c r="F1112" t="s">
        <v>5679</v>
      </c>
      <c r="G1112" t="s">
        <v>5676</v>
      </c>
      <c r="H1112" s="2">
        <v>1</v>
      </c>
      <c r="I1112" s="2">
        <v>39</v>
      </c>
      <c r="N1112" t="str">
        <f t="shared" si="154"/>
        <v>Al Wifaq Genral Trading LLC</v>
      </c>
      <c r="O1112" t="str">
        <f t="shared" si="155"/>
        <v>W1315130304</v>
      </c>
      <c r="P1112" t="str">
        <f t="shared" si="156"/>
        <v>CA511AC50ZSF-57151</v>
      </c>
      <c r="Q1112" t="str">
        <f t="shared" si="157"/>
        <v>PO044959</v>
      </c>
      <c r="R1112" t="str">
        <f t="shared" si="158"/>
        <v>LQ-139AMV-1LDF for Women (Analog Watch, Black)</v>
      </c>
      <c r="S1112" t="str">
        <f t="shared" si="159"/>
        <v>SA980447</v>
      </c>
      <c r="T1112">
        <f t="shared" si="160"/>
        <v>1</v>
      </c>
      <c r="U1112">
        <f t="shared" si="161"/>
        <v>39</v>
      </c>
    </row>
    <row r="1113" spans="1:21" x14ac:dyDescent="0.25">
      <c r="A1113">
        <f t="shared" si="153"/>
        <v>42</v>
      </c>
      <c r="C1113" t="s">
        <v>6201</v>
      </c>
      <c r="D1113" t="s">
        <v>6202</v>
      </c>
      <c r="E1113" t="s">
        <v>4926</v>
      </c>
      <c r="F1113" t="s">
        <v>6203</v>
      </c>
      <c r="G1113" t="s">
        <v>6200</v>
      </c>
      <c r="H1113" s="2">
        <v>1</v>
      </c>
      <c r="I1113" s="2">
        <v>445</v>
      </c>
      <c r="N1113" t="str">
        <f t="shared" si="154"/>
        <v>Al Wifaq Genral Trading LLC</v>
      </c>
      <c r="O1113" t="str">
        <f t="shared" si="155"/>
        <v>W1315249232</v>
      </c>
      <c r="P1113" t="str">
        <f t="shared" si="156"/>
        <v>CA511AC00YBN-508610</v>
      </c>
      <c r="Q1113" t="str">
        <f t="shared" si="157"/>
        <v>PO044959</v>
      </c>
      <c r="R1113" t="str">
        <f t="shared" si="158"/>
        <v>Edifice EFR-539BK-1AVUDF for Men (Analog-Chronograph Watch Black)</v>
      </c>
      <c r="S1113" t="str">
        <f t="shared" si="159"/>
        <v>SA985136</v>
      </c>
      <c r="T1113">
        <f t="shared" si="160"/>
        <v>1</v>
      </c>
      <c r="U1113">
        <f t="shared" si="161"/>
        <v>445</v>
      </c>
    </row>
    <row r="1114" spans="1:21" x14ac:dyDescent="0.25">
      <c r="A1114">
        <f t="shared" si="153"/>
        <v>42</v>
      </c>
      <c r="C1114" t="s">
        <v>6254</v>
      </c>
      <c r="D1114" t="s">
        <v>6255</v>
      </c>
      <c r="E1114" t="s">
        <v>4926</v>
      </c>
      <c r="F1114" t="s">
        <v>6256</v>
      </c>
      <c r="G1114" t="s">
        <v>6454</v>
      </c>
      <c r="H1114" s="2">
        <v>1</v>
      </c>
      <c r="I1114" s="2">
        <v>230</v>
      </c>
      <c r="N1114" t="str">
        <f t="shared" si="154"/>
        <v>Al Wifaq Genral Trading LLC</v>
      </c>
      <c r="O1114" t="str">
        <f t="shared" si="155"/>
        <v>W1315102250</v>
      </c>
      <c r="P1114" t="str">
        <f t="shared" si="156"/>
        <v>CA511EL54BVX-1257</v>
      </c>
      <c r="Q1114" t="str">
        <f t="shared" si="157"/>
        <v>PO044959</v>
      </c>
      <c r="R1114" t="str">
        <f t="shared" si="158"/>
        <v>Casio Edifice EF-328D-1AVUDF for Men (Analog Watch Silver)</v>
      </c>
      <c r="S1114" t="str">
        <f t="shared" si="159"/>
        <v>SA987360</v>
      </c>
      <c r="T1114">
        <f t="shared" si="160"/>
        <v>1</v>
      </c>
      <c r="U1114">
        <f t="shared" si="161"/>
        <v>230</v>
      </c>
    </row>
    <row r="1115" spans="1:21" x14ac:dyDescent="0.25">
      <c r="A1115">
        <f t="shared" si="153"/>
        <v>42</v>
      </c>
      <c r="E1115" t="s">
        <v>6257</v>
      </c>
      <c r="F1115" t="s">
        <v>6256</v>
      </c>
      <c r="G1115" t="s">
        <v>6253</v>
      </c>
      <c r="H1115" s="2">
        <v>1</v>
      </c>
      <c r="I1115" s="2">
        <v>230</v>
      </c>
      <c r="N1115" t="str">
        <f t="shared" si="154"/>
        <v>Al Wifaq Genral Trading LLC</v>
      </c>
      <c r="O1115" t="str">
        <f t="shared" si="155"/>
        <v>W1315102250</v>
      </c>
      <c r="P1115" t="str">
        <f t="shared" si="156"/>
        <v>CA511EL54BVX-1257</v>
      </c>
      <c r="Q1115" t="str">
        <f t="shared" si="157"/>
        <v>PO044888</v>
      </c>
      <c r="R1115" t="str">
        <f t="shared" si="158"/>
        <v>Casio Edifice EF-328D-1AVUDF for Men (Analog Watch Silver)</v>
      </c>
      <c r="S1115" t="str">
        <f t="shared" si="159"/>
        <v>SA985585</v>
      </c>
      <c r="T1115">
        <f t="shared" si="160"/>
        <v>1</v>
      </c>
      <c r="U1115">
        <f t="shared" si="161"/>
        <v>230</v>
      </c>
    </row>
    <row r="1116" spans="1:21" x14ac:dyDescent="0.25">
      <c r="A1116">
        <f t="shared" si="153"/>
        <v>42</v>
      </c>
      <c r="C1116" t="s">
        <v>6285</v>
      </c>
      <c r="D1116" t="s">
        <v>6286</v>
      </c>
      <c r="E1116" t="s">
        <v>6257</v>
      </c>
      <c r="F1116" t="s">
        <v>6287</v>
      </c>
      <c r="G1116" t="s">
        <v>6284</v>
      </c>
      <c r="H1116" s="2">
        <v>1</v>
      </c>
      <c r="I1116" s="2">
        <v>72</v>
      </c>
      <c r="N1116" t="str">
        <f t="shared" si="154"/>
        <v>Al Wifaq Genral Trading LLC</v>
      </c>
      <c r="O1116" t="str">
        <f t="shared" si="155"/>
        <v>W1315103716</v>
      </c>
      <c r="P1116" t="str">
        <f t="shared" si="156"/>
        <v>CA511AC88OVB-24545</v>
      </c>
      <c r="Q1116" t="str">
        <f t="shared" si="157"/>
        <v>PO044888</v>
      </c>
      <c r="R1116" t="str">
        <f t="shared" si="158"/>
        <v>Casio MRW-200HC-7BVDF Standard Watch for Men (Analog, White)</v>
      </c>
      <c r="S1116" t="str">
        <f t="shared" si="159"/>
        <v>SA985887</v>
      </c>
      <c r="T1116">
        <f t="shared" si="160"/>
        <v>1</v>
      </c>
      <c r="U1116">
        <f t="shared" si="161"/>
        <v>72</v>
      </c>
    </row>
    <row r="1117" spans="1:21" x14ac:dyDescent="0.25">
      <c r="A1117">
        <f t="shared" si="153"/>
        <v>42</v>
      </c>
      <c r="C1117" t="s">
        <v>6440</v>
      </c>
      <c r="D1117" t="s">
        <v>6441</v>
      </c>
      <c r="E1117" t="s">
        <v>4926</v>
      </c>
      <c r="F1117" t="s">
        <v>6442</v>
      </c>
      <c r="G1117" t="s">
        <v>6439</v>
      </c>
      <c r="H1117" s="2">
        <v>1</v>
      </c>
      <c r="I1117" s="2">
        <v>475</v>
      </c>
      <c r="N1117" t="str">
        <f t="shared" si="154"/>
        <v>Al Wifaq Genral Trading LLC</v>
      </c>
      <c r="O1117" t="str">
        <f t="shared" si="155"/>
        <v>W1315249221</v>
      </c>
      <c r="P1117" t="str">
        <f t="shared" si="156"/>
        <v>CA511AC10YBD-508600</v>
      </c>
      <c r="Q1117" t="str">
        <f t="shared" si="157"/>
        <v>PO044959</v>
      </c>
      <c r="R1117" t="str">
        <f t="shared" si="158"/>
        <v>Edifice EFR-534BKG-1AVDF for Men (Analog-Chronograph Watch Black)</v>
      </c>
      <c r="S1117" t="str">
        <f t="shared" si="159"/>
        <v>SA987155</v>
      </c>
      <c r="T1117">
        <f t="shared" si="160"/>
        <v>1</v>
      </c>
      <c r="U1117">
        <f t="shared" si="161"/>
        <v>475</v>
      </c>
    </row>
    <row r="1118" spans="1:21" x14ac:dyDescent="0.25">
      <c r="A1118">
        <f t="shared" si="153"/>
        <v>42</v>
      </c>
      <c r="C1118" t="s">
        <v>6501</v>
      </c>
      <c r="D1118" t="s">
        <v>6502</v>
      </c>
      <c r="E1118" t="s">
        <v>4926</v>
      </c>
      <c r="F1118" t="s">
        <v>6503</v>
      </c>
      <c r="G1118" t="s">
        <v>6500</v>
      </c>
      <c r="H1118" s="2">
        <v>1</v>
      </c>
      <c r="I1118" s="2">
        <v>50</v>
      </c>
      <c r="N1118" t="str">
        <f t="shared" si="154"/>
        <v>Al Wifaq Genral Trading LLC</v>
      </c>
      <c r="O1118" t="str">
        <f t="shared" si="155"/>
        <v>W1315130732</v>
      </c>
      <c r="P1118" t="str">
        <f t="shared" si="156"/>
        <v>CA511AC11ABK-57390</v>
      </c>
      <c r="Q1118" t="str">
        <f t="shared" si="157"/>
        <v>PO044959</v>
      </c>
      <c r="R1118" t="str">
        <f t="shared" si="158"/>
        <v>Casio Enticer (Analog, MW-59-1EVDF, Men)</v>
      </c>
      <c r="S1118" t="str">
        <f t="shared" si="159"/>
        <v>SA987847</v>
      </c>
      <c r="T1118">
        <f t="shared" si="160"/>
        <v>1</v>
      </c>
      <c r="U1118">
        <f t="shared" si="161"/>
        <v>50</v>
      </c>
    </row>
    <row r="1119" spans="1:21" x14ac:dyDescent="0.25">
      <c r="A1119">
        <f t="shared" si="153"/>
        <v>43</v>
      </c>
      <c r="B1119" t="s">
        <v>157</v>
      </c>
      <c r="C1119" t="s">
        <v>4633</v>
      </c>
      <c r="D1119" t="s">
        <v>4634</v>
      </c>
      <c r="E1119" t="s">
        <v>4636</v>
      </c>
      <c r="F1119" t="s">
        <v>4635</v>
      </c>
      <c r="G1119" t="s">
        <v>4632</v>
      </c>
      <c r="H1119" s="2">
        <v>1</v>
      </c>
      <c r="I1119" s="2">
        <v>1720</v>
      </c>
      <c r="N1119" t="str">
        <f t="shared" si="154"/>
        <v>FLICKON TECHNOLOGIES LLC</v>
      </c>
      <c r="O1119" t="str">
        <f t="shared" si="155"/>
        <v>W1315196075</v>
      </c>
      <c r="P1119" t="str">
        <f t="shared" si="156"/>
        <v>SA766EL25WGO-375058</v>
      </c>
      <c r="Q1119" t="str">
        <f t="shared" si="157"/>
        <v>PO044662</v>
      </c>
      <c r="R1119" t="str">
        <f t="shared" si="158"/>
        <v>Galaxy Note 5 N9208(32 GB, 4G, Gold Dual SIM)</v>
      </c>
      <c r="S1119" t="str">
        <f t="shared" si="159"/>
        <v>SA974617</v>
      </c>
      <c r="T1119">
        <f t="shared" si="160"/>
        <v>1</v>
      </c>
      <c r="U1119">
        <f t="shared" si="161"/>
        <v>1720</v>
      </c>
    </row>
    <row r="1120" spans="1:21" x14ac:dyDescent="0.25">
      <c r="A1120">
        <f t="shared" si="153"/>
        <v>44</v>
      </c>
      <c r="B1120" t="s">
        <v>450</v>
      </c>
      <c r="C1120" t="s">
        <v>4646</v>
      </c>
      <c r="D1120" t="s">
        <v>4647</v>
      </c>
      <c r="E1120" t="s">
        <v>5708</v>
      </c>
      <c r="F1120" t="s">
        <v>4648</v>
      </c>
      <c r="G1120" t="s">
        <v>6624</v>
      </c>
      <c r="H1120" s="2">
        <v>1</v>
      </c>
      <c r="I1120" s="2">
        <v>3600</v>
      </c>
      <c r="N1120" t="str">
        <f t="shared" si="154"/>
        <v>Ninja Computers LLC</v>
      </c>
      <c r="O1120" t="str">
        <f t="shared" si="155"/>
        <v>W1315283167</v>
      </c>
      <c r="P1120" t="str">
        <f t="shared" si="156"/>
        <v>AP771EL99RRG-462984</v>
      </c>
      <c r="Q1120" t="str">
        <f t="shared" si="157"/>
        <v>PO044998</v>
      </c>
      <c r="R1120" t="str">
        <f t="shared" si="158"/>
        <v>MacBook Air MMGG2 (Intel Core i5,13.3 inches, 256 GB SSD, Mac OS X Yosemite, Silver)</v>
      </c>
      <c r="S1120" t="str">
        <f t="shared" si="159"/>
        <v>SA989078</v>
      </c>
      <c r="T1120">
        <f t="shared" si="160"/>
        <v>1</v>
      </c>
      <c r="U1120">
        <f t="shared" si="161"/>
        <v>3600</v>
      </c>
    </row>
    <row r="1121" spans="1:21" x14ac:dyDescent="0.25">
      <c r="A1121">
        <f t="shared" si="153"/>
        <v>44</v>
      </c>
      <c r="C1121" t="s">
        <v>5705</v>
      </c>
      <c r="D1121" t="s">
        <v>5706</v>
      </c>
      <c r="E1121" t="s">
        <v>5708</v>
      </c>
      <c r="F1121" t="s">
        <v>5707</v>
      </c>
      <c r="G1121" t="s">
        <v>5704</v>
      </c>
      <c r="H1121" s="2">
        <v>1</v>
      </c>
      <c r="I1121" s="2">
        <v>7650</v>
      </c>
      <c r="N1121" t="str">
        <f t="shared" si="154"/>
        <v>Ninja Computers LLC</v>
      </c>
      <c r="O1121" t="str">
        <f t="shared" si="155"/>
        <v>W1315392222</v>
      </c>
      <c r="P1121" t="str">
        <f t="shared" si="156"/>
        <v>AP771EL47TZS-635907</v>
      </c>
      <c r="Q1121" t="str">
        <f t="shared" si="157"/>
        <v>PO044998</v>
      </c>
      <c r="R1121" t="str">
        <f t="shared" si="158"/>
        <v>MacBook Pro MLH32 ZP/A (Intel Core i7, 15.4 inches, 256 GB SSD, Mac OS, Grey)</v>
      </c>
      <c r="S1121" t="str">
        <f t="shared" si="159"/>
        <v>SA980529</v>
      </c>
      <c r="T1121">
        <f t="shared" si="160"/>
        <v>1</v>
      </c>
      <c r="U1121">
        <f t="shared" si="161"/>
        <v>7650</v>
      </c>
    </row>
    <row r="1122" spans="1:21" x14ac:dyDescent="0.25">
      <c r="A1122">
        <f t="shared" si="153"/>
        <v>45</v>
      </c>
      <c r="B1122" t="s">
        <v>452</v>
      </c>
      <c r="C1122" t="s">
        <v>4663</v>
      </c>
      <c r="D1122" t="s">
        <v>4664</v>
      </c>
      <c r="E1122" t="s">
        <v>4666</v>
      </c>
      <c r="F1122" t="s">
        <v>4665</v>
      </c>
      <c r="G1122" t="s">
        <v>4662</v>
      </c>
      <c r="H1122" s="2">
        <v>1</v>
      </c>
      <c r="I1122" s="2">
        <v>3040</v>
      </c>
      <c r="N1122" t="str">
        <f t="shared" si="154"/>
        <v>SAFE ELECTRONICS FZ LLC</v>
      </c>
      <c r="O1122" t="str">
        <f t="shared" si="155"/>
        <v>W1315242397</v>
      </c>
      <c r="P1122" t="str">
        <f t="shared" si="156"/>
        <v>AP771EL96TOL-435558</v>
      </c>
      <c r="Q1122" t="str">
        <f t="shared" si="157"/>
        <v>PO044602</v>
      </c>
      <c r="R1122" t="str">
        <f t="shared" si="158"/>
        <v>iPad Pro (256 GB, 9.7 Inch, Wifi+Cellular-Space Grey)</v>
      </c>
      <c r="S1122" t="str">
        <f t="shared" si="159"/>
        <v>SA975617</v>
      </c>
      <c r="T1122">
        <f t="shared" si="160"/>
        <v>1</v>
      </c>
      <c r="U1122">
        <f t="shared" si="161"/>
        <v>3040</v>
      </c>
    </row>
    <row r="1123" spans="1:21" x14ac:dyDescent="0.25">
      <c r="A1123">
        <f t="shared" si="153"/>
        <v>46</v>
      </c>
      <c r="B1123" t="s">
        <v>3045</v>
      </c>
      <c r="C1123" t="s">
        <v>5365</v>
      </c>
      <c r="D1123" t="s">
        <v>5366</v>
      </c>
      <c r="E1123" t="s">
        <v>5368</v>
      </c>
      <c r="F1123" t="s">
        <v>5367</v>
      </c>
      <c r="G1123" t="s">
        <v>5364</v>
      </c>
      <c r="H1123" s="2">
        <v>1</v>
      </c>
      <c r="I1123" s="2">
        <v>95</v>
      </c>
      <c r="N1123" t="str">
        <f t="shared" si="154"/>
        <v>ULYSSE INTERNATIONAL TRADING</v>
      </c>
      <c r="O1123" t="str">
        <f t="shared" si="155"/>
        <v>W1315510409</v>
      </c>
      <c r="P1123" t="str">
        <f t="shared" si="156"/>
        <v>CA787AT64VLJ-734862</v>
      </c>
      <c r="Q1123" t="str">
        <f t="shared" si="157"/>
        <v>PO044694</v>
      </c>
      <c r="R1123" t="str">
        <f t="shared" si="158"/>
        <v>Round Neck Cotton T-Shirt, Black</v>
      </c>
      <c r="S1123" t="str">
        <f t="shared" si="159"/>
        <v>SA977348</v>
      </c>
      <c r="T1123">
        <f t="shared" si="160"/>
        <v>1</v>
      </c>
      <c r="U1123">
        <f t="shared" si="161"/>
        <v>95</v>
      </c>
    </row>
    <row r="1124" spans="1:21" x14ac:dyDescent="0.25">
      <c r="A1124">
        <f t="shared" si="153"/>
        <v>47</v>
      </c>
      <c r="B1124" t="s">
        <v>2658</v>
      </c>
      <c r="C1124" t="s">
        <v>5891</v>
      </c>
      <c r="D1124" t="s">
        <v>5892</v>
      </c>
      <c r="E1124" t="s">
        <v>5894</v>
      </c>
      <c r="F1124" t="s">
        <v>5893</v>
      </c>
      <c r="G1124" t="s">
        <v>5890</v>
      </c>
      <c r="H1124" s="2">
        <v>1</v>
      </c>
      <c r="I1124" s="2">
        <v>200</v>
      </c>
      <c r="N1124" t="str">
        <f t="shared" si="154"/>
        <v>Al Barsha Vision Electronics LLC</v>
      </c>
      <c r="O1124" t="str">
        <f t="shared" si="155"/>
        <v>W1315463868</v>
      </c>
      <c r="P1124" t="str">
        <f t="shared" si="156"/>
        <v>IV186EL77CMO-717912</v>
      </c>
      <c r="Q1124" t="str">
        <f t="shared" si="157"/>
        <v>PO044918</v>
      </c>
      <c r="R1124" t="str">
        <f t="shared" si="158"/>
        <v>Iview Projector Trolly (Black)</v>
      </c>
      <c r="S1124" t="str">
        <f t="shared" si="159"/>
        <v>SA981791</v>
      </c>
      <c r="T1124">
        <f t="shared" si="160"/>
        <v>1</v>
      </c>
      <c r="U1124">
        <f t="shared" si="161"/>
        <v>200</v>
      </c>
    </row>
    <row r="1125" spans="1:21" x14ac:dyDescent="0.25">
      <c r="A1125">
        <f t="shared" si="153"/>
        <v>48</v>
      </c>
      <c r="B1125" t="s">
        <v>2540</v>
      </c>
      <c r="C1125" t="s">
        <v>6165</v>
      </c>
      <c r="D1125" t="s">
        <v>6166</v>
      </c>
      <c r="E1125" t="s">
        <v>6168</v>
      </c>
      <c r="F1125" t="s">
        <v>6167</v>
      </c>
      <c r="G1125" t="s">
        <v>6164</v>
      </c>
      <c r="H1125" s="2">
        <v>1</v>
      </c>
      <c r="I1125" s="2">
        <v>93</v>
      </c>
      <c r="N1125" t="str">
        <f t="shared" si="154"/>
        <v>Dubai Trade Link LLC</v>
      </c>
      <c r="O1125" t="str">
        <f t="shared" si="155"/>
        <v>W1315461878</v>
      </c>
      <c r="P1125" t="str">
        <f t="shared" si="156"/>
        <v>SP810EL09WRI-712676</v>
      </c>
      <c r="Q1125" t="str">
        <f t="shared" si="157"/>
        <v>PO044920</v>
      </c>
      <c r="R1125" t="str">
        <f t="shared" si="158"/>
        <v>Wallet Case for iPhone 7 (042CS20546, Brown)</v>
      </c>
      <c r="S1125" t="str">
        <f t="shared" si="159"/>
        <v>SA984573</v>
      </c>
      <c r="T1125">
        <f t="shared" si="160"/>
        <v>1</v>
      </c>
      <c r="U1125">
        <f t="shared" si="161"/>
        <v>93</v>
      </c>
    </row>
    <row r="1126" spans="1:21" x14ac:dyDescent="0.25">
      <c r="A1126">
        <f t="shared" si="153"/>
        <v>49</v>
      </c>
      <c r="B1126" t="s">
        <v>82</v>
      </c>
      <c r="C1126" t="s">
        <v>6527</v>
      </c>
      <c r="D1126" t="s">
        <v>6528</v>
      </c>
      <c r="E1126" t="s">
        <v>6530</v>
      </c>
      <c r="F1126" t="s">
        <v>6529</v>
      </c>
      <c r="G1126" t="s">
        <v>6526</v>
      </c>
      <c r="H1126" s="2">
        <v>1</v>
      </c>
      <c r="I1126" s="2">
        <v>25</v>
      </c>
      <c r="N1126" t="str">
        <f t="shared" si="154"/>
        <v>ROSELINE TRADING COMPANY LLC</v>
      </c>
      <c r="O1126" t="str">
        <f t="shared" si="155"/>
        <v>W1315107920</v>
      </c>
      <c r="P1126" t="str">
        <f t="shared" si="156"/>
        <v>IT236EL89TCO-27444</v>
      </c>
      <c r="Q1126" t="str">
        <f t="shared" si="157"/>
        <v>PO044973</v>
      </c>
      <c r="R1126" t="str">
        <f t="shared" si="158"/>
        <v>Itech My Voice 315m</v>
      </c>
      <c r="S1126" t="str">
        <f t="shared" si="159"/>
        <v>SA988201</v>
      </c>
      <c r="T1126">
        <f t="shared" si="160"/>
        <v>1</v>
      </c>
      <c r="U1126">
        <f t="shared" si="161"/>
        <v>25</v>
      </c>
    </row>
    <row r="1127" spans="1:21" x14ac:dyDescent="0.25">
      <c r="B1127" t="s">
        <v>19</v>
      </c>
      <c r="H1127" s="2">
        <v>1122</v>
      </c>
      <c r="I1127" s="2">
        <v>259111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2:B3"/>
  <sheetViews>
    <sheetView tabSelected="1" workbookViewId="0">
      <selection activeCell="B15" sqref="B15"/>
    </sheetView>
  </sheetViews>
  <sheetFormatPr defaultRowHeight="15" x14ac:dyDescent="0.25"/>
  <cols>
    <col min="2" max="2" width="33.28515625" bestFit="1" customWidth="1"/>
  </cols>
  <sheetData>
    <row r="2" spans="1:2" x14ac:dyDescent="0.25">
      <c r="A2">
        <v>1</v>
      </c>
      <c r="B2" t="s">
        <v>20</v>
      </c>
    </row>
    <row r="3" spans="1:2" x14ac:dyDescent="0.25">
      <c r="A3">
        <f>A2+1</f>
        <v>2</v>
      </c>
      <c r="B3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Cash Req.</vt:lpstr>
      <vt:lpstr>Data</vt:lpstr>
      <vt:lpstr>Pickups-QTY</vt:lpstr>
      <vt:lpstr>PO Format</vt:lpstr>
      <vt:lpstr>Seller_Details</vt:lpstr>
      <vt:lpstr>Pivot</vt:lpstr>
      <vt:lpstr>Pivot2</vt:lpstr>
      <vt:lpstr>Instructions</vt:lpstr>
      <vt:lpstr>'Pickups-QTY'!Print_Area</vt:lpstr>
      <vt:lpstr>'PO Format'!Print_Area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Puri</dc:creator>
  <cp:lastModifiedBy>Harpreet Singh</cp:lastModifiedBy>
  <cp:lastPrinted>2017-03-25T07:59:50Z</cp:lastPrinted>
  <dcterms:created xsi:type="dcterms:W3CDTF">2015-03-01T06:40:15Z</dcterms:created>
  <dcterms:modified xsi:type="dcterms:W3CDTF">2018-09-27T08:17:23Z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ee0a0a36-8d39-4255-babf-c9d4f788348d</vt:lpwstr>
  </property>
</Properties>
</file>